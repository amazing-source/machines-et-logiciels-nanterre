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C20F8C4C-C5FA-449B-B505-28095FF27AE2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Exercice 1" sheetId="1" r:id="rId1"/>
    <sheet name="Exercice 2" sheetId="2" r:id="rId2"/>
    <sheet name="Exercice 3" sheetId="3" r:id="rId3"/>
    <sheet name="Exercice 4" sheetId="4" r:id="rId4"/>
    <sheet name="Exercice 5" sheetId="5" r:id="rId5"/>
    <sheet name="Exercice 6" sheetId="6" r:id="rId6"/>
  </sheets>
  <definedNames>
    <definedName name="_xlnm.Print_Area" localSheetId="3">'Exercice 4'!$A$4:$E$21</definedName>
    <definedName name="_xlnm.Print_Area" localSheetId="4">'Exercice 5'!$A$4:$G$25</definedName>
    <definedName name="_xlnm.Print_Area" localSheetId="5">'Exercice 6'!$A$1:$G$15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5" l="1"/>
  <c r="F24" i="5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6" i="5"/>
  <c r="E16" i="5"/>
  <c r="F16" i="5" s="1"/>
  <c r="G15" i="5"/>
  <c r="E15" i="5"/>
  <c r="F15" i="5" s="1"/>
  <c r="C19" i="4"/>
  <c r="E19" i="4" s="1"/>
  <c r="B19" i="4"/>
  <c r="C18" i="4"/>
  <c r="E18" i="4" s="1"/>
  <c r="B18" i="4"/>
  <c r="C17" i="4"/>
  <c r="E17" i="4" s="1"/>
  <c r="B17" i="4"/>
  <c r="C16" i="4"/>
  <c r="E16" i="4" s="1"/>
  <c r="B16" i="4"/>
  <c r="C15" i="4"/>
  <c r="B15" i="4"/>
  <c r="D15" i="3"/>
  <c r="D14" i="3"/>
  <c r="G12" i="3"/>
  <c r="F12" i="3"/>
  <c r="D12" i="3"/>
  <c r="E12" i="3" s="1"/>
  <c r="G11" i="3"/>
  <c r="F11" i="3"/>
  <c r="D11" i="3"/>
  <c r="E11" i="3" s="1"/>
  <c r="G10" i="3"/>
  <c r="F10" i="3"/>
  <c r="D10" i="3"/>
  <c r="E10" i="3" s="1"/>
  <c r="G9" i="3"/>
  <c r="F9" i="3"/>
  <c r="D9" i="3"/>
  <c r="E9" i="3" s="1"/>
  <c r="G8" i="3"/>
  <c r="F8" i="3"/>
  <c r="D8" i="3"/>
  <c r="E8" i="3" s="1"/>
  <c r="G7" i="3"/>
  <c r="F7" i="3"/>
  <c r="D7" i="3"/>
  <c r="E7" i="3" s="1"/>
  <c r="G6" i="3"/>
  <c r="F6" i="3"/>
  <c r="D6" i="3"/>
  <c r="E6" i="3" s="1"/>
  <c r="G5" i="3"/>
  <c r="F5" i="3"/>
  <c r="D5" i="3"/>
  <c r="E5" i="3" s="1"/>
  <c r="E23" i="2"/>
  <c r="D23" i="2"/>
  <c r="C23" i="2"/>
  <c r="E22" i="2"/>
  <c r="D22" i="2"/>
  <c r="C22" i="2"/>
  <c r="E21" i="2"/>
  <c r="D21" i="2"/>
  <c r="C21" i="2"/>
  <c r="D17" i="2"/>
  <c r="E17" i="2" s="1"/>
  <c r="D16" i="2"/>
  <c r="E16" i="2" s="1"/>
  <c r="D15" i="2"/>
  <c r="E15" i="2" s="1"/>
  <c r="G9" i="2"/>
  <c r="F9" i="2"/>
  <c r="E9" i="2"/>
  <c r="D9" i="2"/>
  <c r="C9" i="2"/>
  <c r="B9" i="2"/>
  <c r="H8" i="2"/>
  <c r="H7" i="2"/>
  <c r="H6" i="2"/>
  <c r="D15" i="1"/>
  <c r="E14" i="1"/>
  <c r="E15" i="1" s="1"/>
  <c r="E13" i="1"/>
  <c r="E12" i="1"/>
  <c r="E11" i="1"/>
  <c r="E10" i="1"/>
  <c r="E9" i="1"/>
  <c r="E8" i="1"/>
  <c r="E7" i="1"/>
  <c r="E6" i="1"/>
  <c r="E5" i="1"/>
  <c r="D15" i="6"/>
  <c r="D14" i="6"/>
  <c r="B10" i="6"/>
  <c r="D9" i="6"/>
  <c r="D8" i="6"/>
  <c r="D7" i="6"/>
  <c r="D6" i="6"/>
  <c r="D5" i="6"/>
  <c r="D10" i="6" s="1"/>
  <c r="D11" i="6" s="1"/>
  <c r="H9" i="2" l="1"/>
  <c r="E15" i="4"/>
  <c r="E21" i="4"/>
  <c r="F22" i="5"/>
  <c r="F23" i="5"/>
  <c r="D12" i="6"/>
  <c r="D13" i="6"/>
  <c r="E20" i="4"/>
</calcChain>
</file>

<file path=xl/sharedStrings.xml><?xml version="1.0" encoding="utf-8"?>
<sst xmlns="http://schemas.openxmlformats.org/spreadsheetml/2006/main" count="175" uniqueCount="134">
  <si>
    <t>Exercice 6 (révision) - Bulletin de notes</t>
  </si>
  <si>
    <t>Barème des mentions</t>
  </si>
  <si>
    <t>Coefficients - SOMME/MOYENNE - RECHERCHEV approchée - SI + ET - NBVAL - Impression</t>
  </si>
  <si>
    <t>Seuil</t>
  </si>
  <si>
    <t>Mention</t>
  </si>
  <si>
    <t>Ajourné</t>
  </si>
  <si>
    <t>Matière</t>
  </si>
  <si>
    <t>Coefficient</t>
  </si>
  <si>
    <t>Note /20</t>
  </si>
  <si>
    <t>Note pondérée (Coef x Note)</t>
  </si>
  <si>
    <t>Passable</t>
  </si>
  <si>
    <t>Mathématiques</t>
  </si>
  <si>
    <t>Assez Bien</t>
  </si>
  <si>
    <t>Économie</t>
  </si>
  <si>
    <t>Bien</t>
  </si>
  <si>
    <t>Anglais</t>
  </si>
  <si>
    <t>Très Bien</t>
  </si>
  <si>
    <t>Informatique</t>
  </si>
  <si>
    <t>Communication (optionnelle)</t>
  </si>
  <si>
    <t>TOTAL</t>
  </si>
  <si>
    <t>Moyenne générale (pondérée)</t>
  </si>
  <si>
    <t>Mention (RECHERCHEV approchée)</t>
  </si>
  <si>
    <t>Décision du jury (SI + ET)</t>
  </si>
  <si>
    <t>Nombre de notes renseignées (NBVAL)</t>
  </si>
  <si>
    <t>Moyenne corrigée (matières réellement notées)</t>
  </si>
  <si>
    <t>Legende : fond gris = donnees fournies    |    fond jaune = cellule a completer par l'etudiant</t>
  </si>
  <si>
    <t>Exercice 1 - Prise en main du tableur : relevé de dépenses</t>
  </si>
  <si>
    <t>Formats de nombres et de dates - Calcul simple - Mise en forme d'une feuille</t>
  </si>
  <si>
    <t>Date</t>
  </si>
  <si>
    <t>Catégorie</t>
  </si>
  <si>
    <t>Libellé</t>
  </si>
  <si>
    <t>Montant HT (€)</t>
  </si>
  <si>
    <t>Montant TTC (€)</t>
  </si>
  <si>
    <t>Logement</t>
  </si>
  <si>
    <t>Loyer chambre étudiante</t>
  </si>
  <si>
    <t>Alimentation</t>
  </si>
  <si>
    <t>Courses supermarché</t>
  </si>
  <si>
    <t>Transport</t>
  </si>
  <si>
    <t>Carte Navigo mensuelle</t>
  </si>
  <si>
    <t>Fournitures</t>
  </si>
  <si>
    <t>Cahiers et classeurs</t>
  </si>
  <si>
    <t>Loisirs</t>
  </si>
  <si>
    <t>Cinéma</t>
  </si>
  <si>
    <t>Restaurant universitaire</t>
  </si>
  <si>
    <t>Essence covoiturage</t>
  </si>
  <si>
    <t>Clé USB</t>
  </si>
  <si>
    <t>Abonnement streaming</t>
  </si>
  <si>
    <t>Exercice 2 - Références et recopie incrémentale : suivi des ventes</t>
  </si>
  <si>
    <t>Référence relative - référence absolue - référence mixte - recopie incrémentale</t>
  </si>
  <si>
    <t>PARTIE A - Référence relative et recopie incrémentale</t>
  </si>
  <si>
    <t>Produit</t>
  </si>
  <si>
    <t>Janvier</t>
  </si>
  <si>
    <t>Février</t>
  </si>
  <si>
    <t>Mars</t>
  </si>
  <si>
    <t>Avril</t>
  </si>
  <si>
    <t>Mai</t>
  </si>
  <si>
    <t>Juin</t>
  </si>
  <si>
    <t>Total (unités)</t>
  </si>
  <si>
    <t>Produit A</t>
  </si>
  <si>
    <t>Produit B</t>
  </si>
  <si>
    <t>Produit C</t>
  </si>
  <si>
    <t>Total mensuel</t>
  </si>
  <si>
    <t>PARTIE B - Référence absolue : calcul du montant TTC</t>
  </si>
  <si>
    <t>Taux de TVA</t>
  </si>
  <si>
    <t>Prix unitaire (€)</t>
  </si>
  <si>
    <t>Quantité totale</t>
  </si>
  <si>
    <t>PARTIE C - Référence mixte : grille de prix remisés</t>
  </si>
  <si>
    <t>Exercice 3 - Fonctions logiques : résultats d'examen</t>
  </si>
  <si>
    <t>SI - ET - OU - NBVAL</t>
  </si>
  <si>
    <t>Étudiant</t>
  </si>
  <si>
    <t>Note écrit /20</t>
  </si>
  <si>
    <t>Note oral /20</t>
  </si>
  <si>
    <t>Moyenne</t>
  </si>
  <si>
    <t>Résultat (SI)</t>
  </si>
  <si>
    <t>Deux notes ≥10 (ET)</t>
  </si>
  <si>
    <t>Au moins une note ≥10 (OU)</t>
  </si>
  <si>
    <t>Dupont</t>
  </si>
  <si>
    <t>Martin</t>
  </si>
  <si>
    <t>Bernard</t>
  </si>
  <si>
    <t>Petit</t>
  </si>
  <si>
    <t>Robert</t>
  </si>
  <si>
    <t>Richard</t>
  </si>
  <si>
    <t>Durand</t>
  </si>
  <si>
    <t>Moreau</t>
  </si>
  <si>
    <t>Nombre d'inscrits (NBVAL)</t>
  </si>
  <si>
    <t>Nombre de présents à l'oral (NBVAL)</t>
  </si>
  <si>
    <t>Exercice 4 - RECHERCHEV, SOMMEPROD et mise en page pour l'impression</t>
  </si>
  <si>
    <t>Facturation à partir d'un catalogue produits</t>
  </si>
  <si>
    <t>Catalogue produits</t>
  </si>
  <si>
    <t>Référence</t>
  </si>
  <si>
    <t>Désignation</t>
  </si>
  <si>
    <t>REF001</t>
  </si>
  <si>
    <t>Ramette papier A4</t>
  </si>
  <si>
    <t>REF002</t>
  </si>
  <si>
    <t>Stylo bille (boîte de 10)</t>
  </si>
  <si>
    <t>REF003</t>
  </si>
  <si>
    <t>Classeur A4</t>
  </si>
  <si>
    <t>REF004</t>
  </si>
  <si>
    <t>Cahier 96 pages</t>
  </si>
  <si>
    <t>REF005</t>
  </si>
  <si>
    <t>Surligneur</t>
  </si>
  <si>
    <t>REF006</t>
  </si>
  <si>
    <t>Calculatrice scientifique</t>
  </si>
  <si>
    <t>Bon de commande</t>
  </si>
  <si>
    <t>Désignation (RECHERCHEV)</t>
  </si>
  <si>
    <t>Prix unitaire (RECHERCHEV)</t>
  </si>
  <si>
    <t>Quantité</t>
  </si>
  <si>
    <t>Montant ligne (€)</t>
  </si>
  <si>
    <t>TOTAL FACTURE (SOMME)</t>
  </si>
  <si>
    <t>Vérification (SOMMEPROD)</t>
  </si>
  <si>
    <t>Exercice 5 (révision) - Gestion de stock</t>
  </si>
  <si>
    <t>RECHERCHEV - SI imbriqué - SOMME - MOYENNE - MIN - MAX</t>
  </si>
  <si>
    <t>Tarifs fournisseur</t>
  </si>
  <si>
    <t>REF101</t>
  </si>
  <si>
    <t>REF102</t>
  </si>
  <si>
    <t>REF103</t>
  </si>
  <si>
    <t>REF104</t>
  </si>
  <si>
    <t>REF105</t>
  </si>
  <si>
    <t>REF106</t>
  </si>
  <si>
    <t>État du stock</t>
  </si>
  <si>
    <t>Quantité en stock</t>
  </si>
  <si>
    <t>Seuil d'alerte</t>
  </si>
  <si>
    <t>Valeur du stock (€)</t>
  </si>
  <si>
    <t>État (SI)</t>
  </si>
  <si>
    <t>Papier A4 (colis)</t>
  </si>
  <si>
    <t>Casque audio</t>
  </si>
  <si>
    <t>Marqueur</t>
  </si>
  <si>
    <t>Vidéoprojecteur</t>
  </si>
  <si>
    <t>Post-it (lot)</t>
  </si>
  <si>
    <t>Clavier sans fil</t>
  </si>
  <si>
    <t>Valeur totale du stock (SOMME)</t>
  </si>
  <si>
    <t>Valeur moyenne d'une référence (MOYENNE)</t>
  </si>
  <si>
    <t>Quantité minimale en stock (MIN)</t>
  </si>
  <si>
    <t>Quantité maximale en stock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</si>
</sst>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\ &quot;€&quot;"/>
    <numFmt numFmtId="167" formatCode="0\ 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1"/>
      <color rgb="FF1F4E78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7F7F7F"/>
      <name val="Arial"/>
    </font>
    <font>
      <b/>
      <sz val="11"/>
      <color rgb="FF1F4E78"/>
      <name val="Arial"/>
    </font>
    <font>
      <b/>
      <sz val="11"/>
      <name val="Calibri"/>
    </font>
    <font>
      <b/>
      <sz val="11"/>
      <color rgb="FFFFFFFF"/>
      <name val="Calibri"/>
    </font>
    <font>
      <b/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6" fillId="0" borderId="0" xfId="0" applyFont="1"/>
    <xf numFmtId="0" fontId="9" fillId="3" borderId="4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6" fontId="4" fillId="7" borderId="4" xfId="0" applyNumberFormat="1" applyFont="1" applyFill="1" applyBorder="1" applyAlignment="1">
      <alignment horizontal="center" vertical="center"/>
    </xf>
    <xf numFmtId="0" fontId="0" fillId="6" borderId="4" xfId="0" applyFill="1" applyBorder="1"/>
    <xf numFmtId="0" fontId="8" fillId="6" borderId="4" xfId="0" applyFont="1" applyFill="1" applyBorder="1" applyAlignment="1">
      <alignment horizontal="left" vertical="center"/>
    </xf>
    <xf numFmtId="166" fontId="8" fillId="7" borderId="4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167" fontId="4" fillId="4" borderId="4" xfId="0" applyNumberFormat="1" applyFont="1" applyFill="1" applyBorder="1" applyAlignment="1">
      <alignment horizontal="center" vertical="center"/>
    </xf>
    <xf numFmtId="167" fontId="9" fillId="3" borderId="4" xfId="0" applyNumberFormat="1" applyFont="1" applyFill="1" applyBorder="1" applyAlignment="1">
      <alignment horizontal="center" vertical="center" wrapText="1"/>
    </xf>
    <xf numFmtId="2" fontId="4" fillId="7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0" fillId="0" borderId="4" xfId="0" applyBorder="1"/>
    <xf numFmtId="1" fontId="8" fillId="7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2" fontId="8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2" fontId="8" fillId="7" borderId="4" xfId="0" applyNumberFormat="1" applyFont="1" applyFill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8" fillId="6" borderId="4" xfId="0" applyFont="1" applyFill="1" applyBorder="1" applyAlignment="1">
      <alignment horizontal="left" vertical="center"/>
    </xf>
    <xf numFmtId="0" fontId="0" fillId="0" borderId="4" xfId="0" applyBorder="1"/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6" borderId="4" xfId="0" applyFont="1" applyFill="1" applyBorder="1" applyAlignment="1">
      <alignment horizontal="left" vertical="center"/>
    </xf>
    <xf numFmtId="0" fontId="8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13" customWidth="1"/>
    <col min="2" max="2" width="16" customWidth="1"/>
    <col min="3" max="3" width="28" customWidth="1"/>
    <col min="4" max="5" width="16" customWidth="1"/>
    <col min="6" max="6" width="3" customWidth="1"/>
    <col min="7" max="7" width="16" customWidth="1"/>
    <col min="8" max="8" width="10" customWidth="1"/>
  </cols>
  <sheetData>
    <row r="1" spans="1:5" ht="26.1" customHeight="1" x14ac:dyDescent="0.25">
      <c r="A1" s="23" t="s">
        <v>26</v>
      </c>
      <c r="B1" s="24"/>
      <c r="C1" s="24"/>
      <c r="D1" s="24"/>
      <c r="E1" s="24"/>
    </row>
    <row r="2" spans="1:5" x14ac:dyDescent="0.25">
      <c r="A2" s="1" t="s">
        <v>27</v>
      </c>
    </row>
    <row r="4" spans="1:5" ht="30" customHeight="1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</row>
    <row r="5" spans="1:5" x14ac:dyDescent="0.25">
      <c r="A5" s="4">
        <v>46266</v>
      </c>
      <c r="B5" s="5" t="s">
        <v>33</v>
      </c>
      <c r="C5" s="5" t="s">
        <v>34</v>
      </c>
      <c r="D5" s="6">
        <v>480</v>
      </c>
      <c r="E5" s="7">
        <f t="shared" ref="E5:E14" si="0">D5*1.2</f>
        <v>576</v>
      </c>
    </row>
    <row r="6" spans="1:5" x14ac:dyDescent="0.25">
      <c r="A6" s="4">
        <v>46268</v>
      </c>
      <c r="B6" s="5" t="s">
        <v>35</v>
      </c>
      <c r="C6" s="5" t="s">
        <v>36</v>
      </c>
      <c r="D6" s="6">
        <v>62.5</v>
      </c>
      <c r="E6" s="7">
        <f t="shared" si="0"/>
        <v>75</v>
      </c>
    </row>
    <row r="7" spans="1:5" x14ac:dyDescent="0.25">
      <c r="A7" s="4">
        <v>46269</v>
      </c>
      <c r="B7" s="5" t="s">
        <v>37</v>
      </c>
      <c r="C7" s="5" t="s">
        <v>38</v>
      </c>
      <c r="D7" s="6">
        <v>38.4</v>
      </c>
      <c r="E7" s="7">
        <f t="shared" si="0"/>
        <v>46.08</v>
      </c>
    </row>
    <row r="8" spans="1:5" x14ac:dyDescent="0.25">
      <c r="A8" s="4">
        <v>46273</v>
      </c>
      <c r="B8" s="5" t="s">
        <v>39</v>
      </c>
      <c r="C8" s="5" t="s">
        <v>40</v>
      </c>
      <c r="D8" s="6">
        <v>21.9</v>
      </c>
      <c r="E8" s="7">
        <f t="shared" si="0"/>
        <v>26.279999999999998</v>
      </c>
    </row>
    <row r="9" spans="1:5" x14ac:dyDescent="0.25">
      <c r="A9" s="4">
        <v>46275</v>
      </c>
      <c r="B9" s="5" t="s">
        <v>41</v>
      </c>
      <c r="C9" s="5" t="s">
        <v>42</v>
      </c>
      <c r="D9" s="6">
        <v>9.5</v>
      </c>
      <c r="E9" s="7">
        <f t="shared" si="0"/>
        <v>11.4</v>
      </c>
    </row>
    <row r="10" spans="1:5" x14ac:dyDescent="0.25">
      <c r="A10" s="4">
        <v>46279</v>
      </c>
      <c r="B10" s="5" t="s">
        <v>35</v>
      </c>
      <c r="C10" s="5" t="s">
        <v>43</v>
      </c>
      <c r="D10" s="6">
        <v>45.2</v>
      </c>
      <c r="E10" s="7">
        <f t="shared" si="0"/>
        <v>54.24</v>
      </c>
    </row>
    <row r="11" spans="1:5" x14ac:dyDescent="0.25">
      <c r="A11" s="4">
        <v>46283</v>
      </c>
      <c r="B11" s="5" t="s">
        <v>37</v>
      </c>
      <c r="C11" s="5" t="s">
        <v>44</v>
      </c>
      <c r="D11" s="6">
        <v>15</v>
      </c>
      <c r="E11" s="7">
        <f t="shared" si="0"/>
        <v>18</v>
      </c>
    </row>
    <row r="12" spans="1:5" x14ac:dyDescent="0.25">
      <c r="A12" s="4">
        <v>46286</v>
      </c>
      <c r="B12" s="5" t="s">
        <v>39</v>
      </c>
      <c r="C12" s="5" t="s">
        <v>45</v>
      </c>
      <c r="D12" s="6">
        <v>12</v>
      </c>
      <c r="E12" s="7">
        <f t="shared" si="0"/>
        <v>14.399999999999999</v>
      </c>
    </row>
    <row r="13" spans="1:5" x14ac:dyDescent="0.25">
      <c r="A13" s="4">
        <v>46290</v>
      </c>
      <c r="B13" s="5" t="s">
        <v>41</v>
      </c>
      <c r="C13" s="5" t="s">
        <v>46</v>
      </c>
      <c r="D13" s="6">
        <v>7.99</v>
      </c>
      <c r="E13" s="7">
        <f t="shared" si="0"/>
        <v>9.5879999999999992</v>
      </c>
    </row>
    <row r="14" spans="1:5" x14ac:dyDescent="0.25">
      <c r="A14" s="4">
        <v>46293</v>
      </c>
      <c r="B14" s="5" t="s">
        <v>35</v>
      </c>
      <c r="C14" s="5" t="s">
        <v>36</v>
      </c>
      <c r="D14" s="6">
        <v>54.3</v>
      </c>
      <c r="E14" s="7">
        <f t="shared" si="0"/>
        <v>65.16</v>
      </c>
    </row>
    <row r="15" spans="1:5" x14ac:dyDescent="0.25">
      <c r="A15" s="8"/>
      <c r="B15" s="8"/>
      <c r="C15" s="9" t="s">
        <v>19</v>
      </c>
      <c r="D15" s="10">
        <f>SUM(D5:D14)</f>
        <v>746.79</v>
      </c>
      <c r="E15" s="10">
        <f>SUM(E5:E14)</f>
        <v>896.14799999999991</v>
      </c>
    </row>
    <row r="17" spans="1:1" x14ac:dyDescent="0.25">
      <c r="A17" s="2" t="s">
        <v>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baseColWidth="10" defaultColWidth="8.7109375" defaultRowHeight="15" x14ac:dyDescent="0.25"/>
  <cols>
    <col min="1" max="1" width="20" customWidth="1"/>
    <col min="2" max="2" width="17" customWidth="1"/>
    <col min="3" max="5" width="16" customWidth="1"/>
    <col min="6" max="7" width="11" customWidth="1"/>
    <col min="8" max="9" width="15" customWidth="1"/>
  </cols>
  <sheetData>
    <row r="1" spans="1:9" ht="26.1" customHeight="1" x14ac:dyDescent="0.25">
      <c r="A1" s="23" t="s">
        <v>47</v>
      </c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1" t="s">
        <v>48</v>
      </c>
    </row>
    <row r="4" spans="1:9" x14ac:dyDescent="0.25">
      <c r="A4" s="28" t="s">
        <v>49</v>
      </c>
      <c r="B4" s="29"/>
      <c r="C4" s="29"/>
      <c r="D4" s="29"/>
      <c r="E4" s="29"/>
      <c r="F4" s="29"/>
      <c r="G4" s="29"/>
      <c r="H4" s="29"/>
      <c r="I4" s="30"/>
    </row>
    <row r="5" spans="1:9" ht="30" customHeight="1" x14ac:dyDescent="0.25">
      <c r="A5" s="3" t="s">
        <v>50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</row>
    <row r="6" spans="1:9" x14ac:dyDescent="0.25">
      <c r="A6" s="5" t="s">
        <v>58</v>
      </c>
      <c r="B6" s="5">
        <v>15</v>
      </c>
      <c r="C6" s="5">
        <v>18</v>
      </c>
      <c r="D6" s="5">
        <v>20</v>
      </c>
      <c r="E6" s="5">
        <v>22</v>
      </c>
      <c r="F6" s="5">
        <v>19</v>
      </c>
      <c r="G6" s="5">
        <v>25</v>
      </c>
      <c r="H6" s="11">
        <f>SUM(B6:G6)</f>
        <v>119</v>
      </c>
    </row>
    <row r="7" spans="1:9" x14ac:dyDescent="0.25">
      <c r="A7" s="5" t="s">
        <v>59</v>
      </c>
      <c r="B7" s="5">
        <v>30</v>
      </c>
      <c r="C7" s="5">
        <v>28</v>
      </c>
      <c r="D7" s="5">
        <v>25</v>
      </c>
      <c r="E7" s="5">
        <v>26</v>
      </c>
      <c r="F7" s="5">
        <v>32</v>
      </c>
      <c r="G7" s="5">
        <v>29</v>
      </c>
      <c r="H7" s="11">
        <f>SUM(B7:G7)</f>
        <v>170</v>
      </c>
    </row>
    <row r="8" spans="1:9" x14ac:dyDescent="0.25">
      <c r="A8" s="5" t="s">
        <v>60</v>
      </c>
      <c r="B8" s="5">
        <v>10</v>
      </c>
      <c r="C8" s="5">
        <v>12</v>
      </c>
      <c r="D8" s="5">
        <v>9</v>
      </c>
      <c r="E8" s="5">
        <v>14</v>
      </c>
      <c r="F8" s="5">
        <v>11</v>
      </c>
      <c r="G8" s="5">
        <v>13</v>
      </c>
      <c r="H8" s="11">
        <f>SUM(B8:G8)</f>
        <v>69</v>
      </c>
    </row>
    <row r="9" spans="1:9" x14ac:dyDescent="0.25">
      <c r="A9" s="12" t="s">
        <v>61</v>
      </c>
      <c r="B9" s="11">
        <f t="shared" ref="B9:H9" si="0">SUM(B6:B8)</f>
        <v>55</v>
      </c>
      <c r="C9" s="11">
        <f t="shared" si="0"/>
        <v>58</v>
      </c>
      <c r="D9" s="11">
        <f t="shared" si="0"/>
        <v>54</v>
      </c>
      <c r="E9" s="11">
        <f t="shared" si="0"/>
        <v>62</v>
      </c>
      <c r="F9" s="11">
        <f t="shared" si="0"/>
        <v>62</v>
      </c>
      <c r="G9" s="11">
        <f t="shared" si="0"/>
        <v>67</v>
      </c>
      <c r="H9" s="11">
        <f t="shared" si="0"/>
        <v>358</v>
      </c>
    </row>
    <row r="11" spans="1:9" x14ac:dyDescent="0.25">
      <c r="A11" s="27" t="s">
        <v>62</v>
      </c>
      <c r="B11" s="24"/>
      <c r="C11" s="24"/>
      <c r="D11" s="24"/>
      <c r="E11" s="24"/>
      <c r="F11" s="24"/>
      <c r="G11" s="24"/>
      <c r="H11" s="24"/>
      <c r="I11" s="24"/>
    </row>
    <row r="12" spans="1:9" x14ac:dyDescent="0.25">
      <c r="A12" s="12" t="s">
        <v>63</v>
      </c>
      <c r="B12" s="13">
        <v>0.2</v>
      </c>
    </row>
    <row r="14" spans="1:9" ht="30" customHeight="1" x14ac:dyDescent="0.25">
      <c r="A14" s="3" t="s">
        <v>50</v>
      </c>
      <c r="B14" s="3" t="s">
        <v>64</v>
      </c>
      <c r="C14" s="3" t="s">
        <v>65</v>
      </c>
      <c r="D14" s="3" t="s">
        <v>31</v>
      </c>
      <c r="E14" s="3" t="s">
        <v>32</v>
      </c>
    </row>
    <row r="15" spans="1:9" x14ac:dyDescent="0.25">
      <c r="A15" s="5" t="s">
        <v>58</v>
      </c>
      <c r="B15" s="6">
        <v>15</v>
      </c>
      <c r="C15" s="5">
        <v>110</v>
      </c>
      <c r="D15" s="7">
        <f>B15*C15</f>
        <v>1650</v>
      </c>
      <c r="E15" s="7">
        <f>D15*(1+$B$12)</f>
        <v>1980</v>
      </c>
    </row>
    <row r="16" spans="1:9" x14ac:dyDescent="0.25">
      <c r="A16" s="5" t="s">
        <v>59</v>
      </c>
      <c r="B16" s="6">
        <v>25</v>
      </c>
      <c r="C16" s="5">
        <v>170</v>
      </c>
      <c r="D16" s="7">
        <f>B16*C16</f>
        <v>4250</v>
      </c>
      <c r="E16" s="7">
        <f>D16*(1+$B$12)</f>
        <v>5100</v>
      </c>
    </row>
    <row r="17" spans="1:9" x14ac:dyDescent="0.25">
      <c r="A17" s="5" t="s">
        <v>60</v>
      </c>
      <c r="B17" s="6">
        <v>40</v>
      </c>
      <c r="C17" s="5">
        <v>69</v>
      </c>
      <c r="D17" s="7">
        <f>B17*C17</f>
        <v>2760</v>
      </c>
      <c r="E17" s="7">
        <f>D17*(1+$B$12)</f>
        <v>3312</v>
      </c>
    </row>
    <row r="19" spans="1:9" x14ac:dyDescent="0.25">
      <c r="A19" s="27" t="s">
        <v>66</v>
      </c>
      <c r="B19" s="24"/>
      <c r="C19" s="24"/>
      <c r="D19" s="24"/>
      <c r="E19" s="24"/>
      <c r="F19" s="24"/>
      <c r="G19" s="24"/>
      <c r="H19" s="24"/>
      <c r="I19" s="24"/>
    </row>
    <row r="20" spans="1:9" ht="30" customHeight="1" x14ac:dyDescent="0.25">
      <c r="A20" s="3" t="s">
        <v>50</v>
      </c>
      <c r="B20" s="3" t="s">
        <v>64</v>
      </c>
      <c r="C20" s="14">
        <v>0.1</v>
      </c>
      <c r="D20" s="14">
        <v>0.2</v>
      </c>
      <c r="E20" s="14">
        <v>0.3</v>
      </c>
    </row>
    <row r="21" spans="1:9" x14ac:dyDescent="0.25">
      <c r="A21" s="5" t="s">
        <v>58</v>
      </c>
      <c r="B21" s="6">
        <v>15</v>
      </c>
      <c r="C21" s="7">
        <f t="shared" ref="C21:E23" si="1">$B21*(1-C$20)</f>
        <v>13.5</v>
      </c>
      <c r="D21" s="7">
        <f t="shared" si="1"/>
        <v>12</v>
      </c>
      <c r="E21" s="7">
        <f t="shared" si="1"/>
        <v>10.5</v>
      </c>
    </row>
    <row r="22" spans="1:9" x14ac:dyDescent="0.25">
      <c r="A22" s="5" t="s">
        <v>59</v>
      </c>
      <c r="B22" s="6">
        <v>25</v>
      </c>
      <c r="C22" s="7">
        <f t="shared" si="1"/>
        <v>22.5</v>
      </c>
      <c r="D22" s="7">
        <f t="shared" si="1"/>
        <v>20</v>
      </c>
      <c r="E22" s="7">
        <f t="shared" si="1"/>
        <v>17.5</v>
      </c>
    </row>
    <row r="23" spans="1:9" x14ac:dyDescent="0.25">
      <c r="A23" s="5" t="s">
        <v>60</v>
      </c>
      <c r="B23" s="6">
        <v>40</v>
      </c>
      <c r="C23" s="7">
        <f t="shared" si="1"/>
        <v>36</v>
      </c>
      <c r="D23" s="7">
        <f t="shared" si="1"/>
        <v>32</v>
      </c>
      <c r="E23" s="7">
        <f t="shared" si="1"/>
        <v>28</v>
      </c>
    </row>
    <row r="25" spans="1:9" x14ac:dyDescent="0.25">
      <c r="A25" s="2" t="s">
        <v>25</v>
      </c>
    </row>
  </sheetData>
  <mergeCells count="4">
    <mergeCell ref="A1:I1"/>
    <mergeCell ref="A4:I4"/>
    <mergeCell ref="A19:I19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baseColWidth="10" defaultColWidth="8.7109375" defaultRowHeight="15" x14ac:dyDescent="0.25"/>
  <cols>
    <col min="1" max="3" width="14" customWidth="1"/>
    <col min="4" max="4" width="11" customWidth="1"/>
    <col min="5" max="5" width="15" customWidth="1"/>
    <col min="6" max="6" width="17" customWidth="1"/>
    <col min="7" max="7" width="22" customWidth="1"/>
  </cols>
  <sheetData>
    <row r="1" spans="1:7" ht="26.1" customHeight="1" x14ac:dyDescent="0.25">
      <c r="A1" s="23" t="s">
        <v>67</v>
      </c>
      <c r="B1" s="24"/>
      <c r="C1" s="24"/>
      <c r="D1" s="24"/>
      <c r="E1" s="24"/>
      <c r="F1" s="24"/>
      <c r="G1" s="24"/>
    </row>
    <row r="2" spans="1:7" x14ac:dyDescent="0.25">
      <c r="A2" s="1" t="s">
        <v>68</v>
      </c>
    </row>
    <row r="4" spans="1:7" ht="30" customHeight="1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</row>
    <row r="5" spans="1:7" x14ac:dyDescent="0.25">
      <c r="A5" s="5" t="s">
        <v>76</v>
      </c>
      <c r="B5" s="5">
        <v>12</v>
      </c>
      <c r="C5" s="5">
        <v>14</v>
      </c>
      <c r="D5" s="15">
        <f t="shared" ref="D5:D12" si="0">AVERAGE(B5:C5)</f>
        <v>13</v>
      </c>
      <c r="E5" s="16" t="str">
        <f t="shared" ref="E5:E12" si="1">IF(D5&gt;=10,"Admis","Ajourné")</f>
        <v>Admis</v>
      </c>
      <c r="F5" s="16" t="str">
        <f t="shared" ref="F5:F12" si="2">IF(AND(B5&gt;=10,C5&gt;=10),"Oui","Non")</f>
        <v>Oui</v>
      </c>
      <c r="G5" s="16" t="str">
        <f t="shared" ref="G5:G12" si="3">IF(OR(B5&gt;=10,C5&gt;=10),"Oui","Non")</f>
        <v>Oui</v>
      </c>
    </row>
    <row r="6" spans="1:7" x14ac:dyDescent="0.25">
      <c r="A6" s="5" t="s">
        <v>77</v>
      </c>
      <c r="B6" s="5">
        <v>8</v>
      </c>
      <c r="C6" s="5"/>
      <c r="D6" s="15">
        <f t="shared" si="0"/>
        <v>8</v>
      </c>
      <c r="E6" s="16" t="str">
        <f t="shared" si="1"/>
        <v>Ajourné</v>
      </c>
      <c r="F6" s="16" t="str">
        <f t="shared" si="2"/>
        <v>Non</v>
      </c>
      <c r="G6" s="16" t="str">
        <f t="shared" si="3"/>
        <v>Non</v>
      </c>
    </row>
    <row r="7" spans="1:7" x14ac:dyDescent="0.25">
      <c r="A7" s="5" t="s">
        <v>78</v>
      </c>
      <c r="B7" s="5">
        <v>15</v>
      </c>
      <c r="C7" s="5">
        <v>16</v>
      </c>
      <c r="D7" s="15">
        <f t="shared" si="0"/>
        <v>15.5</v>
      </c>
      <c r="E7" s="16" t="str">
        <f t="shared" si="1"/>
        <v>Admis</v>
      </c>
      <c r="F7" s="16" t="str">
        <f t="shared" si="2"/>
        <v>Oui</v>
      </c>
      <c r="G7" s="16" t="str">
        <f t="shared" si="3"/>
        <v>Oui</v>
      </c>
    </row>
    <row r="8" spans="1:7" x14ac:dyDescent="0.25">
      <c r="A8" s="5" t="s">
        <v>79</v>
      </c>
      <c r="B8" s="5">
        <v>9</v>
      </c>
      <c r="C8" s="5">
        <v>10</v>
      </c>
      <c r="D8" s="15">
        <f t="shared" si="0"/>
        <v>9.5</v>
      </c>
      <c r="E8" s="16" t="str">
        <f t="shared" si="1"/>
        <v>Ajourné</v>
      </c>
      <c r="F8" s="16" t="str">
        <f t="shared" si="2"/>
        <v>Non</v>
      </c>
      <c r="G8" s="16" t="str">
        <f t="shared" si="3"/>
        <v>Oui</v>
      </c>
    </row>
    <row r="9" spans="1:7" x14ac:dyDescent="0.25">
      <c r="A9" s="5" t="s">
        <v>80</v>
      </c>
      <c r="B9" s="5">
        <v>6</v>
      </c>
      <c r="C9" s="5">
        <v>5</v>
      </c>
      <c r="D9" s="15">
        <f t="shared" si="0"/>
        <v>5.5</v>
      </c>
      <c r="E9" s="16" t="str">
        <f t="shared" si="1"/>
        <v>Ajourné</v>
      </c>
      <c r="F9" s="16" t="str">
        <f t="shared" si="2"/>
        <v>Non</v>
      </c>
      <c r="G9" s="16" t="str">
        <f t="shared" si="3"/>
        <v>Non</v>
      </c>
    </row>
    <row r="10" spans="1:7" x14ac:dyDescent="0.25">
      <c r="A10" s="5" t="s">
        <v>81</v>
      </c>
      <c r="B10" s="5">
        <v>17</v>
      </c>
      <c r="C10" s="5"/>
      <c r="D10" s="15">
        <f t="shared" si="0"/>
        <v>17</v>
      </c>
      <c r="E10" s="16" t="str">
        <f t="shared" si="1"/>
        <v>Admis</v>
      </c>
      <c r="F10" s="16" t="str">
        <f t="shared" si="2"/>
        <v>Non</v>
      </c>
      <c r="G10" s="16" t="str">
        <f t="shared" si="3"/>
        <v>Oui</v>
      </c>
    </row>
    <row r="11" spans="1:7" x14ac:dyDescent="0.25">
      <c r="A11" s="5" t="s">
        <v>82</v>
      </c>
      <c r="B11" s="5">
        <v>11</v>
      </c>
      <c r="C11" s="5">
        <v>13</v>
      </c>
      <c r="D11" s="15">
        <f t="shared" si="0"/>
        <v>12</v>
      </c>
      <c r="E11" s="16" t="str">
        <f t="shared" si="1"/>
        <v>Admis</v>
      </c>
      <c r="F11" s="16" t="str">
        <f t="shared" si="2"/>
        <v>Oui</v>
      </c>
      <c r="G11" s="16" t="str">
        <f t="shared" si="3"/>
        <v>Oui</v>
      </c>
    </row>
    <row r="12" spans="1:7" x14ac:dyDescent="0.25">
      <c r="A12" s="5" t="s">
        <v>83</v>
      </c>
      <c r="B12" s="5">
        <v>4</v>
      </c>
      <c r="C12" s="5">
        <v>8</v>
      </c>
      <c r="D12" s="15">
        <f t="shared" si="0"/>
        <v>6</v>
      </c>
      <c r="E12" s="16" t="str">
        <f t="shared" si="1"/>
        <v>Ajourné</v>
      </c>
      <c r="F12" s="16" t="str">
        <f t="shared" si="2"/>
        <v>Non</v>
      </c>
      <c r="G12" s="16" t="str">
        <f t="shared" si="3"/>
        <v>Non</v>
      </c>
    </row>
    <row r="14" spans="1:7" x14ac:dyDescent="0.25">
      <c r="A14" s="31" t="s">
        <v>84</v>
      </c>
      <c r="B14" s="26"/>
      <c r="C14" s="26"/>
      <c r="D14" s="18">
        <f>COUNTA(A5:A12)</f>
        <v>8</v>
      </c>
    </row>
    <row r="15" spans="1:7" x14ac:dyDescent="0.25">
      <c r="A15" s="31" t="s">
        <v>85</v>
      </c>
      <c r="B15" s="26"/>
      <c r="C15" s="26"/>
      <c r="D15" s="18">
        <f>COUNTA(C5:C12)</f>
        <v>6</v>
      </c>
    </row>
    <row r="17" spans="1:1" x14ac:dyDescent="0.25">
      <c r="A17" s="2" t="s">
        <v>25</v>
      </c>
    </row>
  </sheetData>
  <mergeCells count="3">
    <mergeCell ref="A15:C15"/>
    <mergeCell ref="A14:C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topLeftCell="A4" workbookViewId="0">
      <selection activeCell="D8" sqref="D8:E8"/>
    </sheetView>
  </sheetViews>
  <sheetFormatPr baseColWidth="10" defaultColWidth="8.7109375" defaultRowHeight="15" x14ac:dyDescent="0.25"/>
  <cols>
    <col min="1" max="1" width="14" customWidth="1"/>
    <col min="2" max="2" width="30" customWidth="1"/>
    <col min="3" max="3" width="22" customWidth="1"/>
    <col min="4" max="4" width="12" customWidth="1"/>
    <col min="5" max="5" width="18" customWidth="1"/>
  </cols>
  <sheetData>
    <row r="1" spans="1:5" ht="26.1" customHeight="1" x14ac:dyDescent="0.25">
      <c r="A1" s="23" t="s">
        <v>86</v>
      </c>
      <c r="B1" s="24"/>
      <c r="C1" s="24"/>
      <c r="D1" s="24"/>
      <c r="E1" s="24"/>
    </row>
    <row r="2" spans="1:5" x14ac:dyDescent="0.25">
      <c r="A2" s="1" t="s">
        <v>87</v>
      </c>
    </row>
    <row r="4" spans="1:5" x14ac:dyDescent="0.25">
      <c r="A4" s="32" t="s">
        <v>88</v>
      </c>
      <c r="B4" s="24"/>
      <c r="C4" s="24"/>
      <c r="D4" s="24"/>
      <c r="E4" s="24"/>
    </row>
    <row r="5" spans="1:5" ht="30" customHeight="1" x14ac:dyDescent="0.25">
      <c r="A5" s="3" t="s">
        <v>89</v>
      </c>
      <c r="B5" s="3" t="s">
        <v>90</v>
      </c>
      <c r="C5" s="3" t="s">
        <v>64</v>
      </c>
      <c r="D5" s="33"/>
      <c r="E5" s="30"/>
    </row>
    <row r="6" spans="1:5" x14ac:dyDescent="0.25">
      <c r="A6" s="5" t="s">
        <v>91</v>
      </c>
      <c r="B6" s="5" t="s">
        <v>92</v>
      </c>
      <c r="C6" s="6">
        <v>4.5</v>
      </c>
      <c r="D6" s="24"/>
      <c r="E6" s="24"/>
    </row>
    <row r="7" spans="1:5" x14ac:dyDescent="0.25">
      <c r="A7" s="5" t="s">
        <v>93</v>
      </c>
      <c r="B7" s="5" t="s">
        <v>94</v>
      </c>
      <c r="C7" s="6">
        <v>3.2</v>
      </c>
      <c r="D7" s="24"/>
      <c r="E7" s="24"/>
    </row>
    <row r="8" spans="1:5" x14ac:dyDescent="0.25">
      <c r="A8" s="5" t="s">
        <v>95</v>
      </c>
      <c r="B8" s="5" t="s">
        <v>96</v>
      </c>
      <c r="C8" s="6">
        <v>2.8</v>
      </c>
      <c r="D8" s="24"/>
      <c r="E8" s="24"/>
    </row>
    <row r="9" spans="1:5" x14ac:dyDescent="0.25">
      <c r="A9" s="5" t="s">
        <v>97</v>
      </c>
      <c r="B9" s="5" t="s">
        <v>98</v>
      </c>
      <c r="C9" s="6">
        <v>1.6</v>
      </c>
      <c r="D9" s="24"/>
      <c r="E9" s="24"/>
    </row>
    <row r="10" spans="1:5" x14ac:dyDescent="0.25">
      <c r="A10" s="5" t="s">
        <v>99</v>
      </c>
      <c r="B10" s="5" t="s">
        <v>100</v>
      </c>
      <c r="C10" s="6">
        <v>1.1000000000000001</v>
      </c>
      <c r="D10" s="24"/>
      <c r="E10" s="24"/>
    </row>
    <row r="11" spans="1:5" x14ac:dyDescent="0.25">
      <c r="A11" s="5" t="s">
        <v>101</v>
      </c>
      <c r="B11" s="5" t="s">
        <v>102</v>
      </c>
      <c r="C11" s="6">
        <v>15.9</v>
      </c>
      <c r="D11" s="24"/>
      <c r="E11" s="24"/>
    </row>
    <row r="13" spans="1:5" x14ac:dyDescent="0.25">
      <c r="A13" s="32" t="s">
        <v>103</v>
      </c>
      <c r="B13" s="24"/>
      <c r="C13" s="24"/>
      <c r="D13" s="24"/>
      <c r="E13" s="24"/>
    </row>
    <row r="14" spans="1:5" ht="30" customHeight="1" x14ac:dyDescent="0.25">
      <c r="A14" s="3" t="s">
        <v>89</v>
      </c>
      <c r="B14" s="3" t="s">
        <v>104</v>
      </c>
      <c r="C14" s="3" t="s">
        <v>105</v>
      </c>
      <c r="D14" s="3" t="s">
        <v>106</v>
      </c>
      <c r="E14" s="3" t="s">
        <v>107</v>
      </c>
    </row>
    <row r="15" spans="1:5" x14ac:dyDescent="0.25">
      <c r="A15" s="5" t="s">
        <v>95</v>
      </c>
      <c r="B15" s="16" t="str">
        <f>VLOOKUP(A15,$A$6:$C$11,2,FALSE)</f>
        <v>Classeur A4</v>
      </c>
      <c r="C15" s="7">
        <f>VLOOKUP(A15,$A$6:$C$11,3,FALSE)</f>
        <v>2.8</v>
      </c>
      <c r="D15" s="5">
        <v>12</v>
      </c>
      <c r="E15" s="7">
        <f>C15*D15</f>
        <v>33.599999999999994</v>
      </c>
    </row>
    <row r="16" spans="1:5" x14ac:dyDescent="0.25">
      <c r="A16" s="5" t="s">
        <v>91</v>
      </c>
      <c r="B16" s="16" t="str">
        <f>VLOOKUP(A16,$A$6:$C$11,2,FALSE)</f>
        <v>Ramette papier A4</v>
      </c>
      <c r="C16" s="7">
        <f>VLOOKUP(A16,$A$6:$C$11,3,FALSE)</f>
        <v>4.5</v>
      </c>
      <c r="D16" s="5">
        <v>5</v>
      </c>
      <c r="E16" s="7">
        <f>C16*D16</f>
        <v>22.5</v>
      </c>
    </row>
    <row r="17" spans="1:5" x14ac:dyDescent="0.25">
      <c r="A17" s="5" t="s">
        <v>101</v>
      </c>
      <c r="B17" s="16" t="str">
        <f>VLOOKUP(A17,$A$6:$C$11,2,FALSE)</f>
        <v>Calculatrice scientifique</v>
      </c>
      <c r="C17" s="7">
        <f>VLOOKUP(A17,$A$6:$C$11,3,FALSE)</f>
        <v>15.9</v>
      </c>
      <c r="D17" s="5">
        <v>2</v>
      </c>
      <c r="E17" s="7">
        <f>C17*D17</f>
        <v>31.8</v>
      </c>
    </row>
    <row r="18" spans="1:5" x14ac:dyDescent="0.25">
      <c r="A18" s="5" t="s">
        <v>93</v>
      </c>
      <c r="B18" s="16" t="str">
        <f>VLOOKUP(A18,$A$6:$C$11,2,FALSE)</f>
        <v>Stylo bille (boîte de 10)</v>
      </c>
      <c r="C18" s="7">
        <f>VLOOKUP(A18,$A$6:$C$11,3,FALSE)</f>
        <v>3.2</v>
      </c>
      <c r="D18" s="5">
        <v>8</v>
      </c>
      <c r="E18" s="7">
        <f>C18*D18</f>
        <v>25.6</v>
      </c>
    </row>
    <row r="19" spans="1:5" x14ac:dyDescent="0.25">
      <c r="A19" s="5" t="s">
        <v>97</v>
      </c>
      <c r="B19" s="16" t="str">
        <f>VLOOKUP(A19,$A$6:$C$11,2,FALSE)</f>
        <v>Cahier 96 pages</v>
      </c>
      <c r="C19" s="7">
        <f>VLOOKUP(A19,$A$6:$C$11,3,FALSE)</f>
        <v>1.6</v>
      </c>
      <c r="D19" s="5">
        <v>20</v>
      </c>
      <c r="E19" s="7">
        <f>C19*D19</f>
        <v>32</v>
      </c>
    </row>
    <row r="20" spans="1:5" x14ac:dyDescent="0.25">
      <c r="A20" s="25" t="s">
        <v>108</v>
      </c>
      <c r="B20" s="26"/>
      <c r="C20" s="26"/>
      <c r="D20" s="26"/>
      <c r="E20" s="10">
        <f>SUM(E15:E19)</f>
        <v>145.5</v>
      </c>
    </row>
    <row r="21" spans="1:5" x14ac:dyDescent="0.25">
      <c r="A21" s="25" t="s">
        <v>109</v>
      </c>
      <c r="B21" s="26"/>
      <c r="C21" s="26"/>
      <c r="D21" s="26"/>
      <c r="E21" s="10">
        <f>SUMPRODUCT(C15:C19,D15:D19)</f>
        <v>145.5</v>
      </c>
    </row>
    <row r="23" spans="1:5" x14ac:dyDescent="0.25">
      <c r="A23" s="2" t="s">
        <v>25</v>
      </c>
    </row>
  </sheetData>
  <mergeCells count="12">
    <mergeCell ref="D11:E11"/>
    <mergeCell ref="A20:D20"/>
    <mergeCell ref="A21:D21"/>
    <mergeCell ref="D5:E5"/>
    <mergeCell ref="A1:E1"/>
    <mergeCell ref="A13:E13"/>
    <mergeCell ref="D9:E9"/>
    <mergeCell ref="D8:E8"/>
    <mergeCell ref="D6:E6"/>
    <mergeCell ref="A4:E4"/>
    <mergeCell ref="D10:E10"/>
    <mergeCell ref="D7:E7"/>
  </mergeCells>
  <pageMargins left="0.75" right="0.75" top="1" bottom="1" header="0.5" footer="0.5"/>
  <pageSetup orientation="portrait"/>
  <headerFooter>
    <oddHeader>&amp;L[NOM Prénom] - [N° étudiant]&amp;RBon de commande</oddHeader>
    <oddFooter>&amp;CPage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7"/>
  <sheetViews>
    <sheetView topLeftCell="A8" workbookViewId="0">
      <selection sqref="A1:G1"/>
    </sheetView>
  </sheetViews>
  <sheetFormatPr baseColWidth="10" defaultColWidth="8.7109375" defaultRowHeight="15" x14ac:dyDescent="0.25"/>
  <cols>
    <col min="1" max="1" width="14" customWidth="1"/>
    <col min="2" max="2" width="22" customWidth="1"/>
    <col min="3" max="3" width="17" customWidth="1"/>
    <col min="4" max="4" width="15" customWidth="1"/>
    <col min="5" max="5" width="20" customWidth="1"/>
    <col min="6" max="6" width="18" customWidth="1"/>
    <col min="7" max="7" width="12" customWidth="1"/>
  </cols>
  <sheetData>
    <row r="1" spans="1:7" ht="26.1" customHeight="1" x14ac:dyDescent="0.25">
      <c r="A1" s="23" t="s">
        <v>110</v>
      </c>
      <c r="B1" s="24"/>
      <c r="C1" s="24"/>
      <c r="D1" s="24"/>
      <c r="E1" s="24"/>
      <c r="F1" s="24"/>
      <c r="G1" s="24"/>
    </row>
    <row r="2" spans="1:7" x14ac:dyDescent="0.25">
      <c r="A2" s="1" t="s">
        <v>111</v>
      </c>
    </row>
    <row r="4" spans="1:7" x14ac:dyDescent="0.25">
      <c r="A4" s="32" t="s">
        <v>112</v>
      </c>
      <c r="B4" s="24"/>
    </row>
    <row r="5" spans="1:7" ht="30" customHeight="1" x14ac:dyDescent="0.25">
      <c r="A5" s="3" t="s">
        <v>89</v>
      </c>
      <c r="B5" s="3" t="s">
        <v>64</v>
      </c>
    </row>
    <row r="6" spans="1:7" x14ac:dyDescent="0.25">
      <c r="A6" s="5" t="s">
        <v>113</v>
      </c>
      <c r="B6" s="6">
        <v>8.5</v>
      </c>
    </row>
    <row r="7" spans="1:7" x14ac:dyDescent="0.25">
      <c r="A7" s="5" t="s">
        <v>114</v>
      </c>
      <c r="B7" s="6">
        <v>22</v>
      </c>
    </row>
    <row r="8" spans="1:7" x14ac:dyDescent="0.25">
      <c r="A8" s="5" t="s">
        <v>115</v>
      </c>
      <c r="B8" s="6">
        <v>5.4</v>
      </c>
    </row>
    <row r="9" spans="1:7" x14ac:dyDescent="0.25">
      <c r="A9" s="5" t="s">
        <v>116</v>
      </c>
      <c r="B9" s="6">
        <v>60</v>
      </c>
    </row>
    <row r="10" spans="1:7" x14ac:dyDescent="0.25">
      <c r="A10" s="5" t="s">
        <v>117</v>
      </c>
      <c r="B10" s="6">
        <v>3.9</v>
      </c>
    </row>
    <row r="11" spans="1:7" x14ac:dyDescent="0.25">
      <c r="A11" s="5" t="s">
        <v>118</v>
      </c>
      <c r="B11" s="6">
        <v>14.2</v>
      </c>
    </row>
    <row r="13" spans="1:7" x14ac:dyDescent="0.25">
      <c r="A13" s="32" t="s">
        <v>119</v>
      </c>
      <c r="B13" s="24"/>
      <c r="C13" s="24"/>
      <c r="D13" s="24"/>
      <c r="E13" s="24"/>
      <c r="F13" s="24"/>
      <c r="G13" s="24"/>
    </row>
    <row r="14" spans="1:7" ht="42.95" customHeight="1" x14ac:dyDescent="0.25">
      <c r="A14" s="3" t="s">
        <v>89</v>
      </c>
      <c r="B14" s="3" t="s">
        <v>90</v>
      </c>
      <c r="C14" s="3" t="s">
        <v>120</v>
      </c>
      <c r="D14" s="3" t="s">
        <v>121</v>
      </c>
      <c r="E14" s="3" t="s">
        <v>105</v>
      </c>
      <c r="F14" s="3" t="s">
        <v>122</v>
      </c>
      <c r="G14" s="3" t="s">
        <v>123</v>
      </c>
    </row>
    <row r="15" spans="1:7" x14ac:dyDescent="0.25">
      <c r="A15" s="5" t="s">
        <v>113</v>
      </c>
      <c r="B15" s="5" t="s">
        <v>124</v>
      </c>
      <c r="C15" s="5">
        <v>4</v>
      </c>
      <c r="D15" s="5">
        <v>10</v>
      </c>
      <c r="E15" s="7">
        <f t="shared" ref="E15:E20" si="0">VLOOKUP(A15,$A$6:$B$11,2,FALSE)</f>
        <v>8.5</v>
      </c>
      <c r="F15" s="7">
        <f t="shared" ref="F15:F20" si="1">C15*E15</f>
        <v>34</v>
      </c>
      <c r="G15" s="16" t="str">
        <f t="shared" ref="G15:G20" si="2">IF(C15=0,"Rupture",IF(C15&lt;=D15,"Alerte","OK"))</f>
        <v>Alerte</v>
      </c>
    </row>
    <row r="16" spans="1:7" x14ac:dyDescent="0.25">
      <c r="A16" s="5" t="s">
        <v>114</v>
      </c>
      <c r="B16" s="5" t="s">
        <v>125</v>
      </c>
      <c r="C16" s="5">
        <v>0</v>
      </c>
      <c r="D16" s="5">
        <v>5</v>
      </c>
      <c r="E16" s="7">
        <f t="shared" si="0"/>
        <v>22</v>
      </c>
      <c r="F16" s="7">
        <f t="shared" si="1"/>
        <v>0</v>
      </c>
      <c r="G16" s="16" t="str">
        <f t="shared" si="2"/>
        <v>Rupture</v>
      </c>
    </row>
    <row r="17" spans="1:7" x14ac:dyDescent="0.25">
      <c r="A17" s="5" t="s">
        <v>115</v>
      </c>
      <c r="B17" s="5" t="s">
        <v>126</v>
      </c>
      <c r="C17" s="5">
        <v>25</v>
      </c>
      <c r="D17" s="5">
        <v>15</v>
      </c>
      <c r="E17" s="7">
        <f t="shared" si="0"/>
        <v>5.4</v>
      </c>
      <c r="F17" s="7">
        <f t="shared" si="1"/>
        <v>135</v>
      </c>
      <c r="G17" s="16" t="str">
        <f t="shared" si="2"/>
        <v>OK</v>
      </c>
    </row>
    <row r="18" spans="1:7" x14ac:dyDescent="0.25">
      <c r="A18" s="5" t="s">
        <v>116</v>
      </c>
      <c r="B18" s="5" t="s">
        <v>127</v>
      </c>
      <c r="C18" s="5">
        <v>2</v>
      </c>
      <c r="D18" s="5">
        <v>3</v>
      </c>
      <c r="E18" s="7">
        <f t="shared" si="0"/>
        <v>60</v>
      </c>
      <c r="F18" s="7">
        <f t="shared" si="1"/>
        <v>120</v>
      </c>
      <c r="G18" s="16" t="str">
        <f t="shared" si="2"/>
        <v>Alerte</v>
      </c>
    </row>
    <row r="19" spans="1:7" x14ac:dyDescent="0.25">
      <c r="A19" s="5" t="s">
        <v>117</v>
      </c>
      <c r="B19" s="5" t="s">
        <v>128</v>
      </c>
      <c r="C19" s="5">
        <v>40</v>
      </c>
      <c r="D19" s="5">
        <v>20</v>
      </c>
      <c r="E19" s="7">
        <f t="shared" si="0"/>
        <v>3.9</v>
      </c>
      <c r="F19" s="7">
        <f t="shared" si="1"/>
        <v>156</v>
      </c>
      <c r="G19" s="16" t="str">
        <f t="shared" si="2"/>
        <v>OK</v>
      </c>
    </row>
    <row r="20" spans="1:7" x14ac:dyDescent="0.25">
      <c r="A20" s="5" t="s">
        <v>118</v>
      </c>
      <c r="B20" s="5" t="s">
        <v>129</v>
      </c>
      <c r="C20" s="5">
        <v>6</v>
      </c>
      <c r="D20" s="5">
        <v>8</v>
      </c>
      <c r="E20" s="7">
        <f t="shared" si="0"/>
        <v>14.2</v>
      </c>
      <c r="F20" s="7">
        <f t="shared" si="1"/>
        <v>85.199999999999989</v>
      </c>
      <c r="G20" s="16" t="str">
        <f t="shared" si="2"/>
        <v>Alerte</v>
      </c>
    </row>
    <row r="22" spans="1:7" x14ac:dyDescent="0.25">
      <c r="A22" s="25" t="s">
        <v>130</v>
      </c>
      <c r="B22" s="26"/>
      <c r="C22" s="26"/>
      <c r="D22" s="26"/>
      <c r="E22" s="26"/>
      <c r="F22" s="10">
        <f>SUM(F15:F20)</f>
        <v>530.20000000000005</v>
      </c>
    </row>
    <row r="23" spans="1:7" x14ac:dyDescent="0.25">
      <c r="A23" s="25" t="s">
        <v>131</v>
      </c>
      <c r="B23" s="26"/>
      <c r="C23" s="26"/>
      <c r="D23" s="26"/>
      <c r="E23" s="26"/>
      <c r="F23" s="10">
        <f>AVERAGE(F15:F20)</f>
        <v>88.366666666666674</v>
      </c>
    </row>
    <row r="24" spans="1:7" x14ac:dyDescent="0.25">
      <c r="A24" s="25" t="s">
        <v>132</v>
      </c>
      <c r="B24" s="26"/>
      <c r="C24" s="26"/>
      <c r="D24" s="26"/>
      <c r="E24" s="26"/>
      <c r="F24" s="18">
        <f>MIN(C15:C20)</f>
        <v>0</v>
      </c>
    </row>
    <row r="25" spans="1:7" x14ac:dyDescent="0.25">
      <c r="A25" s="25" t="s">
        <v>133</v>
      </c>
      <c r="B25" s="26"/>
      <c r="C25" s="26"/>
      <c r="D25" s="26"/>
      <c r="E25" s="26"/>
      <c r="F25" s="18">
        <f>MAX(C15:C20)</f>
        <v>40</v>
      </c>
    </row>
    <row r="27" spans="1:7" x14ac:dyDescent="0.25">
      <c r="A27" s="2" t="s">
        <v>25</v>
      </c>
    </row>
  </sheetData>
  <mergeCells count="7">
    <mergeCell ref="A4:B4"/>
    <mergeCell ref="A13:G13"/>
    <mergeCell ref="A1:G1"/>
    <mergeCell ref="A24:E24"/>
    <mergeCell ref="A25:E25"/>
    <mergeCell ref="A23:E23"/>
    <mergeCell ref="A22:E22"/>
  </mergeCells>
  <pageMargins left="0.75" right="0.75" top="1" bottom="1" header="0.5" footer="0.5"/>
  <pageSetup orientation="landscape"/>
  <headerFooter>
    <oddHeader>&amp;L[NOM Prénom] - [N° étudiant]&amp;R&amp;D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6"/>
  <sheetViews>
    <sheetView tabSelected="1" workbookViewId="0">
      <selection sqref="A1:D1"/>
    </sheetView>
  </sheetViews>
  <sheetFormatPr baseColWidth="10" defaultColWidth="8.7109375" defaultRowHeight="15" x14ac:dyDescent="0.25"/>
  <cols>
    <col min="1" max="1" width="34" customWidth="1"/>
    <col min="2" max="2" width="13" customWidth="1"/>
    <col min="3" max="3" width="11" customWidth="1"/>
    <col min="4" max="4" width="26" customWidth="1"/>
    <col min="5" max="5" width="3" customWidth="1"/>
    <col min="6" max="6" width="10" customWidth="1"/>
    <col min="7" max="7" width="14" customWidth="1"/>
  </cols>
  <sheetData>
    <row r="1" spans="1:7" ht="26.1" customHeight="1" x14ac:dyDescent="0.25">
      <c r="A1" s="23" t="s">
        <v>0</v>
      </c>
      <c r="B1" s="24"/>
      <c r="C1" s="24"/>
      <c r="D1" s="24"/>
      <c r="F1" s="27" t="s">
        <v>1</v>
      </c>
      <c r="G1" s="24"/>
    </row>
    <row r="2" spans="1:7" ht="30" customHeight="1" x14ac:dyDescent="0.25">
      <c r="A2" s="1" t="s">
        <v>2</v>
      </c>
      <c r="F2" s="3" t="s">
        <v>3</v>
      </c>
      <c r="G2" s="3" t="s">
        <v>4</v>
      </c>
    </row>
    <row r="3" spans="1:7" x14ac:dyDescent="0.25">
      <c r="F3" s="5">
        <v>0</v>
      </c>
      <c r="G3" s="5" t="s">
        <v>5</v>
      </c>
    </row>
    <row r="4" spans="1:7" ht="30" customHeight="1" x14ac:dyDescent="0.25">
      <c r="A4" s="3" t="s">
        <v>6</v>
      </c>
      <c r="B4" s="3" t="s">
        <v>7</v>
      </c>
      <c r="C4" s="3" t="s">
        <v>8</v>
      </c>
      <c r="D4" s="3" t="s">
        <v>9</v>
      </c>
      <c r="F4" s="5">
        <v>10</v>
      </c>
      <c r="G4" s="5" t="s">
        <v>10</v>
      </c>
    </row>
    <row r="5" spans="1:7" x14ac:dyDescent="0.25">
      <c r="A5" s="5" t="s">
        <v>11</v>
      </c>
      <c r="B5" s="5">
        <v>3</v>
      </c>
      <c r="C5" s="5">
        <v>12</v>
      </c>
      <c r="D5" s="15">
        <f>B5*C5</f>
        <v>36</v>
      </c>
      <c r="F5" s="5">
        <v>12</v>
      </c>
      <c r="G5" s="5" t="s">
        <v>12</v>
      </c>
    </row>
    <row r="6" spans="1:7" x14ac:dyDescent="0.25">
      <c r="A6" s="5" t="s">
        <v>13</v>
      </c>
      <c r="B6" s="5">
        <v>3</v>
      </c>
      <c r="C6" s="5">
        <v>14</v>
      </c>
      <c r="D6" s="15">
        <f>B6*C6</f>
        <v>42</v>
      </c>
      <c r="F6" s="5">
        <v>14</v>
      </c>
      <c r="G6" s="5" t="s">
        <v>14</v>
      </c>
    </row>
    <row r="7" spans="1:7" x14ac:dyDescent="0.25">
      <c r="A7" s="5" t="s">
        <v>15</v>
      </c>
      <c r="B7" s="5">
        <v>1</v>
      </c>
      <c r="C7" s="5">
        <v>16</v>
      </c>
      <c r="D7" s="15">
        <f>B7*C7</f>
        <v>16</v>
      </c>
      <c r="F7" s="5">
        <v>16</v>
      </c>
      <c r="G7" s="5" t="s">
        <v>16</v>
      </c>
    </row>
    <row r="8" spans="1:7" x14ac:dyDescent="0.25">
      <c r="A8" s="5" t="s">
        <v>17</v>
      </c>
      <c r="B8" s="5">
        <v>2</v>
      </c>
      <c r="C8" s="5">
        <v>9</v>
      </c>
      <c r="D8" s="15">
        <f>B8*C8</f>
        <v>18</v>
      </c>
    </row>
    <row r="9" spans="1:7" x14ac:dyDescent="0.25">
      <c r="A9" s="5" t="s">
        <v>18</v>
      </c>
      <c r="B9" s="5">
        <v>1</v>
      </c>
      <c r="C9" s="5"/>
      <c r="D9" s="15">
        <f>B9*C9</f>
        <v>0</v>
      </c>
    </row>
    <row r="10" spans="1:7" x14ac:dyDescent="0.25">
      <c r="A10" s="9" t="s">
        <v>19</v>
      </c>
      <c r="B10" s="18">
        <f>SUM(B5:B9)</f>
        <v>10</v>
      </c>
      <c r="C10" s="19"/>
      <c r="D10" s="20">
        <f>SUM(D5:D9)</f>
        <v>112</v>
      </c>
    </row>
    <row r="11" spans="1:7" x14ac:dyDescent="0.25">
      <c r="A11" s="25" t="s">
        <v>20</v>
      </c>
      <c r="B11" s="26"/>
      <c r="C11" s="26"/>
      <c r="D11" s="20">
        <f>D10/B10</f>
        <v>11.2</v>
      </c>
    </row>
    <row r="12" spans="1:7" x14ac:dyDescent="0.25">
      <c r="A12" s="25" t="s">
        <v>21</v>
      </c>
      <c r="B12" s="26"/>
      <c r="C12" s="26"/>
      <c r="D12" s="11" t="str">
        <f>VLOOKUP(D11,$F$3:$G$7,2,TRUE)</f>
        <v>Passable</v>
      </c>
    </row>
    <row r="13" spans="1:7" x14ac:dyDescent="0.25">
      <c r="A13" s="25" t="s">
        <v>22</v>
      </c>
      <c r="B13" s="26"/>
      <c r="C13" s="26"/>
      <c r="D13" s="11" t="str">
        <f>IF(AND(D11&gt;=8,D11&lt;10),"Passage devant jury",IF(D11&gt;=10,"Admis","Ajourné"))</f>
        <v>Admis</v>
      </c>
    </row>
    <row r="14" spans="1:7" x14ac:dyDescent="0.25">
      <c r="A14" s="25" t="s">
        <v>23</v>
      </c>
      <c r="B14" s="26"/>
      <c r="C14" s="26"/>
      <c r="D14" s="18">
        <f>COUNTA(C5:C9)</f>
        <v>4</v>
      </c>
    </row>
    <row r="15" spans="1:7" x14ac:dyDescent="0.25">
      <c r="A15" s="21" t="s">
        <v>24</v>
      </c>
      <c r="B15" s="17"/>
      <c r="C15" s="17"/>
      <c r="D15" s="22">
        <f>SUMPRODUCT(B5:B9,C5:C9)/SUMPRODUCT((C5:C9&lt;&gt;"")*B5:B9)</f>
        <v>12.444444444444445</v>
      </c>
    </row>
    <row r="16" spans="1:7" x14ac:dyDescent="0.25">
      <c r="A16" s="2" t="s">
        <v>25</v>
      </c>
    </row>
  </sheetData>
  <mergeCells count="6">
    <mergeCell ref="F1:G1"/>
    <mergeCell ref="A1:D1"/>
    <mergeCell ref="A13:C13"/>
    <mergeCell ref="A11:C11"/>
    <mergeCell ref="A14:C14"/>
    <mergeCell ref="A12:C12"/>
  </mergeCells>
  <pageMargins left="0.75" right="0.75" top="1" bottom="1" header="0.5" footer="0.5"/>
  <pageSetup orientation="portrait"/>
  <headerFooter>
    <oddHeader>&amp;L[NOM Prénom] - [N° étudiant]&amp;R&amp;D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3</vt:i4>
      </vt:variant>
    </vt:vector>
  </HeadingPairs>
  <TitlesOfParts>
    <vt:vector size="9" baseType="lpstr">
      <vt:lpstr>Exercice 1</vt:lpstr>
      <vt:lpstr>Exercice 2</vt:lpstr>
      <vt:lpstr>Exercice 3</vt:lpstr>
      <vt:lpstr>Exercice 4</vt:lpstr>
      <vt:lpstr>Exercice 5</vt:lpstr>
      <vt:lpstr>Exercice 6</vt:lpstr>
      <vt:lpstr>'Exercice 4'!Zone_d_impression</vt:lpstr>
      <vt:lpstr>'Exercice 5'!Zone_d_impression</vt:lpstr>
      <vt:lpstr>'Exercice 6'!Zone_d_impression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[NOM Prénom]</dc:creator>
  <cp:lastModifiedBy>[NOM Prénom]</cp:lastModifiedBy>
  <dcterms:created xsi:type="dcterms:W3CDTF">2026-09-06T10:07:03Z</dcterms:created>
  <dcterms:modified xsi:type="dcterms:W3CDTF">2026-09-22T08:56:45Z</dcterms:modified>
</cp:coreProperties>
</file>