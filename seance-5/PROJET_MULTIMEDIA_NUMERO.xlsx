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77B981A6-0C92-48DD-9847-9153A556267D}" xr6:coauthVersionLast="47" xr6:coauthVersionMax="47" xr10:uidLastSave="{00000000-0000-0000-0000-000000000000}"/>
  <bookViews>
    <workbookView xWindow="390" yWindow="390" windowWidth="19995" windowHeight="13995" xr2:uid="{00000000-000D-0000-FFFF-FFFF00000000}"/>
  </bookViews>
  <sheets>
    <sheet name="Lisez-moi" sheetId="1" r:id="rId1"/>
    <sheet name="Données" sheetId="2" r:id="rId2"/>
    <sheet name="Paramètres" sheetId="3" r:id="rId3"/>
    <sheet name="Synthèse" sheetId="4" r:id="rId4"/>
    <sheet name="TCD" sheetId="7" r:id="rId5"/>
    <sheet name="Sous-totaux" sheetId="5" r:id="rId6"/>
    <sheet name="Zoom Paris Nanterre" sheetId="6" r:id="rId7"/>
  </sheets>
  <definedNames>
    <definedName name="_xlnm._FilterDatabase" localSheetId="1" hidden="1">Données!$A$1:$M$2692</definedName>
    <definedName name="_xlnm.Criteria" localSheetId="6">'Zoom Paris Nanterre'!$A$5:$A$6</definedName>
    <definedName name="_xlnm.Extract" localSheetId="5">'Sous-totaux'!$A$1:$G$1</definedName>
    <definedName name="_xlnm.Extract" localSheetId="6">'Zoom Paris Nanterre'!$A$8:$I$8</definedName>
  </definedName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G2703" i="5"/>
  <c r="F2703" i="5"/>
  <c r="H2703" i="5" s="1"/>
  <c r="E2703" i="5"/>
  <c r="G2667" i="5"/>
  <c r="F2667" i="5"/>
  <c r="E2667" i="5"/>
  <c r="G2560" i="5"/>
  <c r="F2560" i="5"/>
  <c r="E2560" i="5"/>
  <c r="G1838" i="5"/>
  <c r="F1838" i="5"/>
  <c r="H1838" i="5" s="1"/>
  <c r="E1838" i="5"/>
  <c r="G1780" i="5"/>
  <c r="F1780" i="5"/>
  <c r="H1780" i="5" s="1"/>
  <c r="E1780" i="5"/>
  <c r="G1742" i="5"/>
  <c r="F1742" i="5"/>
  <c r="H1742" i="5" s="1"/>
  <c r="E1742" i="5"/>
  <c r="G1615" i="5"/>
  <c r="F1615" i="5"/>
  <c r="H1615" i="5" s="1"/>
  <c r="E1615" i="5"/>
  <c r="G1518" i="5"/>
  <c r="F1518" i="5"/>
  <c r="H1518" i="5" s="1"/>
  <c r="E1518" i="5"/>
  <c r="G1246" i="5"/>
  <c r="F1246" i="5"/>
  <c r="H1246" i="5" s="1"/>
  <c r="E1246" i="5"/>
  <c r="G1132" i="5"/>
  <c r="F1132" i="5"/>
  <c r="H1132" i="5" s="1"/>
  <c r="E1132" i="5"/>
  <c r="G404" i="5"/>
  <c r="G2704" i="5" s="1"/>
  <c r="F404" i="5"/>
  <c r="E404" i="5"/>
  <c r="E2704" i="5" s="1"/>
  <c r="E28" i="4"/>
  <c r="D28" i="4"/>
  <c r="C28" i="4"/>
  <c r="B28" i="4"/>
  <c r="E27" i="4"/>
  <c r="D27" i="4"/>
  <c r="C27" i="4"/>
  <c r="B27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G12" i="4" s="1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L1635" i="2"/>
  <c r="K1635" i="2"/>
  <c r="M1635" i="2" s="1"/>
  <c r="J1635" i="2"/>
  <c r="L369" i="2"/>
  <c r="K369" i="2"/>
  <c r="M369" i="2" s="1"/>
  <c r="J369" i="2"/>
  <c r="L151" i="2"/>
  <c r="K151" i="2"/>
  <c r="M151" i="2" s="1"/>
  <c r="J151" i="2"/>
  <c r="L1546" i="2"/>
  <c r="K1546" i="2"/>
  <c r="M1546" i="2" s="1"/>
  <c r="J1546" i="2"/>
  <c r="L132" i="2"/>
  <c r="K132" i="2"/>
  <c r="M132" i="2" s="1"/>
  <c r="J132" i="2"/>
  <c r="L8" i="2"/>
  <c r="K8" i="2"/>
  <c r="M8" i="2" s="1"/>
  <c r="J8" i="2"/>
  <c r="L110" i="2"/>
  <c r="K110" i="2"/>
  <c r="M110" i="2" s="1"/>
  <c r="J110" i="2"/>
  <c r="L1571" i="2"/>
  <c r="K1571" i="2"/>
  <c r="M1571" i="2" s="1"/>
  <c r="J1571" i="2"/>
  <c r="L1693" i="2"/>
  <c r="K1693" i="2"/>
  <c r="M1693" i="2" s="1"/>
  <c r="J1693" i="2"/>
  <c r="L366" i="2"/>
  <c r="K366" i="2"/>
  <c r="M366" i="2" s="1"/>
  <c r="J366" i="2"/>
  <c r="L376" i="2"/>
  <c r="K376" i="2"/>
  <c r="M376" i="2" s="1"/>
  <c r="J376" i="2"/>
  <c r="L160" i="2"/>
  <c r="K160" i="2"/>
  <c r="M160" i="2" s="1"/>
  <c r="J160" i="2"/>
  <c r="L177" i="2"/>
  <c r="K177" i="2"/>
  <c r="M177" i="2" s="1"/>
  <c r="J177" i="2"/>
  <c r="L109" i="2"/>
  <c r="K109" i="2"/>
  <c r="M109" i="2" s="1"/>
  <c r="J109" i="2"/>
  <c r="L163" i="2"/>
  <c r="K163" i="2"/>
  <c r="M163" i="2" s="1"/>
  <c r="J163" i="2"/>
  <c r="L259" i="2"/>
  <c r="K259" i="2"/>
  <c r="M259" i="2" s="1"/>
  <c r="J259" i="2"/>
  <c r="L131" i="2"/>
  <c r="K131" i="2"/>
  <c r="M131" i="2" s="1"/>
  <c r="J131" i="2"/>
  <c r="L124" i="2"/>
  <c r="K124" i="2"/>
  <c r="M124" i="2" s="1"/>
  <c r="J124" i="2"/>
  <c r="L125" i="2"/>
  <c r="K125" i="2"/>
  <c r="M125" i="2" s="1"/>
  <c r="J125" i="2"/>
  <c r="L105" i="2"/>
  <c r="K105" i="2"/>
  <c r="M105" i="2" s="1"/>
  <c r="J105" i="2"/>
  <c r="L1616" i="2"/>
  <c r="K1616" i="2"/>
  <c r="M1616" i="2" s="1"/>
  <c r="J1616" i="2"/>
  <c r="L154" i="2"/>
  <c r="K154" i="2"/>
  <c r="M154" i="2" s="1"/>
  <c r="J154" i="2"/>
  <c r="L1645" i="2"/>
  <c r="K1645" i="2"/>
  <c r="M1645" i="2" s="1"/>
  <c r="J1645" i="2"/>
  <c r="L1749" i="2"/>
  <c r="K1749" i="2"/>
  <c r="M1749" i="2" s="1"/>
  <c r="J1749" i="2"/>
  <c r="L1755" i="2"/>
  <c r="K1755" i="2"/>
  <c r="M1755" i="2" s="1"/>
  <c r="J1755" i="2"/>
  <c r="L1752" i="2"/>
  <c r="K1752" i="2"/>
  <c r="M1752" i="2" s="1"/>
  <c r="J1752" i="2"/>
  <c r="L1656" i="2"/>
  <c r="K1656" i="2"/>
  <c r="M1656" i="2" s="1"/>
  <c r="J1656" i="2"/>
  <c r="L1683" i="2"/>
  <c r="K1683" i="2"/>
  <c r="M1683" i="2" s="1"/>
  <c r="J1683" i="2"/>
  <c r="L180" i="2"/>
  <c r="K180" i="2"/>
  <c r="M180" i="2" s="1"/>
  <c r="J180" i="2"/>
  <c r="L139" i="2"/>
  <c r="K139" i="2"/>
  <c r="M139" i="2" s="1"/>
  <c r="J139" i="2"/>
  <c r="L77" i="2"/>
  <c r="K77" i="2"/>
  <c r="M77" i="2" s="1"/>
  <c r="J77" i="2"/>
  <c r="L1578" i="2"/>
  <c r="K1578" i="2"/>
  <c r="M1578" i="2" s="1"/>
  <c r="J1578" i="2"/>
  <c r="L1753" i="2"/>
  <c r="K1753" i="2"/>
  <c r="M1753" i="2" s="1"/>
  <c r="J1753" i="2"/>
  <c r="L330" i="2"/>
  <c r="K330" i="2"/>
  <c r="M330" i="2" s="1"/>
  <c r="J330" i="2"/>
  <c r="L212" i="2"/>
  <c r="K212" i="2"/>
  <c r="M212" i="2" s="1"/>
  <c r="J212" i="2"/>
  <c r="L1739" i="2"/>
  <c r="K1739" i="2"/>
  <c r="M1739" i="2" s="1"/>
  <c r="J1739" i="2"/>
  <c r="L1825" i="2"/>
  <c r="K1825" i="2"/>
  <c r="M1825" i="2" s="1"/>
  <c r="J1825" i="2"/>
  <c r="L1810" i="2"/>
  <c r="K1810" i="2"/>
  <c r="M1810" i="2" s="1"/>
  <c r="J1810" i="2"/>
  <c r="L1807" i="2"/>
  <c r="K1807" i="2"/>
  <c r="M1807" i="2" s="1"/>
  <c r="J1807" i="2"/>
  <c r="L1816" i="2"/>
  <c r="K1816" i="2"/>
  <c r="M1816" i="2" s="1"/>
  <c r="J1816" i="2"/>
  <c r="L1802" i="2"/>
  <c r="K1802" i="2"/>
  <c r="M1802" i="2" s="1"/>
  <c r="J1802" i="2"/>
  <c r="L1815" i="2"/>
  <c r="K1815" i="2"/>
  <c r="M1815" i="2" s="1"/>
  <c r="J1815" i="2"/>
  <c r="L1819" i="2"/>
  <c r="K1819" i="2"/>
  <c r="M1819" i="2" s="1"/>
  <c r="J1819" i="2"/>
  <c r="L1792" i="2"/>
  <c r="K1792" i="2"/>
  <c r="M1792" i="2" s="1"/>
  <c r="J1792" i="2"/>
  <c r="L1791" i="2"/>
  <c r="K1791" i="2"/>
  <c r="M1791" i="2" s="1"/>
  <c r="J1791" i="2"/>
  <c r="L1655" i="2"/>
  <c r="K1655" i="2"/>
  <c r="M1655" i="2" s="1"/>
  <c r="J1655" i="2"/>
  <c r="L1675" i="2"/>
  <c r="K1675" i="2"/>
  <c r="M1675" i="2" s="1"/>
  <c r="J1675" i="2"/>
  <c r="L1623" i="2"/>
  <c r="K1623" i="2"/>
  <c r="M1623" i="2" s="1"/>
  <c r="J1623" i="2"/>
  <c r="L106" i="2"/>
  <c r="K106" i="2"/>
  <c r="M106" i="2" s="1"/>
  <c r="J106" i="2"/>
  <c r="L6" i="2"/>
  <c r="K6" i="2"/>
  <c r="M6" i="2" s="1"/>
  <c r="J6" i="2"/>
  <c r="L203" i="2"/>
  <c r="K203" i="2"/>
  <c r="M203" i="2" s="1"/>
  <c r="J203" i="2"/>
  <c r="L10" i="2"/>
  <c r="K10" i="2"/>
  <c r="M10" i="2" s="1"/>
  <c r="J10" i="2"/>
  <c r="L176" i="2"/>
  <c r="K176" i="2"/>
  <c r="M176" i="2" s="1"/>
  <c r="J176" i="2"/>
  <c r="L30" i="2"/>
  <c r="K30" i="2"/>
  <c r="M30" i="2" s="1"/>
  <c r="J30" i="2"/>
  <c r="L116" i="2"/>
  <c r="K116" i="2"/>
  <c r="M116" i="2" s="1"/>
  <c r="J116" i="2"/>
  <c r="L84" i="2"/>
  <c r="K84" i="2"/>
  <c r="M84" i="2" s="1"/>
  <c r="J84" i="2"/>
  <c r="L242" i="2"/>
  <c r="K242" i="2"/>
  <c r="M242" i="2" s="1"/>
  <c r="J242" i="2"/>
  <c r="L387" i="2"/>
  <c r="K387" i="2"/>
  <c r="M387" i="2" s="1"/>
  <c r="J387" i="2"/>
  <c r="L130" i="2"/>
  <c r="K130" i="2"/>
  <c r="M130" i="2" s="1"/>
  <c r="J130" i="2"/>
  <c r="L23" i="2"/>
  <c r="K23" i="2"/>
  <c r="M23" i="2" s="1"/>
  <c r="J23" i="2"/>
  <c r="L126" i="2"/>
  <c r="K126" i="2"/>
  <c r="M126" i="2" s="1"/>
  <c r="J126" i="2"/>
  <c r="L226" i="2"/>
  <c r="K226" i="2"/>
  <c r="M226" i="2" s="1"/>
  <c r="J226" i="2"/>
  <c r="L349" i="2"/>
  <c r="K349" i="2"/>
  <c r="M349" i="2" s="1"/>
  <c r="J349" i="2"/>
  <c r="L197" i="2"/>
  <c r="K197" i="2"/>
  <c r="M197" i="2" s="1"/>
  <c r="J197" i="2"/>
  <c r="L93" i="2"/>
  <c r="K93" i="2"/>
  <c r="M93" i="2" s="1"/>
  <c r="J93" i="2"/>
  <c r="L38" i="2"/>
  <c r="K38" i="2"/>
  <c r="M38" i="2" s="1"/>
  <c r="J38" i="2"/>
  <c r="L54" i="2"/>
  <c r="K54" i="2"/>
  <c r="M54" i="2" s="1"/>
  <c r="J54" i="2"/>
  <c r="L1660" i="2"/>
  <c r="K1660" i="2"/>
  <c r="M1660" i="2" s="1"/>
  <c r="J1660" i="2"/>
  <c r="L283" i="2"/>
  <c r="K283" i="2"/>
  <c r="M283" i="2" s="1"/>
  <c r="J283" i="2"/>
  <c r="L186" i="2"/>
  <c r="K186" i="2"/>
  <c r="M186" i="2" s="1"/>
  <c r="J186" i="2"/>
  <c r="L325" i="2"/>
  <c r="K325" i="2"/>
  <c r="M325" i="2" s="1"/>
  <c r="J325" i="2"/>
  <c r="L321" i="2"/>
  <c r="K321" i="2"/>
  <c r="M321" i="2" s="1"/>
  <c r="J321" i="2"/>
  <c r="L309" i="2"/>
  <c r="K309" i="2"/>
  <c r="M309" i="2" s="1"/>
  <c r="J309" i="2"/>
  <c r="L1608" i="2"/>
  <c r="K1608" i="2"/>
  <c r="M1608" i="2" s="1"/>
  <c r="J1608" i="2"/>
  <c r="L108" i="2"/>
  <c r="K108" i="2"/>
  <c r="M108" i="2" s="1"/>
  <c r="J108" i="2"/>
  <c r="L60" i="2"/>
  <c r="K60" i="2"/>
  <c r="M60" i="2" s="1"/>
  <c r="J60" i="2"/>
  <c r="L101" i="2"/>
  <c r="K101" i="2"/>
  <c r="M101" i="2" s="1"/>
  <c r="J101" i="2"/>
  <c r="L165" i="2"/>
  <c r="K165" i="2"/>
  <c r="M165" i="2" s="1"/>
  <c r="J165" i="2"/>
  <c r="L217" i="2"/>
  <c r="K217" i="2"/>
  <c r="M217" i="2" s="1"/>
  <c r="J217" i="2"/>
  <c r="L57" i="2"/>
  <c r="K57" i="2"/>
  <c r="M57" i="2" s="1"/>
  <c r="J57" i="2"/>
  <c r="L135" i="2"/>
  <c r="K135" i="2"/>
  <c r="M135" i="2" s="1"/>
  <c r="J135" i="2"/>
  <c r="L196" i="2"/>
  <c r="K196" i="2"/>
  <c r="M196" i="2" s="1"/>
  <c r="J196" i="2"/>
  <c r="L1766" i="2"/>
  <c r="K1766" i="2"/>
  <c r="M1766" i="2" s="1"/>
  <c r="J1766" i="2"/>
  <c r="L347" i="2"/>
  <c r="K347" i="2"/>
  <c r="M347" i="2" s="1"/>
  <c r="J347" i="2"/>
  <c r="L247" i="2"/>
  <c r="K247" i="2"/>
  <c r="M247" i="2" s="1"/>
  <c r="J247" i="2"/>
  <c r="L402" i="2"/>
  <c r="K402" i="2"/>
  <c r="M402" i="2" s="1"/>
  <c r="J402" i="2"/>
  <c r="L73" i="2"/>
  <c r="K73" i="2"/>
  <c r="M73" i="2" s="1"/>
  <c r="J73" i="2"/>
  <c r="L239" i="2"/>
  <c r="K239" i="2"/>
  <c r="M239" i="2" s="1"/>
  <c r="J239" i="2"/>
  <c r="L272" i="2"/>
  <c r="K272" i="2"/>
  <c r="M272" i="2" s="1"/>
  <c r="J272" i="2"/>
  <c r="L284" i="2"/>
  <c r="K284" i="2"/>
  <c r="M284" i="2" s="1"/>
  <c r="J284" i="2"/>
  <c r="L1689" i="2"/>
  <c r="K1689" i="2"/>
  <c r="M1689" i="2" s="1"/>
  <c r="J1689" i="2"/>
  <c r="L1637" i="2"/>
  <c r="K1637" i="2"/>
  <c r="M1637" i="2" s="1"/>
  <c r="J1637" i="2"/>
  <c r="L1611" i="2"/>
  <c r="K1611" i="2"/>
  <c r="M1611" i="2" s="1"/>
  <c r="J1611" i="2"/>
  <c r="L1625" i="2"/>
  <c r="K1625" i="2"/>
  <c r="M1625" i="2" s="1"/>
  <c r="J1625" i="2"/>
  <c r="L1694" i="2"/>
  <c r="K1694" i="2"/>
  <c r="M1694" i="2" s="1"/>
  <c r="J1694" i="2"/>
  <c r="L1584" i="2"/>
  <c r="K1584" i="2"/>
  <c r="M1584" i="2" s="1"/>
  <c r="J1584" i="2"/>
  <c r="L356" i="2"/>
  <c r="K356" i="2"/>
  <c r="M356" i="2" s="1"/>
  <c r="J356" i="2"/>
  <c r="L1617" i="2"/>
  <c r="K1617" i="2"/>
  <c r="M1617" i="2" s="1"/>
  <c r="J1617" i="2"/>
  <c r="L1539" i="2"/>
  <c r="K1539" i="2"/>
  <c r="M1539" i="2" s="1"/>
  <c r="J1539" i="2"/>
  <c r="L1573" i="2"/>
  <c r="K1573" i="2"/>
  <c r="M1573" i="2" s="1"/>
  <c r="J1573" i="2"/>
  <c r="L1581" i="2"/>
  <c r="K1581" i="2"/>
  <c r="M1581" i="2" s="1"/>
  <c r="J1581" i="2"/>
  <c r="L1531" i="2"/>
  <c r="K1531" i="2"/>
  <c r="M1531" i="2" s="1"/>
  <c r="J1531" i="2"/>
  <c r="L1627" i="2"/>
  <c r="K1627" i="2"/>
  <c r="M1627" i="2" s="1"/>
  <c r="J1627" i="2"/>
  <c r="L65" i="2"/>
  <c r="K65" i="2"/>
  <c r="M65" i="2" s="1"/>
  <c r="J65" i="2"/>
  <c r="L170" i="2"/>
  <c r="K170" i="2"/>
  <c r="M170" i="2" s="1"/>
  <c r="J170" i="2"/>
  <c r="L1666" i="2"/>
  <c r="K1666" i="2"/>
  <c r="M1666" i="2" s="1"/>
  <c r="J1666" i="2"/>
  <c r="L1586" i="2"/>
  <c r="K1586" i="2"/>
  <c r="M1586" i="2" s="1"/>
  <c r="J1586" i="2"/>
  <c r="L1657" i="2"/>
  <c r="K1657" i="2"/>
  <c r="M1657" i="2" s="1"/>
  <c r="J1657" i="2"/>
  <c r="L118" i="2"/>
  <c r="K118" i="2"/>
  <c r="M118" i="2" s="1"/>
  <c r="J118" i="2"/>
  <c r="L1704" i="2"/>
  <c r="K1704" i="2"/>
  <c r="M1704" i="2" s="1"/>
  <c r="J1704" i="2"/>
  <c r="L1658" i="2"/>
  <c r="K1658" i="2"/>
  <c r="M1658" i="2" s="1"/>
  <c r="J1658" i="2"/>
  <c r="L1620" i="2"/>
  <c r="K1620" i="2"/>
  <c r="M1620" i="2" s="1"/>
  <c r="J1620" i="2"/>
  <c r="L287" i="2"/>
  <c r="K287" i="2"/>
  <c r="M287" i="2" s="1"/>
  <c r="J287" i="2"/>
  <c r="L282" i="2"/>
  <c r="K282" i="2"/>
  <c r="M282" i="2" s="1"/>
  <c r="J282" i="2"/>
  <c r="L1713" i="2"/>
  <c r="K1713" i="2"/>
  <c r="M1713" i="2" s="1"/>
  <c r="J1713" i="2"/>
  <c r="L1734" i="2"/>
  <c r="K1734" i="2"/>
  <c r="M1734" i="2" s="1"/>
  <c r="J1734" i="2"/>
  <c r="L1554" i="2"/>
  <c r="K1554" i="2"/>
  <c r="M1554" i="2" s="1"/>
  <c r="J1554" i="2"/>
  <c r="L1535" i="2"/>
  <c r="K1535" i="2"/>
  <c r="M1535" i="2" s="1"/>
  <c r="J1535" i="2"/>
  <c r="L1728" i="2"/>
  <c r="K1728" i="2"/>
  <c r="M1728" i="2" s="1"/>
  <c r="J1728" i="2"/>
  <c r="L235" i="2"/>
  <c r="K235" i="2"/>
  <c r="M235" i="2" s="1"/>
  <c r="J235" i="2"/>
  <c r="L1624" i="2"/>
  <c r="K1624" i="2"/>
  <c r="M1624" i="2" s="1"/>
  <c r="J1624" i="2"/>
  <c r="L363" i="2"/>
  <c r="K363" i="2"/>
  <c r="M363" i="2" s="1"/>
  <c r="J363" i="2"/>
  <c r="L96" i="2"/>
  <c r="K96" i="2"/>
  <c r="M96" i="2" s="1"/>
  <c r="J96" i="2"/>
  <c r="L305" i="2"/>
  <c r="K305" i="2"/>
  <c r="M305" i="2" s="1"/>
  <c r="J305" i="2"/>
  <c r="L1521" i="2"/>
  <c r="K1521" i="2"/>
  <c r="M1521" i="2" s="1"/>
  <c r="J1521" i="2"/>
  <c r="L1662" i="2"/>
  <c r="K1662" i="2"/>
  <c r="M1662" i="2" s="1"/>
  <c r="J1662" i="2"/>
  <c r="L292" i="2"/>
  <c r="K292" i="2"/>
  <c r="M292" i="2" s="1"/>
  <c r="J292" i="2"/>
  <c r="L1727" i="2"/>
  <c r="K1727" i="2"/>
  <c r="M1727" i="2" s="1"/>
  <c r="J1727" i="2"/>
  <c r="L1710" i="2"/>
  <c r="K1710" i="2"/>
  <c r="M1710" i="2" s="1"/>
  <c r="J1710" i="2"/>
  <c r="L329" i="2"/>
  <c r="K329" i="2"/>
  <c r="M329" i="2" s="1"/>
  <c r="J329" i="2"/>
  <c r="L1743" i="2"/>
  <c r="K1743" i="2"/>
  <c r="M1743" i="2" s="1"/>
  <c r="J1743" i="2"/>
  <c r="L174" i="2"/>
  <c r="K174" i="2"/>
  <c r="M174" i="2" s="1"/>
  <c r="J174" i="2"/>
  <c r="L81" i="2"/>
  <c r="K81" i="2"/>
  <c r="M81" i="2" s="1"/>
  <c r="J81" i="2"/>
  <c r="L220" i="2"/>
  <c r="K220" i="2"/>
  <c r="M220" i="2" s="1"/>
  <c r="J220" i="2"/>
  <c r="L1533" i="2"/>
  <c r="K1533" i="2"/>
  <c r="M1533" i="2" s="1"/>
  <c r="J1533" i="2"/>
  <c r="L304" i="2"/>
  <c r="K304" i="2"/>
  <c r="M304" i="2" s="1"/>
  <c r="J304" i="2"/>
  <c r="L183" i="2"/>
  <c r="K183" i="2"/>
  <c r="M183" i="2" s="1"/>
  <c r="J183" i="2"/>
  <c r="L117" i="2"/>
  <c r="K117" i="2"/>
  <c r="M117" i="2" s="1"/>
  <c r="J117" i="2"/>
  <c r="L92" i="2"/>
  <c r="K92" i="2"/>
  <c r="M92" i="2" s="1"/>
  <c r="J92" i="2"/>
  <c r="L1641" i="2"/>
  <c r="K1641" i="2"/>
  <c r="M1641" i="2" s="1"/>
  <c r="J1641" i="2"/>
  <c r="L1740" i="2"/>
  <c r="K1740" i="2"/>
  <c r="M1740" i="2" s="1"/>
  <c r="J1740" i="2"/>
  <c r="L1742" i="2"/>
  <c r="K1742" i="2"/>
  <c r="M1742" i="2" s="1"/>
  <c r="J1742" i="2"/>
  <c r="L1794" i="2"/>
  <c r="K1794" i="2"/>
  <c r="M1794" i="2" s="1"/>
  <c r="J1794" i="2"/>
  <c r="L1779" i="2"/>
  <c r="K1779" i="2"/>
  <c r="M1779" i="2" s="1"/>
  <c r="J1779" i="2"/>
  <c r="L1811" i="2"/>
  <c r="K1811" i="2"/>
  <c r="M1811" i="2" s="1"/>
  <c r="J1811" i="2"/>
  <c r="L365" i="2"/>
  <c r="K365" i="2"/>
  <c r="M365" i="2" s="1"/>
  <c r="J365" i="2"/>
  <c r="L397" i="2"/>
  <c r="K397" i="2"/>
  <c r="M397" i="2" s="1"/>
  <c r="J397" i="2"/>
  <c r="L302" i="2"/>
  <c r="K302" i="2"/>
  <c r="M302" i="2" s="1"/>
  <c r="J302" i="2"/>
  <c r="L289" i="2"/>
  <c r="K289" i="2"/>
  <c r="M289" i="2" s="1"/>
  <c r="J289" i="2"/>
  <c r="L343" i="2"/>
  <c r="K343" i="2"/>
  <c r="M343" i="2" s="1"/>
  <c r="J343" i="2"/>
  <c r="L250" i="2"/>
  <c r="K250" i="2"/>
  <c r="M250" i="2" s="1"/>
  <c r="J250" i="2"/>
  <c r="L111" i="2"/>
  <c r="K111" i="2"/>
  <c r="M111" i="2" s="1"/>
  <c r="J111" i="2"/>
  <c r="L1570" i="2"/>
  <c r="K1570" i="2"/>
  <c r="M1570" i="2" s="1"/>
  <c r="J1570" i="2"/>
  <c r="L249" i="2"/>
  <c r="K249" i="2"/>
  <c r="M249" i="2" s="1"/>
  <c r="J249" i="2"/>
  <c r="L1574" i="2"/>
  <c r="K1574" i="2"/>
  <c r="M1574" i="2" s="1"/>
  <c r="J1574" i="2"/>
  <c r="L1733" i="2"/>
  <c r="K1733" i="2"/>
  <c r="M1733" i="2" s="1"/>
  <c r="J1733" i="2"/>
  <c r="L1639" i="2"/>
  <c r="K1639" i="2"/>
  <c r="M1639" i="2" s="1"/>
  <c r="J1639" i="2"/>
  <c r="L1631" i="2"/>
  <c r="K1631" i="2"/>
  <c r="M1631" i="2" s="1"/>
  <c r="J1631" i="2"/>
  <c r="L1651" i="2"/>
  <c r="K1651" i="2"/>
  <c r="M1651" i="2" s="1"/>
  <c r="J1651" i="2"/>
  <c r="L1679" i="2"/>
  <c r="K1679" i="2"/>
  <c r="M1679" i="2" s="1"/>
  <c r="J1679" i="2"/>
  <c r="L388" i="2"/>
  <c r="K388" i="2"/>
  <c r="M388" i="2" s="1"/>
  <c r="J388" i="2"/>
  <c r="L1519" i="2"/>
  <c r="K1519" i="2"/>
  <c r="M1519" i="2" s="1"/>
  <c r="J1519" i="2"/>
  <c r="L375" i="2"/>
  <c r="K375" i="2"/>
  <c r="M375" i="2" s="1"/>
  <c r="J375" i="2"/>
  <c r="L219" i="2"/>
  <c r="K219" i="2"/>
  <c r="M219" i="2" s="1"/>
  <c r="J219" i="2"/>
  <c r="L179" i="2"/>
  <c r="K179" i="2"/>
  <c r="M179" i="2" s="1"/>
  <c r="J179" i="2"/>
  <c r="L1677" i="2"/>
  <c r="K1677" i="2"/>
  <c r="M1677" i="2" s="1"/>
  <c r="J1677" i="2"/>
  <c r="L35" i="2"/>
  <c r="K35" i="2"/>
  <c r="M35" i="2" s="1"/>
  <c r="J35" i="2"/>
  <c r="L123" i="2"/>
  <c r="K123" i="2"/>
  <c r="M123" i="2" s="1"/>
  <c r="J123" i="2"/>
  <c r="L350" i="2"/>
  <c r="K350" i="2"/>
  <c r="M350" i="2" s="1"/>
  <c r="J350" i="2"/>
  <c r="L1797" i="2"/>
  <c r="K1797" i="2"/>
  <c r="M1797" i="2" s="1"/>
  <c r="J1797" i="2"/>
  <c r="L27" i="2"/>
  <c r="K27" i="2"/>
  <c r="M27" i="2" s="1"/>
  <c r="J27" i="2"/>
  <c r="L1769" i="2"/>
  <c r="K1769" i="2"/>
  <c r="M1769" i="2" s="1"/>
  <c r="J1769" i="2"/>
  <c r="L1756" i="2"/>
  <c r="K1756" i="2"/>
  <c r="M1756" i="2" s="1"/>
  <c r="J1756" i="2"/>
  <c r="L1757" i="2"/>
  <c r="K1757" i="2"/>
  <c r="M1757" i="2" s="1"/>
  <c r="J1757" i="2"/>
  <c r="L238" i="2"/>
  <c r="K238" i="2"/>
  <c r="M238" i="2" s="1"/>
  <c r="J238" i="2"/>
  <c r="L359" i="2"/>
  <c r="K359" i="2"/>
  <c r="M359" i="2" s="1"/>
  <c r="J359" i="2"/>
  <c r="L1649" i="2"/>
  <c r="K1649" i="2"/>
  <c r="M1649" i="2" s="1"/>
  <c r="J1649" i="2"/>
  <c r="L1555" i="2"/>
  <c r="K1555" i="2"/>
  <c r="M1555" i="2" s="1"/>
  <c r="J1555" i="2"/>
  <c r="L1760" i="2"/>
  <c r="K1760" i="2"/>
  <c r="M1760" i="2" s="1"/>
  <c r="J1760" i="2"/>
  <c r="L1768" i="2"/>
  <c r="K1768" i="2"/>
  <c r="M1768" i="2" s="1"/>
  <c r="J1768" i="2"/>
  <c r="L1741" i="2"/>
  <c r="K1741" i="2"/>
  <c r="M1741" i="2" s="1"/>
  <c r="J1741" i="2"/>
  <c r="L1824" i="2"/>
  <c r="K1824" i="2"/>
  <c r="M1824" i="2" s="1"/>
  <c r="J1824" i="2"/>
  <c r="L1813" i="2"/>
  <c r="K1813" i="2"/>
  <c r="M1813" i="2" s="1"/>
  <c r="J1813" i="2"/>
  <c r="L1774" i="2"/>
  <c r="K1774" i="2"/>
  <c r="M1774" i="2" s="1"/>
  <c r="J1774" i="2"/>
  <c r="L1806" i="2"/>
  <c r="K1806" i="2"/>
  <c r="M1806" i="2" s="1"/>
  <c r="J1806" i="2"/>
  <c r="L1801" i="2"/>
  <c r="K1801" i="2"/>
  <c r="M1801" i="2" s="1"/>
  <c r="J1801" i="2"/>
  <c r="L1805" i="2"/>
  <c r="K1805" i="2"/>
  <c r="M1805" i="2" s="1"/>
  <c r="J1805" i="2"/>
  <c r="L1821" i="2"/>
  <c r="K1821" i="2"/>
  <c r="M1821" i="2" s="1"/>
  <c r="J1821" i="2"/>
  <c r="L1796" i="2"/>
  <c r="K1796" i="2"/>
  <c r="M1796" i="2" s="1"/>
  <c r="J1796" i="2"/>
  <c r="L1778" i="2"/>
  <c r="K1778" i="2"/>
  <c r="M1778" i="2" s="1"/>
  <c r="J1778" i="2"/>
  <c r="L1782" i="2"/>
  <c r="K1782" i="2"/>
  <c r="M1782" i="2" s="1"/>
  <c r="J1782" i="2"/>
  <c r="L1826" i="2"/>
  <c r="K1826" i="2"/>
  <c r="M1826" i="2" s="1"/>
  <c r="J1826" i="2"/>
  <c r="L1777" i="2"/>
  <c r="K1777" i="2"/>
  <c r="M1777" i="2" s="1"/>
  <c r="J1777" i="2"/>
  <c r="L357" i="2"/>
  <c r="K357" i="2"/>
  <c r="M357" i="2" s="1"/>
  <c r="J357" i="2"/>
  <c r="L236" i="2"/>
  <c r="K236" i="2"/>
  <c r="M236" i="2" s="1"/>
  <c r="J236" i="2"/>
  <c r="L7" i="2"/>
  <c r="K7" i="2"/>
  <c r="M7" i="2" s="1"/>
  <c r="J7" i="2"/>
  <c r="L48" i="2"/>
  <c r="K48" i="2"/>
  <c r="M48" i="2" s="1"/>
  <c r="J48" i="2"/>
  <c r="L20" i="2"/>
  <c r="K20" i="2"/>
  <c r="M20" i="2" s="1"/>
  <c r="J20" i="2"/>
  <c r="L80" i="2"/>
  <c r="K80" i="2"/>
  <c r="M80" i="2" s="1"/>
  <c r="J80" i="2"/>
  <c r="L98" i="2"/>
  <c r="K98" i="2"/>
  <c r="M98" i="2" s="1"/>
  <c r="J98" i="2"/>
  <c r="L62" i="2"/>
  <c r="K62" i="2"/>
  <c r="M62" i="2" s="1"/>
  <c r="J62" i="2"/>
  <c r="L326" i="2"/>
  <c r="K326" i="2"/>
  <c r="M326" i="2" s="1"/>
  <c r="J326" i="2"/>
  <c r="L159" i="2"/>
  <c r="K159" i="2"/>
  <c r="M159" i="2" s="1"/>
  <c r="J159" i="2"/>
  <c r="L112" i="2"/>
  <c r="K112" i="2"/>
  <c r="M112" i="2" s="1"/>
  <c r="J112" i="2"/>
  <c r="L43" i="2"/>
  <c r="K43" i="2"/>
  <c r="M43" i="2" s="1"/>
  <c r="J43" i="2"/>
  <c r="L3" i="2"/>
  <c r="K3" i="2"/>
  <c r="M3" i="2" s="1"/>
  <c r="J3" i="2"/>
  <c r="L26" i="2"/>
  <c r="K26" i="2"/>
  <c r="M26" i="2" s="1"/>
  <c r="J26" i="2"/>
  <c r="L2" i="2"/>
  <c r="K2" i="2"/>
  <c r="M2" i="2" s="1"/>
  <c r="J2" i="2"/>
  <c r="L42" i="2"/>
  <c r="K42" i="2"/>
  <c r="M42" i="2" s="1"/>
  <c r="J42" i="2"/>
  <c r="L40" i="2"/>
  <c r="K40" i="2"/>
  <c r="M40" i="2" s="1"/>
  <c r="J40" i="2"/>
  <c r="L41" i="2"/>
  <c r="K41" i="2"/>
  <c r="M41" i="2" s="1"/>
  <c r="J41" i="2"/>
  <c r="L241" i="2"/>
  <c r="K241" i="2"/>
  <c r="M241" i="2" s="1"/>
  <c r="J241" i="2"/>
  <c r="L237" i="2"/>
  <c r="K237" i="2"/>
  <c r="M237" i="2" s="1"/>
  <c r="J237" i="2"/>
  <c r="L24" i="2"/>
  <c r="K24" i="2"/>
  <c r="M24" i="2" s="1"/>
  <c r="J24" i="2"/>
  <c r="L216" i="2"/>
  <c r="K216" i="2"/>
  <c r="M216" i="2" s="1"/>
  <c r="J216" i="2"/>
  <c r="L90" i="2"/>
  <c r="K90" i="2"/>
  <c r="M90" i="2" s="1"/>
  <c r="J90" i="2"/>
  <c r="L74" i="2"/>
  <c r="K74" i="2"/>
  <c r="M74" i="2" s="1"/>
  <c r="J74" i="2"/>
  <c r="L82" i="2"/>
  <c r="K82" i="2"/>
  <c r="M82" i="2" s="1"/>
  <c r="J82" i="2"/>
  <c r="L94" i="2"/>
  <c r="K94" i="2"/>
  <c r="M94" i="2" s="1"/>
  <c r="J94" i="2"/>
  <c r="L1642" i="2"/>
  <c r="K1642" i="2"/>
  <c r="M1642" i="2" s="1"/>
  <c r="J1642" i="2"/>
  <c r="L166" i="2"/>
  <c r="K166" i="2"/>
  <c r="M166" i="2" s="1"/>
  <c r="J166" i="2"/>
  <c r="L295" i="2"/>
  <c r="K295" i="2"/>
  <c r="M295" i="2" s="1"/>
  <c r="J295" i="2"/>
  <c r="L293" i="2"/>
  <c r="K293" i="2"/>
  <c r="M293" i="2" s="1"/>
  <c r="J293" i="2"/>
  <c r="L87" i="2"/>
  <c r="K87" i="2"/>
  <c r="M87" i="2" s="1"/>
  <c r="J87" i="2"/>
  <c r="L169" i="2"/>
  <c r="K169" i="2"/>
  <c r="M169" i="2" s="1"/>
  <c r="J169" i="2"/>
  <c r="L1725" i="2"/>
  <c r="K1725" i="2"/>
  <c r="M1725" i="2" s="1"/>
  <c r="J1725" i="2"/>
  <c r="L218" i="2"/>
  <c r="K218" i="2"/>
  <c r="M218" i="2" s="1"/>
  <c r="J218" i="2"/>
  <c r="L243" i="2"/>
  <c r="K243" i="2"/>
  <c r="M243" i="2" s="1"/>
  <c r="J243" i="2"/>
  <c r="L333" i="2"/>
  <c r="K333" i="2"/>
  <c r="M333" i="2" s="1"/>
  <c r="J333" i="2"/>
  <c r="L1709" i="2"/>
  <c r="K1709" i="2"/>
  <c r="M1709" i="2" s="1"/>
  <c r="J1709" i="2"/>
  <c r="L1686" i="2"/>
  <c r="K1686" i="2"/>
  <c r="M1686" i="2" s="1"/>
  <c r="J1686" i="2"/>
  <c r="L209" i="2"/>
  <c r="K209" i="2"/>
  <c r="M209" i="2" s="1"/>
  <c r="J209" i="2"/>
  <c r="L396" i="2"/>
  <c r="K396" i="2"/>
  <c r="M396" i="2" s="1"/>
  <c r="J396" i="2"/>
  <c r="L172" i="2"/>
  <c r="K172" i="2"/>
  <c r="M172" i="2" s="1"/>
  <c r="J172" i="2"/>
  <c r="L268" i="2"/>
  <c r="K268" i="2"/>
  <c r="M268" i="2" s="1"/>
  <c r="J268" i="2"/>
  <c r="L1542" i="2"/>
  <c r="K1542" i="2"/>
  <c r="M1542" i="2" s="1"/>
  <c r="J1542" i="2"/>
  <c r="L39" i="2"/>
  <c r="K39" i="2"/>
  <c r="M39" i="2" s="1"/>
  <c r="J39" i="2"/>
  <c r="L69" i="2"/>
  <c r="K69" i="2"/>
  <c r="M69" i="2" s="1"/>
  <c r="J69" i="2"/>
  <c r="L52" i="2"/>
  <c r="K52" i="2"/>
  <c r="M52" i="2" s="1"/>
  <c r="J52" i="2"/>
  <c r="L79" i="2"/>
  <c r="K79" i="2"/>
  <c r="M79" i="2" s="1"/>
  <c r="J79" i="2"/>
  <c r="L143" i="2"/>
  <c r="K143" i="2"/>
  <c r="M143" i="2" s="1"/>
  <c r="J143" i="2"/>
  <c r="L157" i="2"/>
  <c r="K157" i="2"/>
  <c r="M157" i="2" s="1"/>
  <c r="J157" i="2"/>
  <c r="L278" i="2"/>
  <c r="K278" i="2"/>
  <c r="M278" i="2" s="1"/>
  <c r="J278" i="2"/>
  <c r="L1706" i="2"/>
  <c r="K1706" i="2"/>
  <c r="M1706" i="2" s="1"/>
  <c r="J1706" i="2"/>
  <c r="L178" i="2"/>
  <c r="K178" i="2"/>
  <c r="M178" i="2" s="1"/>
  <c r="J178" i="2"/>
  <c r="L1717" i="2"/>
  <c r="K1717" i="2"/>
  <c r="M1717" i="2" s="1"/>
  <c r="J1717" i="2"/>
  <c r="L252" i="2"/>
  <c r="K252" i="2"/>
  <c r="M252" i="2" s="1"/>
  <c r="J252" i="2"/>
  <c r="L1673" i="2"/>
  <c r="K1673" i="2"/>
  <c r="M1673" i="2" s="1"/>
  <c r="J1673" i="2"/>
  <c r="L1604" i="2"/>
  <c r="K1604" i="2"/>
  <c r="M1604" i="2" s="1"/>
  <c r="J1604" i="2"/>
  <c r="L1726" i="2"/>
  <c r="K1726" i="2"/>
  <c r="M1726" i="2" s="1"/>
  <c r="J1726" i="2"/>
  <c r="L1767" i="2"/>
  <c r="K1767" i="2"/>
  <c r="M1767" i="2" s="1"/>
  <c r="J1767" i="2"/>
  <c r="L207" i="2"/>
  <c r="K207" i="2"/>
  <c r="M207" i="2" s="1"/>
  <c r="J207" i="2"/>
  <c r="L1602" i="2"/>
  <c r="K1602" i="2"/>
  <c r="M1602" i="2" s="1"/>
  <c r="J1602" i="2"/>
  <c r="L15" i="2"/>
  <c r="K15" i="2"/>
  <c r="M15" i="2" s="1"/>
  <c r="J15" i="2"/>
  <c r="L399" i="2"/>
  <c r="K399" i="2"/>
  <c r="M399" i="2" s="1"/>
  <c r="J399" i="2"/>
  <c r="L1697" i="2"/>
  <c r="K1697" i="2"/>
  <c r="M1697" i="2" s="1"/>
  <c r="J1697" i="2"/>
  <c r="L296" i="2"/>
  <c r="K296" i="2"/>
  <c r="M296" i="2" s="1"/>
  <c r="J296" i="2"/>
  <c r="L1589" i="2"/>
  <c r="K1589" i="2"/>
  <c r="M1589" i="2" s="1"/>
  <c r="J1589" i="2"/>
  <c r="L364" i="2"/>
  <c r="K364" i="2"/>
  <c r="M364" i="2" s="1"/>
  <c r="J364" i="2"/>
  <c r="L1518" i="2"/>
  <c r="K1518" i="2"/>
  <c r="M1518" i="2" s="1"/>
  <c r="J1518" i="2"/>
  <c r="L1648" i="2"/>
  <c r="K1648" i="2"/>
  <c r="M1648" i="2" s="1"/>
  <c r="J1648" i="2"/>
  <c r="L1647" i="2"/>
  <c r="K1647" i="2"/>
  <c r="M1647" i="2" s="1"/>
  <c r="J1647" i="2"/>
  <c r="L276" i="2"/>
  <c r="K276" i="2"/>
  <c r="M276" i="2" s="1"/>
  <c r="J276" i="2"/>
  <c r="L1793" i="2"/>
  <c r="K1793" i="2"/>
  <c r="M1793" i="2" s="1"/>
  <c r="J1793" i="2"/>
  <c r="L113" i="2"/>
  <c r="K113" i="2"/>
  <c r="M113" i="2" s="1"/>
  <c r="J113" i="2"/>
  <c r="L1690" i="2"/>
  <c r="K1690" i="2"/>
  <c r="M1690" i="2" s="1"/>
  <c r="J1690" i="2"/>
  <c r="L264" i="2"/>
  <c r="K264" i="2"/>
  <c r="M264" i="2" s="1"/>
  <c r="J264" i="2"/>
  <c r="L336" i="2"/>
  <c r="K336" i="2"/>
  <c r="M336" i="2" s="1"/>
  <c r="J336" i="2"/>
  <c r="L1536" i="2"/>
  <c r="K1536" i="2"/>
  <c r="M1536" i="2" s="1"/>
  <c r="J1536" i="2"/>
  <c r="L1528" i="2"/>
  <c r="K1528" i="2"/>
  <c r="M1528" i="2" s="1"/>
  <c r="J1528" i="2"/>
  <c r="L228" i="2"/>
  <c r="K228" i="2"/>
  <c r="M228" i="2" s="1"/>
  <c r="J228" i="2"/>
  <c r="L1567" i="2"/>
  <c r="K1567" i="2"/>
  <c r="M1567" i="2" s="1"/>
  <c r="J1567" i="2"/>
  <c r="L1550" i="2"/>
  <c r="K1550" i="2"/>
  <c r="M1550" i="2" s="1"/>
  <c r="J1550" i="2"/>
  <c r="L1557" i="2"/>
  <c r="K1557" i="2"/>
  <c r="M1557" i="2" s="1"/>
  <c r="J1557" i="2"/>
  <c r="L1628" i="2"/>
  <c r="K1628" i="2"/>
  <c r="M1628" i="2" s="1"/>
  <c r="J1628" i="2"/>
  <c r="L137" i="2"/>
  <c r="K137" i="2"/>
  <c r="M137" i="2" s="1"/>
  <c r="J137" i="2"/>
  <c r="L1798" i="2"/>
  <c r="K1798" i="2"/>
  <c r="M1798" i="2" s="1"/>
  <c r="J1798" i="2"/>
  <c r="L191" i="2"/>
  <c r="K191" i="2"/>
  <c r="M191" i="2" s="1"/>
  <c r="J191" i="2"/>
  <c r="L275" i="2"/>
  <c r="K275" i="2"/>
  <c r="M275" i="2" s="1"/>
  <c r="J275" i="2"/>
  <c r="L100" i="2"/>
  <c r="K100" i="2"/>
  <c r="M100" i="2" s="1"/>
  <c r="J100" i="2"/>
  <c r="L373" i="2"/>
  <c r="K373" i="2"/>
  <c r="M373" i="2" s="1"/>
  <c r="J373" i="2"/>
  <c r="L1759" i="2"/>
  <c r="K1759" i="2"/>
  <c r="M1759" i="2" s="1"/>
  <c r="J1759" i="2"/>
  <c r="L1772" i="2"/>
  <c r="K1772" i="2"/>
  <c r="M1772" i="2" s="1"/>
  <c r="J1772" i="2"/>
  <c r="L256" i="2"/>
  <c r="K256" i="2"/>
  <c r="M256" i="2" s="1"/>
  <c r="J256" i="2"/>
  <c r="L149" i="2"/>
  <c r="K149" i="2"/>
  <c r="M149" i="2" s="1"/>
  <c r="J149" i="2"/>
  <c r="L337" i="2"/>
  <c r="K337" i="2"/>
  <c r="M337" i="2" s="1"/>
  <c r="J337" i="2"/>
  <c r="L136" i="2"/>
  <c r="K136" i="2"/>
  <c r="M136" i="2" s="1"/>
  <c r="J136" i="2"/>
  <c r="L1758" i="2"/>
  <c r="K1758" i="2"/>
  <c r="M1758" i="2" s="1"/>
  <c r="J1758" i="2"/>
  <c r="L1746" i="2"/>
  <c r="K1746" i="2"/>
  <c r="M1746" i="2" s="1"/>
  <c r="J1746" i="2"/>
  <c r="L1751" i="2"/>
  <c r="K1751" i="2"/>
  <c r="M1751" i="2" s="1"/>
  <c r="J1751" i="2"/>
  <c r="L1738" i="2"/>
  <c r="K1738" i="2"/>
  <c r="M1738" i="2" s="1"/>
  <c r="J1738" i="2"/>
  <c r="L1577" i="2"/>
  <c r="K1577" i="2"/>
  <c r="M1577" i="2" s="1"/>
  <c r="J1577" i="2"/>
  <c r="L1812" i="2"/>
  <c r="K1812" i="2"/>
  <c r="M1812" i="2" s="1"/>
  <c r="J1812" i="2"/>
  <c r="L1808" i="2"/>
  <c r="K1808" i="2"/>
  <c r="M1808" i="2" s="1"/>
  <c r="J1808" i="2"/>
  <c r="L1787" i="2"/>
  <c r="K1787" i="2"/>
  <c r="M1787" i="2" s="1"/>
  <c r="J1787" i="2"/>
  <c r="L1828" i="2"/>
  <c r="K1828" i="2"/>
  <c r="M1828" i="2" s="1"/>
  <c r="J1828" i="2"/>
  <c r="L1827" i="2"/>
  <c r="K1827" i="2"/>
  <c r="M1827" i="2" s="1"/>
  <c r="J1827" i="2"/>
  <c r="L1803" i="2"/>
  <c r="K1803" i="2"/>
  <c r="M1803" i="2" s="1"/>
  <c r="J1803" i="2"/>
  <c r="L1786" i="2"/>
  <c r="K1786" i="2"/>
  <c r="M1786" i="2" s="1"/>
  <c r="J1786" i="2"/>
  <c r="L1783" i="2"/>
  <c r="K1783" i="2"/>
  <c r="M1783" i="2" s="1"/>
  <c r="J1783" i="2"/>
  <c r="L307" i="2"/>
  <c r="K307" i="2"/>
  <c r="M307" i="2" s="1"/>
  <c r="J307" i="2"/>
  <c r="L153" i="2"/>
  <c r="K153" i="2"/>
  <c r="M153" i="2" s="1"/>
  <c r="J153" i="2"/>
  <c r="L146" i="2"/>
  <c r="K146" i="2"/>
  <c r="M146" i="2" s="1"/>
  <c r="J146" i="2"/>
  <c r="L18" i="2"/>
  <c r="K18" i="2"/>
  <c r="M18" i="2" s="1"/>
  <c r="J18" i="2"/>
  <c r="L12" i="2"/>
  <c r="K12" i="2"/>
  <c r="M12" i="2" s="1"/>
  <c r="J12" i="2"/>
  <c r="L144" i="2"/>
  <c r="K144" i="2"/>
  <c r="M144" i="2" s="1"/>
  <c r="J144" i="2"/>
  <c r="L29" i="2"/>
  <c r="K29" i="2"/>
  <c r="M29" i="2" s="1"/>
  <c r="J29" i="2"/>
  <c r="L104" i="2"/>
  <c r="K104" i="2"/>
  <c r="M104" i="2" s="1"/>
  <c r="J104" i="2"/>
  <c r="L4" i="2"/>
  <c r="K4" i="2"/>
  <c r="M4" i="2" s="1"/>
  <c r="J4" i="2"/>
  <c r="L138" i="2"/>
  <c r="K138" i="2"/>
  <c r="M138" i="2" s="1"/>
  <c r="J138" i="2"/>
  <c r="L208" i="2"/>
  <c r="K208" i="2"/>
  <c r="M208" i="2" s="1"/>
  <c r="J208" i="2"/>
  <c r="L61" i="2"/>
  <c r="K61" i="2"/>
  <c r="M61" i="2" s="1"/>
  <c r="J61" i="2"/>
  <c r="L78" i="2"/>
  <c r="K78" i="2"/>
  <c r="M78" i="2" s="1"/>
  <c r="J78" i="2"/>
  <c r="L270" i="2"/>
  <c r="K270" i="2"/>
  <c r="M270" i="2" s="1"/>
  <c r="J270" i="2"/>
  <c r="L72" i="2"/>
  <c r="K72" i="2"/>
  <c r="M72" i="2" s="1"/>
  <c r="J72" i="2"/>
  <c r="L269" i="2"/>
  <c r="K269" i="2"/>
  <c r="M269" i="2" s="1"/>
  <c r="J269" i="2"/>
  <c r="L75" i="2"/>
  <c r="K75" i="2"/>
  <c r="M75" i="2" s="1"/>
  <c r="J75" i="2"/>
  <c r="L5" i="2"/>
  <c r="K5" i="2"/>
  <c r="M5" i="2" s="1"/>
  <c r="J5" i="2"/>
  <c r="L223" i="2"/>
  <c r="K223" i="2"/>
  <c r="M223" i="2" s="1"/>
  <c r="J223" i="2"/>
  <c r="L25" i="2"/>
  <c r="K25" i="2"/>
  <c r="M25" i="2" s="1"/>
  <c r="J25" i="2"/>
  <c r="L161" i="2"/>
  <c r="K161" i="2"/>
  <c r="M161" i="2" s="1"/>
  <c r="J161" i="2"/>
  <c r="L129" i="2"/>
  <c r="K129" i="2"/>
  <c r="M129" i="2" s="1"/>
  <c r="J129" i="2"/>
  <c r="L133" i="2"/>
  <c r="K133" i="2"/>
  <c r="M133" i="2" s="1"/>
  <c r="J133" i="2"/>
  <c r="L271" i="2"/>
  <c r="K271" i="2"/>
  <c r="M271" i="2" s="1"/>
  <c r="J271" i="2"/>
  <c r="L301" i="2"/>
  <c r="K301" i="2"/>
  <c r="M301" i="2" s="1"/>
  <c r="J301" i="2"/>
  <c r="L114" i="2"/>
  <c r="K114" i="2"/>
  <c r="M114" i="2" s="1"/>
  <c r="J114" i="2"/>
  <c r="L128" i="2"/>
  <c r="K128" i="2"/>
  <c r="M128" i="2" s="1"/>
  <c r="J128" i="2"/>
  <c r="L1667" i="2"/>
  <c r="K1667" i="2"/>
  <c r="M1667" i="2" s="1"/>
  <c r="J1667" i="2"/>
  <c r="L300" i="2"/>
  <c r="K300" i="2"/>
  <c r="M300" i="2" s="1"/>
  <c r="J300" i="2"/>
  <c r="L286" i="2"/>
  <c r="K286" i="2"/>
  <c r="M286" i="2" s="1"/>
  <c r="J286" i="2"/>
  <c r="L395" i="2"/>
  <c r="K395" i="2"/>
  <c r="M395" i="2" s="1"/>
  <c r="J395" i="2"/>
  <c r="L1687" i="2"/>
  <c r="K1687" i="2"/>
  <c r="M1687" i="2" s="1"/>
  <c r="J1687" i="2"/>
  <c r="L1678" i="2"/>
  <c r="K1678" i="2"/>
  <c r="M1678" i="2" s="1"/>
  <c r="J1678" i="2"/>
  <c r="L351" i="2"/>
  <c r="K351" i="2"/>
  <c r="M351" i="2" s="1"/>
  <c r="J351" i="2"/>
  <c r="L1719" i="2"/>
  <c r="K1719" i="2"/>
  <c r="M1719" i="2" s="1"/>
  <c r="J1719" i="2"/>
  <c r="L210" i="2"/>
  <c r="K210" i="2"/>
  <c r="M210" i="2" s="1"/>
  <c r="J210" i="2"/>
  <c r="L199" i="2"/>
  <c r="K199" i="2"/>
  <c r="M199" i="2" s="1"/>
  <c r="J199" i="2"/>
  <c r="L1652" i="2"/>
  <c r="K1652" i="2"/>
  <c r="M1652" i="2" s="1"/>
  <c r="J1652" i="2"/>
  <c r="L1592" i="2"/>
  <c r="K1592" i="2"/>
  <c r="M1592" i="2" s="1"/>
  <c r="J1592" i="2"/>
  <c r="L195" i="2"/>
  <c r="K195" i="2"/>
  <c r="M195" i="2" s="1"/>
  <c r="J195" i="2"/>
  <c r="L320" i="2"/>
  <c r="K320" i="2"/>
  <c r="M320" i="2" s="1"/>
  <c r="J320" i="2"/>
  <c r="L1599" i="2"/>
  <c r="K1599" i="2"/>
  <c r="M1599" i="2" s="1"/>
  <c r="J1599" i="2"/>
  <c r="L371" i="2"/>
  <c r="K371" i="2"/>
  <c r="M371" i="2" s="1"/>
  <c r="J371" i="2"/>
  <c r="L381" i="2"/>
  <c r="K381" i="2"/>
  <c r="M381" i="2" s="1"/>
  <c r="J381" i="2"/>
  <c r="L255" i="2"/>
  <c r="K255" i="2"/>
  <c r="M255" i="2" s="1"/>
  <c r="J255" i="2"/>
  <c r="L201" i="2"/>
  <c r="K201" i="2"/>
  <c r="M201" i="2" s="1"/>
  <c r="J201" i="2"/>
  <c r="L240" i="2"/>
  <c r="K240" i="2"/>
  <c r="M240" i="2" s="1"/>
  <c r="J240" i="2"/>
  <c r="L221" i="2"/>
  <c r="K221" i="2"/>
  <c r="M221" i="2" s="1"/>
  <c r="J221" i="2"/>
  <c r="L1588" i="2"/>
  <c r="K1588" i="2"/>
  <c r="M1588" i="2" s="1"/>
  <c r="J1588" i="2"/>
  <c r="L386" i="2"/>
  <c r="K386" i="2"/>
  <c r="M386" i="2" s="1"/>
  <c r="J386" i="2"/>
  <c r="L1732" i="2"/>
  <c r="K1732" i="2"/>
  <c r="M1732" i="2" s="1"/>
  <c r="J1732" i="2"/>
  <c r="L1730" i="2"/>
  <c r="K1730" i="2"/>
  <c r="M1730" i="2" s="1"/>
  <c r="J1730" i="2"/>
  <c r="L1714" i="2"/>
  <c r="K1714" i="2"/>
  <c r="M1714" i="2" s="1"/>
  <c r="J1714" i="2"/>
  <c r="L1643" i="2"/>
  <c r="K1643" i="2"/>
  <c r="M1643" i="2" s="1"/>
  <c r="J1643" i="2"/>
  <c r="L1609" i="2"/>
  <c r="K1609" i="2"/>
  <c r="M1609" i="2" s="1"/>
  <c r="J1609" i="2"/>
  <c r="L1723" i="2"/>
  <c r="K1723" i="2"/>
  <c r="M1723" i="2" s="1"/>
  <c r="J1723" i="2"/>
  <c r="L1708" i="2"/>
  <c r="K1708" i="2"/>
  <c r="M1708" i="2" s="1"/>
  <c r="J1708" i="2"/>
  <c r="L1579" i="2"/>
  <c r="K1579" i="2"/>
  <c r="M1579" i="2" s="1"/>
  <c r="J1579" i="2"/>
  <c r="L1595" i="2"/>
  <c r="K1595" i="2"/>
  <c r="M1595" i="2" s="1"/>
  <c r="J1595" i="2"/>
  <c r="L1582" i="2"/>
  <c r="K1582" i="2"/>
  <c r="M1582" i="2" s="1"/>
  <c r="J1582" i="2"/>
  <c r="L1612" i="2"/>
  <c r="K1612" i="2"/>
  <c r="M1612" i="2" s="1"/>
  <c r="J1612" i="2"/>
  <c r="L1520" i="2"/>
  <c r="K1520" i="2"/>
  <c r="M1520" i="2" s="1"/>
  <c r="J1520" i="2"/>
  <c r="L1626" i="2"/>
  <c r="K1626" i="2"/>
  <c r="M1626" i="2" s="1"/>
  <c r="J1626" i="2"/>
  <c r="L85" i="2"/>
  <c r="K85" i="2"/>
  <c r="M85" i="2" s="1"/>
  <c r="J85" i="2"/>
  <c r="L1736" i="2"/>
  <c r="K1736" i="2"/>
  <c r="M1736" i="2" s="1"/>
  <c r="J1736" i="2"/>
  <c r="L213" i="2"/>
  <c r="K213" i="2"/>
  <c r="M213" i="2" s="1"/>
  <c r="J213" i="2"/>
  <c r="L63" i="2"/>
  <c r="K63" i="2"/>
  <c r="M63" i="2" s="1"/>
  <c r="J63" i="2"/>
  <c r="L189" i="2"/>
  <c r="K189" i="2"/>
  <c r="M189" i="2" s="1"/>
  <c r="J189" i="2"/>
  <c r="L1532" i="2"/>
  <c r="K1532" i="2"/>
  <c r="M1532" i="2" s="1"/>
  <c r="J1532" i="2"/>
  <c r="L1522" i="2"/>
  <c r="K1522" i="2"/>
  <c r="M1522" i="2" s="1"/>
  <c r="J1522" i="2"/>
  <c r="L1720" i="2"/>
  <c r="K1720" i="2"/>
  <c r="M1720" i="2" s="1"/>
  <c r="J1720" i="2"/>
  <c r="L1695" i="2"/>
  <c r="K1695" i="2"/>
  <c r="M1695" i="2" s="1"/>
  <c r="J1695" i="2"/>
  <c r="L1680" i="2"/>
  <c r="K1680" i="2"/>
  <c r="M1680" i="2" s="1"/>
  <c r="J1680" i="2"/>
  <c r="L318" i="2"/>
  <c r="K318" i="2"/>
  <c r="M318" i="2" s="1"/>
  <c r="J318" i="2"/>
  <c r="L367" i="2"/>
  <c r="K367" i="2"/>
  <c r="M367" i="2" s="1"/>
  <c r="J367" i="2"/>
  <c r="L380" i="2"/>
  <c r="K380" i="2"/>
  <c r="M380" i="2" s="1"/>
  <c r="J380" i="2"/>
  <c r="L1650" i="2"/>
  <c r="K1650" i="2"/>
  <c r="M1650" i="2" s="1"/>
  <c r="J1650" i="2"/>
  <c r="L1601" i="2"/>
  <c r="K1601" i="2"/>
  <c r="M1601" i="2" s="1"/>
  <c r="J1601" i="2"/>
  <c r="L1576" i="2"/>
  <c r="K1576" i="2"/>
  <c r="M1576" i="2" s="1"/>
  <c r="J1576" i="2"/>
  <c r="L1526" i="2"/>
  <c r="K1526" i="2"/>
  <c r="M1526" i="2" s="1"/>
  <c r="J1526" i="2"/>
  <c r="L1515" i="2"/>
  <c r="K1515" i="2"/>
  <c r="M1515" i="2" s="1"/>
  <c r="J1515" i="2"/>
  <c r="L1559" i="2"/>
  <c r="K1559" i="2"/>
  <c r="M1559" i="2" s="1"/>
  <c r="J1559" i="2"/>
  <c r="L1544" i="2"/>
  <c r="K1544" i="2"/>
  <c r="M1544" i="2" s="1"/>
  <c r="J1544" i="2"/>
  <c r="L1722" i="2"/>
  <c r="K1722" i="2"/>
  <c r="M1722" i="2" s="1"/>
  <c r="J1722" i="2"/>
  <c r="L1638" i="2"/>
  <c r="K1638" i="2"/>
  <c r="M1638" i="2" s="1"/>
  <c r="J1638" i="2"/>
  <c r="L1775" i="2"/>
  <c r="K1775" i="2"/>
  <c r="M1775" i="2" s="1"/>
  <c r="J1775" i="2"/>
  <c r="L273" i="2"/>
  <c r="K273" i="2"/>
  <c r="M273" i="2" s="1"/>
  <c r="J273" i="2"/>
  <c r="L1564" i="2"/>
  <c r="K1564" i="2"/>
  <c r="M1564" i="2" s="1"/>
  <c r="J1564" i="2"/>
  <c r="L56" i="2"/>
  <c r="K56" i="2"/>
  <c r="M56" i="2" s="1"/>
  <c r="J56" i="2"/>
  <c r="L115" i="2"/>
  <c r="K115" i="2"/>
  <c r="M115" i="2" s="1"/>
  <c r="J115" i="2"/>
  <c r="L1560" i="2"/>
  <c r="K1560" i="2"/>
  <c r="M1560" i="2" s="1"/>
  <c r="J1560" i="2"/>
  <c r="L1566" i="2"/>
  <c r="K1566" i="2"/>
  <c r="M1566" i="2" s="1"/>
  <c r="J1566" i="2"/>
  <c r="L1562" i="2"/>
  <c r="K1562" i="2"/>
  <c r="M1562" i="2" s="1"/>
  <c r="J1562" i="2"/>
  <c r="L1593" i="2"/>
  <c r="K1593" i="2"/>
  <c r="M1593" i="2" s="1"/>
  <c r="J1593" i="2"/>
  <c r="L322" i="2"/>
  <c r="K322" i="2"/>
  <c r="M322" i="2" s="1"/>
  <c r="J322" i="2"/>
  <c r="L315" i="2"/>
  <c r="K315" i="2"/>
  <c r="M315" i="2" s="1"/>
  <c r="J315" i="2"/>
  <c r="L246" i="2"/>
  <c r="K246" i="2"/>
  <c r="M246" i="2" s="1"/>
  <c r="J246" i="2"/>
  <c r="L234" i="2"/>
  <c r="K234" i="2"/>
  <c r="M234" i="2" s="1"/>
  <c r="J234" i="2"/>
  <c r="L147" i="2"/>
  <c r="K147" i="2"/>
  <c r="M147" i="2" s="1"/>
  <c r="J147" i="2"/>
  <c r="L1565" i="2"/>
  <c r="K1565" i="2"/>
  <c r="M1565" i="2" s="1"/>
  <c r="J1565" i="2"/>
  <c r="L1668" i="2"/>
  <c r="K1668" i="2"/>
  <c r="M1668" i="2" s="1"/>
  <c r="J1668" i="2"/>
  <c r="L1659" i="2"/>
  <c r="K1659" i="2"/>
  <c r="M1659" i="2" s="1"/>
  <c r="J1659" i="2"/>
  <c r="L1671" i="2"/>
  <c r="K1671" i="2"/>
  <c r="M1671" i="2" s="1"/>
  <c r="J1671" i="2"/>
  <c r="L1702" i="2"/>
  <c r="K1702" i="2"/>
  <c r="M1702" i="2" s="1"/>
  <c r="J1702" i="2"/>
  <c r="L1622" i="2"/>
  <c r="K1622" i="2"/>
  <c r="M1622" i="2" s="1"/>
  <c r="J1622" i="2"/>
  <c r="L1670" i="2"/>
  <c r="K1670" i="2"/>
  <c r="M1670" i="2" s="1"/>
  <c r="J1670" i="2"/>
  <c r="L1665" i="2"/>
  <c r="K1665" i="2"/>
  <c r="M1665" i="2" s="1"/>
  <c r="J1665" i="2"/>
  <c r="L1707" i="2"/>
  <c r="K1707" i="2"/>
  <c r="M1707" i="2" s="1"/>
  <c r="J1707" i="2"/>
  <c r="L193" i="2"/>
  <c r="K193" i="2"/>
  <c r="M193" i="2" s="1"/>
  <c r="J193" i="2"/>
  <c r="L156" i="2"/>
  <c r="K156" i="2"/>
  <c r="M156" i="2" s="1"/>
  <c r="J156" i="2"/>
  <c r="L317" i="2"/>
  <c r="K317" i="2"/>
  <c r="M317" i="2" s="1"/>
  <c r="J317" i="2"/>
  <c r="L280" i="2"/>
  <c r="K280" i="2"/>
  <c r="M280" i="2" s="1"/>
  <c r="J280" i="2"/>
  <c r="L308" i="2"/>
  <c r="K308" i="2"/>
  <c r="M308" i="2" s="1"/>
  <c r="J308" i="2"/>
  <c r="L346" i="2"/>
  <c r="K346" i="2"/>
  <c r="M346" i="2" s="1"/>
  <c r="J346" i="2"/>
  <c r="L258" i="2"/>
  <c r="K258" i="2"/>
  <c r="M258" i="2" s="1"/>
  <c r="J258" i="2"/>
  <c r="L319" i="2"/>
  <c r="K319" i="2"/>
  <c r="M319" i="2" s="1"/>
  <c r="J319" i="2"/>
  <c r="L122" i="2"/>
  <c r="K122" i="2"/>
  <c r="M122" i="2" s="1"/>
  <c r="J122" i="2"/>
  <c r="L227" i="2"/>
  <c r="K227" i="2"/>
  <c r="M227" i="2" s="1"/>
  <c r="J227" i="2"/>
  <c r="L394" i="2"/>
  <c r="K394" i="2"/>
  <c r="M394" i="2" s="1"/>
  <c r="J394" i="2"/>
  <c r="L340" i="2"/>
  <c r="K340" i="2"/>
  <c r="M340" i="2" s="1"/>
  <c r="J340" i="2"/>
  <c r="L285" i="2"/>
  <c r="K285" i="2"/>
  <c r="M285" i="2" s="1"/>
  <c r="J285" i="2"/>
  <c r="L360" i="2"/>
  <c r="K360" i="2"/>
  <c r="M360" i="2" s="1"/>
  <c r="J360" i="2"/>
  <c r="L1534" i="2"/>
  <c r="K1534" i="2"/>
  <c r="M1534" i="2" s="1"/>
  <c r="J1534" i="2"/>
  <c r="L1541" i="2"/>
  <c r="K1541" i="2"/>
  <c r="M1541" i="2" s="1"/>
  <c r="J1541" i="2"/>
  <c r="L1551" i="2"/>
  <c r="K1551" i="2"/>
  <c r="M1551" i="2" s="1"/>
  <c r="J1551" i="2"/>
  <c r="L1529" i="2"/>
  <c r="K1529" i="2"/>
  <c r="M1529" i="2" s="1"/>
  <c r="J1529" i="2"/>
  <c r="L298" i="2"/>
  <c r="K298" i="2"/>
  <c r="M298" i="2" s="1"/>
  <c r="J298" i="2"/>
  <c r="L1569" i="2"/>
  <c r="K1569" i="2"/>
  <c r="M1569" i="2" s="1"/>
  <c r="J1569" i="2"/>
  <c r="L1636" i="2"/>
  <c r="K1636" i="2"/>
  <c r="M1636" i="2" s="1"/>
  <c r="J1636" i="2"/>
  <c r="L222" i="2"/>
  <c r="K222" i="2"/>
  <c r="M222" i="2" s="1"/>
  <c r="J222" i="2"/>
  <c r="L1748" i="2"/>
  <c r="K1748" i="2"/>
  <c r="M1748" i="2" s="1"/>
  <c r="J1748" i="2"/>
  <c r="L1817" i="2"/>
  <c r="K1817" i="2"/>
  <c r="M1817" i="2" s="1"/>
  <c r="J1817" i="2"/>
  <c r="L1799" i="2"/>
  <c r="K1799" i="2"/>
  <c r="M1799" i="2" s="1"/>
  <c r="J1799" i="2"/>
  <c r="L1698" i="2"/>
  <c r="K1698" i="2"/>
  <c r="M1698" i="2" s="1"/>
  <c r="J1698" i="2"/>
  <c r="L202" i="2"/>
  <c r="K202" i="2"/>
  <c r="M202" i="2" s="1"/>
  <c r="J202" i="2"/>
  <c r="L245" i="2"/>
  <c r="K245" i="2"/>
  <c r="M245" i="2" s="1"/>
  <c r="J245" i="2"/>
  <c r="L13" i="2"/>
  <c r="K13" i="2"/>
  <c r="M13" i="2" s="1"/>
  <c r="J13" i="2"/>
  <c r="L145" i="2"/>
  <c r="K145" i="2"/>
  <c r="M145" i="2" s="1"/>
  <c r="J145" i="2"/>
  <c r="L1770" i="2"/>
  <c r="K1770" i="2"/>
  <c r="M1770" i="2" s="1"/>
  <c r="J1770" i="2"/>
  <c r="L288" i="2"/>
  <c r="K288" i="2"/>
  <c r="M288" i="2" s="1"/>
  <c r="J288" i="2"/>
  <c r="L1804" i="2"/>
  <c r="K1804" i="2"/>
  <c r="M1804" i="2" s="1"/>
  <c r="J1804" i="2"/>
  <c r="L1737" i="2"/>
  <c r="K1737" i="2"/>
  <c r="M1737" i="2" s="1"/>
  <c r="J1737" i="2"/>
  <c r="L1583" i="2"/>
  <c r="K1583" i="2"/>
  <c r="M1583" i="2" s="1"/>
  <c r="J1583" i="2"/>
  <c r="L1773" i="2"/>
  <c r="K1773" i="2"/>
  <c r="M1773" i="2" s="1"/>
  <c r="J1773" i="2"/>
  <c r="L1763" i="2"/>
  <c r="K1763" i="2"/>
  <c r="M1763" i="2" s="1"/>
  <c r="J1763" i="2"/>
  <c r="L1750" i="2"/>
  <c r="K1750" i="2"/>
  <c r="M1750" i="2" s="1"/>
  <c r="J1750" i="2"/>
  <c r="L1765" i="2"/>
  <c r="K1765" i="2"/>
  <c r="M1765" i="2" s="1"/>
  <c r="J1765" i="2"/>
  <c r="L211" i="2"/>
  <c r="K211" i="2"/>
  <c r="M211" i="2" s="1"/>
  <c r="J211" i="2"/>
  <c r="L1830" i="2"/>
  <c r="K1830" i="2"/>
  <c r="M1830" i="2" s="1"/>
  <c r="J1830" i="2"/>
  <c r="L1818" i="2"/>
  <c r="K1818" i="2"/>
  <c r="M1818" i="2" s="1"/>
  <c r="J1818" i="2"/>
  <c r="L1822" i="2"/>
  <c r="K1822" i="2"/>
  <c r="M1822" i="2" s="1"/>
  <c r="J1822" i="2"/>
  <c r="L1790" i="2"/>
  <c r="K1790" i="2"/>
  <c r="M1790" i="2" s="1"/>
  <c r="J1790" i="2"/>
  <c r="L1780" i="2"/>
  <c r="K1780" i="2"/>
  <c r="M1780" i="2" s="1"/>
  <c r="J1780" i="2"/>
  <c r="L1789" i="2"/>
  <c r="K1789" i="2"/>
  <c r="M1789" i="2" s="1"/>
  <c r="J1789" i="2"/>
  <c r="L1814" i="2"/>
  <c r="K1814" i="2"/>
  <c r="M1814" i="2" s="1"/>
  <c r="J1814" i="2"/>
  <c r="L1781" i="2"/>
  <c r="K1781" i="2"/>
  <c r="M1781" i="2" s="1"/>
  <c r="J1781" i="2"/>
  <c r="L1785" i="2"/>
  <c r="K1785" i="2"/>
  <c r="M1785" i="2" s="1"/>
  <c r="J1785" i="2"/>
  <c r="L344" i="2"/>
  <c r="K344" i="2"/>
  <c r="M344" i="2" s="1"/>
  <c r="J344" i="2"/>
  <c r="L299" i="2"/>
  <c r="K299" i="2"/>
  <c r="M299" i="2" s="1"/>
  <c r="J299" i="2"/>
  <c r="L328" i="2"/>
  <c r="K328" i="2"/>
  <c r="M328" i="2" s="1"/>
  <c r="J328" i="2"/>
  <c r="L28" i="2"/>
  <c r="K28" i="2"/>
  <c r="M28" i="2" s="1"/>
  <c r="J28" i="2"/>
  <c r="L91" i="2"/>
  <c r="K91" i="2"/>
  <c r="M91" i="2" s="1"/>
  <c r="J91" i="2"/>
  <c r="L14" i="2"/>
  <c r="K14" i="2"/>
  <c r="M14" i="2" s="1"/>
  <c r="J14" i="2"/>
  <c r="L99" i="2"/>
  <c r="K99" i="2"/>
  <c r="M99" i="2" s="1"/>
  <c r="J99" i="2"/>
  <c r="L232" i="2"/>
  <c r="K232" i="2"/>
  <c r="M232" i="2" s="1"/>
  <c r="J232" i="2"/>
  <c r="L95" i="2"/>
  <c r="K95" i="2"/>
  <c r="M95" i="2" s="1"/>
  <c r="J95" i="2"/>
  <c r="L265" i="2"/>
  <c r="K265" i="2"/>
  <c r="M265" i="2" s="1"/>
  <c r="J265" i="2"/>
  <c r="L257" i="2"/>
  <c r="K257" i="2"/>
  <c r="M257" i="2" s="1"/>
  <c r="J257" i="2"/>
  <c r="L31" i="2"/>
  <c r="K31" i="2"/>
  <c r="M31" i="2" s="1"/>
  <c r="J31" i="2"/>
  <c r="L274" i="2"/>
  <c r="K274" i="2"/>
  <c r="M274" i="2" s="1"/>
  <c r="J274" i="2"/>
  <c r="L224" i="2"/>
  <c r="K224" i="2"/>
  <c r="M224" i="2" s="1"/>
  <c r="J224" i="2"/>
  <c r="L59" i="2"/>
  <c r="K59" i="2"/>
  <c r="M59" i="2" s="1"/>
  <c r="J59" i="2"/>
  <c r="L194" i="2"/>
  <c r="K194" i="2"/>
  <c r="M194" i="2" s="1"/>
  <c r="J194" i="2"/>
  <c r="L16" i="2"/>
  <c r="K16" i="2"/>
  <c r="M16" i="2" s="1"/>
  <c r="J16" i="2"/>
  <c r="L34" i="2"/>
  <c r="K34" i="2"/>
  <c r="M34" i="2" s="1"/>
  <c r="J34" i="2"/>
  <c r="L86" i="2"/>
  <c r="K86" i="2"/>
  <c r="M86" i="2" s="1"/>
  <c r="J86" i="2"/>
  <c r="L244" i="2"/>
  <c r="K244" i="2"/>
  <c r="M244" i="2" s="1"/>
  <c r="J244" i="2"/>
  <c r="L97" i="2"/>
  <c r="K97" i="2"/>
  <c r="M97" i="2" s="1"/>
  <c r="J97" i="2"/>
  <c r="L89" i="2"/>
  <c r="K89" i="2"/>
  <c r="M89" i="2" s="1"/>
  <c r="J89" i="2"/>
  <c r="L1731" i="2"/>
  <c r="K1731" i="2"/>
  <c r="M1731" i="2" s="1"/>
  <c r="J1731" i="2"/>
  <c r="L231" i="2"/>
  <c r="K231" i="2"/>
  <c r="M231" i="2" s="1"/>
  <c r="J231" i="2"/>
  <c r="L188" i="2"/>
  <c r="K188" i="2"/>
  <c r="M188" i="2" s="1"/>
  <c r="J188" i="2"/>
  <c r="L1674" i="2"/>
  <c r="K1674" i="2"/>
  <c r="M1674" i="2" s="1"/>
  <c r="J1674" i="2"/>
  <c r="L1692" i="2"/>
  <c r="K1692" i="2"/>
  <c r="M1692" i="2" s="1"/>
  <c r="J1692" i="2"/>
  <c r="L335" i="2"/>
  <c r="K335" i="2"/>
  <c r="M335" i="2" s="1"/>
  <c r="J335" i="2"/>
  <c r="L362" i="2"/>
  <c r="K362" i="2"/>
  <c r="M362" i="2" s="1"/>
  <c r="J362" i="2"/>
  <c r="L339" i="2"/>
  <c r="K339" i="2"/>
  <c r="M339" i="2" s="1"/>
  <c r="J339" i="2"/>
  <c r="L254" i="2"/>
  <c r="K254" i="2"/>
  <c r="M254" i="2" s="1"/>
  <c r="J254" i="2"/>
  <c r="L51" i="2"/>
  <c r="K51" i="2"/>
  <c r="M51" i="2" s="1"/>
  <c r="J51" i="2"/>
  <c r="L353" i="2"/>
  <c r="K353" i="2"/>
  <c r="M353" i="2" s="1"/>
  <c r="J353" i="2"/>
  <c r="L150" i="2"/>
  <c r="K150" i="2"/>
  <c r="M150" i="2" s="1"/>
  <c r="J150" i="2"/>
  <c r="L1621" i="2"/>
  <c r="K1621" i="2"/>
  <c r="M1621" i="2" s="1"/>
  <c r="J1621" i="2"/>
  <c r="L1729" i="2"/>
  <c r="K1729" i="2"/>
  <c r="M1729" i="2" s="1"/>
  <c r="J1729" i="2"/>
  <c r="L1711" i="2"/>
  <c r="K1711" i="2"/>
  <c r="M1711" i="2" s="1"/>
  <c r="J1711" i="2"/>
  <c r="L316" i="2"/>
  <c r="K316" i="2"/>
  <c r="M316" i="2" s="1"/>
  <c r="J316" i="2"/>
  <c r="L140" i="2"/>
  <c r="K140" i="2"/>
  <c r="M140" i="2" s="1"/>
  <c r="J140" i="2"/>
  <c r="L11" i="2"/>
  <c r="K11" i="2"/>
  <c r="M11" i="2" s="1"/>
  <c r="J11" i="2"/>
  <c r="L1610" i="2"/>
  <c r="K1610" i="2"/>
  <c r="M1610" i="2" s="1"/>
  <c r="J1610" i="2"/>
  <c r="L46" i="2"/>
  <c r="K46" i="2"/>
  <c r="M46" i="2" s="1"/>
  <c r="J46" i="2"/>
  <c r="L297" i="2"/>
  <c r="K297" i="2"/>
  <c r="M297" i="2" s="1"/>
  <c r="J297" i="2"/>
  <c r="L1696" i="2"/>
  <c r="K1696" i="2"/>
  <c r="M1696" i="2" s="1"/>
  <c r="J1696" i="2"/>
  <c r="L1629" i="2"/>
  <c r="K1629" i="2"/>
  <c r="M1629" i="2" s="1"/>
  <c r="J1629" i="2"/>
  <c r="L233" i="2"/>
  <c r="K233" i="2"/>
  <c r="M233" i="2" s="1"/>
  <c r="J233" i="2"/>
  <c r="L378" i="2"/>
  <c r="K378" i="2"/>
  <c r="M378" i="2" s="1"/>
  <c r="J378" i="2"/>
  <c r="L370" i="2"/>
  <c r="K370" i="2"/>
  <c r="M370" i="2" s="1"/>
  <c r="J370" i="2"/>
  <c r="L1619" i="2"/>
  <c r="K1619" i="2"/>
  <c r="M1619" i="2" s="1"/>
  <c r="J1619" i="2"/>
  <c r="L1558" i="2"/>
  <c r="K1558" i="2"/>
  <c r="M1558" i="2" s="1"/>
  <c r="J1558" i="2"/>
  <c r="L1553" i="2"/>
  <c r="K1553" i="2"/>
  <c r="M1553" i="2" s="1"/>
  <c r="J1553" i="2"/>
  <c r="L1715" i="2"/>
  <c r="K1715" i="2"/>
  <c r="M1715" i="2" s="1"/>
  <c r="J1715" i="2"/>
  <c r="L1523" i="2"/>
  <c r="K1523" i="2"/>
  <c r="M1523" i="2" s="1"/>
  <c r="J1523" i="2"/>
  <c r="L1517" i="2"/>
  <c r="K1517" i="2"/>
  <c r="M1517" i="2" s="1"/>
  <c r="J1517" i="2"/>
  <c r="L17" i="2"/>
  <c r="K17" i="2"/>
  <c r="M17" i="2" s="1"/>
  <c r="J17" i="2"/>
  <c r="L229" i="2"/>
  <c r="K229" i="2"/>
  <c r="M229" i="2" s="1"/>
  <c r="J229" i="2"/>
  <c r="L374" i="2"/>
  <c r="K374" i="2"/>
  <c r="M374" i="2" s="1"/>
  <c r="J374" i="2"/>
  <c r="L303" i="2"/>
  <c r="K303" i="2"/>
  <c r="M303" i="2" s="1"/>
  <c r="J303" i="2"/>
  <c r="L198" i="2"/>
  <c r="K198" i="2"/>
  <c r="M198" i="2" s="1"/>
  <c r="J198" i="2"/>
  <c r="L248" i="2"/>
  <c r="K248" i="2"/>
  <c r="M248" i="2" s="1"/>
  <c r="J248" i="2"/>
  <c r="L310" i="2"/>
  <c r="K310" i="2"/>
  <c r="M310" i="2" s="1"/>
  <c r="J310" i="2"/>
  <c r="L184" i="2"/>
  <c r="K184" i="2"/>
  <c r="M184" i="2" s="1"/>
  <c r="J184" i="2"/>
  <c r="L148" i="2"/>
  <c r="K148" i="2"/>
  <c r="M148" i="2" s="1"/>
  <c r="J148" i="2"/>
  <c r="L262" i="2"/>
  <c r="K262" i="2"/>
  <c r="M262" i="2" s="1"/>
  <c r="J262" i="2"/>
  <c r="L261" i="2"/>
  <c r="K261" i="2"/>
  <c r="M261" i="2" s="1"/>
  <c r="J261" i="2"/>
  <c r="L49" i="2"/>
  <c r="K49" i="2"/>
  <c r="M49" i="2" s="1"/>
  <c r="J49" i="2"/>
  <c r="L267" i="2"/>
  <c r="K267" i="2"/>
  <c r="M267" i="2" s="1"/>
  <c r="J267" i="2"/>
  <c r="L1547" i="2"/>
  <c r="K1547" i="2"/>
  <c r="M1547" i="2" s="1"/>
  <c r="J1547" i="2"/>
  <c r="L377" i="2"/>
  <c r="K377" i="2"/>
  <c r="M377" i="2" s="1"/>
  <c r="J377" i="2"/>
  <c r="L1575" i="2"/>
  <c r="K1575" i="2"/>
  <c r="M1575" i="2" s="1"/>
  <c r="J1575" i="2"/>
  <c r="L1587" i="2"/>
  <c r="K1587" i="2"/>
  <c r="M1587" i="2" s="1"/>
  <c r="J1587" i="2"/>
  <c r="L50" i="2"/>
  <c r="K50" i="2"/>
  <c r="M50" i="2" s="1"/>
  <c r="J50" i="2"/>
  <c r="L1630" i="2"/>
  <c r="K1630" i="2"/>
  <c r="M1630" i="2" s="1"/>
  <c r="J1630" i="2"/>
  <c r="L1516" i="2"/>
  <c r="K1516" i="2"/>
  <c r="M1516" i="2" s="1"/>
  <c r="J1516" i="2"/>
  <c r="L291" i="2"/>
  <c r="K291" i="2"/>
  <c r="M291" i="2" s="1"/>
  <c r="J291" i="2"/>
  <c r="L401" i="2"/>
  <c r="K401" i="2"/>
  <c r="M401" i="2" s="1"/>
  <c r="J401" i="2"/>
  <c r="L88" i="2"/>
  <c r="K88" i="2"/>
  <c r="M88" i="2" s="1"/>
  <c r="J88" i="2"/>
  <c r="L1771" i="2"/>
  <c r="K1771" i="2"/>
  <c r="M1771" i="2" s="1"/>
  <c r="J1771" i="2"/>
  <c r="L263" i="2"/>
  <c r="K263" i="2"/>
  <c r="M263" i="2" s="1"/>
  <c r="J263" i="2"/>
  <c r="L214" i="2"/>
  <c r="K214" i="2"/>
  <c r="M214" i="2" s="1"/>
  <c r="J214" i="2"/>
  <c r="L33" i="2"/>
  <c r="K33" i="2"/>
  <c r="M33" i="2" s="1"/>
  <c r="J33" i="2"/>
  <c r="L355" i="2"/>
  <c r="K355" i="2"/>
  <c r="M355" i="2" s="1"/>
  <c r="J355" i="2"/>
  <c r="L1684" i="2"/>
  <c r="K1684" i="2"/>
  <c r="M1684" i="2" s="1"/>
  <c r="J1684" i="2"/>
  <c r="L311" i="2"/>
  <c r="K311" i="2"/>
  <c r="M311" i="2" s="1"/>
  <c r="J311" i="2"/>
  <c r="L323" i="2"/>
  <c r="K323" i="2"/>
  <c r="M323" i="2" s="1"/>
  <c r="J323" i="2"/>
  <c r="L70" i="2"/>
  <c r="K70" i="2"/>
  <c r="M70" i="2" s="1"/>
  <c r="J70" i="2"/>
  <c r="L225" i="2"/>
  <c r="K225" i="2"/>
  <c r="M225" i="2" s="1"/>
  <c r="J225" i="2"/>
  <c r="L1598" i="2"/>
  <c r="K1598" i="2"/>
  <c r="M1598" i="2" s="1"/>
  <c r="J1598" i="2"/>
  <c r="L1653" i="2"/>
  <c r="K1653" i="2"/>
  <c r="M1653" i="2" s="1"/>
  <c r="J1653" i="2"/>
  <c r="L1585" i="2"/>
  <c r="K1585" i="2"/>
  <c r="M1585" i="2" s="1"/>
  <c r="J1585" i="2"/>
  <c r="L1596" i="2"/>
  <c r="K1596" i="2"/>
  <c r="M1596" i="2" s="1"/>
  <c r="J1596" i="2"/>
  <c r="L1700" i="2"/>
  <c r="K1700" i="2"/>
  <c r="M1700" i="2" s="1"/>
  <c r="J1700" i="2"/>
  <c r="L45" i="2"/>
  <c r="K45" i="2"/>
  <c r="M45" i="2" s="1"/>
  <c r="J45" i="2"/>
  <c r="L260" i="2"/>
  <c r="K260" i="2"/>
  <c r="M260" i="2" s="1"/>
  <c r="J260" i="2"/>
  <c r="L158" i="2"/>
  <c r="K158" i="2"/>
  <c r="M158" i="2" s="1"/>
  <c r="J158" i="2"/>
  <c r="L361" i="2"/>
  <c r="K361" i="2"/>
  <c r="M361" i="2" s="1"/>
  <c r="J361" i="2"/>
  <c r="L281" i="2"/>
  <c r="K281" i="2"/>
  <c r="M281" i="2" s="1"/>
  <c r="J281" i="2"/>
  <c r="L403" i="2"/>
  <c r="K403" i="2"/>
  <c r="M403" i="2" s="1"/>
  <c r="J403" i="2"/>
  <c r="L215" i="2"/>
  <c r="K215" i="2"/>
  <c r="M215" i="2" s="1"/>
  <c r="J215" i="2"/>
  <c r="L1735" i="2"/>
  <c r="K1735" i="2"/>
  <c r="M1735" i="2" s="1"/>
  <c r="J1735" i="2"/>
  <c r="L53" i="2"/>
  <c r="K53" i="2"/>
  <c r="M53" i="2" s="1"/>
  <c r="J53" i="2"/>
  <c r="L385" i="2"/>
  <c r="K385" i="2"/>
  <c r="M385" i="2" s="1"/>
  <c r="J385" i="2"/>
  <c r="L120" i="2"/>
  <c r="K120" i="2"/>
  <c r="M120" i="2" s="1"/>
  <c r="J120" i="2"/>
  <c r="L76" i="2"/>
  <c r="K76" i="2"/>
  <c r="M76" i="2" s="1"/>
  <c r="J76" i="2"/>
  <c r="L168" i="2"/>
  <c r="K168" i="2"/>
  <c r="M168" i="2" s="1"/>
  <c r="J168" i="2"/>
  <c r="L332" i="2"/>
  <c r="K332" i="2"/>
  <c r="M332" i="2" s="1"/>
  <c r="J332" i="2"/>
  <c r="L1561" i="2"/>
  <c r="K1561" i="2"/>
  <c r="M1561" i="2" s="1"/>
  <c r="J1561" i="2"/>
  <c r="L175" i="2"/>
  <c r="K175" i="2"/>
  <c r="M175" i="2" s="1"/>
  <c r="J175" i="2"/>
  <c r="L1549" i="2"/>
  <c r="K1549" i="2"/>
  <c r="M1549" i="2" s="1"/>
  <c r="J1549" i="2"/>
  <c r="L1543" i="2"/>
  <c r="K1543" i="2"/>
  <c r="M1543" i="2" s="1"/>
  <c r="J1543" i="2"/>
  <c r="L1530" i="2"/>
  <c r="K1530" i="2"/>
  <c r="M1530" i="2" s="1"/>
  <c r="J1530" i="2"/>
  <c r="L331" i="2"/>
  <c r="K331" i="2"/>
  <c r="M331" i="2" s="1"/>
  <c r="J331" i="2"/>
  <c r="L205" i="2"/>
  <c r="K205" i="2"/>
  <c r="M205" i="2" s="1"/>
  <c r="J205" i="2"/>
  <c r="L1556" i="2"/>
  <c r="K1556" i="2"/>
  <c r="M1556" i="2" s="1"/>
  <c r="J1556" i="2"/>
  <c r="L1632" i="2"/>
  <c r="K1632" i="2"/>
  <c r="M1632" i="2" s="1"/>
  <c r="J1632" i="2"/>
  <c r="L1640" i="2"/>
  <c r="K1640" i="2"/>
  <c r="M1640" i="2" s="1"/>
  <c r="J1640" i="2"/>
  <c r="L21" i="2"/>
  <c r="K21" i="2"/>
  <c r="M21" i="2" s="1"/>
  <c r="J21" i="2"/>
  <c r="L64" i="2"/>
  <c r="K64" i="2"/>
  <c r="M64" i="2" s="1"/>
  <c r="J64" i="2"/>
  <c r="L206" i="2"/>
  <c r="K206" i="2"/>
  <c r="M206" i="2" s="1"/>
  <c r="J206" i="2"/>
  <c r="L306" i="2"/>
  <c r="K306" i="2"/>
  <c r="M306" i="2" s="1"/>
  <c r="J306" i="2"/>
  <c r="L1761" i="2"/>
  <c r="K1761" i="2"/>
  <c r="M1761" i="2" s="1"/>
  <c r="J1761" i="2"/>
  <c r="L1744" i="2"/>
  <c r="K1744" i="2"/>
  <c r="M1744" i="2" s="1"/>
  <c r="J1744" i="2"/>
  <c r="L1747" i="2"/>
  <c r="K1747" i="2"/>
  <c r="M1747" i="2" s="1"/>
  <c r="J1747" i="2"/>
  <c r="L1568" i="2"/>
  <c r="K1568" i="2"/>
  <c r="M1568" i="2" s="1"/>
  <c r="J1568" i="2"/>
  <c r="L1762" i="2"/>
  <c r="K1762" i="2"/>
  <c r="M1762" i="2" s="1"/>
  <c r="J1762" i="2"/>
  <c r="L1754" i="2"/>
  <c r="K1754" i="2"/>
  <c r="M1754" i="2" s="1"/>
  <c r="J1754" i="2"/>
  <c r="L1600" i="2"/>
  <c r="K1600" i="2"/>
  <c r="M1600" i="2" s="1"/>
  <c r="J1600" i="2"/>
  <c r="L1745" i="2"/>
  <c r="K1745" i="2"/>
  <c r="M1745" i="2" s="1"/>
  <c r="J1745" i="2"/>
  <c r="L1764" i="2"/>
  <c r="K1764" i="2"/>
  <c r="M1764" i="2" s="1"/>
  <c r="J1764" i="2"/>
  <c r="L290" i="2"/>
  <c r="K290" i="2"/>
  <c r="M290" i="2" s="1"/>
  <c r="J290" i="2"/>
  <c r="L1820" i="2"/>
  <c r="K1820" i="2"/>
  <c r="M1820" i="2" s="1"/>
  <c r="J1820" i="2"/>
  <c r="L1809" i="2"/>
  <c r="K1809" i="2"/>
  <c r="M1809" i="2" s="1"/>
  <c r="J1809" i="2"/>
  <c r="L1823" i="2"/>
  <c r="K1823" i="2"/>
  <c r="M1823" i="2" s="1"/>
  <c r="J1823" i="2"/>
  <c r="L1788" i="2"/>
  <c r="K1788" i="2"/>
  <c r="M1788" i="2" s="1"/>
  <c r="J1788" i="2"/>
  <c r="L1829" i="2"/>
  <c r="K1829" i="2"/>
  <c r="M1829" i="2" s="1"/>
  <c r="J1829" i="2"/>
  <c r="L1795" i="2"/>
  <c r="K1795" i="2"/>
  <c r="M1795" i="2" s="1"/>
  <c r="J1795" i="2"/>
  <c r="L1800" i="2"/>
  <c r="K1800" i="2"/>
  <c r="M1800" i="2" s="1"/>
  <c r="J1800" i="2"/>
  <c r="L1776" i="2"/>
  <c r="K1776" i="2"/>
  <c r="M1776" i="2" s="1"/>
  <c r="J1776" i="2"/>
  <c r="L1784" i="2"/>
  <c r="K1784" i="2"/>
  <c r="M1784" i="2" s="1"/>
  <c r="J1784" i="2"/>
  <c r="L182" i="2"/>
  <c r="K182" i="2"/>
  <c r="M182" i="2" s="1"/>
  <c r="J182" i="2"/>
  <c r="L1721" i="2"/>
  <c r="K1721" i="2"/>
  <c r="M1721" i="2" s="1"/>
  <c r="J1721" i="2"/>
  <c r="L266" i="2"/>
  <c r="K266" i="2"/>
  <c r="M266" i="2" s="1"/>
  <c r="J266" i="2"/>
  <c r="L341" i="2"/>
  <c r="K341" i="2"/>
  <c r="M341" i="2" s="1"/>
  <c r="J341" i="2"/>
  <c r="L66" i="2"/>
  <c r="K66" i="2"/>
  <c r="M66" i="2" s="1"/>
  <c r="J66" i="2"/>
  <c r="L44" i="2"/>
  <c r="K44" i="2"/>
  <c r="M44" i="2" s="1"/>
  <c r="J44" i="2"/>
  <c r="L67" i="2"/>
  <c r="K67" i="2"/>
  <c r="M67" i="2" s="1"/>
  <c r="J67" i="2"/>
  <c r="L19" i="2"/>
  <c r="K19" i="2"/>
  <c r="M19" i="2" s="1"/>
  <c r="J19" i="2"/>
  <c r="L37" i="2"/>
  <c r="K37" i="2"/>
  <c r="M37" i="2" s="1"/>
  <c r="J37" i="2"/>
  <c r="L119" i="2"/>
  <c r="K119" i="2"/>
  <c r="M119" i="2" s="1"/>
  <c r="J119" i="2"/>
  <c r="L58" i="2"/>
  <c r="K58" i="2"/>
  <c r="M58" i="2" s="1"/>
  <c r="J58" i="2"/>
  <c r="L230" i="2"/>
  <c r="K230" i="2"/>
  <c r="M230" i="2" s="1"/>
  <c r="J230" i="2"/>
  <c r="L107" i="2"/>
  <c r="K107" i="2"/>
  <c r="M107" i="2" s="1"/>
  <c r="J107" i="2"/>
  <c r="L32" i="2"/>
  <c r="K32" i="2"/>
  <c r="M32" i="2" s="1"/>
  <c r="J32" i="2"/>
  <c r="L71" i="2"/>
  <c r="K71" i="2"/>
  <c r="M71" i="2" s="1"/>
  <c r="J71" i="2"/>
  <c r="L9" i="2"/>
  <c r="K9" i="2"/>
  <c r="M9" i="2" s="1"/>
  <c r="J9" i="2"/>
  <c r="L181" i="2"/>
  <c r="K181" i="2"/>
  <c r="M181" i="2" s="1"/>
  <c r="J181" i="2"/>
  <c r="L200" i="2"/>
  <c r="K200" i="2"/>
  <c r="M200" i="2" s="1"/>
  <c r="J200" i="2"/>
  <c r="L342" i="2"/>
  <c r="K342" i="2"/>
  <c r="M342" i="2" s="1"/>
  <c r="J342" i="2"/>
  <c r="L127" i="2"/>
  <c r="K127" i="2"/>
  <c r="M127" i="2" s="1"/>
  <c r="J127" i="2"/>
  <c r="L173" i="2"/>
  <c r="K173" i="2"/>
  <c r="M173" i="2" s="1"/>
  <c r="J173" i="2"/>
  <c r="L141" i="2"/>
  <c r="K141" i="2"/>
  <c r="M141" i="2" s="1"/>
  <c r="J141" i="2"/>
  <c r="L352" i="2"/>
  <c r="K352" i="2"/>
  <c r="M352" i="2" s="1"/>
  <c r="J352" i="2"/>
  <c r="L1663" i="2"/>
  <c r="K1663" i="2"/>
  <c r="M1663" i="2" s="1"/>
  <c r="J1663" i="2"/>
  <c r="L393" i="2"/>
  <c r="K393" i="2"/>
  <c r="M393" i="2" s="1"/>
  <c r="J393" i="2"/>
  <c r="L382" i="2"/>
  <c r="K382" i="2"/>
  <c r="M382" i="2" s="1"/>
  <c r="J382" i="2"/>
  <c r="L372" i="2"/>
  <c r="K372" i="2"/>
  <c r="M372" i="2" s="1"/>
  <c r="J372" i="2"/>
  <c r="L1676" i="2"/>
  <c r="K1676" i="2"/>
  <c r="M1676" i="2" s="1"/>
  <c r="J1676" i="2"/>
  <c r="L83" i="2"/>
  <c r="K83" i="2"/>
  <c r="M83" i="2" s="1"/>
  <c r="J83" i="2"/>
  <c r="L1644" i="2"/>
  <c r="K1644" i="2"/>
  <c r="M1644" i="2" s="1"/>
  <c r="J1644" i="2"/>
  <c r="L1603" i="2"/>
  <c r="K1603" i="2"/>
  <c r="M1603" i="2" s="1"/>
  <c r="J1603" i="2"/>
  <c r="L1613" i="2"/>
  <c r="K1613" i="2"/>
  <c r="M1613" i="2" s="1"/>
  <c r="J1613" i="2"/>
  <c r="L164" i="2"/>
  <c r="K164" i="2"/>
  <c r="M164" i="2" s="1"/>
  <c r="J164" i="2"/>
  <c r="L1682" i="2"/>
  <c r="K1682" i="2"/>
  <c r="M1682" i="2" s="1"/>
  <c r="J1682" i="2"/>
  <c r="L1552" i="2"/>
  <c r="K1552" i="2"/>
  <c r="M1552" i="2" s="1"/>
  <c r="J1552" i="2"/>
  <c r="L68" i="2"/>
  <c r="K68" i="2"/>
  <c r="M68" i="2" s="1"/>
  <c r="J68" i="2"/>
  <c r="L1691" i="2"/>
  <c r="K1691" i="2"/>
  <c r="M1691" i="2" s="1"/>
  <c r="J1691" i="2"/>
  <c r="L55" i="2"/>
  <c r="K55" i="2"/>
  <c r="M55" i="2" s="1"/>
  <c r="J55" i="2"/>
  <c r="L187" i="2"/>
  <c r="K187" i="2"/>
  <c r="M187" i="2" s="1"/>
  <c r="J187" i="2"/>
  <c r="L162" i="2"/>
  <c r="K162" i="2"/>
  <c r="M162" i="2" s="1"/>
  <c r="J162" i="2"/>
  <c r="L391" i="2"/>
  <c r="K391" i="2"/>
  <c r="M391" i="2" s="1"/>
  <c r="J391" i="2"/>
  <c r="L22" i="2"/>
  <c r="K22" i="2"/>
  <c r="M22" i="2" s="1"/>
  <c r="J22" i="2"/>
  <c r="L1548" i="2"/>
  <c r="K1548" i="2"/>
  <c r="M1548" i="2" s="1"/>
  <c r="J1548" i="2"/>
  <c r="L1563" i="2"/>
  <c r="K1563" i="2"/>
  <c r="M1563" i="2" s="1"/>
  <c r="J1563" i="2"/>
  <c r="L1538" i="2"/>
  <c r="K1538" i="2"/>
  <c r="M1538" i="2" s="1"/>
  <c r="J1538" i="2"/>
  <c r="L348" i="2"/>
  <c r="K348" i="2"/>
  <c r="M348" i="2" s="1"/>
  <c r="J348" i="2"/>
  <c r="L152" i="2"/>
  <c r="K152" i="2"/>
  <c r="M152" i="2" s="1"/>
  <c r="J152" i="2"/>
  <c r="L327" i="2"/>
  <c r="K327" i="2"/>
  <c r="M327" i="2" s="1"/>
  <c r="J327" i="2"/>
  <c r="L1646" i="2"/>
  <c r="K1646" i="2"/>
  <c r="M1646" i="2" s="1"/>
  <c r="J1646" i="2"/>
  <c r="L1681" i="2"/>
  <c r="K1681" i="2"/>
  <c r="M1681" i="2" s="1"/>
  <c r="J1681" i="2"/>
  <c r="L1633" i="2"/>
  <c r="K1633" i="2"/>
  <c r="M1633" i="2" s="1"/>
  <c r="J1633" i="2"/>
  <c r="L1699" i="2"/>
  <c r="K1699" i="2"/>
  <c r="M1699" i="2" s="1"/>
  <c r="J1699" i="2"/>
  <c r="L192" i="2"/>
  <c r="K192" i="2"/>
  <c r="M192" i="2" s="1"/>
  <c r="J192" i="2"/>
  <c r="L400" i="2"/>
  <c r="K400" i="2"/>
  <c r="M400" i="2" s="1"/>
  <c r="J400" i="2"/>
  <c r="L392" i="2"/>
  <c r="K392" i="2"/>
  <c r="M392" i="2" s="1"/>
  <c r="J392" i="2"/>
  <c r="L279" i="2"/>
  <c r="K279" i="2"/>
  <c r="M279" i="2" s="1"/>
  <c r="J279" i="2"/>
  <c r="L354" i="2"/>
  <c r="K354" i="2"/>
  <c r="M354" i="2" s="1"/>
  <c r="J354" i="2"/>
  <c r="L338" i="2"/>
  <c r="K338" i="2"/>
  <c r="M338" i="2" s="1"/>
  <c r="J338" i="2"/>
  <c r="L1606" i="2"/>
  <c r="K1606" i="2"/>
  <c r="M1606" i="2" s="1"/>
  <c r="J1606" i="2"/>
  <c r="L389" i="2"/>
  <c r="K389" i="2"/>
  <c r="M389" i="2" s="1"/>
  <c r="J389" i="2"/>
  <c r="L251" i="2"/>
  <c r="K251" i="2"/>
  <c r="M251" i="2" s="1"/>
  <c r="J251" i="2"/>
  <c r="L1594" i="2"/>
  <c r="K1594" i="2"/>
  <c r="M1594" i="2" s="1"/>
  <c r="J1594" i="2"/>
  <c r="L1607" i="2"/>
  <c r="K1607" i="2"/>
  <c r="M1607" i="2" s="1"/>
  <c r="J1607" i="2"/>
  <c r="L383" i="2"/>
  <c r="K383" i="2"/>
  <c r="M383" i="2" s="1"/>
  <c r="J383" i="2"/>
  <c r="L1590" i="2"/>
  <c r="K1590" i="2"/>
  <c r="M1590" i="2" s="1"/>
  <c r="J1590" i="2"/>
  <c r="L1669" i="2"/>
  <c r="K1669" i="2"/>
  <c r="M1669" i="2" s="1"/>
  <c r="J1669" i="2"/>
  <c r="L1712" i="2"/>
  <c r="K1712" i="2"/>
  <c r="M1712" i="2" s="1"/>
  <c r="J1712" i="2"/>
  <c r="L121" i="2"/>
  <c r="K121" i="2"/>
  <c r="M121" i="2" s="1"/>
  <c r="J121" i="2"/>
  <c r="L1605" i="2"/>
  <c r="K1605" i="2"/>
  <c r="M1605" i="2" s="1"/>
  <c r="J1605" i="2"/>
  <c r="L1634" i="2"/>
  <c r="K1634" i="2"/>
  <c r="M1634" i="2" s="1"/>
  <c r="J1634" i="2"/>
  <c r="L1724" i="2"/>
  <c r="K1724" i="2"/>
  <c r="M1724" i="2" s="1"/>
  <c r="J1724" i="2"/>
  <c r="L1705" i="2"/>
  <c r="K1705" i="2"/>
  <c r="M1705" i="2" s="1"/>
  <c r="J1705" i="2"/>
  <c r="L1545" i="2"/>
  <c r="K1545" i="2"/>
  <c r="M1545" i="2" s="1"/>
  <c r="J1545" i="2"/>
  <c r="L1572" i="2"/>
  <c r="K1572" i="2"/>
  <c r="M1572" i="2" s="1"/>
  <c r="J1572" i="2"/>
  <c r="L1580" i="2"/>
  <c r="K1580" i="2"/>
  <c r="M1580" i="2" s="1"/>
  <c r="J1580" i="2"/>
  <c r="L1527" i="2"/>
  <c r="K1527" i="2"/>
  <c r="M1527" i="2" s="1"/>
  <c r="J1527" i="2"/>
  <c r="L1688" i="2"/>
  <c r="K1688" i="2"/>
  <c r="M1688" i="2" s="1"/>
  <c r="J1688" i="2"/>
  <c r="L1524" i="2"/>
  <c r="K1524" i="2"/>
  <c r="M1524" i="2" s="1"/>
  <c r="J1524" i="2"/>
  <c r="L134" i="2"/>
  <c r="K134" i="2"/>
  <c r="M134" i="2" s="1"/>
  <c r="J134" i="2"/>
  <c r="L167" i="2"/>
  <c r="K167" i="2"/>
  <c r="M167" i="2" s="1"/>
  <c r="J167" i="2"/>
  <c r="L185" i="2"/>
  <c r="K185" i="2"/>
  <c r="M185" i="2" s="1"/>
  <c r="J185" i="2"/>
  <c r="L47" i="2"/>
  <c r="K47" i="2"/>
  <c r="M47" i="2" s="1"/>
  <c r="J47" i="2"/>
  <c r="L103" i="2"/>
  <c r="K103" i="2"/>
  <c r="M103" i="2" s="1"/>
  <c r="J103" i="2"/>
  <c r="L313" i="2"/>
  <c r="K313" i="2"/>
  <c r="M313" i="2" s="1"/>
  <c r="J313" i="2"/>
  <c r="L1701" i="2"/>
  <c r="K1701" i="2"/>
  <c r="M1701" i="2" s="1"/>
  <c r="J1701" i="2"/>
  <c r="L1618" i="2"/>
  <c r="K1618" i="2"/>
  <c r="M1618" i="2" s="1"/>
  <c r="J1618" i="2"/>
  <c r="L1661" i="2"/>
  <c r="K1661" i="2"/>
  <c r="M1661" i="2" s="1"/>
  <c r="J1661" i="2"/>
  <c r="L1615" i="2"/>
  <c r="K1615" i="2"/>
  <c r="M1615" i="2" s="1"/>
  <c r="J1615" i="2"/>
  <c r="L1654" i="2"/>
  <c r="K1654" i="2"/>
  <c r="M1654" i="2" s="1"/>
  <c r="J1654" i="2"/>
  <c r="L294" i="2"/>
  <c r="K294" i="2"/>
  <c r="M294" i="2" s="1"/>
  <c r="J294" i="2"/>
  <c r="L1614" i="2"/>
  <c r="K1614" i="2"/>
  <c r="M1614" i="2" s="1"/>
  <c r="J1614" i="2"/>
  <c r="L1525" i="2"/>
  <c r="K1525" i="2"/>
  <c r="M1525" i="2" s="1"/>
  <c r="J1525" i="2"/>
  <c r="L1718" i="2"/>
  <c r="K1718" i="2"/>
  <c r="M1718" i="2" s="1"/>
  <c r="J1718" i="2"/>
  <c r="L1597" i="2"/>
  <c r="K1597" i="2"/>
  <c r="M1597" i="2" s="1"/>
  <c r="J1597" i="2"/>
  <c r="L1672" i="2"/>
  <c r="K1672" i="2"/>
  <c r="M1672" i="2" s="1"/>
  <c r="J1672" i="2"/>
  <c r="L1664" i="2"/>
  <c r="K1664" i="2"/>
  <c r="M1664" i="2" s="1"/>
  <c r="J1664" i="2"/>
  <c r="L1716" i="2"/>
  <c r="K1716" i="2"/>
  <c r="M1716" i="2" s="1"/>
  <c r="J1716" i="2"/>
  <c r="L102" i="2"/>
  <c r="K102" i="2"/>
  <c r="M102" i="2" s="1"/>
  <c r="J102" i="2"/>
  <c r="L314" i="2"/>
  <c r="K314" i="2"/>
  <c r="M314" i="2" s="1"/>
  <c r="J314" i="2"/>
  <c r="L390" i="2"/>
  <c r="K390" i="2"/>
  <c r="M390" i="2" s="1"/>
  <c r="J390" i="2"/>
  <c r="L190" i="2"/>
  <c r="K190" i="2"/>
  <c r="M190" i="2" s="1"/>
  <c r="J190" i="2"/>
  <c r="L368" i="2"/>
  <c r="K368" i="2"/>
  <c r="M368" i="2" s="1"/>
  <c r="J368" i="2"/>
  <c r="L334" i="2"/>
  <c r="K334" i="2"/>
  <c r="M334" i="2" s="1"/>
  <c r="J334" i="2"/>
  <c r="L253" i="2"/>
  <c r="K253" i="2"/>
  <c r="M253" i="2" s="1"/>
  <c r="J253" i="2"/>
  <c r="L358" i="2"/>
  <c r="K358" i="2"/>
  <c r="M358" i="2" s="1"/>
  <c r="J358" i="2"/>
  <c r="L384" i="2"/>
  <c r="K384" i="2"/>
  <c r="M384" i="2" s="1"/>
  <c r="J384" i="2"/>
  <c r="L36" i="2"/>
  <c r="K36" i="2"/>
  <c r="M36" i="2" s="1"/>
  <c r="J36" i="2"/>
  <c r="L1685" i="2"/>
  <c r="K1685" i="2"/>
  <c r="M1685" i="2" s="1"/>
  <c r="J1685" i="2"/>
  <c r="L1703" i="2"/>
  <c r="K1703" i="2"/>
  <c r="M1703" i="2" s="1"/>
  <c r="J1703" i="2"/>
  <c r="L345" i="2"/>
  <c r="K345" i="2"/>
  <c r="M345" i="2" s="1"/>
  <c r="J345" i="2"/>
  <c r="L379" i="2"/>
  <c r="K379" i="2"/>
  <c r="M379" i="2" s="1"/>
  <c r="J379" i="2"/>
  <c r="L398" i="2"/>
  <c r="K398" i="2"/>
  <c r="M398" i="2" s="1"/>
  <c r="J398" i="2"/>
  <c r="L1591" i="2"/>
  <c r="K1591" i="2"/>
  <c r="M1591" i="2" s="1"/>
  <c r="J1591" i="2"/>
  <c r="L155" i="2"/>
  <c r="K155" i="2"/>
  <c r="M155" i="2" s="1"/>
  <c r="J155" i="2"/>
  <c r="L324" i="2"/>
  <c r="K324" i="2"/>
  <c r="M324" i="2" s="1"/>
  <c r="J324" i="2"/>
  <c r="L1540" i="2"/>
  <c r="K1540" i="2"/>
  <c r="M1540" i="2" s="1"/>
  <c r="J1540" i="2"/>
  <c r="L1537" i="2"/>
  <c r="K1537" i="2"/>
  <c r="M1537" i="2" s="1"/>
  <c r="J1537" i="2"/>
  <c r="L312" i="2"/>
  <c r="K312" i="2"/>
  <c r="M312" i="2" s="1"/>
  <c r="J312" i="2"/>
  <c r="L204" i="2"/>
  <c r="K204" i="2"/>
  <c r="M204" i="2" s="1"/>
  <c r="J204" i="2"/>
  <c r="L171" i="2"/>
  <c r="K171" i="2"/>
  <c r="M171" i="2" s="1"/>
  <c r="J171" i="2"/>
  <c r="L142" i="2"/>
  <c r="K142" i="2"/>
  <c r="M142" i="2" s="1"/>
  <c r="J142" i="2"/>
  <c r="L277" i="2"/>
  <c r="K277" i="2"/>
  <c r="M277" i="2" s="1"/>
  <c r="J277" i="2"/>
  <c r="L998" i="2"/>
  <c r="K998" i="2"/>
  <c r="M998" i="2" s="1"/>
  <c r="J998" i="2"/>
  <c r="L798" i="2"/>
  <c r="K798" i="2"/>
  <c r="M798" i="2" s="1"/>
  <c r="J798" i="2"/>
  <c r="L727" i="2"/>
  <c r="K727" i="2"/>
  <c r="M727" i="2" s="1"/>
  <c r="J727" i="2"/>
  <c r="L895" i="2"/>
  <c r="K895" i="2"/>
  <c r="M895" i="2" s="1"/>
  <c r="J895" i="2"/>
  <c r="L851" i="2"/>
  <c r="K851" i="2"/>
  <c r="M851" i="2" s="1"/>
  <c r="J851" i="2"/>
  <c r="L1016" i="2"/>
  <c r="K1016" i="2"/>
  <c r="M1016" i="2" s="1"/>
  <c r="J1016" i="2"/>
  <c r="L597" i="2"/>
  <c r="K597" i="2"/>
  <c r="M597" i="2" s="1"/>
  <c r="J597" i="2"/>
  <c r="L627" i="2"/>
  <c r="K627" i="2"/>
  <c r="M627" i="2" s="1"/>
  <c r="J627" i="2"/>
  <c r="L1074" i="2"/>
  <c r="K1074" i="2"/>
  <c r="M1074" i="2" s="1"/>
  <c r="J1074" i="2"/>
  <c r="L748" i="2"/>
  <c r="K748" i="2"/>
  <c r="M748" i="2" s="1"/>
  <c r="J748" i="2"/>
  <c r="L1510" i="2"/>
  <c r="K1510" i="2"/>
  <c r="M1510" i="2" s="1"/>
  <c r="J1510" i="2"/>
  <c r="L904" i="2"/>
  <c r="K904" i="2"/>
  <c r="M904" i="2" s="1"/>
  <c r="J904" i="2"/>
  <c r="L621" i="2"/>
  <c r="K621" i="2"/>
  <c r="M621" i="2" s="1"/>
  <c r="J621" i="2"/>
  <c r="L652" i="2"/>
  <c r="K652" i="2"/>
  <c r="M652" i="2" s="1"/>
  <c r="J652" i="2"/>
  <c r="L1388" i="2"/>
  <c r="K1388" i="2"/>
  <c r="M1388" i="2" s="1"/>
  <c r="J1388" i="2"/>
  <c r="L1452" i="2"/>
  <c r="K1452" i="2"/>
  <c r="M1452" i="2" s="1"/>
  <c r="J1452" i="2"/>
  <c r="L1405" i="2"/>
  <c r="K1405" i="2"/>
  <c r="M1405" i="2" s="1"/>
  <c r="J1405" i="2"/>
  <c r="L1439" i="2"/>
  <c r="K1439" i="2"/>
  <c r="M1439" i="2" s="1"/>
  <c r="J1439" i="2"/>
  <c r="L1375" i="2"/>
  <c r="K1375" i="2"/>
  <c r="M1375" i="2" s="1"/>
  <c r="J1375" i="2"/>
  <c r="L838" i="2"/>
  <c r="K838" i="2"/>
  <c r="M838" i="2" s="1"/>
  <c r="J838" i="2"/>
  <c r="L931" i="2"/>
  <c r="K931" i="2"/>
  <c r="M931" i="2" s="1"/>
  <c r="J931" i="2"/>
  <c r="L1035" i="2"/>
  <c r="K1035" i="2"/>
  <c r="M1035" i="2" s="1"/>
  <c r="J1035" i="2"/>
  <c r="L1073" i="2"/>
  <c r="K1073" i="2"/>
  <c r="M1073" i="2" s="1"/>
  <c r="J1073" i="2"/>
  <c r="L978" i="2"/>
  <c r="K978" i="2"/>
  <c r="M978" i="2" s="1"/>
  <c r="J978" i="2"/>
  <c r="L873" i="2"/>
  <c r="K873" i="2"/>
  <c r="M873" i="2" s="1"/>
  <c r="J873" i="2"/>
  <c r="L988" i="2"/>
  <c r="K988" i="2"/>
  <c r="M988" i="2" s="1"/>
  <c r="J988" i="2"/>
  <c r="L1057" i="2"/>
  <c r="K1057" i="2"/>
  <c r="M1057" i="2" s="1"/>
  <c r="J1057" i="2"/>
  <c r="L1099" i="2"/>
  <c r="K1099" i="2"/>
  <c r="M1099" i="2" s="1"/>
  <c r="J1099" i="2"/>
  <c r="L885" i="2"/>
  <c r="K885" i="2"/>
  <c r="M885" i="2" s="1"/>
  <c r="J885" i="2"/>
  <c r="L887" i="2"/>
  <c r="K887" i="2"/>
  <c r="M887" i="2" s="1"/>
  <c r="J887" i="2"/>
  <c r="L1353" i="2"/>
  <c r="K1353" i="2"/>
  <c r="M1353" i="2" s="1"/>
  <c r="J1353" i="2"/>
  <c r="L420" i="2"/>
  <c r="K420" i="2"/>
  <c r="M420" i="2" s="1"/>
  <c r="J420" i="2"/>
  <c r="L1110" i="2"/>
  <c r="K1110" i="2"/>
  <c r="M1110" i="2" s="1"/>
  <c r="J1110" i="2"/>
  <c r="L519" i="2"/>
  <c r="K519" i="2"/>
  <c r="M519" i="2" s="1"/>
  <c r="J519" i="2"/>
  <c r="L816" i="2"/>
  <c r="K816" i="2"/>
  <c r="M816" i="2" s="1"/>
  <c r="J816" i="2"/>
  <c r="L602" i="2"/>
  <c r="K602" i="2"/>
  <c r="M602" i="2" s="1"/>
  <c r="J602" i="2"/>
  <c r="L483" i="2"/>
  <c r="K483" i="2"/>
  <c r="M483" i="2" s="1"/>
  <c r="J483" i="2"/>
  <c r="L423" i="2"/>
  <c r="K423" i="2"/>
  <c r="M423" i="2" s="1"/>
  <c r="J423" i="2"/>
  <c r="L470" i="2"/>
  <c r="K470" i="2"/>
  <c r="M470" i="2" s="1"/>
  <c r="J470" i="2"/>
  <c r="L438" i="2"/>
  <c r="K438" i="2"/>
  <c r="M438" i="2" s="1"/>
  <c r="J438" i="2"/>
  <c r="L622" i="2"/>
  <c r="K622" i="2"/>
  <c r="M622" i="2" s="1"/>
  <c r="J622" i="2"/>
  <c r="L1444" i="2"/>
  <c r="K1444" i="2"/>
  <c r="M1444" i="2" s="1"/>
  <c r="J1444" i="2"/>
  <c r="L1370" i="2"/>
  <c r="K1370" i="2"/>
  <c r="M1370" i="2" s="1"/>
  <c r="J1370" i="2"/>
  <c r="L1320" i="2"/>
  <c r="K1320" i="2"/>
  <c r="M1320" i="2" s="1"/>
  <c r="J1320" i="2"/>
  <c r="L1331" i="2"/>
  <c r="K1331" i="2"/>
  <c r="M1331" i="2" s="1"/>
  <c r="J1331" i="2"/>
  <c r="L1289" i="2"/>
  <c r="K1289" i="2"/>
  <c r="M1289" i="2" s="1"/>
  <c r="J1289" i="2"/>
  <c r="L1287" i="2"/>
  <c r="K1287" i="2"/>
  <c r="M1287" i="2" s="1"/>
  <c r="J1287" i="2"/>
  <c r="L800" i="2"/>
  <c r="K800" i="2"/>
  <c r="M800" i="2" s="1"/>
  <c r="J800" i="2"/>
  <c r="L769" i="2"/>
  <c r="K769" i="2"/>
  <c r="M769" i="2" s="1"/>
  <c r="J769" i="2"/>
  <c r="L1408" i="2"/>
  <c r="K1408" i="2"/>
  <c r="M1408" i="2" s="1"/>
  <c r="J1408" i="2"/>
  <c r="L487" i="2"/>
  <c r="K487" i="2"/>
  <c r="M487" i="2" s="1"/>
  <c r="J487" i="2"/>
  <c r="L1381" i="2"/>
  <c r="K1381" i="2"/>
  <c r="M1381" i="2" s="1"/>
  <c r="J1381" i="2"/>
  <c r="L451" i="2"/>
  <c r="K451" i="2"/>
  <c r="M451" i="2" s="1"/>
  <c r="J451" i="2"/>
  <c r="L1266" i="2"/>
  <c r="K1266" i="2"/>
  <c r="M1266" i="2" s="1"/>
  <c r="J1266" i="2"/>
  <c r="L1450" i="2"/>
  <c r="K1450" i="2"/>
  <c r="M1450" i="2" s="1"/>
  <c r="J1450" i="2"/>
  <c r="L1414" i="2"/>
  <c r="K1414" i="2"/>
  <c r="M1414" i="2" s="1"/>
  <c r="J1414" i="2"/>
  <c r="L1372" i="2"/>
  <c r="K1372" i="2"/>
  <c r="M1372" i="2" s="1"/>
  <c r="J1372" i="2"/>
  <c r="L1436" i="2"/>
  <c r="K1436" i="2"/>
  <c r="M1436" i="2" s="1"/>
  <c r="J1436" i="2"/>
  <c r="L411" i="2"/>
  <c r="K411" i="2"/>
  <c r="M411" i="2" s="1"/>
  <c r="J411" i="2"/>
  <c r="L1273" i="2"/>
  <c r="K1273" i="2"/>
  <c r="M1273" i="2" s="1"/>
  <c r="J1273" i="2"/>
  <c r="L875" i="2"/>
  <c r="K875" i="2"/>
  <c r="M875" i="2" s="1"/>
  <c r="J875" i="2"/>
  <c r="L529" i="2"/>
  <c r="K529" i="2"/>
  <c r="M529" i="2" s="1"/>
  <c r="J529" i="2"/>
  <c r="L434" i="2"/>
  <c r="K434" i="2"/>
  <c r="M434" i="2" s="1"/>
  <c r="J434" i="2"/>
  <c r="L835" i="2"/>
  <c r="K835" i="2"/>
  <c r="M835" i="2" s="1"/>
  <c r="J835" i="2"/>
  <c r="L660" i="2"/>
  <c r="K660" i="2"/>
  <c r="M660" i="2" s="1"/>
  <c r="J660" i="2"/>
  <c r="L1015" i="2"/>
  <c r="K1015" i="2"/>
  <c r="M1015" i="2" s="1"/>
  <c r="J1015" i="2"/>
  <c r="L427" i="2"/>
  <c r="K427" i="2"/>
  <c r="M427" i="2" s="1"/>
  <c r="J427" i="2"/>
  <c r="L911" i="2"/>
  <c r="K911" i="2"/>
  <c r="M911" i="2" s="1"/>
  <c r="J911" i="2"/>
  <c r="L865" i="2"/>
  <c r="K865" i="2"/>
  <c r="M865" i="2" s="1"/>
  <c r="J865" i="2"/>
  <c r="L520" i="2"/>
  <c r="K520" i="2"/>
  <c r="M520" i="2" s="1"/>
  <c r="J520" i="2"/>
  <c r="L974" i="2"/>
  <c r="K974" i="2"/>
  <c r="M974" i="2" s="1"/>
  <c r="J974" i="2"/>
  <c r="L1097" i="2"/>
  <c r="K1097" i="2"/>
  <c r="M1097" i="2" s="1"/>
  <c r="J1097" i="2"/>
  <c r="L443" i="2"/>
  <c r="K443" i="2"/>
  <c r="M443" i="2" s="1"/>
  <c r="J443" i="2"/>
  <c r="L1058" i="2"/>
  <c r="K1058" i="2"/>
  <c r="M1058" i="2" s="1"/>
  <c r="J1058" i="2"/>
  <c r="L1086" i="2"/>
  <c r="K1086" i="2"/>
  <c r="M1086" i="2" s="1"/>
  <c r="J1086" i="2"/>
  <c r="L1113" i="2"/>
  <c r="K1113" i="2"/>
  <c r="M1113" i="2" s="1"/>
  <c r="J1113" i="2"/>
  <c r="L610" i="2"/>
  <c r="K610" i="2"/>
  <c r="M610" i="2" s="1"/>
  <c r="J610" i="2"/>
  <c r="L967" i="2"/>
  <c r="K967" i="2"/>
  <c r="M967" i="2" s="1"/>
  <c r="J967" i="2"/>
  <c r="L505" i="2"/>
  <c r="K505" i="2"/>
  <c r="M505" i="2" s="1"/>
  <c r="J505" i="2"/>
  <c r="L919" i="2"/>
  <c r="K919" i="2"/>
  <c r="M919" i="2" s="1"/>
  <c r="J919" i="2"/>
  <c r="L703" i="2"/>
  <c r="K703" i="2"/>
  <c r="M703" i="2" s="1"/>
  <c r="J703" i="2"/>
  <c r="L944" i="2"/>
  <c r="K944" i="2"/>
  <c r="M944" i="2" s="1"/>
  <c r="J944" i="2"/>
  <c r="L1507" i="2"/>
  <c r="K1507" i="2"/>
  <c r="M1507" i="2" s="1"/>
  <c r="J1507" i="2"/>
  <c r="L533" i="2"/>
  <c r="K533" i="2"/>
  <c r="M533" i="2" s="1"/>
  <c r="J533" i="2"/>
  <c r="L877" i="2"/>
  <c r="K877" i="2"/>
  <c r="M877" i="2" s="1"/>
  <c r="J877" i="2"/>
  <c r="L747" i="2"/>
  <c r="K747" i="2"/>
  <c r="M747" i="2" s="1"/>
  <c r="J747" i="2"/>
  <c r="L723" i="2"/>
  <c r="K723" i="2"/>
  <c r="M723" i="2" s="1"/>
  <c r="J723" i="2"/>
  <c r="L1443" i="2"/>
  <c r="K1443" i="2"/>
  <c r="M1443" i="2" s="1"/>
  <c r="J1443" i="2"/>
  <c r="L504" i="2"/>
  <c r="K504" i="2"/>
  <c r="M504" i="2" s="1"/>
  <c r="J504" i="2"/>
  <c r="L1025" i="2"/>
  <c r="K1025" i="2"/>
  <c r="M1025" i="2" s="1"/>
  <c r="J1025" i="2"/>
  <c r="L615" i="2"/>
  <c r="K615" i="2"/>
  <c r="M615" i="2" s="1"/>
  <c r="J615" i="2"/>
  <c r="L920" i="2"/>
  <c r="K920" i="2"/>
  <c r="M920" i="2" s="1"/>
  <c r="J920" i="2"/>
  <c r="L566" i="2"/>
  <c r="K566" i="2"/>
  <c r="M566" i="2" s="1"/>
  <c r="J566" i="2"/>
  <c r="L1005" i="2"/>
  <c r="K1005" i="2"/>
  <c r="M1005" i="2" s="1"/>
  <c r="J1005" i="2"/>
  <c r="L1044" i="2"/>
  <c r="K1044" i="2"/>
  <c r="M1044" i="2" s="1"/>
  <c r="J1044" i="2"/>
  <c r="L1088" i="2"/>
  <c r="K1088" i="2"/>
  <c r="M1088" i="2" s="1"/>
  <c r="J1088" i="2"/>
  <c r="L1068" i="2"/>
  <c r="K1068" i="2"/>
  <c r="M1068" i="2" s="1"/>
  <c r="J1068" i="2"/>
  <c r="L982" i="2"/>
  <c r="K982" i="2"/>
  <c r="M982" i="2" s="1"/>
  <c r="J982" i="2"/>
  <c r="L645" i="2"/>
  <c r="K645" i="2"/>
  <c r="M645" i="2" s="1"/>
  <c r="J645" i="2"/>
  <c r="L418" i="2"/>
  <c r="K418" i="2"/>
  <c r="M418" i="2" s="1"/>
  <c r="J418" i="2"/>
  <c r="L626" i="2"/>
  <c r="K626" i="2"/>
  <c r="M626" i="2" s="1"/>
  <c r="J626" i="2"/>
  <c r="L805" i="2"/>
  <c r="K805" i="2"/>
  <c r="M805" i="2" s="1"/>
  <c r="J805" i="2"/>
  <c r="L970" i="2"/>
  <c r="K970" i="2"/>
  <c r="M970" i="2" s="1"/>
  <c r="J970" i="2"/>
  <c r="L792" i="2"/>
  <c r="K792" i="2"/>
  <c r="M792" i="2" s="1"/>
  <c r="J792" i="2"/>
  <c r="L1497" i="2"/>
  <c r="K1497" i="2"/>
  <c r="M1497" i="2" s="1"/>
  <c r="J1497" i="2"/>
  <c r="L1362" i="2"/>
  <c r="K1362" i="2"/>
  <c r="M1362" i="2" s="1"/>
  <c r="J1362" i="2"/>
  <c r="L1438" i="2"/>
  <c r="K1438" i="2"/>
  <c r="M1438" i="2" s="1"/>
  <c r="J1438" i="2"/>
  <c r="L535" i="2"/>
  <c r="K535" i="2"/>
  <c r="M535" i="2" s="1"/>
  <c r="J535" i="2"/>
  <c r="L417" i="2"/>
  <c r="K417" i="2"/>
  <c r="M417" i="2" s="1"/>
  <c r="J417" i="2"/>
  <c r="L551" i="2"/>
  <c r="K551" i="2"/>
  <c r="M551" i="2" s="1"/>
  <c r="J551" i="2"/>
  <c r="L430" i="2"/>
  <c r="K430" i="2"/>
  <c r="M430" i="2" s="1"/>
  <c r="J430" i="2"/>
  <c r="L1002" i="2"/>
  <c r="K1002" i="2"/>
  <c r="M1002" i="2" s="1"/>
  <c r="J1002" i="2"/>
  <c r="L1512" i="2"/>
  <c r="K1512" i="2"/>
  <c r="M1512" i="2" s="1"/>
  <c r="J1512" i="2"/>
  <c r="L593" i="2"/>
  <c r="K593" i="2"/>
  <c r="M593" i="2" s="1"/>
  <c r="J593" i="2"/>
  <c r="L582" i="2"/>
  <c r="K582" i="2"/>
  <c r="M582" i="2" s="1"/>
  <c r="J582" i="2"/>
  <c r="L592" i="2"/>
  <c r="K592" i="2"/>
  <c r="M592" i="2" s="1"/>
  <c r="J592" i="2"/>
  <c r="L546" i="2"/>
  <c r="K546" i="2"/>
  <c r="M546" i="2" s="1"/>
  <c r="J546" i="2"/>
  <c r="L809" i="2"/>
  <c r="K809" i="2"/>
  <c r="M809" i="2" s="1"/>
  <c r="J809" i="2"/>
  <c r="L1023" i="2"/>
  <c r="K1023" i="2"/>
  <c r="M1023" i="2" s="1"/>
  <c r="J1023" i="2"/>
  <c r="L530" i="2"/>
  <c r="K530" i="2"/>
  <c r="M530" i="2" s="1"/>
  <c r="J530" i="2"/>
  <c r="L1367" i="2"/>
  <c r="K1367" i="2"/>
  <c r="M1367" i="2" s="1"/>
  <c r="J1367" i="2"/>
  <c r="L492" i="2"/>
  <c r="K492" i="2"/>
  <c r="M492" i="2" s="1"/>
  <c r="J492" i="2"/>
  <c r="L631" i="2"/>
  <c r="K631" i="2"/>
  <c r="M631" i="2" s="1"/>
  <c r="J631" i="2"/>
  <c r="L651" i="2"/>
  <c r="K651" i="2"/>
  <c r="M651" i="2" s="1"/>
  <c r="J651" i="2"/>
  <c r="L950" i="2"/>
  <c r="K950" i="2"/>
  <c r="M950" i="2" s="1"/>
  <c r="J950" i="2"/>
  <c r="L762" i="2"/>
  <c r="K762" i="2"/>
  <c r="M762" i="2" s="1"/>
  <c r="J762" i="2"/>
  <c r="L1328" i="2"/>
  <c r="K1328" i="2"/>
  <c r="M1328" i="2" s="1"/>
  <c r="J1328" i="2"/>
  <c r="L1392" i="2"/>
  <c r="K1392" i="2"/>
  <c r="M1392" i="2" s="1"/>
  <c r="J1392" i="2"/>
  <c r="L803" i="2"/>
  <c r="K803" i="2"/>
  <c r="M803" i="2" s="1"/>
  <c r="J803" i="2"/>
  <c r="L1478" i="2"/>
  <c r="K1478" i="2"/>
  <c r="M1478" i="2" s="1"/>
  <c r="J1478" i="2"/>
  <c r="L1480" i="2"/>
  <c r="K1480" i="2"/>
  <c r="M1480" i="2" s="1"/>
  <c r="J1480" i="2"/>
  <c r="L1415" i="2"/>
  <c r="K1415" i="2"/>
  <c r="M1415" i="2" s="1"/>
  <c r="J1415" i="2"/>
  <c r="L1336" i="2"/>
  <c r="K1336" i="2"/>
  <c r="M1336" i="2" s="1"/>
  <c r="J1336" i="2"/>
  <c r="L1453" i="2"/>
  <c r="K1453" i="2"/>
  <c r="M1453" i="2" s="1"/>
  <c r="J1453" i="2"/>
  <c r="L1402" i="2"/>
  <c r="K1402" i="2"/>
  <c r="M1402" i="2" s="1"/>
  <c r="J1402" i="2"/>
  <c r="L1342" i="2"/>
  <c r="K1342" i="2"/>
  <c r="M1342" i="2" s="1"/>
  <c r="J1342" i="2"/>
  <c r="L1277" i="2"/>
  <c r="K1277" i="2"/>
  <c r="M1277" i="2" s="1"/>
  <c r="J1277" i="2"/>
  <c r="L1373" i="2"/>
  <c r="K1373" i="2"/>
  <c r="M1373" i="2" s="1"/>
  <c r="J1373" i="2"/>
  <c r="L1344" i="2"/>
  <c r="K1344" i="2"/>
  <c r="M1344" i="2" s="1"/>
  <c r="J1344" i="2"/>
  <c r="L794" i="2"/>
  <c r="K794" i="2"/>
  <c r="M794" i="2" s="1"/>
  <c r="J794" i="2"/>
  <c r="L744" i="2"/>
  <c r="K744" i="2"/>
  <c r="M744" i="2" s="1"/>
  <c r="J744" i="2"/>
  <c r="L1010" i="2"/>
  <c r="K1010" i="2"/>
  <c r="M1010" i="2" s="1"/>
  <c r="J1010" i="2"/>
  <c r="L927" i="2"/>
  <c r="K927" i="2"/>
  <c r="M927" i="2" s="1"/>
  <c r="J927" i="2"/>
  <c r="L787" i="2"/>
  <c r="K787" i="2"/>
  <c r="M787" i="2" s="1"/>
  <c r="J787" i="2"/>
  <c r="L1467" i="2"/>
  <c r="K1467" i="2"/>
  <c r="M1467" i="2" s="1"/>
  <c r="J1467" i="2"/>
  <c r="L997" i="2"/>
  <c r="K997" i="2"/>
  <c r="M997" i="2" s="1"/>
  <c r="J997" i="2"/>
  <c r="L1089" i="2"/>
  <c r="K1089" i="2"/>
  <c r="M1089" i="2" s="1"/>
  <c r="J1089" i="2"/>
  <c r="L643" i="2"/>
  <c r="K643" i="2"/>
  <c r="M643" i="2" s="1"/>
  <c r="J643" i="2"/>
  <c r="L1411" i="2"/>
  <c r="K1411" i="2"/>
  <c r="M1411" i="2" s="1"/>
  <c r="J1411" i="2"/>
  <c r="L521" i="2"/>
  <c r="K521" i="2"/>
  <c r="M521" i="2" s="1"/>
  <c r="J521" i="2"/>
  <c r="L1487" i="2"/>
  <c r="K1487" i="2"/>
  <c r="M1487" i="2" s="1"/>
  <c r="J1487" i="2"/>
  <c r="L821" i="2"/>
  <c r="K821" i="2"/>
  <c r="M821" i="2" s="1"/>
  <c r="J821" i="2"/>
  <c r="L1486" i="2"/>
  <c r="K1486" i="2"/>
  <c r="M1486" i="2" s="1"/>
  <c r="J1486" i="2"/>
  <c r="L872" i="2"/>
  <c r="K872" i="2"/>
  <c r="M872" i="2" s="1"/>
  <c r="J872" i="2"/>
  <c r="L859" i="2"/>
  <c r="K859" i="2"/>
  <c r="M859" i="2" s="1"/>
  <c r="J859" i="2"/>
  <c r="L667" i="2"/>
  <c r="K667" i="2"/>
  <c r="M667" i="2" s="1"/>
  <c r="J667" i="2"/>
  <c r="L1499" i="2"/>
  <c r="K1499" i="2"/>
  <c r="M1499" i="2" s="1"/>
  <c r="J1499" i="2"/>
  <c r="L856" i="2"/>
  <c r="K856" i="2"/>
  <c r="M856" i="2" s="1"/>
  <c r="J856" i="2"/>
  <c r="L705" i="2"/>
  <c r="K705" i="2"/>
  <c r="M705" i="2" s="1"/>
  <c r="J705" i="2"/>
  <c r="L881" i="2"/>
  <c r="K881" i="2"/>
  <c r="M881" i="2" s="1"/>
  <c r="J881" i="2"/>
  <c r="L1483" i="2"/>
  <c r="K1483" i="2"/>
  <c r="M1483" i="2" s="1"/>
  <c r="J1483" i="2"/>
  <c r="L1351" i="2"/>
  <c r="K1351" i="2"/>
  <c r="M1351" i="2" s="1"/>
  <c r="J1351" i="2"/>
  <c r="L1491" i="2"/>
  <c r="K1491" i="2"/>
  <c r="M1491" i="2" s="1"/>
  <c r="J1491" i="2"/>
  <c r="L1312" i="2"/>
  <c r="K1312" i="2"/>
  <c r="M1312" i="2" s="1"/>
  <c r="J1312" i="2"/>
  <c r="L691" i="2"/>
  <c r="K691" i="2"/>
  <c r="M691" i="2" s="1"/>
  <c r="J691" i="2"/>
  <c r="L1094" i="2"/>
  <c r="K1094" i="2"/>
  <c r="M1094" i="2" s="1"/>
  <c r="J1094" i="2"/>
  <c r="L1095" i="2"/>
  <c r="K1095" i="2"/>
  <c r="M1095" i="2" s="1"/>
  <c r="J1095" i="2"/>
  <c r="L929" i="2"/>
  <c r="K929" i="2"/>
  <c r="M929" i="2" s="1"/>
  <c r="J929" i="2"/>
  <c r="L847" i="2"/>
  <c r="K847" i="2"/>
  <c r="M847" i="2" s="1"/>
  <c r="J847" i="2"/>
  <c r="L479" i="2"/>
  <c r="K479" i="2"/>
  <c r="M479" i="2" s="1"/>
  <c r="J479" i="2"/>
  <c r="L1300" i="2"/>
  <c r="K1300" i="2"/>
  <c r="M1300" i="2" s="1"/>
  <c r="J1300" i="2"/>
  <c r="L475" i="2"/>
  <c r="K475" i="2"/>
  <c r="M475" i="2" s="1"/>
  <c r="J475" i="2"/>
  <c r="L1378" i="2"/>
  <c r="K1378" i="2"/>
  <c r="M1378" i="2" s="1"/>
  <c r="J1378" i="2"/>
  <c r="L1325" i="2"/>
  <c r="K1325" i="2"/>
  <c r="M1325" i="2" s="1"/>
  <c r="J1325" i="2"/>
  <c r="L1253" i="2"/>
  <c r="K1253" i="2"/>
  <c r="M1253" i="2" s="1"/>
  <c r="J1253" i="2"/>
  <c r="L1417" i="2"/>
  <c r="K1417" i="2"/>
  <c r="M1417" i="2" s="1"/>
  <c r="J1417" i="2"/>
  <c r="L1249" i="2"/>
  <c r="K1249" i="2"/>
  <c r="M1249" i="2" s="1"/>
  <c r="J1249" i="2"/>
  <c r="L1456" i="2"/>
  <c r="K1456" i="2"/>
  <c r="M1456" i="2" s="1"/>
  <c r="J1456" i="2"/>
  <c r="L1364" i="2"/>
  <c r="K1364" i="2"/>
  <c r="M1364" i="2" s="1"/>
  <c r="J1364" i="2"/>
  <c r="L1360" i="2"/>
  <c r="K1360" i="2"/>
  <c r="M1360" i="2" s="1"/>
  <c r="J1360" i="2"/>
  <c r="L1340" i="2"/>
  <c r="K1340" i="2"/>
  <c r="M1340" i="2" s="1"/>
  <c r="J1340" i="2"/>
  <c r="L1386" i="2"/>
  <c r="K1386" i="2"/>
  <c r="M1386" i="2" s="1"/>
  <c r="J1386" i="2"/>
  <c r="L1285" i="2"/>
  <c r="K1285" i="2"/>
  <c r="M1285" i="2" s="1"/>
  <c r="J1285" i="2"/>
  <c r="L658" i="2"/>
  <c r="K658" i="2"/>
  <c r="M658" i="2" s="1"/>
  <c r="J658" i="2"/>
  <c r="L1034" i="2"/>
  <c r="K1034" i="2"/>
  <c r="M1034" i="2" s="1"/>
  <c r="J1034" i="2"/>
  <c r="L665" i="2"/>
  <c r="K665" i="2"/>
  <c r="M665" i="2" s="1"/>
  <c r="J665" i="2"/>
  <c r="L1250" i="2"/>
  <c r="K1250" i="2"/>
  <c r="M1250" i="2" s="1"/>
  <c r="J1250" i="2"/>
  <c r="L1004" i="2"/>
  <c r="K1004" i="2"/>
  <c r="M1004" i="2" s="1"/>
  <c r="J1004" i="2"/>
  <c r="L841" i="2"/>
  <c r="K841" i="2"/>
  <c r="M841" i="2" s="1"/>
  <c r="J841" i="2"/>
  <c r="L1424" i="2"/>
  <c r="K1424" i="2"/>
  <c r="M1424" i="2" s="1"/>
  <c r="J1424" i="2"/>
  <c r="L953" i="2"/>
  <c r="K953" i="2"/>
  <c r="M953" i="2" s="1"/>
  <c r="J953" i="2"/>
  <c r="L1130" i="2"/>
  <c r="K1130" i="2"/>
  <c r="M1130" i="2" s="1"/>
  <c r="J1130" i="2"/>
  <c r="L760" i="2"/>
  <c r="K760" i="2"/>
  <c r="M760" i="2" s="1"/>
  <c r="J760" i="2"/>
  <c r="L671" i="2"/>
  <c r="K671" i="2"/>
  <c r="M671" i="2" s="1"/>
  <c r="J671" i="2"/>
  <c r="L900" i="2"/>
  <c r="K900" i="2"/>
  <c r="M900" i="2" s="1"/>
  <c r="J900" i="2"/>
  <c r="L922" i="2"/>
  <c r="K922" i="2"/>
  <c r="M922" i="2" s="1"/>
  <c r="J922" i="2"/>
  <c r="L773" i="2"/>
  <c r="K773" i="2"/>
  <c r="M773" i="2" s="1"/>
  <c r="J773" i="2"/>
  <c r="L1511" i="2"/>
  <c r="K1511" i="2"/>
  <c r="M1511" i="2" s="1"/>
  <c r="J1511" i="2"/>
  <c r="L669" i="2"/>
  <c r="K669" i="2"/>
  <c r="M669" i="2" s="1"/>
  <c r="J669" i="2"/>
  <c r="L975" i="2"/>
  <c r="K975" i="2"/>
  <c r="M975" i="2" s="1"/>
  <c r="J975" i="2"/>
  <c r="L550" i="2"/>
  <c r="K550" i="2"/>
  <c r="M550" i="2" s="1"/>
  <c r="J550" i="2"/>
  <c r="L770" i="2"/>
  <c r="K770" i="2"/>
  <c r="M770" i="2" s="1"/>
  <c r="J770" i="2"/>
  <c r="L739" i="2"/>
  <c r="K739" i="2"/>
  <c r="M739" i="2" s="1"/>
  <c r="J739" i="2"/>
  <c r="L668" i="2"/>
  <c r="K668" i="2"/>
  <c r="M668" i="2" s="1"/>
  <c r="J668" i="2"/>
  <c r="L839" i="2"/>
  <c r="K839" i="2"/>
  <c r="M839" i="2" s="1"/>
  <c r="J839" i="2"/>
  <c r="L1108" i="2"/>
  <c r="K1108" i="2"/>
  <c r="M1108" i="2" s="1"/>
  <c r="J1108" i="2"/>
  <c r="L1103" i="2"/>
  <c r="K1103" i="2"/>
  <c r="M1103" i="2" s="1"/>
  <c r="J1103" i="2"/>
  <c r="L641" i="2"/>
  <c r="K641" i="2"/>
  <c r="M641" i="2" s="1"/>
  <c r="J641" i="2"/>
  <c r="L575" i="2"/>
  <c r="K575" i="2"/>
  <c r="M575" i="2" s="1"/>
  <c r="J575" i="2"/>
  <c r="L1127" i="2"/>
  <c r="K1127" i="2"/>
  <c r="M1127" i="2" s="1"/>
  <c r="J1127" i="2"/>
  <c r="L1008" i="2"/>
  <c r="K1008" i="2"/>
  <c r="M1008" i="2" s="1"/>
  <c r="J1008" i="2"/>
  <c r="L563" i="2"/>
  <c r="K563" i="2"/>
  <c r="M563" i="2" s="1"/>
  <c r="J563" i="2"/>
  <c r="L1003" i="2"/>
  <c r="K1003" i="2"/>
  <c r="M1003" i="2" s="1"/>
  <c r="J1003" i="2"/>
  <c r="L921" i="2"/>
  <c r="K921" i="2"/>
  <c r="M921" i="2" s="1"/>
  <c r="J921" i="2"/>
  <c r="L912" i="2"/>
  <c r="K912" i="2"/>
  <c r="M912" i="2" s="1"/>
  <c r="J912" i="2"/>
  <c r="L472" i="2"/>
  <c r="K472" i="2"/>
  <c r="M472" i="2" s="1"/>
  <c r="J472" i="2"/>
  <c r="L450" i="2"/>
  <c r="K450" i="2"/>
  <c r="M450" i="2" s="1"/>
  <c r="J450" i="2"/>
  <c r="L501" i="2"/>
  <c r="K501" i="2"/>
  <c r="M501" i="2" s="1"/>
  <c r="J501" i="2"/>
  <c r="L1421" i="2"/>
  <c r="K1421" i="2"/>
  <c r="M1421" i="2" s="1"/>
  <c r="J1421" i="2"/>
  <c r="L716" i="2"/>
  <c r="K716" i="2"/>
  <c r="M716" i="2" s="1"/>
  <c r="J716" i="2"/>
  <c r="L786" i="2"/>
  <c r="K786" i="2"/>
  <c r="M786" i="2" s="1"/>
  <c r="J786" i="2"/>
  <c r="L467" i="2"/>
  <c r="K467" i="2"/>
  <c r="M467" i="2" s="1"/>
  <c r="J467" i="2"/>
  <c r="L453" i="2"/>
  <c r="K453" i="2"/>
  <c r="M453" i="2" s="1"/>
  <c r="J453" i="2"/>
  <c r="L1366" i="2"/>
  <c r="K1366" i="2"/>
  <c r="M1366" i="2" s="1"/>
  <c r="J1366" i="2"/>
  <c r="L766" i="2"/>
  <c r="K766" i="2"/>
  <c r="M766" i="2" s="1"/>
  <c r="J766" i="2"/>
  <c r="L534" i="2"/>
  <c r="K534" i="2"/>
  <c r="M534" i="2" s="1"/>
  <c r="J534" i="2"/>
  <c r="L719" i="2"/>
  <c r="K719" i="2"/>
  <c r="M719" i="2" s="1"/>
  <c r="J719" i="2"/>
  <c r="L433" i="2"/>
  <c r="K433" i="2"/>
  <c r="M433" i="2" s="1"/>
  <c r="J433" i="2"/>
  <c r="L861" i="2"/>
  <c r="K861" i="2"/>
  <c r="M861" i="2" s="1"/>
  <c r="J861" i="2"/>
  <c r="L1295" i="2"/>
  <c r="K1295" i="2"/>
  <c r="M1295" i="2" s="1"/>
  <c r="J1295" i="2"/>
  <c r="L1432" i="2"/>
  <c r="K1432" i="2"/>
  <c r="M1432" i="2" s="1"/>
  <c r="J1432" i="2"/>
  <c r="L452" i="2"/>
  <c r="K452" i="2"/>
  <c r="M452" i="2" s="1"/>
  <c r="J452" i="2"/>
  <c r="L737" i="2"/>
  <c r="K737" i="2"/>
  <c r="M737" i="2" s="1"/>
  <c r="J737" i="2"/>
  <c r="L1376" i="2"/>
  <c r="K1376" i="2"/>
  <c r="M1376" i="2" s="1"/>
  <c r="J1376" i="2"/>
  <c r="L448" i="2"/>
  <c r="K448" i="2"/>
  <c r="M448" i="2" s="1"/>
  <c r="J448" i="2"/>
  <c r="L436" i="2"/>
  <c r="K436" i="2"/>
  <c r="M436" i="2" s="1"/>
  <c r="J436" i="2"/>
  <c r="L569" i="2"/>
  <c r="K569" i="2"/>
  <c r="M569" i="2" s="1"/>
  <c r="J569" i="2"/>
  <c r="L1455" i="2"/>
  <c r="K1455" i="2"/>
  <c r="M1455" i="2" s="1"/>
  <c r="J1455" i="2"/>
  <c r="L1382" i="2"/>
  <c r="K1382" i="2"/>
  <c r="M1382" i="2" s="1"/>
  <c r="J1382" i="2"/>
  <c r="L1358" i="2"/>
  <c r="K1358" i="2"/>
  <c r="M1358" i="2" s="1"/>
  <c r="J1358" i="2"/>
  <c r="L1294" i="2"/>
  <c r="K1294" i="2"/>
  <c r="M1294" i="2" s="1"/>
  <c r="J1294" i="2"/>
  <c r="L1269" i="2"/>
  <c r="K1269" i="2"/>
  <c r="M1269" i="2" s="1"/>
  <c r="J1269" i="2"/>
  <c r="L1368" i="2"/>
  <c r="K1368" i="2"/>
  <c r="M1368" i="2" s="1"/>
  <c r="J1368" i="2"/>
  <c r="L1314" i="2"/>
  <c r="K1314" i="2"/>
  <c r="M1314" i="2" s="1"/>
  <c r="J1314" i="2"/>
  <c r="L1306" i="2"/>
  <c r="K1306" i="2"/>
  <c r="M1306" i="2" s="1"/>
  <c r="J1306" i="2"/>
  <c r="L1251" i="2"/>
  <c r="K1251" i="2"/>
  <c r="M1251" i="2" s="1"/>
  <c r="J1251" i="2"/>
  <c r="L1396" i="2"/>
  <c r="K1396" i="2"/>
  <c r="M1396" i="2" s="1"/>
  <c r="J1396" i="2"/>
  <c r="L419" i="2"/>
  <c r="K419" i="2"/>
  <c r="M419" i="2" s="1"/>
  <c r="J419" i="2"/>
  <c r="L899" i="2"/>
  <c r="K899" i="2"/>
  <c r="M899" i="2" s="1"/>
  <c r="J899" i="2"/>
  <c r="L880" i="2"/>
  <c r="K880" i="2"/>
  <c r="M880" i="2" s="1"/>
  <c r="J880" i="2"/>
  <c r="L604" i="2"/>
  <c r="K604" i="2"/>
  <c r="M604" i="2" s="1"/>
  <c r="J604" i="2"/>
  <c r="L750" i="2"/>
  <c r="K750" i="2"/>
  <c r="M750" i="2" s="1"/>
  <c r="J750" i="2"/>
  <c r="L589" i="2"/>
  <c r="K589" i="2"/>
  <c r="M589" i="2" s="1"/>
  <c r="J589" i="2"/>
  <c r="L584" i="2"/>
  <c r="K584" i="2"/>
  <c r="M584" i="2" s="1"/>
  <c r="J584" i="2"/>
  <c r="L942" i="2"/>
  <c r="K942" i="2"/>
  <c r="M942" i="2" s="1"/>
  <c r="J942" i="2"/>
  <c r="L594" i="2"/>
  <c r="K594" i="2"/>
  <c r="M594" i="2" s="1"/>
  <c r="J594" i="2"/>
  <c r="L1013" i="2"/>
  <c r="K1013" i="2"/>
  <c r="M1013" i="2" s="1"/>
  <c r="J1013" i="2"/>
  <c r="L1029" i="2"/>
  <c r="K1029" i="2"/>
  <c r="M1029" i="2" s="1"/>
  <c r="J1029" i="2"/>
  <c r="L939" i="2"/>
  <c r="K939" i="2"/>
  <c r="M939" i="2" s="1"/>
  <c r="J939" i="2"/>
  <c r="L1043" i="2"/>
  <c r="K1043" i="2"/>
  <c r="M1043" i="2" s="1"/>
  <c r="J1043" i="2"/>
  <c r="L1007" i="2"/>
  <c r="K1007" i="2"/>
  <c r="M1007" i="2" s="1"/>
  <c r="J1007" i="2"/>
  <c r="L552" i="2"/>
  <c r="K552" i="2"/>
  <c r="M552" i="2" s="1"/>
  <c r="J552" i="2"/>
  <c r="L1100" i="2"/>
  <c r="K1100" i="2"/>
  <c r="M1100" i="2" s="1"/>
  <c r="J1100" i="2"/>
  <c r="L813" i="2"/>
  <c r="K813" i="2"/>
  <c r="M813" i="2" s="1"/>
  <c r="J813" i="2"/>
  <c r="L1055" i="2"/>
  <c r="K1055" i="2"/>
  <c r="M1055" i="2" s="1"/>
  <c r="J1055" i="2"/>
  <c r="L572" i="2"/>
  <c r="K572" i="2"/>
  <c r="M572" i="2" s="1"/>
  <c r="J572" i="2"/>
  <c r="L413" i="2"/>
  <c r="K413" i="2"/>
  <c r="M413" i="2" s="1"/>
  <c r="J413" i="2"/>
  <c r="L1066" i="2"/>
  <c r="K1066" i="2"/>
  <c r="M1066" i="2" s="1"/>
  <c r="J1066" i="2"/>
  <c r="L1465" i="2"/>
  <c r="K1465" i="2"/>
  <c r="M1465" i="2" s="1"/>
  <c r="J1465" i="2"/>
  <c r="L605" i="2"/>
  <c r="K605" i="2"/>
  <c r="M605" i="2" s="1"/>
  <c r="J605" i="2"/>
  <c r="L1087" i="2"/>
  <c r="K1087" i="2"/>
  <c r="M1087" i="2" s="1"/>
  <c r="J1087" i="2"/>
  <c r="L866" i="2"/>
  <c r="K866" i="2"/>
  <c r="M866" i="2" s="1"/>
  <c r="J866" i="2"/>
  <c r="L578" i="2"/>
  <c r="K578" i="2"/>
  <c r="M578" i="2" s="1"/>
  <c r="J578" i="2"/>
  <c r="L676" i="2"/>
  <c r="K676" i="2"/>
  <c r="M676" i="2" s="1"/>
  <c r="J676" i="2"/>
  <c r="L959" i="2"/>
  <c r="K959" i="2"/>
  <c r="M959" i="2" s="1"/>
  <c r="J959" i="2"/>
  <c r="L926" i="2"/>
  <c r="K926" i="2"/>
  <c r="M926" i="2" s="1"/>
  <c r="J926" i="2"/>
  <c r="L749" i="2"/>
  <c r="K749" i="2"/>
  <c r="M749" i="2" s="1"/>
  <c r="J749" i="2"/>
  <c r="L1389" i="2"/>
  <c r="K1389" i="2"/>
  <c r="M1389" i="2" s="1"/>
  <c r="J1389" i="2"/>
  <c r="L952" i="2"/>
  <c r="K952" i="2"/>
  <c r="M952" i="2" s="1"/>
  <c r="J952" i="2"/>
  <c r="L613" i="2"/>
  <c r="K613" i="2"/>
  <c r="M613" i="2" s="1"/>
  <c r="J613" i="2"/>
  <c r="L768" i="2"/>
  <c r="K768" i="2"/>
  <c r="M768" i="2" s="1"/>
  <c r="J768" i="2"/>
  <c r="L1398" i="2"/>
  <c r="K1398" i="2"/>
  <c r="M1398" i="2" s="1"/>
  <c r="J1398" i="2"/>
  <c r="L754" i="2"/>
  <c r="K754" i="2"/>
  <c r="M754" i="2" s="1"/>
  <c r="J754" i="2"/>
  <c r="L915" i="2"/>
  <c r="K915" i="2"/>
  <c r="M915" i="2" s="1"/>
  <c r="J915" i="2"/>
  <c r="L634" i="2"/>
  <c r="K634" i="2"/>
  <c r="M634" i="2" s="1"/>
  <c r="J634" i="2"/>
  <c r="L601" i="2"/>
  <c r="K601" i="2"/>
  <c r="M601" i="2" s="1"/>
  <c r="J601" i="2"/>
  <c r="L1440" i="2"/>
  <c r="K1440" i="2"/>
  <c r="M1440" i="2" s="1"/>
  <c r="J1440" i="2"/>
  <c r="L579" i="2"/>
  <c r="K579" i="2"/>
  <c r="M579" i="2" s="1"/>
  <c r="J579" i="2"/>
  <c r="L1472" i="2"/>
  <c r="K1472" i="2"/>
  <c r="M1472" i="2" s="1"/>
  <c r="J1472" i="2"/>
  <c r="L1078" i="2"/>
  <c r="K1078" i="2"/>
  <c r="M1078" i="2" s="1"/>
  <c r="J1078" i="2"/>
  <c r="L837" i="2"/>
  <c r="K837" i="2"/>
  <c r="M837" i="2" s="1"/>
  <c r="J837" i="2"/>
  <c r="L1038" i="2"/>
  <c r="K1038" i="2"/>
  <c r="M1038" i="2" s="1"/>
  <c r="J1038" i="2"/>
  <c r="L962" i="2"/>
  <c r="K962" i="2"/>
  <c r="M962" i="2" s="1"/>
  <c r="J962" i="2"/>
  <c r="L876" i="2"/>
  <c r="K876" i="2"/>
  <c r="M876" i="2" s="1"/>
  <c r="J876" i="2"/>
  <c r="L910" i="2"/>
  <c r="K910" i="2"/>
  <c r="M910" i="2" s="1"/>
  <c r="J910" i="2"/>
  <c r="L774" i="2"/>
  <c r="K774" i="2"/>
  <c r="M774" i="2" s="1"/>
  <c r="J774" i="2"/>
  <c r="L729" i="2"/>
  <c r="K729" i="2"/>
  <c r="M729" i="2" s="1"/>
  <c r="J729" i="2"/>
  <c r="L956" i="2"/>
  <c r="K956" i="2"/>
  <c r="M956" i="2" s="1"/>
  <c r="J956" i="2"/>
  <c r="L697" i="2"/>
  <c r="K697" i="2"/>
  <c r="M697" i="2" s="1"/>
  <c r="J697" i="2"/>
  <c r="L700" i="2"/>
  <c r="K700" i="2"/>
  <c r="M700" i="2" s="1"/>
  <c r="J700" i="2"/>
  <c r="L516" i="2"/>
  <c r="K516" i="2"/>
  <c r="M516" i="2" s="1"/>
  <c r="J516" i="2"/>
  <c r="L640" i="2"/>
  <c r="K640" i="2"/>
  <c r="M640" i="2" s="1"/>
  <c r="J640" i="2"/>
  <c r="L1464" i="2"/>
  <c r="K1464" i="2"/>
  <c r="M1464" i="2" s="1"/>
  <c r="J1464" i="2"/>
  <c r="L1435" i="2"/>
  <c r="K1435" i="2"/>
  <c r="M1435" i="2" s="1"/>
  <c r="J1435" i="2"/>
  <c r="L751" i="2"/>
  <c r="K751" i="2"/>
  <c r="M751" i="2" s="1"/>
  <c r="J751" i="2"/>
  <c r="L655" i="2"/>
  <c r="K655" i="2"/>
  <c r="M655" i="2" s="1"/>
  <c r="J655" i="2"/>
  <c r="L620" i="2"/>
  <c r="K620" i="2"/>
  <c r="M620" i="2" s="1"/>
  <c r="J620" i="2"/>
  <c r="L565" i="2"/>
  <c r="K565" i="2"/>
  <c r="M565" i="2" s="1"/>
  <c r="J565" i="2"/>
  <c r="L806" i="2"/>
  <c r="K806" i="2"/>
  <c r="M806" i="2" s="1"/>
  <c r="J806" i="2"/>
  <c r="L782" i="2"/>
  <c r="K782" i="2"/>
  <c r="M782" i="2" s="1"/>
  <c r="J782" i="2"/>
  <c r="L951" i="2"/>
  <c r="K951" i="2"/>
  <c r="M951" i="2" s="1"/>
  <c r="J951" i="2"/>
  <c r="L1430" i="2"/>
  <c r="K1430" i="2"/>
  <c r="M1430" i="2" s="1"/>
  <c r="J1430" i="2"/>
  <c r="L1448" i="2"/>
  <c r="K1448" i="2"/>
  <c r="M1448" i="2" s="1"/>
  <c r="J1448" i="2"/>
  <c r="L1105" i="2"/>
  <c r="K1105" i="2"/>
  <c r="M1105" i="2" s="1"/>
  <c r="J1105" i="2"/>
  <c r="L513" i="2"/>
  <c r="K513" i="2"/>
  <c r="M513" i="2" s="1"/>
  <c r="J513" i="2"/>
  <c r="L544" i="2"/>
  <c r="K544" i="2"/>
  <c r="M544" i="2" s="1"/>
  <c r="J544" i="2"/>
  <c r="L1022" i="2"/>
  <c r="K1022" i="2"/>
  <c r="M1022" i="2" s="1"/>
  <c r="J1022" i="2"/>
  <c r="L1504" i="2"/>
  <c r="K1504" i="2"/>
  <c r="M1504" i="2" s="1"/>
  <c r="J1504" i="2"/>
  <c r="L1385" i="2"/>
  <c r="K1385" i="2"/>
  <c r="M1385" i="2" s="1"/>
  <c r="J1385" i="2"/>
  <c r="L1459" i="2"/>
  <c r="K1459" i="2"/>
  <c r="M1459" i="2" s="1"/>
  <c r="J1459" i="2"/>
  <c r="L630" i="2"/>
  <c r="K630" i="2"/>
  <c r="M630" i="2" s="1"/>
  <c r="J630" i="2"/>
  <c r="L1393" i="2"/>
  <c r="K1393" i="2"/>
  <c r="M1393" i="2" s="1"/>
  <c r="J1393" i="2"/>
  <c r="L515" i="2"/>
  <c r="K515" i="2"/>
  <c r="M515" i="2" s="1"/>
  <c r="J515" i="2"/>
  <c r="L1458" i="2"/>
  <c r="K1458" i="2"/>
  <c r="M1458" i="2" s="1"/>
  <c r="J1458" i="2"/>
  <c r="L653" i="2"/>
  <c r="K653" i="2"/>
  <c r="M653" i="2" s="1"/>
  <c r="J653" i="2"/>
  <c r="L639" i="2"/>
  <c r="K639" i="2"/>
  <c r="M639" i="2" s="1"/>
  <c r="J639" i="2"/>
  <c r="L560" i="2"/>
  <c r="K560" i="2"/>
  <c r="M560" i="2" s="1"/>
  <c r="J560" i="2"/>
  <c r="L743" i="2"/>
  <c r="K743" i="2"/>
  <c r="M743" i="2" s="1"/>
  <c r="J743" i="2"/>
  <c r="L852" i="2"/>
  <c r="K852" i="2"/>
  <c r="M852" i="2" s="1"/>
  <c r="J852" i="2"/>
  <c r="L802" i="2"/>
  <c r="K802" i="2"/>
  <c r="M802" i="2" s="1"/>
  <c r="J802" i="2"/>
  <c r="L871" i="2"/>
  <c r="K871" i="2"/>
  <c r="M871" i="2" s="1"/>
  <c r="J871" i="2"/>
  <c r="L933" i="2"/>
  <c r="K933" i="2"/>
  <c r="M933" i="2" s="1"/>
  <c r="J933" i="2"/>
  <c r="L1374" i="2"/>
  <c r="K1374" i="2"/>
  <c r="M1374" i="2" s="1"/>
  <c r="J1374" i="2"/>
  <c r="L1390" i="2"/>
  <c r="K1390" i="2"/>
  <c r="M1390" i="2" s="1"/>
  <c r="J1390" i="2"/>
  <c r="L614" i="2"/>
  <c r="K614" i="2"/>
  <c r="M614" i="2" s="1"/>
  <c r="J614" i="2"/>
  <c r="L664" i="2"/>
  <c r="K664" i="2"/>
  <c r="M664" i="2" s="1"/>
  <c r="J664" i="2"/>
  <c r="L464" i="2"/>
  <c r="K464" i="2"/>
  <c r="M464" i="2" s="1"/>
  <c r="J464" i="2"/>
  <c r="L409" i="2"/>
  <c r="K409" i="2"/>
  <c r="M409" i="2" s="1"/>
  <c r="J409" i="2"/>
  <c r="L518" i="2"/>
  <c r="K518" i="2"/>
  <c r="M518" i="2" s="1"/>
  <c r="J518" i="2"/>
  <c r="L698" i="2"/>
  <c r="K698" i="2"/>
  <c r="M698" i="2" s="1"/>
  <c r="J698" i="2"/>
  <c r="L822" i="2"/>
  <c r="K822" i="2"/>
  <c r="M822" i="2" s="1"/>
  <c r="J822" i="2"/>
  <c r="L736" i="2"/>
  <c r="K736" i="2"/>
  <c r="M736" i="2" s="1"/>
  <c r="J736" i="2"/>
  <c r="L833" i="2"/>
  <c r="K833" i="2"/>
  <c r="M833" i="2" s="1"/>
  <c r="J833" i="2"/>
  <c r="L981" i="2"/>
  <c r="K981" i="2"/>
  <c r="M981" i="2" s="1"/>
  <c r="J981" i="2"/>
  <c r="L528" i="2"/>
  <c r="K528" i="2"/>
  <c r="M528" i="2" s="1"/>
  <c r="J528" i="2"/>
  <c r="L860" i="2"/>
  <c r="K860" i="2"/>
  <c r="M860" i="2" s="1"/>
  <c r="J860" i="2"/>
  <c r="L972" i="2"/>
  <c r="K972" i="2"/>
  <c r="M972" i="2" s="1"/>
  <c r="J972" i="2"/>
  <c r="L793" i="2"/>
  <c r="K793" i="2"/>
  <c r="M793" i="2" s="1"/>
  <c r="J793" i="2"/>
  <c r="L788" i="2"/>
  <c r="K788" i="2"/>
  <c r="M788" i="2" s="1"/>
  <c r="J788" i="2"/>
  <c r="L1422" i="2"/>
  <c r="K1422" i="2"/>
  <c r="M1422" i="2" s="1"/>
  <c r="J1422" i="2"/>
  <c r="L1426" i="2"/>
  <c r="K1426" i="2"/>
  <c r="M1426" i="2" s="1"/>
  <c r="J1426" i="2"/>
  <c r="L650" i="2"/>
  <c r="K650" i="2"/>
  <c r="M650" i="2" s="1"/>
  <c r="J650" i="2"/>
  <c r="L957" i="2"/>
  <c r="K957" i="2"/>
  <c r="M957" i="2" s="1"/>
  <c r="J957" i="2"/>
  <c r="L878" i="2"/>
  <c r="K878" i="2"/>
  <c r="M878" i="2" s="1"/>
  <c r="J878" i="2"/>
  <c r="L1449" i="2"/>
  <c r="K1449" i="2"/>
  <c r="M1449" i="2" s="1"/>
  <c r="J1449" i="2"/>
  <c r="L571" i="2"/>
  <c r="K571" i="2"/>
  <c r="M571" i="2" s="1"/>
  <c r="J571" i="2"/>
  <c r="L1387" i="2"/>
  <c r="K1387" i="2"/>
  <c r="M1387" i="2" s="1"/>
  <c r="J1387" i="2"/>
  <c r="L896" i="2"/>
  <c r="K896" i="2"/>
  <c r="M896" i="2" s="1"/>
  <c r="J896" i="2"/>
  <c r="L1063" i="2"/>
  <c r="K1063" i="2"/>
  <c r="M1063" i="2" s="1"/>
  <c r="J1063" i="2"/>
  <c r="L864" i="2"/>
  <c r="K864" i="2"/>
  <c r="M864" i="2" s="1"/>
  <c r="J864" i="2"/>
  <c r="L862" i="2"/>
  <c r="K862" i="2"/>
  <c r="M862" i="2" s="1"/>
  <c r="J862" i="2"/>
  <c r="L1397" i="2"/>
  <c r="K1397" i="2"/>
  <c r="M1397" i="2" s="1"/>
  <c r="J1397" i="2"/>
  <c r="L1356" i="2"/>
  <c r="K1356" i="2"/>
  <c r="M1356" i="2" s="1"/>
  <c r="J1356" i="2"/>
  <c r="L1384" i="2"/>
  <c r="K1384" i="2"/>
  <c r="M1384" i="2" s="1"/>
  <c r="J1384" i="2"/>
  <c r="L966" i="2"/>
  <c r="K966" i="2"/>
  <c r="M966" i="2" s="1"/>
  <c r="J966" i="2"/>
  <c r="L632" i="2"/>
  <c r="K632" i="2"/>
  <c r="M632" i="2" s="1"/>
  <c r="J632" i="2"/>
  <c r="L987" i="2"/>
  <c r="K987" i="2"/>
  <c r="M987" i="2" s="1"/>
  <c r="J987" i="2"/>
  <c r="L1323" i="2"/>
  <c r="K1323" i="2"/>
  <c r="M1323" i="2" s="1"/>
  <c r="J1323" i="2"/>
  <c r="L1513" i="2"/>
  <c r="K1513" i="2"/>
  <c r="M1513" i="2" s="1"/>
  <c r="J1513" i="2"/>
  <c r="L804" i="2"/>
  <c r="K804" i="2"/>
  <c r="M804" i="2" s="1"/>
  <c r="J804" i="2"/>
  <c r="L913" i="2"/>
  <c r="K913" i="2"/>
  <c r="M913" i="2" s="1"/>
  <c r="J913" i="2"/>
  <c r="L894" i="2"/>
  <c r="K894" i="2"/>
  <c r="M894" i="2" s="1"/>
  <c r="J894" i="2"/>
  <c r="L901" i="2"/>
  <c r="K901" i="2"/>
  <c r="M901" i="2" s="1"/>
  <c r="J901" i="2"/>
  <c r="L1123" i="2"/>
  <c r="K1123" i="2"/>
  <c r="M1123" i="2" s="1"/>
  <c r="J1123" i="2"/>
  <c r="L761" i="2"/>
  <c r="K761" i="2"/>
  <c r="M761" i="2" s="1"/>
  <c r="J761" i="2"/>
  <c r="L1429" i="2"/>
  <c r="K1429" i="2"/>
  <c r="M1429" i="2" s="1"/>
  <c r="J1429" i="2"/>
  <c r="L1282" i="2"/>
  <c r="K1282" i="2"/>
  <c r="M1282" i="2" s="1"/>
  <c r="J1282" i="2"/>
  <c r="L1280" i="2"/>
  <c r="K1280" i="2"/>
  <c r="M1280" i="2" s="1"/>
  <c r="J1280" i="2"/>
  <c r="L1317" i="2"/>
  <c r="K1317" i="2"/>
  <c r="M1317" i="2" s="1"/>
  <c r="J1317" i="2"/>
  <c r="L1272" i="2"/>
  <c r="K1272" i="2"/>
  <c r="M1272" i="2" s="1"/>
  <c r="J1272" i="2"/>
  <c r="L1246" i="2"/>
  <c r="K1246" i="2"/>
  <c r="M1246" i="2" s="1"/>
  <c r="J1246" i="2"/>
  <c r="L1248" i="2"/>
  <c r="K1248" i="2"/>
  <c r="M1248" i="2" s="1"/>
  <c r="J1248" i="2"/>
  <c r="L1412" i="2"/>
  <c r="K1412" i="2"/>
  <c r="M1412" i="2" s="1"/>
  <c r="J1412" i="2"/>
  <c r="L1256" i="2"/>
  <c r="K1256" i="2"/>
  <c r="M1256" i="2" s="1"/>
  <c r="J1256" i="2"/>
  <c r="L1247" i="2"/>
  <c r="K1247" i="2"/>
  <c r="M1247" i="2" s="1"/>
  <c r="J1247" i="2"/>
  <c r="L1371" i="2"/>
  <c r="K1371" i="2"/>
  <c r="M1371" i="2" s="1"/>
  <c r="J1371" i="2"/>
  <c r="L1369" i="2"/>
  <c r="K1369" i="2"/>
  <c r="M1369" i="2" s="1"/>
  <c r="J1369" i="2"/>
  <c r="L1327" i="2"/>
  <c r="K1327" i="2"/>
  <c r="M1327" i="2" s="1"/>
  <c r="J1327" i="2"/>
  <c r="L1258" i="2"/>
  <c r="K1258" i="2"/>
  <c r="M1258" i="2" s="1"/>
  <c r="J1258" i="2"/>
  <c r="L1348" i="2"/>
  <c r="K1348" i="2"/>
  <c r="M1348" i="2" s="1"/>
  <c r="J1348" i="2"/>
  <c r="L1268" i="2"/>
  <c r="K1268" i="2"/>
  <c r="M1268" i="2" s="1"/>
  <c r="J1268" i="2"/>
  <c r="L1475" i="2"/>
  <c r="K1475" i="2"/>
  <c r="M1475" i="2" s="1"/>
  <c r="J1475" i="2"/>
  <c r="L1502" i="2"/>
  <c r="K1502" i="2"/>
  <c r="M1502" i="2" s="1"/>
  <c r="J1502" i="2"/>
  <c r="L801" i="2"/>
  <c r="K801" i="2"/>
  <c r="M801" i="2" s="1"/>
  <c r="J801" i="2"/>
  <c r="L1075" i="2"/>
  <c r="K1075" i="2"/>
  <c r="M1075" i="2" s="1"/>
  <c r="J1075" i="2"/>
  <c r="L924" i="2"/>
  <c r="K924" i="2"/>
  <c r="M924" i="2" s="1"/>
  <c r="J924" i="2"/>
  <c r="L1116" i="2"/>
  <c r="K1116" i="2"/>
  <c r="M1116" i="2" s="1"/>
  <c r="J1116" i="2"/>
  <c r="L683" i="2"/>
  <c r="K683" i="2"/>
  <c r="M683" i="2" s="1"/>
  <c r="J683" i="2"/>
  <c r="L842" i="2"/>
  <c r="K842" i="2"/>
  <c r="M842" i="2" s="1"/>
  <c r="J842" i="2"/>
  <c r="L1024" i="2"/>
  <c r="K1024" i="2"/>
  <c r="M1024" i="2" s="1"/>
  <c r="J1024" i="2"/>
  <c r="L828" i="2"/>
  <c r="K828" i="2"/>
  <c r="M828" i="2" s="1"/>
  <c r="J828" i="2"/>
  <c r="L502" i="2"/>
  <c r="K502" i="2"/>
  <c r="M502" i="2" s="1"/>
  <c r="J502" i="2"/>
  <c r="L432" i="2"/>
  <c r="K432" i="2"/>
  <c r="M432" i="2" s="1"/>
  <c r="J432" i="2"/>
  <c r="L811" i="2"/>
  <c r="K811" i="2"/>
  <c r="M811" i="2" s="1"/>
  <c r="J811" i="2"/>
  <c r="L710" i="2"/>
  <c r="K710" i="2"/>
  <c r="M710" i="2" s="1"/>
  <c r="J710" i="2"/>
  <c r="L827" i="2"/>
  <c r="K827" i="2"/>
  <c r="M827" i="2" s="1"/>
  <c r="J827" i="2"/>
  <c r="L867" i="2"/>
  <c r="K867" i="2"/>
  <c r="M867" i="2" s="1"/>
  <c r="J867" i="2"/>
  <c r="L846" i="2"/>
  <c r="K846" i="2"/>
  <c r="M846" i="2" s="1"/>
  <c r="J846" i="2"/>
  <c r="L469" i="2"/>
  <c r="K469" i="2"/>
  <c r="M469" i="2" s="1"/>
  <c r="J469" i="2"/>
  <c r="L863" i="2"/>
  <c r="K863" i="2"/>
  <c r="M863" i="2" s="1"/>
  <c r="J863" i="2"/>
  <c r="L580" i="2"/>
  <c r="K580" i="2"/>
  <c r="M580" i="2" s="1"/>
  <c r="J580" i="2"/>
  <c r="L1460" i="2"/>
  <c r="K1460" i="2"/>
  <c r="M1460" i="2" s="1"/>
  <c r="J1460" i="2"/>
  <c r="L435" i="2"/>
  <c r="K435" i="2"/>
  <c r="M435" i="2" s="1"/>
  <c r="J435" i="2"/>
  <c r="L421" i="2"/>
  <c r="K421" i="2"/>
  <c r="M421" i="2" s="1"/>
  <c r="J421" i="2"/>
  <c r="L989" i="2"/>
  <c r="K989" i="2"/>
  <c r="M989" i="2" s="1"/>
  <c r="J989" i="2"/>
  <c r="L539" i="2"/>
  <c r="K539" i="2"/>
  <c r="M539" i="2" s="1"/>
  <c r="J539" i="2"/>
  <c r="L708" i="2"/>
  <c r="K708" i="2"/>
  <c r="M708" i="2" s="1"/>
  <c r="J708" i="2"/>
  <c r="L596" i="2"/>
  <c r="K596" i="2"/>
  <c r="M596" i="2" s="1"/>
  <c r="J596" i="2"/>
  <c r="L797" i="2"/>
  <c r="K797" i="2"/>
  <c r="M797" i="2" s="1"/>
  <c r="J797" i="2"/>
  <c r="L678" i="2"/>
  <c r="K678" i="2"/>
  <c r="M678" i="2" s="1"/>
  <c r="J678" i="2"/>
  <c r="L1473" i="2"/>
  <c r="K1473" i="2"/>
  <c r="M1473" i="2" s="1"/>
  <c r="J1473" i="2"/>
  <c r="L707" i="2"/>
  <c r="K707" i="2"/>
  <c r="M707" i="2" s="1"/>
  <c r="J707" i="2"/>
  <c r="L673" i="2"/>
  <c r="K673" i="2"/>
  <c r="M673" i="2" s="1"/>
  <c r="J673" i="2"/>
  <c r="L991" i="2"/>
  <c r="K991" i="2"/>
  <c r="M991" i="2" s="1"/>
  <c r="J991" i="2"/>
  <c r="L1357" i="2"/>
  <c r="K1357" i="2"/>
  <c r="M1357" i="2" s="1"/>
  <c r="J1357" i="2"/>
  <c r="L918" i="2"/>
  <c r="K918" i="2"/>
  <c r="M918" i="2" s="1"/>
  <c r="J918" i="2"/>
  <c r="L890" i="2"/>
  <c r="K890" i="2"/>
  <c r="M890" i="2" s="1"/>
  <c r="J890" i="2"/>
  <c r="L618" i="2"/>
  <c r="K618" i="2"/>
  <c r="M618" i="2" s="1"/>
  <c r="J618" i="2"/>
  <c r="L568" i="2"/>
  <c r="K568" i="2"/>
  <c r="M568" i="2" s="1"/>
  <c r="J568" i="2"/>
  <c r="L778" i="2"/>
  <c r="K778" i="2"/>
  <c r="M778" i="2" s="1"/>
  <c r="J778" i="2"/>
  <c r="L612" i="2"/>
  <c r="K612" i="2"/>
  <c r="M612" i="2" s="1"/>
  <c r="J612" i="2"/>
  <c r="L1423" i="2"/>
  <c r="K1423" i="2"/>
  <c r="M1423" i="2" s="1"/>
  <c r="J1423" i="2"/>
  <c r="L554" i="2"/>
  <c r="K554" i="2"/>
  <c r="M554" i="2" s="1"/>
  <c r="J554" i="2"/>
  <c r="L914" i="2"/>
  <c r="K914" i="2"/>
  <c r="M914" i="2" s="1"/>
  <c r="J914" i="2"/>
  <c r="L689" i="2"/>
  <c r="K689" i="2"/>
  <c r="M689" i="2" s="1"/>
  <c r="J689" i="2"/>
  <c r="L687" i="2"/>
  <c r="K687" i="2"/>
  <c r="M687" i="2" s="1"/>
  <c r="J687" i="2"/>
  <c r="L577" i="2"/>
  <c r="K577" i="2"/>
  <c r="M577" i="2" s="1"/>
  <c r="J577" i="2"/>
  <c r="L1383" i="2"/>
  <c r="K1383" i="2"/>
  <c r="M1383" i="2" s="1"/>
  <c r="J1383" i="2"/>
  <c r="L843" i="2"/>
  <c r="K843" i="2"/>
  <c r="M843" i="2" s="1"/>
  <c r="J843" i="2"/>
  <c r="L441" i="2"/>
  <c r="K441" i="2"/>
  <c r="M441" i="2" s="1"/>
  <c r="J441" i="2"/>
  <c r="L486" i="2"/>
  <c r="K486" i="2"/>
  <c r="M486" i="2" s="1"/>
  <c r="J486" i="2"/>
  <c r="L495" i="2"/>
  <c r="K495" i="2"/>
  <c r="M495" i="2" s="1"/>
  <c r="J495" i="2"/>
  <c r="L456" i="2"/>
  <c r="K456" i="2"/>
  <c r="M456" i="2" s="1"/>
  <c r="J456" i="2"/>
  <c r="L542" i="2"/>
  <c r="K542" i="2"/>
  <c r="M542" i="2" s="1"/>
  <c r="J542" i="2"/>
  <c r="L720" i="2"/>
  <c r="K720" i="2"/>
  <c r="M720" i="2" s="1"/>
  <c r="J720" i="2"/>
  <c r="L906" i="2"/>
  <c r="K906" i="2"/>
  <c r="M906" i="2" s="1"/>
  <c r="J906" i="2"/>
  <c r="L892" i="2"/>
  <c r="K892" i="2"/>
  <c r="M892" i="2" s="1"/>
  <c r="J892" i="2"/>
  <c r="L680" i="2"/>
  <c r="K680" i="2"/>
  <c r="M680" i="2" s="1"/>
  <c r="J680" i="2"/>
  <c r="L611" i="2"/>
  <c r="K611" i="2"/>
  <c r="M611" i="2" s="1"/>
  <c r="J611" i="2"/>
  <c r="L688" i="2"/>
  <c r="K688" i="2"/>
  <c r="M688" i="2" s="1"/>
  <c r="J688" i="2"/>
  <c r="L556" i="2"/>
  <c r="K556" i="2"/>
  <c r="M556" i="2" s="1"/>
  <c r="J556" i="2"/>
  <c r="L1006" i="2"/>
  <c r="K1006" i="2"/>
  <c r="M1006" i="2" s="1"/>
  <c r="J1006" i="2"/>
  <c r="L609" i="2"/>
  <c r="K609" i="2"/>
  <c r="M609" i="2" s="1"/>
  <c r="J609" i="2"/>
  <c r="L1470" i="2"/>
  <c r="K1470" i="2"/>
  <c r="M1470" i="2" s="1"/>
  <c r="J1470" i="2"/>
  <c r="L994" i="2"/>
  <c r="K994" i="2"/>
  <c r="M994" i="2" s="1"/>
  <c r="J994" i="2"/>
  <c r="L898" i="2"/>
  <c r="K898" i="2"/>
  <c r="M898" i="2" s="1"/>
  <c r="J898" i="2"/>
  <c r="L1017" i="2"/>
  <c r="K1017" i="2"/>
  <c r="M1017" i="2" s="1"/>
  <c r="J1017" i="2"/>
  <c r="L549" i="2"/>
  <c r="K549" i="2"/>
  <c r="M549" i="2" s="1"/>
  <c r="J549" i="2"/>
  <c r="L1498" i="2"/>
  <c r="K1498" i="2"/>
  <c r="M1498" i="2" s="1"/>
  <c r="J1498" i="2"/>
  <c r="L559" i="2"/>
  <c r="K559" i="2"/>
  <c r="M559" i="2" s="1"/>
  <c r="J559" i="2"/>
  <c r="L711" i="2"/>
  <c r="K711" i="2"/>
  <c r="M711" i="2" s="1"/>
  <c r="J711" i="2"/>
  <c r="L1406" i="2"/>
  <c r="K1406" i="2"/>
  <c r="M1406" i="2" s="1"/>
  <c r="J1406" i="2"/>
  <c r="L825" i="2"/>
  <c r="K825" i="2"/>
  <c r="M825" i="2" s="1"/>
  <c r="J825" i="2"/>
  <c r="L1018" i="2"/>
  <c r="K1018" i="2"/>
  <c r="M1018" i="2" s="1"/>
  <c r="J1018" i="2"/>
  <c r="L976" i="2"/>
  <c r="K976" i="2"/>
  <c r="M976" i="2" s="1"/>
  <c r="J976" i="2"/>
  <c r="L1129" i="2"/>
  <c r="K1129" i="2"/>
  <c r="M1129" i="2" s="1"/>
  <c r="J1129" i="2"/>
  <c r="L1021" i="2"/>
  <c r="K1021" i="2"/>
  <c r="M1021" i="2" s="1"/>
  <c r="J1021" i="2"/>
  <c r="L1009" i="2"/>
  <c r="K1009" i="2"/>
  <c r="M1009" i="2" s="1"/>
  <c r="J1009" i="2"/>
  <c r="L617" i="2"/>
  <c r="K617" i="2"/>
  <c r="M617" i="2" s="1"/>
  <c r="J617" i="2"/>
  <c r="L819" i="2"/>
  <c r="K819" i="2"/>
  <c r="M819" i="2" s="1"/>
  <c r="J819" i="2"/>
  <c r="L564" i="2"/>
  <c r="K564" i="2"/>
  <c r="M564" i="2" s="1"/>
  <c r="J564" i="2"/>
  <c r="L498" i="2"/>
  <c r="K498" i="2"/>
  <c r="M498" i="2" s="1"/>
  <c r="J498" i="2"/>
  <c r="L1469" i="2"/>
  <c r="K1469" i="2"/>
  <c r="M1469" i="2" s="1"/>
  <c r="J1469" i="2"/>
  <c r="L1445" i="2"/>
  <c r="K1445" i="2"/>
  <c r="M1445" i="2" s="1"/>
  <c r="J1445" i="2"/>
  <c r="L725" i="2"/>
  <c r="K725" i="2"/>
  <c r="M725" i="2" s="1"/>
  <c r="J725" i="2"/>
  <c r="L1050" i="2"/>
  <c r="K1050" i="2"/>
  <c r="M1050" i="2" s="1"/>
  <c r="J1050" i="2"/>
  <c r="L662" i="2"/>
  <c r="K662" i="2"/>
  <c r="M662" i="2" s="1"/>
  <c r="J662" i="2"/>
  <c r="L1264" i="2"/>
  <c r="K1264" i="2"/>
  <c r="M1264" i="2" s="1"/>
  <c r="J1264" i="2"/>
  <c r="L937" i="2"/>
  <c r="K937" i="2"/>
  <c r="M937" i="2" s="1"/>
  <c r="J937" i="2"/>
  <c r="L1001" i="2"/>
  <c r="K1001" i="2"/>
  <c r="M1001" i="2" s="1"/>
  <c r="J1001" i="2"/>
  <c r="L923" i="2"/>
  <c r="K923" i="2"/>
  <c r="M923" i="2" s="1"/>
  <c r="J923" i="2"/>
  <c r="L855" i="2"/>
  <c r="K855" i="2"/>
  <c r="M855" i="2" s="1"/>
  <c r="J855" i="2"/>
  <c r="L1427" i="2"/>
  <c r="K1427" i="2"/>
  <c r="M1427" i="2" s="1"/>
  <c r="J1427" i="2"/>
  <c r="L1011" i="2"/>
  <c r="K1011" i="2"/>
  <c r="M1011" i="2" s="1"/>
  <c r="J1011" i="2"/>
  <c r="L1079" i="2"/>
  <c r="K1079" i="2"/>
  <c r="M1079" i="2" s="1"/>
  <c r="J1079" i="2"/>
  <c r="L1120" i="2"/>
  <c r="K1120" i="2"/>
  <c r="M1120" i="2" s="1"/>
  <c r="J1120" i="2"/>
  <c r="L726" i="2"/>
  <c r="K726" i="2"/>
  <c r="M726" i="2" s="1"/>
  <c r="J726" i="2"/>
  <c r="L1407" i="2"/>
  <c r="K1407" i="2"/>
  <c r="M1407" i="2" s="1"/>
  <c r="J1407" i="2"/>
  <c r="L996" i="2"/>
  <c r="K996" i="2"/>
  <c r="M996" i="2" s="1"/>
  <c r="J996" i="2"/>
  <c r="L628" i="2"/>
  <c r="K628" i="2"/>
  <c r="M628" i="2" s="1"/>
  <c r="J628" i="2"/>
  <c r="L1036" i="2"/>
  <c r="K1036" i="2"/>
  <c r="M1036" i="2" s="1"/>
  <c r="J1036" i="2"/>
  <c r="L853" i="2"/>
  <c r="K853" i="2"/>
  <c r="M853" i="2" s="1"/>
  <c r="J853" i="2"/>
  <c r="L945" i="2"/>
  <c r="K945" i="2"/>
  <c r="M945" i="2" s="1"/>
  <c r="J945" i="2"/>
  <c r="L1111" i="2"/>
  <c r="K1111" i="2"/>
  <c r="M1111" i="2" s="1"/>
  <c r="J1111" i="2"/>
  <c r="L1048" i="2"/>
  <c r="K1048" i="2"/>
  <c r="M1048" i="2" s="1"/>
  <c r="J1048" i="2"/>
  <c r="L1101" i="2"/>
  <c r="K1101" i="2"/>
  <c r="M1101" i="2" s="1"/>
  <c r="J1101" i="2"/>
  <c r="L713" i="2"/>
  <c r="K713" i="2"/>
  <c r="M713" i="2" s="1"/>
  <c r="J713" i="2"/>
  <c r="L1481" i="2"/>
  <c r="K1481" i="2"/>
  <c r="M1481" i="2" s="1"/>
  <c r="J1481" i="2"/>
  <c r="L1451" i="2"/>
  <c r="K1451" i="2"/>
  <c r="M1451" i="2" s="1"/>
  <c r="J1451" i="2"/>
  <c r="L905" i="2"/>
  <c r="K905" i="2"/>
  <c r="M905" i="2" s="1"/>
  <c r="J905" i="2"/>
  <c r="L870" i="2"/>
  <c r="K870" i="2"/>
  <c r="M870" i="2" s="1"/>
  <c r="J870" i="2"/>
  <c r="L941" i="2"/>
  <c r="K941" i="2"/>
  <c r="M941" i="2" s="1"/>
  <c r="J941" i="2"/>
  <c r="L909" i="2"/>
  <c r="K909" i="2"/>
  <c r="M909" i="2" s="1"/>
  <c r="J909" i="2"/>
  <c r="L1119" i="2"/>
  <c r="K1119" i="2"/>
  <c r="M1119" i="2" s="1"/>
  <c r="J1119" i="2"/>
  <c r="L1070" i="2"/>
  <c r="K1070" i="2"/>
  <c r="M1070" i="2" s="1"/>
  <c r="J1070" i="2"/>
  <c r="L955" i="2"/>
  <c r="K955" i="2"/>
  <c r="M955" i="2" s="1"/>
  <c r="J955" i="2"/>
  <c r="L1040" i="2"/>
  <c r="K1040" i="2"/>
  <c r="M1040" i="2" s="1"/>
  <c r="J1040" i="2"/>
  <c r="L1076" i="2"/>
  <c r="K1076" i="2"/>
  <c r="M1076" i="2" s="1"/>
  <c r="J1076" i="2"/>
  <c r="L1329" i="2"/>
  <c r="K1329" i="2"/>
  <c r="M1329" i="2" s="1"/>
  <c r="J1329" i="2"/>
  <c r="L545" i="2"/>
  <c r="K545" i="2"/>
  <c r="M545" i="2" s="1"/>
  <c r="J545" i="2"/>
  <c r="L993" i="2"/>
  <c r="K993" i="2"/>
  <c r="M993" i="2" s="1"/>
  <c r="J993" i="2"/>
  <c r="L1045" i="2"/>
  <c r="K1045" i="2"/>
  <c r="M1045" i="2" s="1"/>
  <c r="J1045" i="2"/>
  <c r="L455" i="2"/>
  <c r="K455" i="2"/>
  <c r="M455" i="2" s="1"/>
  <c r="J455" i="2"/>
  <c r="L415" i="2"/>
  <c r="K415" i="2"/>
  <c r="M415" i="2" s="1"/>
  <c r="J415" i="2"/>
  <c r="L414" i="2"/>
  <c r="K414" i="2"/>
  <c r="M414" i="2" s="1"/>
  <c r="J414" i="2"/>
  <c r="L573" i="2"/>
  <c r="K573" i="2"/>
  <c r="M573" i="2" s="1"/>
  <c r="J573" i="2"/>
  <c r="L460" i="2"/>
  <c r="K460" i="2"/>
  <c r="M460" i="2" s="1"/>
  <c r="J460" i="2"/>
  <c r="L1425" i="2"/>
  <c r="K1425" i="2"/>
  <c r="M1425" i="2" s="1"/>
  <c r="J1425" i="2"/>
  <c r="L1310" i="2"/>
  <c r="K1310" i="2"/>
  <c r="M1310" i="2" s="1"/>
  <c r="J1310" i="2"/>
  <c r="L1347" i="2"/>
  <c r="K1347" i="2"/>
  <c r="M1347" i="2" s="1"/>
  <c r="J1347" i="2"/>
  <c r="L1313" i="2"/>
  <c r="K1313" i="2"/>
  <c r="M1313" i="2" s="1"/>
  <c r="J1313" i="2"/>
  <c r="L1350" i="2"/>
  <c r="K1350" i="2"/>
  <c r="M1350" i="2" s="1"/>
  <c r="J1350" i="2"/>
  <c r="L532" i="2"/>
  <c r="K532" i="2"/>
  <c r="M532" i="2" s="1"/>
  <c r="J532" i="2"/>
  <c r="L820" i="2"/>
  <c r="K820" i="2"/>
  <c r="M820" i="2" s="1"/>
  <c r="J820" i="2"/>
  <c r="L1462" i="2"/>
  <c r="K1462" i="2"/>
  <c r="M1462" i="2" s="1"/>
  <c r="J1462" i="2"/>
  <c r="L949" i="2"/>
  <c r="K949" i="2"/>
  <c r="M949" i="2" s="1"/>
  <c r="J949" i="2"/>
  <c r="L1395" i="2"/>
  <c r="K1395" i="2"/>
  <c r="M1395" i="2" s="1"/>
  <c r="J1395" i="2"/>
  <c r="L424" i="2"/>
  <c r="K424" i="2"/>
  <c r="M424" i="2" s="1"/>
  <c r="J424" i="2"/>
  <c r="L1354" i="2"/>
  <c r="K1354" i="2"/>
  <c r="M1354" i="2" s="1"/>
  <c r="J1354" i="2"/>
  <c r="L458" i="2"/>
  <c r="K458" i="2"/>
  <c r="M458" i="2" s="1"/>
  <c r="J458" i="2"/>
  <c r="L404" i="2"/>
  <c r="K404" i="2"/>
  <c r="M404" i="2" s="1"/>
  <c r="J404" i="2"/>
  <c r="L1281" i="2"/>
  <c r="K1281" i="2"/>
  <c r="M1281" i="2" s="1"/>
  <c r="J1281" i="2"/>
  <c r="L1275" i="2"/>
  <c r="K1275" i="2"/>
  <c r="M1275" i="2" s="1"/>
  <c r="J1275" i="2"/>
  <c r="L1399" i="2"/>
  <c r="K1399" i="2"/>
  <c r="M1399" i="2" s="1"/>
  <c r="J1399" i="2"/>
  <c r="L1292" i="2"/>
  <c r="K1292" i="2"/>
  <c r="M1292" i="2" s="1"/>
  <c r="J1292" i="2"/>
  <c r="L1479" i="2"/>
  <c r="K1479" i="2"/>
  <c r="M1479" i="2" s="1"/>
  <c r="J1479" i="2"/>
  <c r="L442" i="2"/>
  <c r="K442" i="2"/>
  <c r="M442" i="2" s="1"/>
  <c r="J442" i="2"/>
  <c r="L1033" i="2"/>
  <c r="K1033" i="2"/>
  <c r="M1033" i="2" s="1"/>
  <c r="J1033" i="2"/>
  <c r="L891" i="2"/>
  <c r="K891" i="2"/>
  <c r="M891" i="2" s="1"/>
  <c r="J891" i="2"/>
  <c r="L468" i="2"/>
  <c r="K468" i="2"/>
  <c r="M468" i="2" s="1"/>
  <c r="J468" i="2"/>
  <c r="L557" i="2"/>
  <c r="K557" i="2"/>
  <c r="M557" i="2" s="1"/>
  <c r="J557" i="2"/>
  <c r="L619" i="2"/>
  <c r="K619" i="2"/>
  <c r="M619" i="2" s="1"/>
  <c r="J619" i="2"/>
  <c r="L661" i="2"/>
  <c r="K661" i="2"/>
  <c r="M661" i="2" s="1"/>
  <c r="J661" i="2"/>
  <c r="L1115" i="2"/>
  <c r="K1115" i="2"/>
  <c r="M1115" i="2" s="1"/>
  <c r="J1115" i="2"/>
  <c r="L1106" i="2"/>
  <c r="K1106" i="2"/>
  <c r="M1106" i="2" s="1"/>
  <c r="J1106" i="2"/>
  <c r="L883" i="2"/>
  <c r="K883" i="2"/>
  <c r="M883" i="2" s="1"/>
  <c r="J883" i="2"/>
  <c r="L694" i="2"/>
  <c r="K694" i="2"/>
  <c r="M694" i="2" s="1"/>
  <c r="J694" i="2"/>
  <c r="L1286" i="2"/>
  <c r="K1286" i="2"/>
  <c r="M1286" i="2" s="1"/>
  <c r="J1286" i="2"/>
  <c r="L1297" i="2"/>
  <c r="K1297" i="2"/>
  <c r="M1297" i="2" s="1"/>
  <c r="J1297" i="2"/>
  <c r="L1346" i="2"/>
  <c r="K1346" i="2"/>
  <c r="M1346" i="2" s="1"/>
  <c r="J1346" i="2"/>
  <c r="L1244" i="2"/>
  <c r="K1244" i="2"/>
  <c r="M1244" i="2" s="1"/>
  <c r="J1244" i="2"/>
  <c r="L1301" i="2"/>
  <c r="K1301" i="2"/>
  <c r="M1301" i="2" s="1"/>
  <c r="J1301" i="2"/>
  <c r="L1319" i="2"/>
  <c r="K1319" i="2"/>
  <c r="M1319" i="2" s="1"/>
  <c r="J1319" i="2"/>
  <c r="L1259" i="2"/>
  <c r="K1259" i="2"/>
  <c r="M1259" i="2" s="1"/>
  <c r="J1259" i="2"/>
  <c r="L1270" i="2"/>
  <c r="K1270" i="2"/>
  <c r="M1270" i="2" s="1"/>
  <c r="J1270" i="2"/>
  <c r="L1361" i="2"/>
  <c r="K1361" i="2"/>
  <c r="M1361" i="2" s="1"/>
  <c r="J1361" i="2"/>
  <c r="L1290" i="2"/>
  <c r="K1290" i="2"/>
  <c r="M1290" i="2" s="1"/>
  <c r="J1290" i="2"/>
  <c r="L1488" i="2"/>
  <c r="K1488" i="2"/>
  <c r="M1488" i="2" s="1"/>
  <c r="J1488" i="2"/>
  <c r="L1413" i="2"/>
  <c r="K1413" i="2"/>
  <c r="M1413" i="2" s="1"/>
  <c r="J1413" i="2"/>
  <c r="L1442" i="2"/>
  <c r="K1442" i="2"/>
  <c r="M1442" i="2" s="1"/>
  <c r="J1442" i="2"/>
  <c r="L1391" i="2"/>
  <c r="K1391" i="2"/>
  <c r="M1391" i="2" s="1"/>
  <c r="J1391" i="2"/>
  <c r="L1416" i="2"/>
  <c r="K1416" i="2"/>
  <c r="M1416" i="2" s="1"/>
  <c r="J1416" i="2"/>
  <c r="L1307" i="2"/>
  <c r="K1307" i="2"/>
  <c r="M1307" i="2" s="1"/>
  <c r="J1307" i="2"/>
  <c r="L1332" i="2"/>
  <c r="K1332" i="2"/>
  <c r="M1332" i="2" s="1"/>
  <c r="J1332" i="2"/>
  <c r="L1262" i="2"/>
  <c r="K1262" i="2"/>
  <c r="M1262" i="2" s="1"/>
  <c r="J1262" i="2"/>
  <c r="L1380" i="2"/>
  <c r="K1380" i="2"/>
  <c r="M1380" i="2" s="1"/>
  <c r="J1380" i="2"/>
  <c r="L745" i="2"/>
  <c r="K745" i="2"/>
  <c r="M745" i="2" s="1"/>
  <c r="J745" i="2"/>
  <c r="L889" i="2"/>
  <c r="K889" i="2"/>
  <c r="M889" i="2" s="1"/>
  <c r="J889" i="2"/>
  <c r="L840" i="2"/>
  <c r="K840" i="2"/>
  <c r="M840" i="2" s="1"/>
  <c r="J840" i="2"/>
  <c r="L454" i="2"/>
  <c r="K454" i="2"/>
  <c r="M454" i="2" s="1"/>
  <c r="J454" i="2"/>
  <c r="L447" i="2"/>
  <c r="K447" i="2"/>
  <c r="M447" i="2" s="1"/>
  <c r="J447" i="2"/>
  <c r="L457" i="2"/>
  <c r="K457" i="2"/>
  <c r="M457" i="2" s="1"/>
  <c r="J457" i="2"/>
  <c r="L642" i="2"/>
  <c r="K642" i="2"/>
  <c r="M642" i="2" s="1"/>
  <c r="J642" i="2"/>
  <c r="L1093" i="2"/>
  <c r="K1093" i="2"/>
  <c r="M1093" i="2" s="1"/>
  <c r="J1093" i="2"/>
  <c r="L405" i="2"/>
  <c r="K405" i="2"/>
  <c r="M405" i="2" s="1"/>
  <c r="J405" i="2"/>
  <c r="L886" i="2"/>
  <c r="K886" i="2"/>
  <c r="M886" i="2" s="1"/>
  <c r="J886" i="2"/>
  <c r="L425" i="2"/>
  <c r="K425" i="2"/>
  <c r="M425" i="2" s="1"/>
  <c r="J425" i="2"/>
  <c r="L718" i="2"/>
  <c r="K718" i="2"/>
  <c r="M718" i="2" s="1"/>
  <c r="J718" i="2"/>
  <c r="L1080" i="2"/>
  <c r="K1080" i="2"/>
  <c r="M1080" i="2" s="1"/>
  <c r="J1080" i="2"/>
  <c r="L954" i="2"/>
  <c r="K954" i="2"/>
  <c r="M954" i="2" s="1"/>
  <c r="J954" i="2"/>
  <c r="L416" i="2"/>
  <c r="K416" i="2"/>
  <c r="M416" i="2" s="1"/>
  <c r="J416" i="2"/>
  <c r="L659" i="2"/>
  <c r="K659" i="2"/>
  <c r="M659" i="2" s="1"/>
  <c r="J659" i="2"/>
  <c r="L1126" i="2"/>
  <c r="K1126" i="2"/>
  <c r="M1126" i="2" s="1"/>
  <c r="J1126" i="2"/>
  <c r="L986" i="2"/>
  <c r="K986" i="2"/>
  <c r="M986" i="2" s="1"/>
  <c r="J986" i="2"/>
  <c r="L1083" i="2"/>
  <c r="K1083" i="2"/>
  <c r="M1083" i="2" s="1"/>
  <c r="J1083" i="2"/>
  <c r="L663" i="2"/>
  <c r="K663" i="2"/>
  <c r="M663" i="2" s="1"/>
  <c r="J663" i="2"/>
  <c r="L1495" i="2"/>
  <c r="K1495" i="2"/>
  <c r="M1495" i="2" s="1"/>
  <c r="J1495" i="2"/>
  <c r="L595" i="2"/>
  <c r="K595" i="2"/>
  <c r="M595" i="2" s="1"/>
  <c r="J595" i="2"/>
  <c r="L1494" i="2"/>
  <c r="K1494" i="2"/>
  <c r="M1494" i="2" s="1"/>
  <c r="J1494" i="2"/>
  <c r="L777" i="2"/>
  <c r="K777" i="2"/>
  <c r="M777" i="2" s="1"/>
  <c r="J777" i="2"/>
  <c r="L587" i="2"/>
  <c r="K587" i="2"/>
  <c r="M587" i="2" s="1"/>
  <c r="J587" i="2"/>
  <c r="L493" i="2"/>
  <c r="K493" i="2"/>
  <c r="M493" i="2" s="1"/>
  <c r="J493" i="2"/>
  <c r="L489" i="2"/>
  <c r="K489" i="2"/>
  <c r="M489" i="2" s="1"/>
  <c r="J489" i="2"/>
  <c r="L714" i="2"/>
  <c r="K714" i="2"/>
  <c r="M714" i="2" s="1"/>
  <c r="J714" i="2"/>
  <c r="L832" i="2"/>
  <c r="K832" i="2"/>
  <c r="M832" i="2" s="1"/>
  <c r="J832" i="2"/>
  <c r="L527" i="2"/>
  <c r="K527" i="2"/>
  <c r="M527" i="2" s="1"/>
  <c r="J527" i="2"/>
  <c r="L702" i="2"/>
  <c r="K702" i="2"/>
  <c r="M702" i="2" s="1"/>
  <c r="J702" i="2"/>
  <c r="L807" i="2"/>
  <c r="K807" i="2"/>
  <c r="M807" i="2" s="1"/>
  <c r="J807" i="2"/>
  <c r="L1403" i="2"/>
  <c r="K1403" i="2"/>
  <c r="M1403" i="2" s="1"/>
  <c r="J1403" i="2"/>
  <c r="L948" i="2"/>
  <c r="K948" i="2"/>
  <c r="M948" i="2" s="1"/>
  <c r="J948" i="2"/>
  <c r="L969" i="2"/>
  <c r="K969" i="2"/>
  <c r="M969" i="2" s="1"/>
  <c r="J969" i="2"/>
  <c r="L608" i="2"/>
  <c r="K608" i="2"/>
  <c r="M608" i="2" s="1"/>
  <c r="J608" i="2"/>
  <c r="L1032" i="2"/>
  <c r="K1032" i="2"/>
  <c r="M1032" i="2" s="1"/>
  <c r="J1032" i="2"/>
  <c r="L508" i="2"/>
  <c r="K508" i="2"/>
  <c r="M508" i="2" s="1"/>
  <c r="J508" i="2"/>
  <c r="L570" i="2"/>
  <c r="K570" i="2"/>
  <c r="M570" i="2" s="1"/>
  <c r="J570" i="2"/>
  <c r="L1092" i="2"/>
  <c r="K1092" i="2"/>
  <c r="M1092" i="2" s="1"/>
  <c r="J1092" i="2"/>
  <c r="L616" i="2"/>
  <c r="K616" i="2"/>
  <c r="M616" i="2" s="1"/>
  <c r="J616" i="2"/>
  <c r="L823" i="2"/>
  <c r="K823" i="2"/>
  <c r="M823" i="2" s="1"/>
  <c r="J823" i="2"/>
  <c r="L517" i="2"/>
  <c r="K517" i="2"/>
  <c r="M517" i="2" s="1"/>
  <c r="J517" i="2"/>
  <c r="L638" i="2"/>
  <c r="K638" i="2"/>
  <c r="M638" i="2" s="1"/>
  <c r="J638" i="2"/>
  <c r="L1046" i="2"/>
  <c r="K1046" i="2"/>
  <c r="M1046" i="2" s="1"/>
  <c r="J1046" i="2"/>
  <c r="L537" i="2"/>
  <c r="K537" i="2"/>
  <c r="M537" i="2" s="1"/>
  <c r="J537" i="2"/>
  <c r="L686" i="2"/>
  <c r="K686" i="2"/>
  <c r="M686" i="2" s="1"/>
  <c r="J686" i="2"/>
  <c r="L789" i="2"/>
  <c r="K789" i="2"/>
  <c r="M789" i="2" s="1"/>
  <c r="J789" i="2"/>
  <c r="L824" i="2"/>
  <c r="K824" i="2"/>
  <c r="M824" i="2" s="1"/>
  <c r="J824" i="2"/>
  <c r="L512" i="2"/>
  <c r="K512" i="2"/>
  <c r="M512" i="2" s="1"/>
  <c r="J512" i="2"/>
  <c r="L548" i="2"/>
  <c r="K548" i="2"/>
  <c r="M548" i="2" s="1"/>
  <c r="J548" i="2"/>
  <c r="L732" i="2"/>
  <c r="K732" i="2"/>
  <c r="M732" i="2" s="1"/>
  <c r="J732" i="2"/>
  <c r="L1509" i="2"/>
  <c r="K1509" i="2"/>
  <c r="M1509" i="2" s="1"/>
  <c r="J1509" i="2"/>
  <c r="L785" i="2"/>
  <c r="K785" i="2"/>
  <c r="M785" i="2" s="1"/>
  <c r="J785" i="2"/>
  <c r="L555" i="2"/>
  <c r="K555" i="2"/>
  <c r="M555" i="2" s="1"/>
  <c r="J555" i="2"/>
  <c r="L499" i="2"/>
  <c r="K499" i="2"/>
  <c r="M499" i="2" s="1"/>
  <c r="J499" i="2"/>
  <c r="L675" i="2"/>
  <c r="K675" i="2"/>
  <c r="M675" i="2" s="1"/>
  <c r="J675" i="2"/>
  <c r="L964" i="2"/>
  <c r="K964" i="2"/>
  <c r="M964" i="2" s="1"/>
  <c r="J964" i="2"/>
  <c r="L722" i="2"/>
  <c r="K722" i="2"/>
  <c r="M722" i="2" s="1"/>
  <c r="J722" i="2"/>
  <c r="L599" i="2"/>
  <c r="K599" i="2"/>
  <c r="M599" i="2" s="1"/>
  <c r="J599" i="2"/>
  <c r="L1000" i="2"/>
  <c r="K1000" i="2"/>
  <c r="M1000" i="2" s="1"/>
  <c r="J1000" i="2"/>
  <c r="L1420" i="2"/>
  <c r="K1420" i="2"/>
  <c r="M1420" i="2" s="1"/>
  <c r="J1420" i="2"/>
  <c r="L699" i="2"/>
  <c r="K699" i="2"/>
  <c r="M699" i="2" s="1"/>
  <c r="J699" i="2"/>
  <c r="L509" i="2"/>
  <c r="K509" i="2"/>
  <c r="M509" i="2" s="1"/>
  <c r="J509" i="2"/>
  <c r="L742" i="2"/>
  <c r="K742" i="2"/>
  <c r="M742" i="2" s="1"/>
  <c r="J742" i="2"/>
  <c r="L780" i="2"/>
  <c r="K780" i="2"/>
  <c r="M780" i="2" s="1"/>
  <c r="J780" i="2"/>
  <c r="L741" i="2"/>
  <c r="K741" i="2"/>
  <c r="M741" i="2" s="1"/>
  <c r="J741" i="2"/>
  <c r="L879" i="2"/>
  <c r="K879" i="2"/>
  <c r="M879" i="2" s="1"/>
  <c r="J879" i="2"/>
  <c r="L459" i="2"/>
  <c r="K459" i="2"/>
  <c r="M459" i="2" s="1"/>
  <c r="J459" i="2"/>
  <c r="L712" i="2"/>
  <c r="K712" i="2"/>
  <c r="M712" i="2" s="1"/>
  <c r="J712" i="2"/>
  <c r="L695" i="2"/>
  <c r="K695" i="2"/>
  <c r="M695" i="2" s="1"/>
  <c r="J695" i="2"/>
  <c r="L543" i="2"/>
  <c r="K543" i="2"/>
  <c r="M543" i="2" s="1"/>
  <c r="J543" i="2"/>
  <c r="L523" i="2"/>
  <c r="K523" i="2"/>
  <c r="M523" i="2" s="1"/>
  <c r="J523" i="2"/>
  <c r="L735" i="2"/>
  <c r="K735" i="2"/>
  <c r="M735" i="2" s="1"/>
  <c r="J735" i="2"/>
  <c r="L1338" i="2"/>
  <c r="K1338" i="2"/>
  <c r="M1338" i="2" s="1"/>
  <c r="J1338" i="2"/>
  <c r="L514" i="2"/>
  <c r="K514" i="2"/>
  <c r="M514" i="2" s="1"/>
  <c r="J514" i="2"/>
  <c r="L471" i="2"/>
  <c r="K471" i="2"/>
  <c r="M471" i="2" s="1"/>
  <c r="J471" i="2"/>
  <c r="L538" i="2"/>
  <c r="K538" i="2"/>
  <c r="M538" i="2" s="1"/>
  <c r="J538" i="2"/>
  <c r="L553" i="2"/>
  <c r="K553" i="2"/>
  <c r="M553" i="2" s="1"/>
  <c r="J553" i="2"/>
  <c r="L1031" i="2"/>
  <c r="K1031" i="2"/>
  <c r="M1031" i="2" s="1"/>
  <c r="J1031" i="2"/>
  <c r="L444" i="2"/>
  <c r="K444" i="2"/>
  <c r="M444" i="2" s="1"/>
  <c r="J444" i="2"/>
  <c r="L759" i="2"/>
  <c r="K759" i="2"/>
  <c r="M759" i="2" s="1"/>
  <c r="J759" i="2"/>
  <c r="L1128" i="2"/>
  <c r="K1128" i="2"/>
  <c r="M1128" i="2" s="1"/>
  <c r="J1128" i="2"/>
  <c r="L1069" i="2"/>
  <c r="K1069" i="2"/>
  <c r="M1069" i="2" s="1"/>
  <c r="J1069" i="2"/>
  <c r="L753" i="2"/>
  <c r="K753" i="2"/>
  <c r="M753" i="2" s="1"/>
  <c r="J753" i="2"/>
  <c r="L857" i="2"/>
  <c r="K857" i="2"/>
  <c r="M857" i="2" s="1"/>
  <c r="J857" i="2"/>
  <c r="L1339" i="2"/>
  <c r="K1339" i="2"/>
  <c r="M1339" i="2" s="1"/>
  <c r="J1339" i="2"/>
  <c r="L903" i="2"/>
  <c r="K903" i="2"/>
  <c r="M903" i="2" s="1"/>
  <c r="J903" i="2"/>
  <c r="L932" i="2"/>
  <c r="K932" i="2"/>
  <c r="M932" i="2" s="1"/>
  <c r="J932" i="2"/>
  <c r="L524" i="2"/>
  <c r="K524" i="2"/>
  <c r="M524" i="2" s="1"/>
  <c r="J524" i="2"/>
  <c r="L1311" i="2"/>
  <c r="K1311" i="2"/>
  <c r="M1311" i="2" s="1"/>
  <c r="J1311" i="2"/>
  <c r="L1302" i="2"/>
  <c r="K1302" i="2"/>
  <c r="M1302" i="2" s="1"/>
  <c r="J1302" i="2"/>
  <c r="L462" i="2"/>
  <c r="K462" i="2"/>
  <c r="M462" i="2" s="1"/>
  <c r="J462" i="2"/>
  <c r="L496" i="2"/>
  <c r="K496" i="2"/>
  <c r="M496" i="2" s="1"/>
  <c r="J496" i="2"/>
  <c r="L781" i="2"/>
  <c r="K781" i="2"/>
  <c r="M781" i="2" s="1"/>
  <c r="J781" i="2"/>
  <c r="L752" i="2"/>
  <c r="K752" i="2"/>
  <c r="M752" i="2" s="1"/>
  <c r="J752" i="2"/>
  <c r="L431" i="2"/>
  <c r="K431" i="2"/>
  <c r="M431" i="2" s="1"/>
  <c r="J431" i="2"/>
  <c r="L410" i="2"/>
  <c r="K410" i="2"/>
  <c r="M410" i="2" s="1"/>
  <c r="J410" i="2"/>
  <c r="L590" i="2"/>
  <c r="K590" i="2"/>
  <c r="M590" i="2" s="1"/>
  <c r="J590" i="2"/>
  <c r="L902" i="2"/>
  <c r="K902" i="2"/>
  <c r="M902" i="2" s="1"/>
  <c r="J902" i="2"/>
  <c r="L709" i="2"/>
  <c r="K709" i="2"/>
  <c r="M709" i="2" s="1"/>
  <c r="J709" i="2"/>
  <c r="L928" i="2"/>
  <c r="K928" i="2"/>
  <c r="M928" i="2" s="1"/>
  <c r="J928" i="2"/>
  <c r="L1437" i="2"/>
  <c r="K1437" i="2"/>
  <c r="M1437" i="2" s="1"/>
  <c r="J1437" i="2"/>
  <c r="L547" i="2"/>
  <c r="K547" i="2"/>
  <c r="M547" i="2" s="1"/>
  <c r="J547" i="2"/>
  <c r="L1053" i="2"/>
  <c r="K1053" i="2"/>
  <c r="M1053" i="2" s="1"/>
  <c r="J1053" i="2"/>
  <c r="L585" i="2"/>
  <c r="K585" i="2"/>
  <c r="M585" i="2" s="1"/>
  <c r="J585" i="2"/>
  <c r="L1326" i="2"/>
  <c r="K1326" i="2"/>
  <c r="M1326" i="2" s="1"/>
  <c r="J1326" i="2"/>
  <c r="L776" i="2"/>
  <c r="K776" i="2"/>
  <c r="M776" i="2" s="1"/>
  <c r="J776" i="2"/>
  <c r="L724" i="2"/>
  <c r="K724" i="2"/>
  <c r="M724" i="2" s="1"/>
  <c r="J724" i="2"/>
  <c r="L1091" i="2"/>
  <c r="K1091" i="2"/>
  <c r="M1091" i="2" s="1"/>
  <c r="J1091" i="2"/>
  <c r="L682" i="2"/>
  <c r="K682" i="2"/>
  <c r="M682" i="2" s="1"/>
  <c r="J682" i="2"/>
  <c r="L635" i="2"/>
  <c r="K635" i="2"/>
  <c r="M635" i="2" s="1"/>
  <c r="J635" i="2"/>
  <c r="L848" i="2"/>
  <c r="K848" i="2"/>
  <c r="M848" i="2" s="1"/>
  <c r="J848" i="2"/>
  <c r="L940" i="2"/>
  <c r="K940" i="2"/>
  <c r="M940" i="2" s="1"/>
  <c r="J940" i="2"/>
  <c r="L1052" i="2"/>
  <c r="K1052" i="2"/>
  <c r="M1052" i="2" s="1"/>
  <c r="J1052" i="2"/>
  <c r="L1104" i="2"/>
  <c r="K1104" i="2"/>
  <c r="M1104" i="2" s="1"/>
  <c r="J1104" i="2"/>
  <c r="L1121" i="2"/>
  <c r="K1121" i="2"/>
  <c r="M1121" i="2" s="1"/>
  <c r="J1121" i="2"/>
  <c r="L779" i="2"/>
  <c r="K779" i="2"/>
  <c r="M779" i="2" s="1"/>
  <c r="J779" i="2"/>
  <c r="L1037" i="2"/>
  <c r="K1037" i="2"/>
  <c r="M1037" i="2" s="1"/>
  <c r="J1037" i="2"/>
  <c r="L1410" i="2"/>
  <c r="K1410" i="2"/>
  <c r="M1410" i="2" s="1"/>
  <c r="J1410" i="2"/>
  <c r="L581" i="2"/>
  <c r="K581" i="2"/>
  <c r="M581" i="2" s="1"/>
  <c r="J581" i="2"/>
  <c r="L731" i="2"/>
  <c r="K731" i="2"/>
  <c r="M731" i="2" s="1"/>
  <c r="J731" i="2"/>
  <c r="L1026" i="2"/>
  <c r="K1026" i="2"/>
  <c r="M1026" i="2" s="1"/>
  <c r="J1026" i="2"/>
  <c r="L1505" i="2"/>
  <c r="K1505" i="2"/>
  <c r="M1505" i="2" s="1"/>
  <c r="J1505" i="2"/>
  <c r="L1404" i="2"/>
  <c r="K1404" i="2"/>
  <c r="M1404" i="2" s="1"/>
  <c r="J1404" i="2"/>
  <c r="L1514" i="2"/>
  <c r="K1514" i="2"/>
  <c r="M1514" i="2" s="1"/>
  <c r="J1514" i="2"/>
  <c r="L977" i="2"/>
  <c r="K977" i="2"/>
  <c r="M977" i="2" s="1"/>
  <c r="J977" i="2"/>
  <c r="L767" i="2"/>
  <c r="K767" i="2"/>
  <c r="M767" i="2" s="1"/>
  <c r="J767" i="2"/>
  <c r="L1102" i="2"/>
  <c r="K1102" i="2"/>
  <c r="M1102" i="2" s="1"/>
  <c r="J1102" i="2"/>
  <c r="L893" i="2"/>
  <c r="K893" i="2"/>
  <c r="M893" i="2" s="1"/>
  <c r="J893" i="2"/>
  <c r="L845" i="2"/>
  <c r="K845" i="2"/>
  <c r="M845" i="2" s="1"/>
  <c r="J845" i="2"/>
  <c r="L979" i="2"/>
  <c r="K979" i="2"/>
  <c r="M979" i="2" s="1"/>
  <c r="J979" i="2"/>
  <c r="L1316" i="2"/>
  <c r="K1316" i="2"/>
  <c r="M1316" i="2" s="1"/>
  <c r="J1316" i="2"/>
  <c r="L715" i="2"/>
  <c r="K715" i="2"/>
  <c r="M715" i="2" s="1"/>
  <c r="J715" i="2"/>
  <c r="L973" i="2"/>
  <c r="K973" i="2"/>
  <c r="M973" i="2" s="1"/>
  <c r="J973" i="2"/>
  <c r="L679" i="2"/>
  <c r="K679" i="2"/>
  <c r="M679" i="2" s="1"/>
  <c r="J679" i="2"/>
  <c r="L1014" i="2"/>
  <c r="K1014" i="2"/>
  <c r="M1014" i="2" s="1"/>
  <c r="J1014" i="2"/>
  <c r="L717" i="2"/>
  <c r="K717" i="2"/>
  <c r="M717" i="2" s="1"/>
  <c r="J717" i="2"/>
  <c r="L943" i="2"/>
  <c r="K943" i="2"/>
  <c r="M943" i="2" s="1"/>
  <c r="J943" i="2"/>
  <c r="L696" i="2"/>
  <c r="K696" i="2"/>
  <c r="M696" i="2" s="1"/>
  <c r="J696" i="2"/>
  <c r="L1122" i="2"/>
  <c r="K1122" i="2"/>
  <c r="M1122" i="2" s="1"/>
  <c r="J1122" i="2"/>
  <c r="L983" i="2"/>
  <c r="K983" i="2"/>
  <c r="M983" i="2" s="1"/>
  <c r="J983" i="2"/>
  <c r="L1109" i="2"/>
  <c r="K1109" i="2"/>
  <c r="M1109" i="2" s="1"/>
  <c r="J1109" i="2"/>
  <c r="L958" i="2"/>
  <c r="K958" i="2"/>
  <c r="M958" i="2" s="1"/>
  <c r="J958" i="2"/>
  <c r="L1117" i="2"/>
  <c r="K1117" i="2"/>
  <c r="M1117" i="2" s="1"/>
  <c r="J1117" i="2"/>
  <c r="L985" i="2"/>
  <c r="K985" i="2"/>
  <c r="M985" i="2" s="1"/>
  <c r="J985" i="2"/>
  <c r="L960" i="2"/>
  <c r="K960" i="2"/>
  <c r="M960" i="2" s="1"/>
  <c r="J960" i="2"/>
  <c r="L1072" i="2"/>
  <c r="K1072" i="2"/>
  <c r="M1072" i="2" s="1"/>
  <c r="J1072" i="2"/>
  <c r="L1506" i="2"/>
  <c r="K1506" i="2"/>
  <c r="M1506" i="2" s="1"/>
  <c r="J1506" i="2"/>
  <c r="L1431" i="2"/>
  <c r="K1431" i="2"/>
  <c r="M1431" i="2" s="1"/>
  <c r="J1431" i="2"/>
  <c r="L791" i="2"/>
  <c r="K791" i="2"/>
  <c r="M791" i="2" s="1"/>
  <c r="J791" i="2"/>
  <c r="L1059" i="2"/>
  <c r="K1059" i="2"/>
  <c r="M1059" i="2" s="1"/>
  <c r="J1059" i="2"/>
  <c r="L636" i="2"/>
  <c r="K636" i="2"/>
  <c r="M636" i="2" s="1"/>
  <c r="J636" i="2"/>
  <c r="L598" i="2"/>
  <c r="K598" i="2"/>
  <c r="M598" i="2" s="1"/>
  <c r="J598" i="2"/>
  <c r="L925" i="2"/>
  <c r="K925" i="2"/>
  <c r="M925" i="2" s="1"/>
  <c r="J925" i="2"/>
  <c r="L934" i="2"/>
  <c r="K934" i="2"/>
  <c r="M934" i="2" s="1"/>
  <c r="J934" i="2"/>
  <c r="L980" i="2"/>
  <c r="K980" i="2"/>
  <c r="M980" i="2" s="1"/>
  <c r="J980" i="2"/>
  <c r="L1060" i="2"/>
  <c r="K1060" i="2"/>
  <c r="M1060" i="2" s="1"/>
  <c r="J1060" i="2"/>
  <c r="L670" i="2"/>
  <c r="K670" i="2"/>
  <c r="M670" i="2" s="1"/>
  <c r="J670" i="2"/>
  <c r="L849" i="2"/>
  <c r="K849" i="2"/>
  <c r="M849" i="2" s="1"/>
  <c r="J849" i="2"/>
  <c r="L897" i="2"/>
  <c r="K897" i="2"/>
  <c r="M897" i="2" s="1"/>
  <c r="J897" i="2"/>
  <c r="L1020" i="2"/>
  <c r="K1020" i="2"/>
  <c r="M1020" i="2" s="1"/>
  <c r="J1020" i="2"/>
  <c r="L1012" i="2"/>
  <c r="K1012" i="2"/>
  <c r="M1012" i="2" s="1"/>
  <c r="J1012" i="2"/>
  <c r="L935" i="2"/>
  <c r="K935" i="2"/>
  <c r="M935" i="2" s="1"/>
  <c r="J935" i="2"/>
  <c r="L850" i="2"/>
  <c r="K850" i="2"/>
  <c r="M850" i="2" s="1"/>
  <c r="J850" i="2"/>
  <c r="L990" i="2"/>
  <c r="K990" i="2"/>
  <c r="M990" i="2" s="1"/>
  <c r="J990" i="2"/>
  <c r="L1118" i="2"/>
  <c r="K1118" i="2"/>
  <c r="M1118" i="2" s="1"/>
  <c r="J1118" i="2"/>
  <c r="L1500" i="2"/>
  <c r="K1500" i="2"/>
  <c r="M1500" i="2" s="1"/>
  <c r="J1500" i="2"/>
  <c r="L1428" i="2"/>
  <c r="K1428" i="2"/>
  <c r="M1428" i="2" s="1"/>
  <c r="J1428" i="2"/>
  <c r="L574" i="2"/>
  <c r="K574" i="2"/>
  <c r="M574" i="2" s="1"/>
  <c r="J574" i="2"/>
  <c r="L480" i="2"/>
  <c r="K480" i="2"/>
  <c r="M480" i="2" s="1"/>
  <c r="J480" i="2"/>
  <c r="L407" i="2"/>
  <c r="K407" i="2"/>
  <c r="M407" i="2" s="1"/>
  <c r="J407" i="2"/>
  <c r="L490" i="2"/>
  <c r="K490" i="2"/>
  <c r="M490" i="2" s="1"/>
  <c r="J490" i="2"/>
  <c r="L422" i="2"/>
  <c r="K422" i="2"/>
  <c r="M422" i="2" s="1"/>
  <c r="J422" i="2"/>
  <c r="L644" i="2"/>
  <c r="K644" i="2"/>
  <c r="M644" i="2" s="1"/>
  <c r="J644" i="2"/>
  <c r="L836" i="2"/>
  <c r="K836" i="2"/>
  <c r="M836" i="2" s="1"/>
  <c r="J836" i="2"/>
  <c r="L1019" i="2"/>
  <c r="K1019" i="2"/>
  <c r="M1019" i="2" s="1"/>
  <c r="J1019" i="2"/>
  <c r="L465" i="2"/>
  <c r="K465" i="2"/>
  <c r="M465" i="2" s="1"/>
  <c r="J465" i="2"/>
  <c r="L406" i="2"/>
  <c r="K406" i="2"/>
  <c r="M406" i="2" s="1"/>
  <c r="J406" i="2"/>
  <c r="L1296" i="2"/>
  <c r="K1296" i="2"/>
  <c r="M1296" i="2" s="1"/>
  <c r="J1296" i="2"/>
  <c r="L1324" i="2"/>
  <c r="K1324" i="2"/>
  <c r="M1324" i="2" s="1"/>
  <c r="J1324" i="2"/>
  <c r="L693" i="2"/>
  <c r="K693" i="2"/>
  <c r="M693" i="2" s="1"/>
  <c r="J693" i="2"/>
  <c r="L1276" i="2"/>
  <c r="K1276" i="2"/>
  <c r="M1276" i="2" s="1"/>
  <c r="J1276" i="2"/>
  <c r="L478" i="2"/>
  <c r="K478" i="2"/>
  <c r="M478" i="2" s="1"/>
  <c r="J478" i="2"/>
  <c r="L408" i="2"/>
  <c r="K408" i="2"/>
  <c r="M408" i="2" s="1"/>
  <c r="J408" i="2"/>
  <c r="L1341" i="2"/>
  <c r="K1341" i="2"/>
  <c r="M1341" i="2" s="1"/>
  <c r="J1341" i="2"/>
  <c r="L649" i="2"/>
  <c r="K649" i="2"/>
  <c r="M649" i="2" s="1"/>
  <c r="J649" i="2"/>
  <c r="L858" i="2"/>
  <c r="K858" i="2"/>
  <c r="M858" i="2" s="1"/>
  <c r="J858" i="2"/>
  <c r="L1322" i="2"/>
  <c r="K1322" i="2"/>
  <c r="M1322" i="2" s="1"/>
  <c r="J1322" i="2"/>
  <c r="L1284" i="2"/>
  <c r="K1284" i="2"/>
  <c r="M1284" i="2" s="1"/>
  <c r="J1284" i="2"/>
  <c r="L647" i="2"/>
  <c r="K647" i="2"/>
  <c r="M647" i="2" s="1"/>
  <c r="J647" i="2"/>
  <c r="L831" i="2"/>
  <c r="K831" i="2"/>
  <c r="M831" i="2" s="1"/>
  <c r="J831" i="2"/>
  <c r="L1365" i="2"/>
  <c r="K1365" i="2"/>
  <c r="M1365" i="2" s="1"/>
  <c r="J1365" i="2"/>
  <c r="L588" i="2"/>
  <c r="K588" i="2"/>
  <c r="M588" i="2" s="1"/>
  <c r="J588" i="2"/>
  <c r="L439" i="2"/>
  <c r="K439" i="2"/>
  <c r="M439" i="2" s="1"/>
  <c r="J439" i="2"/>
  <c r="L1298" i="2"/>
  <c r="K1298" i="2"/>
  <c r="M1298" i="2" s="1"/>
  <c r="J1298" i="2"/>
  <c r="L1303" i="2"/>
  <c r="K1303" i="2"/>
  <c r="M1303" i="2" s="1"/>
  <c r="J1303" i="2"/>
  <c r="L1315" i="2"/>
  <c r="K1315" i="2"/>
  <c r="M1315" i="2" s="1"/>
  <c r="J1315" i="2"/>
  <c r="L1293" i="2"/>
  <c r="K1293" i="2"/>
  <c r="M1293" i="2" s="1"/>
  <c r="J1293" i="2"/>
  <c r="L1271" i="2"/>
  <c r="K1271" i="2"/>
  <c r="M1271" i="2" s="1"/>
  <c r="J1271" i="2"/>
  <c r="L1299" i="2"/>
  <c r="K1299" i="2"/>
  <c r="M1299" i="2" s="1"/>
  <c r="J1299" i="2"/>
  <c r="L685" i="2"/>
  <c r="K685" i="2"/>
  <c r="M685" i="2" s="1"/>
  <c r="J685" i="2"/>
  <c r="L1291" i="2"/>
  <c r="K1291" i="2"/>
  <c r="M1291" i="2" s="1"/>
  <c r="J1291" i="2"/>
  <c r="L1349" i="2"/>
  <c r="K1349" i="2"/>
  <c r="M1349" i="2" s="1"/>
  <c r="J1349" i="2"/>
  <c r="L507" i="2"/>
  <c r="K507" i="2"/>
  <c r="M507" i="2" s="1"/>
  <c r="J507" i="2"/>
  <c r="L758" i="2"/>
  <c r="K758" i="2"/>
  <c r="M758" i="2" s="1"/>
  <c r="J758" i="2"/>
  <c r="L1318" i="2"/>
  <c r="K1318" i="2"/>
  <c r="M1318" i="2" s="1"/>
  <c r="J1318" i="2"/>
  <c r="L1503" i="2"/>
  <c r="K1503" i="2"/>
  <c r="M1503" i="2" s="1"/>
  <c r="J1503" i="2"/>
  <c r="L1265" i="2"/>
  <c r="K1265" i="2"/>
  <c r="M1265" i="2" s="1"/>
  <c r="J1265" i="2"/>
  <c r="L1254" i="2"/>
  <c r="K1254" i="2"/>
  <c r="M1254" i="2" s="1"/>
  <c r="J1254" i="2"/>
  <c r="L1283" i="2"/>
  <c r="K1283" i="2"/>
  <c r="M1283" i="2" s="1"/>
  <c r="J1283" i="2"/>
  <c r="L1343" i="2"/>
  <c r="K1343" i="2"/>
  <c r="M1343" i="2" s="1"/>
  <c r="J1343" i="2"/>
  <c r="L1278" i="2"/>
  <c r="K1278" i="2"/>
  <c r="M1278" i="2" s="1"/>
  <c r="J1278" i="2"/>
  <c r="L1485" i="2"/>
  <c r="K1485" i="2"/>
  <c r="M1485" i="2" s="1"/>
  <c r="J1485" i="2"/>
  <c r="L1496" i="2"/>
  <c r="K1496" i="2"/>
  <c r="M1496" i="2" s="1"/>
  <c r="J1496" i="2"/>
  <c r="L1263" i="2"/>
  <c r="K1263" i="2"/>
  <c r="M1263" i="2" s="1"/>
  <c r="J1263" i="2"/>
  <c r="L1363" i="2"/>
  <c r="K1363" i="2"/>
  <c r="M1363" i="2" s="1"/>
  <c r="J1363" i="2"/>
  <c r="L1493" i="2"/>
  <c r="K1493" i="2"/>
  <c r="M1493" i="2" s="1"/>
  <c r="J1493" i="2"/>
  <c r="L1400" i="2"/>
  <c r="K1400" i="2"/>
  <c r="M1400" i="2" s="1"/>
  <c r="J1400" i="2"/>
  <c r="L1463" i="2"/>
  <c r="K1463" i="2"/>
  <c r="M1463" i="2" s="1"/>
  <c r="J1463" i="2"/>
  <c r="L1508" i="2"/>
  <c r="K1508" i="2"/>
  <c r="M1508" i="2" s="1"/>
  <c r="J1508" i="2"/>
  <c r="L1501" i="2"/>
  <c r="K1501" i="2"/>
  <c r="M1501" i="2" s="1"/>
  <c r="J1501" i="2"/>
  <c r="L796" i="2"/>
  <c r="K796" i="2"/>
  <c r="M796" i="2" s="1"/>
  <c r="J796" i="2"/>
  <c r="L1096" i="2"/>
  <c r="K1096" i="2"/>
  <c r="M1096" i="2" s="1"/>
  <c r="J1096" i="2"/>
  <c r="L936" i="2"/>
  <c r="K936" i="2"/>
  <c r="M936" i="2" s="1"/>
  <c r="J936" i="2"/>
  <c r="L633" i="2"/>
  <c r="K633" i="2"/>
  <c r="M633" i="2" s="1"/>
  <c r="J633" i="2"/>
  <c r="L916" i="2"/>
  <c r="K916" i="2"/>
  <c r="M916" i="2" s="1"/>
  <c r="J916" i="2"/>
  <c r="L1098" i="2"/>
  <c r="K1098" i="2"/>
  <c r="M1098" i="2" s="1"/>
  <c r="J1098" i="2"/>
  <c r="L1067" i="2"/>
  <c r="K1067" i="2"/>
  <c r="M1067" i="2" s="1"/>
  <c r="J1067" i="2"/>
  <c r="L541" i="2"/>
  <c r="K541" i="2"/>
  <c r="M541" i="2" s="1"/>
  <c r="J541" i="2"/>
  <c r="L429" i="2"/>
  <c r="K429" i="2"/>
  <c r="M429" i="2" s="1"/>
  <c r="J429" i="2"/>
  <c r="L1084" i="2"/>
  <c r="K1084" i="2"/>
  <c r="M1084" i="2" s="1"/>
  <c r="J1084" i="2"/>
  <c r="L437" i="2"/>
  <c r="K437" i="2"/>
  <c r="M437" i="2" s="1"/>
  <c r="J437" i="2"/>
  <c r="L984" i="2"/>
  <c r="K984" i="2"/>
  <c r="M984" i="2" s="1"/>
  <c r="J984" i="2"/>
  <c r="L771" i="2"/>
  <c r="K771" i="2"/>
  <c r="M771" i="2" s="1"/>
  <c r="J771" i="2"/>
  <c r="L818" i="2"/>
  <c r="K818" i="2"/>
  <c r="M818" i="2" s="1"/>
  <c r="J818" i="2"/>
  <c r="L466" i="2"/>
  <c r="K466" i="2"/>
  <c r="M466" i="2" s="1"/>
  <c r="J466" i="2"/>
  <c r="L1028" i="2"/>
  <c r="K1028" i="2"/>
  <c r="M1028" i="2" s="1"/>
  <c r="J1028" i="2"/>
  <c r="L648" i="2"/>
  <c r="K648" i="2"/>
  <c r="M648" i="2" s="1"/>
  <c r="J648" i="2"/>
  <c r="L757" i="2"/>
  <c r="K757" i="2"/>
  <c r="M757" i="2" s="1"/>
  <c r="J757" i="2"/>
  <c r="L704" i="2"/>
  <c r="K704" i="2"/>
  <c r="M704" i="2" s="1"/>
  <c r="J704" i="2"/>
  <c r="L567" i="2"/>
  <c r="K567" i="2"/>
  <c r="M567" i="2" s="1"/>
  <c r="J567" i="2"/>
  <c r="L1492" i="2"/>
  <c r="K1492" i="2"/>
  <c r="M1492" i="2" s="1"/>
  <c r="J1492" i="2"/>
  <c r="L810" i="2"/>
  <c r="K810" i="2"/>
  <c r="M810" i="2" s="1"/>
  <c r="J810" i="2"/>
  <c r="L938" i="2"/>
  <c r="K938" i="2"/>
  <c r="M938" i="2" s="1"/>
  <c r="J938" i="2"/>
  <c r="L701" i="2"/>
  <c r="K701" i="2"/>
  <c r="M701" i="2" s="1"/>
  <c r="J701" i="2"/>
  <c r="L1051" i="2"/>
  <c r="K1051" i="2"/>
  <c r="M1051" i="2" s="1"/>
  <c r="J1051" i="2"/>
  <c r="L500" i="2"/>
  <c r="K500" i="2"/>
  <c r="M500" i="2" s="1"/>
  <c r="J500" i="2"/>
  <c r="L884" i="2"/>
  <c r="K884" i="2"/>
  <c r="M884" i="2" s="1"/>
  <c r="J884" i="2"/>
  <c r="L830" i="2"/>
  <c r="K830" i="2"/>
  <c r="M830" i="2" s="1"/>
  <c r="J830" i="2"/>
  <c r="L728" i="2"/>
  <c r="K728" i="2"/>
  <c r="M728" i="2" s="1"/>
  <c r="J728" i="2"/>
  <c r="L606" i="2"/>
  <c r="K606" i="2"/>
  <c r="M606" i="2" s="1"/>
  <c r="J606" i="2"/>
  <c r="L829" i="2"/>
  <c r="K829" i="2"/>
  <c r="M829" i="2" s="1"/>
  <c r="J829" i="2"/>
  <c r="L576" i="2"/>
  <c r="K576" i="2"/>
  <c r="M576" i="2" s="1"/>
  <c r="J576" i="2"/>
  <c r="L817" i="2"/>
  <c r="K817" i="2"/>
  <c r="M817" i="2" s="1"/>
  <c r="J817" i="2"/>
  <c r="L995" i="2"/>
  <c r="K995" i="2"/>
  <c r="M995" i="2" s="1"/>
  <c r="J995" i="2"/>
  <c r="L531" i="2"/>
  <c r="K531" i="2"/>
  <c r="M531" i="2" s="1"/>
  <c r="J531" i="2"/>
  <c r="L623" i="2"/>
  <c r="K623" i="2"/>
  <c r="M623" i="2" s="1"/>
  <c r="J623" i="2"/>
  <c r="L1042" i="2"/>
  <c r="K1042" i="2"/>
  <c r="M1042" i="2" s="1"/>
  <c r="J1042" i="2"/>
  <c r="L1061" i="2"/>
  <c r="K1061" i="2"/>
  <c r="M1061" i="2" s="1"/>
  <c r="J1061" i="2"/>
  <c r="L746" i="2"/>
  <c r="K746" i="2"/>
  <c r="M746" i="2" s="1"/>
  <c r="J746" i="2"/>
  <c r="L674" i="2"/>
  <c r="K674" i="2"/>
  <c r="M674" i="2" s="1"/>
  <c r="J674" i="2"/>
  <c r="L657" i="2"/>
  <c r="K657" i="2"/>
  <c r="M657" i="2" s="1"/>
  <c r="J657" i="2"/>
  <c r="L854" i="2"/>
  <c r="K854" i="2"/>
  <c r="M854" i="2" s="1"/>
  <c r="J854" i="2"/>
  <c r="L656" i="2"/>
  <c r="K656" i="2"/>
  <c r="M656" i="2" s="1"/>
  <c r="J656" i="2"/>
  <c r="L763" i="2"/>
  <c r="K763" i="2"/>
  <c r="M763" i="2" s="1"/>
  <c r="J763" i="2"/>
  <c r="L522" i="2"/>
  <c r="K522" i="2"/>
  <c r="M522" i="2" s="1"/>
  <c r="J522" i="2"/>
  <c r="L624" i="2"/>
  <c r="K624" i="2"/>
  <c r="M624" i="2" s="1"/>
  <c r="J624" i="2"/>
  <c r="L540" i="2"/>
  <c r="K540" i="2"/>
  <c r="M540" i="2" s="1"/>
  <c r="J540" i="2"/>
  <c r="L868" i="2"/>
  <c r="K868" i="2"/>
  <c r="M868" i="2" s="1"/>
  <c r="J868" i="2"/>
  <c r="L1446" i="2"/>
  <c r="K1446" i="2"/>
  <c r="M1446" i="2" s="1"/>
  <c r="J1446" i="2"/>
  <c r="L1077" i="2"/>
  <c r="K1077" i="2"/>
  <c r="M1077" i="2" s="1"/>
  <c r="J1077" i="2"/>
  <c r="L511" i="2"/>
  <c r="K511" i="2"/>
  <c r="M511" i="2" s="1"/>
  <c r="J511" i="2"/>
  <c r="L412" i="2"/>
  <c r="K412" i="2"/>
  <c r="M412" i="2" s="1"/>
  <c r="J412" i="2"/>
  <c r="L666" i="2"/>
  <c r="K666" i="2"/>
  <c r="M666" i="2" s="1"/>
  <c r="J666" i="2"/>
  <c r="L482" i="2"/>
  <c r="K482" i="2"/>
  <c r="M482" i="2" s="1"/>
  <c r="J482" i="2"/>
  <c r="L1064" i="2"/>
  <c r="K1064" i="2"/>
  <c r="M1064" i="2" s="1"/>
  <c r="J1064" i="2"/>
  <c r="L1047" i="2"/>
  <c r="K1047" i="2"/>
  <c r="M1047" i="2" s="1"/>
  <c r="J1047" i="2"/>
  <c r="L526" i="2"/>
  <c r="K526" i="2"/>
  <c r="M526" i="2" s="1"/>
  <c r="J526" i="2"/>
  <c r="L677" i="2"/>
  <c r="K677" i="2"/>
  <c r="M677" i="2" s="1"/>
  <c r="J677" i="2"/>
  <c r="L1062" i="2"/>
  <c r="K1062" i="2"/>
  <c r="M1062" i="2" s="1"/>
  <c r="J1062" i="2"/>
  <c r="L947" i="2"/>
  <c r="K947" i="2"/>
  <c r="M947" i="2" s="1"/>
  <c r="J947" i="2"/>
  <c r="L814" i="2"/>
  <c r="K814" i="2"/>
  <c r="M814" i="2" s="1"/>
  <c r="J814" i="2"/>
  <c r="L477" i="2"/>
  <c r="K477" i="2"/>
  <c r="M477" i="2" s="1"/>
  <c r="J477" i="2"/>
  <c r="L1409" i="2"/>
  <c r="K1409" i="2"/>
  <c r="M1409" i="2" s="1"/>
  <c r="J1409" i="2"/>
  <c r="L1468" i="2"/>
  <c r="K1468" i="2"/>
  <c r="M1468" i="2" s="1"/>
  <c r="J1468" i="2"/>
  <c r="L607" i="2"/>
  <c r="K607" i="2"/>
  <c r="M607" i="2" s="1"/>
  <c r="J607" i="2"/>
  <c r="L775" i="2"/>
  <c r="K775" i="2"/>
  <c r="M775" i="2" s="1"/>
  <c r="J775" i="2"/>
  <c r="L1433" i="2"/>
  <c r="K1433" i="2"/>
  <c r="M1433" i="2" s="1"/>
  <c r="J1433" i="2"/>
  <c r="L473" i="2"/>
  <c r="K473" i="2"/>
  <c r="M473" i="2" s="1"/>
  <c r="J473" i="2"/>
  <c r="L481" i="2"/>
  <c r="K481" i="2"/>
  <c r="M481" i="2" s="1"/>
  <c r="J481" i="2"/>
  <c r="L692" i="2"/>
  <c r="K692" i="2"/>
  <c r="M692" i="2" s="1"/>
  <c r="J692" i="2"/>
  <c r="L946" i="2"/>
  <c r="K946" i="2"/>
  <c r="M946" i="2" s="1"/>
  <c r="J946" i="2"/>
  <c r="L1466" i="2"/>
  <c r="K1466" i="2"/>
  <c r="M1466" i="2" s="1"/>
  <c r="J1466" i="2"/>
  <c r="L784" i="2"/>
  <c r="K784" i="2"/>
  <c r="M784" i="2" s="1"/>
  <c r="J784" i="2"/>
  <c r="L561" i="2"/>
  <c r="K561" i="2"/>
  <c r="M561" i="2" s="1"/>
  <c r="J561" i="2"/>
  <c r="L790" i="2"/>
  <c r="K790" i="2"/>
  <c r="M790" i="2" s="1"/>
  <c r="J790" i="2"/>
  <c r="L815" i="2"/>
  <c r="K815" i="2"/>
  <c r="M815" i="2" s="1"/>
  <c r="J815" i="2"/>
  <c r="L1049" i="2"/>
  <c r="K1049" i="2"/>
  <c r="M1049" i="2" s="1"/>
  <c r="J1049" i="2"/>
  <c r="L1418" i="2"/>
  <c r="K1418" i="2"/>
  <c r="M1418" i="2" s="1"/>
  <c r="J1418" i="2"/>
  <c r="L1434" i="2"/>
  <c r="K1434" i="2"/>
  <c r="M1434" i="2" s="1"/>
  <c r="J1434" i="2"/>
  <c r="L476" i="2"/>
  <c r="K476" i="2"/>
  <c r="M476" i="2" s="1"/>
  <c r="J476" i="2"/>
  <c r="L440" i="2"/>
  <c r="K440" i="2"/>
  <c r="M440" i="2" s="1"/>
  <c r="J440" i="2"/>
  <c r="L1476" i="2"/>
  <c r="K1476" i="2"/>
  <c r="M1476" i="2" s="1"/>
  <c r="J1476" i="2"/>
  <c r="L600" i="2"/>
  <c r="K600" i="2"/>
  <c r="M600" i="2" s="1"/>
  <c r="J600" i="2"/>
  <c r="L826" i="2"/>
  <c r="K826" i="2"/>
  <c r="M826" i="2" s="1"/>
  <c r="J826" i="2"/>
  <c r="L1419" i="2"/>
  <c r="K1419" i="2"/>
  <c r="M1419" i="2" s="1"/>
  <c r="J1419" i="2"/>
  <c r="L586" i="2"/>
  <c r="K586" i="2"/>
  <c r="M586" i="2" s="1"/>
  <c r="J586" i="2"/>
  <c r="L1333" i="2"/>
  <c r="K1333" i="2"/>
  <c r="M1333" i="2" s="1"/>
  <c r="J1333" i="2"/>
  <c r="L690" i="2"/>
  <c r="K690" i="2"/>
  <c r="M690" i="2" s="1"/>
  <c r="J690" i="2"/>
  <c r="L869" i="2"/>
  <c r="K869" i="2"/>
  <c r="M869" i="2" s="1"/>
  <c r="J869" i="2"/>
  <c r="L1085" i="2"/>
  <c r="K1085" i="2"/>
  <c r="M1085" i="2" s="1"/>
  <c r="J1085" i="2"/>
  <c r="L992" i="2"/>
  <c r="K992" i="2"/>
  <c r="M992" i="2" s="1"/>
  <c r="J992" i="2"/>
  <c r="L494" i="2"/>
  <c r="K494" i="2"/>
  <c r="M494" i="2" s="1"/>
  <c r="J494" i="2"/>
  <c r="L1125" i="2"/>
  <c r="K1125" i="2"/>
  <c r="M1125" i="2" s="1"/>
  <c r="J1125" i="2"/>
  <c r="L808" i="2"/>
  <c r="K808" i="2"/>
  <c r="M808" i="2" s="1"/>
  <c r="J808" i="2"/>
  <c r="L756" i="2"/>
  <c r="K756" i="2"/>
  <c r="M756" i="2" s="1"/>
  <c r="J756" i="2"/>
  <c r="L844" i="2"/>
  <c r="K844" i="2"/>
  <c r="M844" i="2" s="1"/>
  <c r="J844" i="2"/>
  <c r="L1489" i="2"/>
  <c r="K1489" i="2"/>
  <c r="M1489" i="2" s="1"/>
  <c r="J1489" i="2"/>
  <c r="L491" i="2"/>
  <c r="K491" i="2"/>
  <c r="M491" i="2" s="1"/>
  <c r="J491" i="2"/>
  <c r="L968" i="2"/>
  <c r="K968" i="2"/>
  <c r="M968" i="2" s="1"/>
  <c r="J968" i="2"/>
  <c r="L558" i="2"/>
  <c r="K558" i="2"/>
  <c r="M558" i="2" s="1"/>
  <c r="J558" i="2"/>
  <c r="L812" i="2"/>
  <c r="K812" i="2"/>
  <c r="M812" i="2" s="1"/>
  <c r="J812" i="2"/>
  <c r="L1359" i="2"/>
  <c r="K1359" i="2"/>
  <c r="M1359" i="2" s="1"/>
  <c r="J1359" i="2"/>
  <c r="L834" i="2"/>
  <c r="K834" i="2"/>
  <c r="M834" i="2" s="1"/>
  <c r="J834" i="2"/>
  <c r="L503" i="2"/>
  <c r="K503" i="2"/>
  <c r="M503" i="2" s="1"/>
  <c r="J503" i="2"/>
  <c r="L874" i="2"/>
  <c r="K874" i="2"/>
  <c r="M874" i="2" s="1"/>
  <c r="J874" i="2"/>
  <c r="L506" i="2"/>
  <c r="K506" i="2"/>
  <c r="M506" i="2" s="1"/>
  <c r="J506" i="2"/>
  <c r="L730" i="2"/>
  <c r="K730" i="2"/>
  <c r="M730" i="2" s="1"/>
  <c r="J730" i="2"/>
  <c r="L1041" i="2"/>
  <c r="K1041" i="2"/>
  <c r="M1041" i="2" s="1"/>
  <c r="J1041" i="2"/>
  <c r="L1441" i="2"/>
  <c r="K1441" i="2"/>
  <c r="M1441" i="2" s="1"/>
  <c r="J1441" i="2"/>
  <c r="L562" i="2"/>
  <c r="K562" i="2"/>
  <c r="M562" i="2" s="1"/>
  <c r="J562" i="2"/>
  <c r="L629" i="2"/>
  <c r="K629" i="2"/>
  <c r="M629" i="2" s="1"/>
  <c r="J629" i="2"/>
  <c r="L646" i="2"/>
  <c r="K646" i="2"/>
  <c r="M646" i="2" s="1"/>
  <c r="J646" i="2"/>
  <c r="L672" i="2"/>
  <c r="K672" i="2"/>
  <c r="M672" i="2" s="1"/>
  <c r="J672" i="2"/>
  <c r="L474" i="2"/>
  <c r="K474" i="2"/>
  <c r="M474" i="2" s="1"/>
  <c r="J474" i="2"/>
  <c r="L930" i="2"/>
  <c r="K930" i="2"/>
  <c r="M930" i="2" s="1"/>
  <c r="J930" i="2"/>
  <c r="L1461" i="2"/>
  <c r="K1461" i="2"/>
  <c r="M1461" i="2" s="1"/>
  <c r="J1461" i="2"/>
  <c r="L488" i="2"/>
  <c r="K488" i="2"/>
  <c r="M488" i="2" s="1"/>
  <c r="J488" i="2"/>
  <c r="L882" i="2"/>
  <c r="K882" i="2"/>
  <c r="M882" i="2" s="1"/>
  <c r="J882" i="2"/>
  <c r="L654" i="2"/>
  <c r="K654" i="2"/>
  <c r="M654" i="2" s="1"/>
  <c r="J654" i="2"/>
  <c r="L755" i="2"/>
  <c r="K755" i="2"/>
  <c r="M755" i="2" s="1"/>
  <c r="J755" i="2"/>
  <c r="L603" i="2"/>
  <c r="K603" i="2"/>
  <c r="M603" i="2" s="1"/>
  <c r="J603" i="2"/>
  <c r="L965" i="2"/>
  <c r="K965" i="2"/>
  <c r="M965" i="2" s="1"/>
  <c r="J965" i="2"/>
  <c r="L1107" i="2"/>
  <c r="K1107" i="2"/>
  <c r="M1107" i="2" s="1"/>
  <c r="J1107" i="2"/>
  <c r="L583" i="2"/>
  <c r="K583" i="2"/>
  <c r="M583" i="2" s="1"/>
  <c r="J583" i="2"/>
  <c r="L907" i="2"/>
  <c r="K907" i="2"/>
  <c r="M907" i="2" s="1"/>
  <c r="J907" i="2"/>
  <c r="L963" i="2"/>
  <c r="K963" i="2"/>
  <c r="M963" i="2" s="1"/>
  <c r="J963" i="2"/>
  <c r="L1447" i="2"/>
  <c r="K1447" i="2"/>
  <c r="M1447" i="2" s="1"/>
  <c r="J1447" i="2"/>
  <c r="L1071" i="2"/>
  <c r="K1071" i="2"/>
  <c r="M1071" i="2" s="1"/>
  <c r="J1071" i="2"/>
  <c r="L1124" i="2"/>
  <c r="K1124" i="2"/>
  <c r="M1124" i="2" s="1"/>
  <c r="J1124" i="2"/>
  <c r="L1112" i="2"/>
  <c r="K1112" i="2"/>
  <c r="M1112" i="2" s="1"/>
  <c r="J1112" i="2"/>
  <c r="L721" i="2"/>
  <c r="K721" i="2"/>
  <c r="M721" i="2" s="1"/>
  <c r="J721" i="2"/>
  <c r="L765" i="2"/>
  <c r="K765" i="2"/>
  <c r="M765" i="2" s="1"/>
  <c r="J765" i="2"/>
  <c r="L1082" i="2"/>
  <c r="K1082" i="2"/>
  <c r="M1082" i="2" s="1"/>
  <c r="J1082" i="2"/>
  <c r="L764" i="2"/>
  <c r="K764" i="2"/>
  <c r="M764" i="2" s="1"/>
  <c r="J764" i="2"/>
  <c r="L1056" i="2"/>
  <c r="K1056" i="2"/>
  <c r="M1056" i="2" s="1"/>
  <c r="J1056" i="2"/>
  <c r="L1054" i="2"/>
  <c r="K1054" i="2"/>
  <c r="M1054" i="2" s="1"/>
  <c r="J1054" i="2"/>
  <c r="L681" i="2"/>
  <c r="K681" i="2"/>
  <c r="M681" i="2" s="1"/>
  <c r="J681" i="2"/>
  <c r="L1081" i="2"/>
  <c r="K1081" i="2"/>
  <c r="M1081" i="2" s="1"/>
  <c r="J1081" i="2"/>
  <c r="L1090" i="2"/>
  <c r="K1090" i="2"/>
  <c r="M1090" i="2" s="1"/>
  <c r="J1090" i="2"/>
  <c r="L1065" i="2"/>
  <c r="K1065" i="2"/>
  <c r="M1065" i="2" s="1"/>
  <c r="J1065" i="2"/>
  <c r="L1474" i="2"/>
  <c r="K1474" i="2"/>
  <c r="M1474" i="2" s="1"/>
  <c r="J1474" i="2"/>
  <c r="L1114" i="2"/>
  <c r="K1114" i="2"/>
  <c r="M1114" i="2" s="1"/>
  <c r="J1114" i="2"/>
  <c r="L999" i="2"/>
  <c r="K999" i="2"/>
  <c r="M999" i="2" s="1"/>
  <c r="J999" i="2"/>
  <c r="L961" i="2"/>
  <c r="K961" i="2"/>
  <c r="M961" i="2" s="1"/>
  <c r="J961" i="2"/>
  <c r="L908" i="2"/>
  <c r="K908" i="2"/>
  <c r="M908" i="2" s="1"/>
  <c r="J908" i="2"/>
  <c r="L1482" i="2"/>
  <c r="K1482" i="2"/>
  <c r="M1482" i="2" s="1"/>
  <c r="J1482" i="2"/>
  <c r="L1039" i="2"/>
  <c r="K1039" i="2"/>
  <c r="M1039" i="2" s="1"/>
  <c r="J1039" i="2"/>
  <c r="L1027" i="2"/>
  <c r="K1027" i="2"/>
  <c r="M1027" i="2" s="1"/>
  <c r="J1027" i="2"/>
  <c r="L1337" i="2"/>
  <c r="K1337" i="2"/>
  <c r="M1337" i="2" s="1"/>
  <c r="J1337" i="2"/>
  <c r="L1355" i="2"/>
  <c r="K1355" i="2"/>
  <c r="M1355" i="2" s="1"/>
  <c r="J1355" i="2"/>
  <c r="L445" i="2"/>
  <c r="K445" i="2"/>
  <c r="M445" i="2" s="1"/>
  <c r="J445" i="2"/>
  <c r="L625" i="2"/>
  <c r="K625" i="2"/>
  <c r="M625" i="2" s="1"/>
  <c r="J625" i="2"/>
  <c r="L449" i="2"/>
  <c r="K449" i="2"/>
  <c r="M449" i="2" s="1"/>
  <c r="J449" i="2"/>
  <c r="L463" i="2"/>
  <c r="K463" i="2"/>
  <c r="M463" i="2" s="1"/>
  <c r="J463" i="2"/>
  <c r="L1030" i="2"/>
  <c r="K1030" i="2"/>
  <c r="M1030" i="2" s="1"/>
  <c r="J1030" i="2"/>
  <c r="L446" i="2"/>
  <c r="K446" i="2"/>
  <c r="M446" i="2" s="1"/>
  <c r="J446" i="2"/>
  <c r="L637" i="2"/>
  <c r="K637" i="2"/>
  <c r="M637" i="2" s="1"/>
  <c r="J637" i="2"/>
  <c r="L888" i="2"/>
  <c r="K888" i="2"/>
  <c r="M888" i="2" s="1"/>
  <c r="J888" i="2"/>
  <c r="L510" i="2"/>
  <c r="K510" i="2"/>
  <c r="M510" i="2" s="1"/>
  <c r="J510" i="2"/>
  <c r="L971" i="2"/>
  <c r="K971" i="2"/>
  <c r="M971" i="2" s="1"/>
  <c r="J971" i="2"/>
  <c r="L1335" i="2"/>
  <c r="K1335" i="2"/>
  <c r="M1335" i="2" s="1"/>
  <c r="J1335" i="2"/>
  <c r="L1457" i="2"/>
  <c r="K1457" i="2"/>
  <c r="M1457" i="2" s="1"/>
  <c r="J1457" i="2"/>
  <c r="L733" i="2"/>
  <c r="K733" i="2"/>
  <c r="M733" i="2" s="1"/>
  <c r="J733" i="2"/>
  <c r="L536" i="2"/>
  <c r="K536" i="2"/>
  <c r="M536" i="2" s="1"/>
  <c r="J536" i="2"/>
  <c r="L1260" i="2"/>
  <c r="K1260" i="2"/>
  <c r="M1260" i="2" s="1"/>
  <c r="J1260" i="2"/>
  <c r="L772" i="2"/>
  <c r="K772" i="2"/>
  <c r="M772" i="2" s="1"/>
  <c r="J772" i="2"/>
  <c r="L783" i="2"/>
  <c r="K783" i="2"/>
  <c r="M783" i="2" s="1"/>
  <c r="J783" i="2"/>
  <c r="L740" i="2"/>
  <c r="K740" i="2"/>
  <c r="M740" i="2" s="1"/>
  <c r="J740" i="2"/>
  <c r="L591" i="2"/>
  <c r="K591" i="2"/>
  <c r="M591" i="2" s="1"/>
  <c r="J591" i="2"/>
  <c r="L799" i="2"/>
  <c r="K799" i="2"/>
  <c r="M799" i="2" s="1"/>
  <c r="J799" i="2"/>
  <c r="L795" i="2"/>
  <c r="K795" i="2"/>
  <c r="M795" i="2" s="1"/>
  <c r="J795" i="2"/>
  <c r="L1490" i="2"/>
  <c r="K1490" i="2"/>
  <c r="M1490" i="2" s="1"/>
  <c r="J1490" i="2"/>
  <c r="L1334" i="2"/>
  <c r="K1334" i="2"/>
  <c r="M1334" i="2" s="1"/>
  <c r="J1334" i="2"/>
  <c r="L497" i="2"/>
  <c r="K497" i="2"/>
  <c r="M497" i="2" s="1"/>
  <c r="J497" i="2"/>
  <c r="L738" i="2"/>
  <c r="K738" i="2"/>
  <c r="M738" i="2" s="1"/>
  <c r="J738" i="2"/>
  <c r="L426" i="2"/>
  <c r="K426" i="2"/>
  <c r="M426" i="2" s="1"/>
  <c r="J426" i="2"/>
  <c r="L734" i="2"/>
  <c r="K734" i="2"/>
  <c r="M734" i="2" s="1"/>
  <c r="J734" i="2"/>
  <c r="L1401" i="2"/>
  <c r="K1401" i="2"/>
  <c r="M1401" i="2" s="1"/>
  <c r="J1401" i="2"/>
  <c r="L485" i="2"/>
  <c r="K485" i="2"/>
  <c r="M485" i="2" s="1"/>
  <c r="J485" i="2"/>
  <c r="L1352" i="2"/>
  <c r="K1352" i="2"/>
  <c r="M1352" i="2" s="1"/>
  <c r="J1352" i="2"/>
  <c r="L1321" i="2"/>
  <c r="K1321" i="2"/>
  <c r="M1321" i="2" s="1"/>
  <c r="J1321" i="2"/>
  <c r="L1308" i="2"/>
  <c r="K1308" i="2"/>
  <c r="M1308" i="2" s="1"/>
  <c r="J1308" i="2"/>
  <c r="L1304" i="2"/>
  <c r="K1304" i="2"/>
  <c r="M1304" i="2" s="1"/>
  <c r="J1304" i="2"/>
  <c r="L428" i="2"/>
  <c r="K428" i="2"/>
  <c r="M428" i="2" s="1"/>
  <c r="J428" i="2"/>
  <c r="L484" i="2"/>
  <c r="K484" i="2"/>
  <c r="M484" i="2" s="1"/>
  <c r="J484" i="2"/>
  <c r="L461" i="2"/>
  <c r="K461" i="2"/>
  <c r="M461" i="2" s="1"/>
  <c r="J461" i="2"/>
  <c r="L525" i="2"/>
  <c r="K525" i="2"/>
  <c r="M525" i="2" s="1"/>
  <c r="J525" i="2"/>
  <c r="L1330" i="2"/>
  <c r="K1330" i="2"/>
  <c r="M1330" i="2" s="1"/>
  <c r="J1330" i="2"/>
  <c r="L706" i="2"/>
  <c r="K706" i="2"/>
  <c r="M706" i="2" s="1"/>
  <c r="J706" i="2"/>
  <c r="L1484" i="2"/>
  <c r="K1484" i="2"/>
  <c r="M1484" i="2" s="1"/>
  <c r="J1484" i="2"/>
  <c r="L1477" i="2"/>
  <c r="K1477" i="2"/>
  <c r="M1477" i="2" s="1"/>
  <c r="J1477" i="2"/>
  <c r="L1257" i="2"/>
  <c r="K1257" i="2"/>
  <c r="M1257" i="2" s="1"/>
  <c r="J1257" i="2"/>
  <c r="L1377" i="2"/>
  <c r="K1377" i="2"/>
  <c r="M1377" i="2" s="1"/>
  <c r="J1377" i="2"/>
  <c r="L1261" i="2"/>
  <c r="K1261" i="2"/>
  <c r="M1261" i="2" s="1"/>
  <c r="J1261" i="2"/>
  <c r="L1309" i="2"/>
  <c r="K1309" i="2"/>
  <c r="M1309" i="2" s="1"/>
  <c r="J1309" i="2"/>
  <c r="L1288" i="2"/>
  <c r="K1288" i="2"/>
  <c r="M1288" i="2" s="1"/>
  <c r="J1288" i="2"/>
  <c r="L1267" i="2"/>
  <c r="K1267" i="2"/>
  <c r="M1267" i="2" s="1"/>
  <c r="J1267" i="2"/>
  <c r="L1245" i="2"/>
  <c r="K1245" i="2"/>
  <c r="M1245" i="2" s="1"/>
  <c r="J1245" i="2"/>
  <c r="L1255" i="2"/>
  <c r="K1255" i="2"/>
  <c r="M1255" i="2" s="1"/>
  <c r="J1255" i="2"/>
  <c r="L1305" i="2"/>
  <c r="K1305" i="2"/>
  <c r="M1305" i="2" s="1"/>
  <c r="J1305" i="2"/>
  <c r="L1252" i="2"/>
  <c r="K1252" i="2"/>
  <c r="M1252" i="2" s="1"/>
  <c r="J1252" i="2"/>
  <c r="L1279" i="2"/>
  <c r="K1279" i="2"/>
  <c r="M1279" i="2" s="1"/>
  <c r="J1279" i="2"/>
  <c r="L1379" i="2"/>
  <c r="K1379" i="2"/>
  <c r="M1379" i="2" s="1"/>
  <c r="J1379" i="2"/>
  <c r="L1454" i="2"/>
  <c r="K1454" i="2"/>
  <c r="M1454" i="2" s="1"/>
  <c r="J1454" i="2"/>
  <c r="L1471" i="2"/>
  <c r="K1471" i="2"/>
  <c r="M1471" i="2" s="1"/>
  <c r="J1471" i="2"/>
  <c r="L1274" i="2"/>
  <c r="K1274" i="2"/>
  <c r="M1274" i="2" s="1"/>
  <c r="J1274" i="2"/>
  <c r="L1345" i="2"/>
  <c r="K1345" i="2"/>
  <c r="M1345" i="2" s="1"/>
  <c r="J1345" i="2"/>
  <c r="L1394" i="2"/>
  <c r="K1394" i="2"/>
  <c r="M1394" i="2" s="1"/>
  <c r="J1394" i="2"/>
  <c r="L684" i="2"/>
  <c r="K684" i="2"/>
  <c r="M684" i="2" s="1"/>
  <c r="J684" i="2"/>
  <c r="L917" i="2"/>
  <c r="K917" i="2"/>
  <c r="M917" i="2" s="1"/>
  <c r="J917" i="2"/>
  <c r="L2208" i="2"/>
  <c r="K2208" i="2"/>
  <c r="M2208" i="2" s="1"/>
  <c r="J2208" i="2"/>
  <c r="L2155" i="2"/>
  <c r="K2155" i="2"/>
  <c r="M2155" i="2" s="1"/>
  <c r="J2155" i="2"/>
  <c r="L2235" i="2"/>
  <c r="K2235" i="2"/>
  <c r="M2235" i="2" s="1"/>
  <c r="J2235" i="2"/>
  <c r="L2321" i="2"/>
  <c r="K2321" i="2"/>
  <c r="M2321" i="2" s="1"/>
  <c r="J2321" i="2"/>
  <c r="L1134" i="2"/>
  <c r="K1134" i="2"/>
  <c r="M1134" i="2" s="1"/>
  <c r="J1134" i="2"/>
  <c r="L1214" i="2"/>
  <c r="K1214" i="2"/>
  <c r="M1214" i="2" s="1"/>
  <c r="J1214" i="2"/>
  <c r="L1144" i="2"/>
  <c r="K1144" i="2"/>
  <c r="M1144" i="2" s="1"/>
  <c r="J1144" i="2"/>
  <c r="L2144" i="2"/>
  <c r="K2144" i="2"/>
  <c r="M2144" i="2" s="1"/>
  <c r="J2144" i="2"/>
  <c r="L2543" i="2"/>
  <c r="K2543" i="2"/>
  <c r="M2543" i="2" s="1"/>
  <c r="J2543" i="2"/>
  <c r="L2551" i="2"/>
  <c r="K2551" i="2"/>
  <c r="M2551" i="2" s="1"/>
  <c r="J2551" i="2"/>
  <c r="L2465" i="2"/>
  <c r="K2465" i="2"/>
  <c r="M2465" i="2" s="1"/>
  <c r="J2465" i="2"/>
  <c r="L2541" i="2"/>
  <c r="K2541" i="2"/>
  <c r="M2541" i="2" s="1"/>
  <c r="J2541" i="2"/>
  <c r="L2391" i="2"/>
  <c r="K2391" i="2"/>
  <c r="M2391" i="2" s="1"/>
  <c r="J2391" i="2"/>
  <c r="L2493" i="2"/>
  <c r="K2493" i="2"/>
  <c r="M2493" i="2" s="1"/>
  <c r="J2493" i="2"/>
  <c r="L2499" i="2"/>
  <c r="K2499" i="2"/>
  <c r="M2499" i="2" s="1"/>
  <c r="J2499" i="2"/>
  <c r="L2526" i="2"/>
  <c r="K2526" i="2"/>
  <c r="M2526" i="2" s="1"/>
  <c r="J2526" i="2"/>
  <c r="L2514" i="2"/>
  <c r="K2514" i="2"/>
  <c r="M2514" i="2" s="1"/>
  <c r="J2514" i="2"/>
  <c r="L2463" i="2"/>
  <c r="K2463" i="2"/>
  <c r="M2463" i="2" s="1"/>
  <c r="J2463" i="2"/>
  <c r="L2489" i="2"/>
  <c r="K2489" i="2"/>
  <c r="M2489" i="2" s="1"/>
  <c r="J2489" i="2"/>
  <c r="L2423" i="2"/>
  <c r="K2423" i="2"/>
  <c r="M2423" i="2" s="1"/>
  <c r="J2423" i="2"/>
  <c r="L2242" i="2"/>
  <c r="K2242" i="2"/>
  <c r="M2242" i="2" s="1"/>
  <c r="J2242" i="2"/>
  <c r="L2052" i="2"/>
  <c r="K2052" i="2"/>
  <c r="M2052" i="2" s="1"/>
  <c r="J2052" i="2"/>
  <c r="L1866" i="2"/>
  <c r="K1866" i="2"/>
  <c r="M1866" i="2" s="1"/>
  <c r="J1866" i="2"/>
  <c r="L2088" i="2"/>
  <c r="K2088" i="2"/>
  <c r="M2088" i="2" s="1"/>
  <c r="J2088" i="2"/>
  <c r="L2226" i="2"/>
  <c r="K2226" i="2"/>
  <c r="M2226" i="2" s="1"/>
  <c r="J2226" i="2"/>
  <c r="L2355" i="2"/>
  <c r="K2355" i="2"/>
  <c r="M2355" i="2" s="1"/>
  <c r="J2355" i="2"/>
  <c r="L2532" i="2"/>
  <c r="K2532" i="2"/>
  <c r="M2532" i="2" s="1"/>
  <c r="J2532" i="2"/>
  <c r="L2479" i="2"/>
  <c r="K2479" i="2"/>
  <c r="M2479" i="2" s="1"/>
  <c r="J2479" i="2"/>
  <c r="L2434" i="2"/>
  <c r="K2434" i="2"/>
  <c r="M2434" i="2" s="1"/>
  <c r="J2434" i="2"/>
  <c r="L2395" i="2"/>
  <c r="K2395" i="2"/>
  <c r="M2395" i="2" s="1"/>
  <c r="J2395" i="2"/>
  <c r="L2028" i="2"/>
  <c r="K2028" i="2"/>
  <c r="M2028" i="2" s="1"/>
  <c r="J2028" i="2"/>
  <c r="L1891" i="2"/>
  <c r="K1891" i="2"/>
  <c r="M1891" i="2" s="1"/>
  <c r="J1891" i="2"/>
  <c r="L2302" i="2"/>
  <c r="K2302" i="2"/>
  <c r="M2302" i="2" s="1"/>
  <c r="J2302" i="2"/>
  <c r="L1855" i="2"/>
  <c r="K1855" i="2"/>
  <c r="M1855" i="2" s="1"/>
  <c r="J1855" i="2"/>
  <c r="L2089" i="2"/>
  <c r="K2089" i="2"/>
  <c r="M2089" i="2" s="1"/>
  <c r="J2089" i="2"/>
  <c r="L2058" i="2"/>
  <c r="K2058" i="2"/>
  <c r="M2058" i="2" s="1"/>
  <c r="J2058" i="2"/>
  <c r="L2051" i="2"/>
  <c r="K2051" i="2"/>
  <c r="M2051" i="2" s="1"/>
  <c r="J2051" i="2"/>
  <c r="L2429" i="2"/>
  <c r="K2429" i="2"/>
  <c r="M2429" i="2" s="1"/>
  <c r="J2429" i="2"/>
  <c r="L2275" i="2"/>
  <c r="K2275" i="2"/>
  <c r="M2275" i="2" s="1"/>
  <c r="J2275" i="2"/>
  <c r="L2187" i="2"/>
  <c r="K2187" i="2"/>
  <c r="M2187" i="2" s="1"/>
  <c r="J2187" i="2"/>
  <c r="L1856" i="2"/>
  <c r="K1856" i="2"/>
  <c r="M1856" i="2" s="1"/>
  <c r="J1856" i="2"/>
  <c r="L1968" i="2"/>
  <c r="K1968" i="2"/>
  <c r="M1968" i="2" s="1"/>
  <c r="J1968" i="2"/>
  <c r="L2410" i="2"/>
  <c r="K2410" i="2"/>
  <c r="M2410" i="2" s="1"/>
  <c r="J2410" i="2"/>
  <c r="L2325" i="2"/>
  <c r="K2325" i="2"/>
  <c r="M2325" i="2" s="1"/>
  <c r="J2325" i="2"/>
  <c r="L2402" i="2"/>
  <c r="K2402" i="2"/>
  <c r="M2402" i="2" s="1"/>
  <c r="J2402" i="2"/>
  <c r="L2490" i="2"/>
  <c r="K2490" i="2"/>
  <c r="M2490" i="2" s="1"/>
  <c r="J2490" i="2"/>
  <c r="L1861" i="2"/>
  <c r="K1861" i="2"/>
  <c r="M1861" i="2" s="1"/>
  <c r="J1861" i="2"/>
  <c r="L2393" i="2"/>
  <c r="K2393" i="2"/>
  <c r="M2393" i="2" s="1"/>
  <c r="J2393" i="2"/>
  <c r="L1926" i="2"/>
  <c r="K1926" i="2"/>
  <c r="M1926" i="2" s="1"/>
  <c r="J1926" i="2"/>
  <c r="L2276" i="2"/>
  <c r="K2276" i="2"/>
  <c r="M2276" i="2" s="1"/>
  <c r="J2276" i="2"/>
  <c r="L2138" i="2"/>
  <c r="K2138" i="2"/>
  <c r="M2138" i="2" s="1"/>
  <c r="J2138" i="2"/>
  <c r="L2298" i="2"/>
  <c r="K2298" i="2"/>
  <c r="M2298" i="2" s="1"/>
  <c r="J2298" i="2"/>
  <c r="L2001" i="2"/>
  <c r="K2001" i="2"/>
  <c r="M2001" i="2" s="1"/>
  <c r="J2001" i="2"/>
  <c r="L2469" i="2"/>
  <c r="K2469" i="2"/>
  <c r="M2469" i="2" s="1"/>
  <c r="J2469" i="2"/>
  <c r="L1833" i="2"/>
  <c r="K1833" i="2"/>
  <c r="M1833" i="2" s="1"/>
  <c r="J1833" i="2"/>
  <c r="L2488" i="2"/>
  <c r="K2488" i="2"/>
  <c r="M2488" i="2" s="1"/>
  <c r="J2488" i="2"/>
  <c r="L1904" i="2"/>
  <c r="K1904" i="2"/>
  <c r="M1904" i="2" s="1"/>
  <c r="J1904" i="2"/>
  <c r="L2250" i="2"/>
  <c r="K2250" i="2"/>
  <c r="M2250" i="2" s="1"/>
  <c r="J2250" i="2"/>
  <c r="L1878" i="2"/>
  <c r="K1878" i="2"/>
  <c r="M1878" i="2" s="1"/>
  <c r="J1878" i="2"/>
  <c r="L2310" i="2"/>
  <c r="K2310" i="2"/>
  <c r="M2310" i="2" s="1"/>
  <c r="J2310" i="2"/>
  <c r="L2188" i="2"/>
  <c r="K2188" i="2"/>
  <c r="M2188" i="2" s="1"/>
  <c r="J2188" i="2"/>
  <c r="L2082" i="2"/>
  <c r="K2082" i="2"/>
  <c r="M2082" i="2" s="1"/>
  <c r="J2082" i="2"/>
  <c r="L1847" i="2"/>
  <c r="K1847" i="2"/>
  <c r="M1847" i="2" s="1"/>
  <c r="J1847" i="2"/>
  <c r="L2206" i="2"/>
  <c r="K2206" i="2"/>
  <c r="M2206" i="2" s="1"/>
  <c r="J2206" i="2"/>
  <c r="L2436" i="2"/>
  <c r="K2436" i="2"/>
  <c r="M2436" i="2" s="1"/>
  <c r="J2436" i="2"/>
  <c r="L2068" i="2"/>
  <c r="K2068" i="2"/>
  <c r="M2068" i="2" s="1"/>
  <c r="J2068" i="2"/>
  <c r="L2209" i="2"/>
  <c r="K2209" i="2"/>
  <c r="M2209" i="2" s="1"/>
  <c r="J2209" i="2"/>
  <c r="L2344" i="2"/>
  <c r="K2344" i="2"/>
  <c r="M2344" i="2" s="1"/>
  <c r="J2344" i="2"/>
  <c r="L1837" i="2"/>
  <c r="K1837" i="2"/>
  <c r="M1837" i="2" s="1"/>
  <c r="J1837" i="2"/>
  <c r="L2478" i="2"/>
  <c r="K2478" i="2"/>
  <c r="M2478" i="2" s="1"/>
  <c r="J2478" i="2"/>
  <c r="L2149" i="2"/>
  <c r="K2149" i="2"/>
  <c r="M2149" i="2" s="1"/>
  <c r="J2149" i="2"/>
  <c r="L2097" i="2"/>
  <c r="K2097" i="2"/>
  <c r="M2097" i="2" s="1"/>
  <c r="J2097" i="2"/>
  <c r="L2392" i="2"/>
  <c r="K2392" i="2"/>
  <c r="M2392" i="2" s="1"/>
  <c r="J2392" i="2"/>
  <c r="L1849" i="2"/>
  <c r="K1849" i="2"/>
  <c r="M1849" i="2" s="1"/>
  <c r="J1849" i="2"/>
  <c r="L2457" i="2"/>
  <c r="K2457" i="2"/>
  <c r="M2457" i="2" s="1"/>
  <c r="J2457" i="2"/>
  <c r="L2458" i="2"/>
  <c r="K2458" i="2"/>
  <c r="M2458" i="2" s="1"/>
  <c r="J2458" i="2"/>
  <c r="L1208" i="2"/>
  <c r="K1208" i="2"/>
  <c r="M1208" i="2" s="1"/>
  <c r="J1208" i="2"/>
  <c r="L1168" i="2"/>
  <c r="K1168" i="2"/>
  <c r="M1168" i="2" s="1"/>
  <c r="J1168" i="2"/>
  <c r="L1149" i="2"/>
  <c r="K1149" i="2"/>
  <c r="M1149" i="2" s="1"/>
  <c r="J1149" i="2"/>
  <c r="L1961" i="2"/>
  <c r="K1961" i="2"/>
  <c r="M1961" i="2" s="1"/>
  <c r="J1961" i="2"/>
  <c r="L1858" i="2"/>
  <c r="K1858" i="2"/>
  <c r="M1858" i="2" s="1"/>
  <c r="J1858" i="2"/>
  <c r="L2113" i="2"/>
  <c r="K2113" i="2"/>
  <c r="M2113" i="2" s="1"/>
  <c r="J2113" i="2"/>
  <c r="L1198" i="2"/>
  <c r="K1198" i="2"/>
  <c r="M1198" i="2" s="1"/>
  <c r="J1198" i="2"/>
  <c r="L1133" i="2"/>
  <c r="K1133" i="2"/>
  <c r="M1133" i="2" s="1"/>
  <c r="J1133" i="2"/>
  <c r="L1152" i="2"/>
  <c r="K1152" i="2"/>
  <c r="M1152" i="2" s="1"/>
  <c r="J1152" i="2"/>
  <c r="L1201" i="2"/>
  <c r="K1201" i="2"/>
  <c r="M1201" i="2" s="1"/>
  <c r="J1201" i="2"/>
  <c r="L2181" i="2"/>
  <c r="K2181" i="2"/>
  <c r="M2181" i="2" s="1"/>
  <c r="J2181" i="2"/>
  <c r="L2162" i="2"/>
  <c r="K2162" i="2"/>
  <c r="M2162" i="2" s="1"/>
  <c r="J2162" i="2"/>
  <c r="L2110" i="2"/>
  <c r="K2110" i="2"/>
  <c r="M2110" i="2" s="1"/>
  <c r="J2110" i="2"/>
  <c r="L1151" i="2"/>
  <c r="K1151" i="2"/>
  <c r="M1151" i="2" s="1"/>
  <c r="J1151" i="2"/>
  <c r="L2332" i="2"/>
  <c r="K2332" i="2"/>
  <c r="M2332" i="2" s="1"/>
  <c r="J2332" i="2"/>
  <c r="L2387" i="2"/>
  <c r="K2387" i="2"/>
  <c r="M2387" i="2" s="1"/>
  <c r="J2387" i="2"/>
  <c r="L2015" i="2"/>
  <c r="K2015" i="2"/>
  <c r="M2015" i="2" s="1"/>
  <c r="J2015" i="2"/>
  <c r="L2092" i="2"/>
  <c r="K2092" i="2"/>
  <c r="M2092" i="2" s="1"/>
  <c r="J2092" i="2"/>
  <c r="L1977" i="2"/>
  <c r="K1977" i="2"/>
  <c r="M1977" i="2" s="1"/>
  <c r="J1977" i="2"/>
  <c r="L1189" i="2"/>
  <c r="K1189" i="2"/>
  <c r="M1189" i="2" s="1"/>
  <c r="J1189" i="2"/>
  <c r="L1228" i="2"/>
  <c r="K1228" i="2"/>
  <c r="M1228" i="2" s="1"/>
  <c r="J1228" i="2"/>
  <c r="L1989" i="2"/>
  <c r="K1989" i="2"/>
  <c r="M1989" i="2" s="1"/>
  <c r="J1989" i="2"/>
  <c r="L2173" i="2"/>
  <c r="K2173" i="2"/>
  <c r="M2173" i="2" s="1"/>
  <c r="J2173" i="2"/>
  <c r="L1193" i="2"/>
  <c r="K1193" i="2"/>
  <c r="M1193" i="2" s="1"/>
  <c r="J1193" i="2"/>
  <c r="L1204" i="2"/>
  <c r="K1204" i="2"/>
  <c r="M1204" i="2" s="1"/>
  <c r="J1204" i="2"/>
  <c r="L2570" i="2"/>
  <c r="K2570" i="2"/>
  <c r="M2570" i="2" s="1"/>
  <c r="J2570" i="2"/>
  <c r="L2404" i="2"/>
  <c r="K2404" i="2"/>
  <c r="M2404" i="2" s="1"/>
  <c r="J2404" i="2"/>
  <c r="L2518" i="2"/>
  <c r="K2518" i="2"/>
  <c r="M2518" i="2" s="1"/>
  <c r="J2518" i="2"/>
  <c r="L1846" i="2"/>
  <c r="K1846" i="2"/>
  <c r="M1846" i="2" s="1"/>
  <c r="J1846" i="2"/>
  <c r="L1967" i="2"/>
  <c r="K1967" i="2"/>
  <c r="M1967" i="2" s="1"/>
  <c r="J1967" i="2"/>
  <c r="L2169" i="2"/>
  <c r="K2169" i="2"/>
  <c r="M2169" i="2" s="1"/>
  <c r="J2169" i="2"/>
  <c r="L2290" i="2"/>
  <c r="K2290" i="2"/>
  <c r="M2290" i="2" s="1"/>
  <c r="J2290" i="2"/>
  <c r="L2205" i="2"/>
  <c r="K2205" i="2"/>
  <c r="M2205" i="2" s="1"/>
  <c r="J2205" i="2"/>
  <c r="L2101" i="2"/>
  <c r="K2101" i="2"/>
  <c r="M2101" i="2" s="1"/>
  <c r="J2101" i="2"/>
  <c r="L2281" i="2"/>
  <c r="K2281" i="2"/>
  <c r="M2281" i="2" s="1"/>
  <c r="J2281" i="2"/>
  <c r="L2485" i="2"/>
  <c r="K2485" i="2"/>
  <c r="M2485" i="2" s="1"/>
  <c r="J2485" i="2"/>
  <c r="L2057" i="2"/>
  <c r="K2057" i="2"/>
  <c r="M2057" i="2" s="1"/>
  <c r="J2057" i="2"/>
  <c r="L2467" i="2"/>
  <c r="K2467" i="2"/>
  <c r="M2467" i="2" s="1"/>
  <c r="J2467" i="2"/>
  <c r="L2456" i="2"/>
  <c r="K2456" i="2"/>
  <c r="M2456" i="2" s="1"/>
  <c r="J2456" i="2"/>
  <c r="L2125" i="2"/>
  <c r="K2125" i="2"/>
  <c r="M2125" i="2" s="1"/>
  <c r="J2125" i="2"/>
  <c r="L2584" i="2"/>
  <c r="K2584" i="2"/>
  <c r="M2584" i="2" s="1"/>
  <c r="J2584" i="2"/>
  <c r="L2507" i="2"/>
  <c r="K2507" i="2"/>
  <c r="M2507" i="2" s="1"/>
  <c r="J2507" i="2"/>
  <c r="L2214" i="2"/>
  <c r="K2214" i="2"/>
  <c r="M2214" i="2" s="1"/>
  <c r="J2214" i="2"/>
  <c r="L2642" i="2"/>
  <c r="K2642" i="2"/>
  <c r="M2642" i="2" s="1"/>
  <c r="J2642" i="2"/>
  <c r="L1912" i="2"/>
  <c r="K1912" i="2"/>
  <c r="M1912" i="2" s="1"/>
  <c r="J1912" i="2"/>
  <c r="L2261" i="2"/>
  <c r="K2261" i="2"/>
  <c r="M2261" i="2" s="1"/>
  <c r="J2261" i="2"/>
  <c r="L1897" i="2"/>
  <c r="K1897" i="2"/>
  <c r="M1897" i="2" s="1"/>
  <c r="J1897" i="2"/>
  <c r="L2008" i="2"/>
  <c r="K2008" i="2"/>
  <c r="M2008" i="2" s="1"/>
  <c r="J2008" i="2"/>
  <c r="L2341" i="2"/>
  <c r="K2341" i="2"/>
  <c r="M2341" i="2" s="1"/>
  <c r="J2341" i="2"/>
  <c r="L1843" i="2"/>
  <c r="K1843" i="2"/>
  <c r="M1843" i="2" s="1"/>
  <c r="J1843" i="2"/>
  <c r="L2160" i="2"/>
  <c r="K2160" i="2"/>
  <c r="M2160" i="2" s="1"/>
  <c r="J2160" i="2"/>
  <c r="L1889" i="2"/>
  <c r="K1889" i="2"/>
  <c r="M1889" i="2" s="1"/>
  <c r="J1889" i="2"/>
  <c r="L2333" i="2"/>
  <c r="K2333" i="2"/>
  <c r="M2333" i="2" s="1"/>
  <c r="J2333" i="2"/>
  <c r="L1143" i="2"/>
  <c r="K1143" i="2"/>
  <c r="M1143" i="2" s="1"/>
  <c r="J1143" i="2"/>
  <c r="L2136" i="2"/>
  <c r="K2136" i="2"/>
  <c r="M2136" i="2" s="1"/>
  <c r="J2136" i="2"/>
  <c r="L1970" i="2"/>
  <c r="K1970" i="2"/>
  <c r="M1970" i="2" s="1"/>
  <c r="J1970" i="2"/>
  <c r="L2588" i="2"/>
  <c r="K2588" i="2"/>
  <c r="M2588" i="2" s="1"/>
  <c r="J2588" i="2"/>
  <c r="L1945" i="2"/>
  <c r="K1945" i="2"/>
  <c r="M1945" i="2" s="1"/>
  <c r="J1945" i="2"/>
  <c r="L2033" i="2"/>
  <c r="K2033" i="2"/>
  <c r="M2033" i="2" s="1"/>
  <c r="J2033" i="2"/>
  <c r="L2691" i="2"/>
  <c r="K2691" i="2"/>
  <c r="M2691" i="2" s="1"/>
  <c r="J2691" i="2"/>
  <c r="L1899" i="2"/>
  <c r="K1899" i="2"/>
  <c r="M1899" i="2" s="1"/>
  <c r="J1899" i="2"/>
  <c r="L2567" i="2"/>
  <c r="K2567" i="2"/>
  <c r="M2567" i="2" s="1"/>
  <c r="J2567" i="2"/>
  <c r="L2607" i="2"/>
  <c r="K2607" i="2"/>
  <c r="M2607" i="2" s="1"/>
  <c r="J2607" i="2"/>
  <c r="L2076" i="2"/>
  <c r="K2076" i="2"/>
  <c r="M2076" i="2" s="1"/>
  <c r="J2076" i="2"/>
  <c r="L2285" i="2"/>
  <c r="K2285" i="2"/>
  <c r="M2285" i="2" s="1"/>
  <c r="J2285" i="2"/>
  <c r="L2620" i="2"/>
  <c r="K2620" i="2"/>
  <c r="M2620" i="2" s="1"/>
  <c r="J2620" i="2"/>
  <c r="L2578" i="2"/>
  <c r="K2578" i="2"/>
  <c r="M2578" i="2" s="1"/>
  <c r="J2578" i="2"/>
  <c r="L2406" i="2"/>
  <c r="K2406" i="2"/>
  <c r="M2406" i="2" s="1"/>
  <c r="J2406" i="2"/>
  <c r="L1930" i="2"/>
  <c r="K1930" i="2"/>
  <c r="M1930" i="2" s="1"/>
  <c r="J1930" i="2"/>
  <c r="L2606" i="2"/>
  <c r="K2606" i="2"/>
  <c r="M2606" i="2" s="1"/>
  <c r="J2606" i="2"/>
  <c r="L2631" i="2"/>
  <c r="K2631" i="2"/>
  <c r="M2631" i="2" s="1"/>
  <c r="J2631" i="2"/>
  <c r="L2654" i="2"/>
  <c r="K2654" i="2"/>
  <c r="M2654" i="2" s="1"/>
  <c r="J2654" i="2"/>
  <c r="L2641" i="2"/>
  <c r="K2641" i="2"/>
  <c r="M2641" i="2" s="1"/>
  <c r="J2641" i="2"/>
  <c r="L2625" i="2"/>
  <c r="K2625" i="2"/>
  <c r="M2625" i="2" s="1"/>
  <c r="J2625" i="2"/>
  <c r="L2647" i="2"/>
  <c r="K2647" i="2"/>
  <c r="M2647" i="2" s="1"/>
  <c r="J2647" i="2"/>
  <c r="L2657" i="2"/>
  <c r="K2657" i="2"/>
  <c r="M2657" i="2" s="1"/>
  <c r="J2657" i="2"/>
  <c r="L2074" i="2"/>
  <c r="K2074" i="2"/>
  <c r="M2074" i="2" s="1"/>
  <c r="J2074" i="2"/>
  <c r="L2633" i="2"/>
  <c r="K2633" i="2"/>
  <c r="M2633" i="2" s="1"/>
  <c r="J2633" i="2"/>
  <c r="L2565" i="2"/>
  <c r="K2565" i="2"/>
  <c r="M2565" i="2" s="1"/>
  <c r="J2565" i="2"/>
  <c r="L2554" i="2"/>
  <c r="K2554" i="2"/>
  <c r="M2554" i="2" s="1"/>
  <c r="J2554" i="2"/>
  <c r="L2660" i="2"/>
  <c r="K2660" i="2"/>
  <c r="M2660" i="2" s="1"/>
  <c r="J2660" i="2"/>
  <c r="L2616" i="2"/>
  <c r="K2616" i="2"/>
  <c r="M2616" i="2" s="1"/>
  <c r="J2616" i="2"/>
  <c r="L2628" i="2"/>
  <c r="K2628" i="2"/>
  <c r="M2628" i="2" s="1"/>
  <c r="J2628" i="2"/>
  <c r="L2676" i="2"/>
  <c r="K2676" i="2"/>
  <c r="M2676" i="2" s="1"/>
  <c r="J2676" i="2"/>
  <c r="L2672" i="2"/>
  <c r="K2672" i="2"/>
  <c r="M2672" i="2" s="1"/>
  <c r="J2672" i="2"/>
  <c r="L2648" i="2"/>
  <c r="K2648" i="2"/>
  <c r="M2648" i="2" s="1"/>
  <c r="J2648" i="2"/>
  <c r="L2099" i="2"/>
  <c r="K2099" i="2"/>
  <c r="M2099" i="2" s="1"/>
  <c r="J2099" i="2"/>
  <c r="L1835" i="2"/>
  <c r="K1835" i="2"/>
  <c r="M1835" i="2" s="1"/>
  <c r="J1835" i="2"/>
  <c r="L2562" i="2"/>
  <c r="K2562" i="2"/>
  <c r="M2562" i="2" s="1"/>
  <c r="J2562" i="2"/>
  <c r="L2622" i="2"/>
  <c r="K2622" i="2"/>
  <c r="M2622" i="2" s="1"/>
  <c r="J2622" i="2"/>
  <c r="L2217" i="2"/>
  <c r="K2217" i="2"/>
  <c r="M2217" i="2" s="1"/>
  <c r="J2217" i="2"/>
  <c r="L2215" i="2"/>
  <c r="K2215" i="2"/>
  <c r="M2215" i="2" s="1"/>
  <c r="J2215" i="2"/>
  <c r="L2301" i="2"/>
  <c r="K2301" i="2"/>
  <c r="M2301" i="2" s="1"/>
  <c r="J2301" i="2"/>
  <c r="L2686" i="2"/>
  <c r="K2686" i="2"/>
  <c r="M2686" i="2" s="1"/>
  <c r="J2686" i="2"/>
  <c r="L1965" i="2"/>
  <c r="K1965" i="2"/>
  <c r="M1965" i="2" s="1"/>
  <c r="J1965" i="2"/>
  <c r="L2083" i="2"/>
  <c r="K2083" i="2"/>
  <c r="M2083" i="2" s="1"/>
  <c r="J2083" i="2"/>
  <c r="L1865" i="2"/>
  <c r="K1865" i="2"/>
  <c r="M1865" i="2" s="1"/>
  <c r="J1865" i="2"/>
  <c r="L1951" i="2"/>
  <c r="K1951" i="2"/>
  <c r="M1951" i="2" s="1"/>
  <c r="J1951" i="2"/>
  <c r="L1957" i="2"/>
  <c r="K1957" i="2"/>
  <c r="M1957" i="2" s="1"/>
  <c r="J1957" i="2"/>
  <c r="L1836" i="2"/>
  <c r="K1836" i="2"/>
  <c r="M1836" i="2" s="1"/>
  <c r="J1836" i="2"/>
  <c r="L2267" i="2"/>
  <c r="K2267" i="2"/>
  <c r="M2267" i="2" s="1"/>
  <c r="J2267" i="2"/>
  <c r="L2583" i="2"/>
  <c r="K2583" i="2"/>
  <c r="M2583" i="2" s="1"/>
  <c r="J2583" i="2"/>
  <c r="L2576" i="2"/>
  <c r="K2576" i="2"/>
  <c r="M2576" i="2" s="1"/>
  <c r="J2576" i="2"/>
  <c r="L2575" i="2"/>
  <c r="K2575" i="2"/>
  <c r="M2575" i="2" s="1"/>
  <c r="J2575" i="2"/>
  <c r="L2577" i="2"/>
  <c r="K2577" i="2"/>
  <c r="M2577" i="2" s="1"/>
  <c r="J2577" i="2"/>
  <c r="L2348" i="2"/>
  <c r="K2348" i="2"/>
  <c r="M2348" i="2" s="1"/>
  <c r="J2348" i="2"/>
  <c r="L1132" i="2"/>
  <c r="K1132" i="2"/>
  <c r="M1132" i="2" s="1"/>
  <c r="J1132" i="2"/>
  <c r="L1242" i="2"/>
  <c r="K1242" i="2"/>
  <c r="M1242" i="2" s="1"/>
  <c r="J1242" i="2"/>
  <c r="L1217" i="2"/>
  <c r="K1217" i="2"/>
  <c r="M1217" i="2" s="1"/>
  <c r="J1217" i="2"/>
  <c r="L1179" i="2"/>
  <c r="K1179" i="2"/>
  <c r="M1179" i="2" s="1"/>
  <c r="J1179" i="2"/>
  <c r="L1171" i="2"/>
  <c r="K1171" i="2"/>
  <c r="M1171" i="2" s="1"/>
  <c r="J1171" i="2"/>
  <c r="L2251" i="2"/>
  <c r="K2251" i="2"/>
  <c r="M2251" i="2" s="1"/>
  <c r="J2251" i="2"/>
  <c r="L1928" i="2"/>
  <c r="K1928" i="2"/>
  <c r="M1928" i="2" s="1"/>
  <c r="J1928" i="2"/>
  <c r="L1981" i="2"/>
  <c r="K1981" i="2"/>
  <c r="M1981" i="2" s="1"/>
  <c r="J1981" i="2"/>
  <c r="L2079" i="2"/>
  <c r="K2079" i="2"/>
  <c r="M2079" i="2" s="1"/>
  <c r="J2079" i="2"/>
  <c r="L2171" i="2"/>
  <c r="K2171" i="2"/>
  <c r="M2171" i="2" s="1"/>
  <c r="J2171" i="2"/>
  <c r="L2196" i="2"/>
  <c r="K2196" i="2"/>
  <c r="M2196" i="2" s="1"/>
  <c r="J2196" i="2"/>
  <c r="L2007" i="2"/>
  <c r="K2007" i="2"/>
  <c r="M2007" i="2" s="1"/>
  <c r="J2007" i="2"/>
  <c r="L2339" i="2"/>
  <c r="K2339" i="2"/>
  <c r="M2339" i="2" s="1"/>
  <c r="J2339" i="2"/>
  <c r="L2177" i="2"/>
  <c r="K2177" i="2"/>
  <c r="M2177" i="2" s="1"/>
  <c r="J2177" i="2"/>
  <c r="L1962" i="2"/>
  <c r="K1962" i="2"/>
  <c r="M1962" i="2" s="1"/>
  <c r="J1962" i="2"/>
  <c r="L2065" i="2"/>
  <c r="K2065" i="2"/>
  <c r="M2065" i="2" s="1"/>
  <c r="J2065" i="2"/>
  <c r="L2006" i="2"/>
  <c r="K2006" i="2"/>
  <c r="M2006" i="2" s="1"/>
  <c r="J2006" i="2"/>
  <c r="L2135" i="2"/>
  <c r="K2135" i="2"/>
  <c r="M2135" i="2" s="1"/>
  <c r="J2135" i="2"/>
  <c r="L2282" i="2"/>
  <c r="K2282" i="2"/>
  <c r="M2282" i="2" s="1"/>
  <c r="J2282" i="2"/>
  <c r="L2266" i="2"/>
  <c r="K2266" i="2"/>
  <c r="M2266" i="2" s="1"/>
  <c r="J2266" i="2"/>
  <c r="L2558" i="2"/>
  <c r="K2558" i="2"/>
  <c r="M2558" i="2" s="1"/>
  <c r="J2558" i="2"/>
  <c r="L2201" i="2"/>
  <c r="K2201" i="2"/>
  <c r="M2201" i="2" s="1"/>
  <c r="J2201" i="2"/>
  <c r="L2340" i="2"/>
  <c r="K2340" i="2"/>
  <c r="M2340" i="2" s="1"/>
  <c r="J2340" i="2"/>
  <c r="L2347" i="2"/>
  <c r="K2347" i="2"/>
  <c r="M2347" i="2" s="1"/>
  <c r="J2347" i="2"/>
  <c r="L1844" i="2"/>
  <c r="K1844" i="2"/>
  <c r="M1844" i="2" s="1"/>
  <c r="J1844" i="2"/>
  <c r="L1896" i="2"/>
  <c r="K1896" i="2"/>
  <c r="M1896" i="2" s="1"/>
  <c r="J1896" i="2"/>
  <c r="L2346" i="2"/>
  <c r="K2346" i="2"/>
  <c r="M2346" i="2" s="1"/>
  <c r="J2346" i="2"/>
  <c r="L1199" i="2"/>
  <c r="K1199" i="2"/>
  <c r="M1199" i="2" s="1"/>
  <c r="J1199" i="2"/>
  <c r="L2308" i="2"/>
  <c r="K2308" i="2"/>
  <c r="M2308" i="2" s="1"/>
  <c r="J2308" i="2"/>
  <c r="L2383" i="2"/>
  <c r="K2383" i="2"/>
  <c r="M2383" i="2" s="1"/>
  <c r="J2383" i="2"/>
  <c r="L2159" i="2"/>
  <c r="K2159" i="2"/>
  <c r="M2159" i="2" s="1"/>
  <c r="J2159" i="2"/>
  <c r="L2031" i="2"/>
  <c r="K2031" i="2"/>
  <c r="M2031" i="2" s="1"/>
  <c r="J2031" i="2"/>
  <c r="L2145" i="2"/>
  <c r="K2145" i="2"/>
  <c r="M2145" i="2" s="1"/>
  <c r="J2145" i="2"/>
  <c r="L1994" i="2"/>
  <c r="K1994" i="2"/>
  <c r="M1994" i="2" s="1"/>
  <c r="J1994" i="2"/>
  <c r="L1194" i="2"/>
  <c r="K1194" i="2"/>
  <c r="M1194" i="2" s="1"/>
  <c r="J1194" i="2"/>
  <c r="L1182" i="2"/>
  <c r="K1182" i="2"/>
  <c r="M1182" i="2" s="1"/>
  <c r="J1182" i="2"/>
  <c r="L1230" i="2"/>
  <c r="K1230" i="2"/>
  <c r="M1230" i="2" s="1"/>
  <c r="J1230" i="2"/>
  <c r="L1218" i="2"/>
  <c r="K1218" i="2"/>
  <c r="M1218" i="2" s="1"/>
  <c r="J1218" i="2"/>
  <c r="L1181" i="2"/>
  <c r="K1181" i="2"/>
  <c r="M1181" i="2" s="1"/>
  <c r="J1181" i="2"/>
  <c r="L1135" i="2"/>
  <c r="K1135" i="2"/>
  <c r="M1135" i="2" s="1"/>
  <c r="J1135" i="2"/>
  <c r="L1188" i="2"/>
  <c r="K1188" i="2"/>
  <c r="M1188" i="2" s="1"/>
  <c r="J1188" i="2"/>
  <c r="L2525" i="2"/>
  <c r="K2525" i="2"/>
  <c r="M2525" i="2" s="1"/>
  <c r="J2525" i="2"/>
  <c r="L2539" i="2"/>
  <c r="K2539" i="2"/>
  <c r="M2539" i="2" s="1"/>
  <c r="J2539" i="2"/>
  <c r="L2262" i="2"/>
  <c r="K2262" i="2"/>
  <c r="M2262" i="2" s="1"/>
  <c r="J2262" i="2"/>
  <c r="L2505" i="2"/>
  <c r="K2505" i="2"/>
  <c r="M2505" i="2" s="1"/>
  <c r="J2505" i="2"/>
  <c r="L2418" i="2"/>
  <c r="K2418" i="2"/>
  <c r="M2418" i="2" s="1"/>
  <c r="J2418" i="2"/>
  <c r="L2511" i="2"/>
  <c r="K2511" i="2"/>
  <c r="M2511" i="2" s="1"/>
  <c r="J2511" i="2"/>
  <c r="L2394" i="2"/>
  <c r="K2394" i="2"/>
  <c r="M2394" i="2" s="1"/>
  <c r="J2394" i="2"/>
  <c r="L2338" i="2"/>
  <c r="K2338" i="2"/>
  <c r="M2338" i="2" s="1"/>
  <c r="J2338" i="2"/>
  <c r="L2353" i="2"/>
  <c r="K2353" i="2"/>
  <c r="M2353" i="2" s="1"/>
  <c r="J2353" i="2"/>
  <c r="L2531" i="2"/>
  <c r="K2531" i="2"/>
  <c r="M2531" i="2" s="1"/>
  <c r="J2531" i="2"/>
  <c r="L2504" i="2"/>
  <c r="K2504" i="2"/>
  <c r="M2504" i="2" s="1"/>
  <c r="J2504" i="2"/>
  <c r="L2443" i="2"/>
  <c r="K2443" i="2"/>
  <c r="M2443" i="2" s="1"/>
  <c r="J2443" i="2"/>
  <c r="L2376" i="2"/>
  <c r="K2376" i="2"/>
  <c r="M2376" i="2" s="1"/>
  <c r="J2376" i="2"/>
  <c r="L2480" i="2"/>
  <c r="K2480" i="2"/>
  <c r="M2480" i="2" s="1"/>
  <c r="J2480" i="2"/>
  <c r="L2503" i="2"/>
  <c r="K2503" i="2"/>
  <c r="M2503" i="2" s="1"/>
  <c r="J2503" i="2"/>
  <c r="L2474" i="2"/>
  <c r="K2474" i="2"/>
  <c r="M2474" i="2" s="1"/>
  <c r="J2474" i="2"/>
  <c r="L2435" i="2"/>
  <c r="K2435" i="2"/>
  <c r="M2435" i="2" s="1"/>
  <c r="J2435" i="2"/>
  <c r="L2535" i="2"/>
  <c r="K2535" i="2"/>
  <c r="M2535" i="2" s="1"/>
  <c r="J2535" i="2"/>
  <c r="L2508" i="2"/>
  <c r="K2508" i="2"/>
  <c r="M2508" i="2" s="1"/>
  <c r="J2508" i="2"/>
  <c r="L2240" i="2"/>
  <c r="K2240" i="2"/>
  <c r="M2240" i="2" s="1"/>
  <c r="J2240" i="2"/>
  <c r="L1894" i="2"/>
  <c r="K1894" i="2"/>
  <c r="M1894" i="2" s="1"/>
  <c r="J1894" i="2"/>
  <c r="L1953" i="2"/>
  <c r="K1953" i="2"/>
  <c r="M1953" i="2" s="1"/>
  <c r="J1953" i="2"/>
  <c r="L2170" i="2"/>
  <c r="K2170" i="2"/>
  <c r="M2170" i="2" s="1"/>
  <c r="J2170" i="2"/>
  <c r="L2379" i="2"/>
  <c r="K2379" i="2"/>
  <c r="M2379" i="2" s="1"/>
  <c r="J2379" i="2"/>
  <c r="L2179" i="2"/>
  <c r="K2179" i="2"/>
  <c r="M2179" i="2" s="1"/>
  <c r="J2179" i="2"/>
  <c r="L2055" i="2"/>
  <c r="K2055" i="2"/>
  <c r="M2055" i="2" s="1"/>
  <c r="J2055" i="2"/>
  <c r="L2132" i="2"/>
  <c r="K2132" i="2"/>
  <c r="M2132" i="2" s="1"/>
  <c r="J2132" i="2"/>
  <c r="L2432" i="2"/>
  <c r="K2432" i="2"/>
  <c r="M2432" i="2" s="1"/>
  <c r="J2432" i="2"/>
  <c r="L2545" i="2"/>
  <c r="K2545" i="2"/>
  <c r="M2545" i="2" s="1"/>
  <c r="J2545" i="2"/>
  <c r="L2247" i="2"/>
  <c r="K2247" i="2"/>
  <c r="M2247" i="2" s="1"/>
  <c r="J2247" i="2"/>
  <c r="L2334" i="2"/>
  <c r="K2334" i="2"/>
  <c r="M2334" i="2" s="1"/>
  <c r="J2334" i="2"/>
  <c r="L1948" i="2"/>
  <c r="K1948" i="2"/>
  <c r="M1948" i="2" s="1"/>
  <c r="J1948" i="2"/>
  <c r="L1924" i="2"/>
  <c r="K1924" i="2"/>
  <c r="M1924" i="2" s="1"/>
  <c r="J1924" i="2"/>
  <c r="L1976" i="2"/>
  <c r="K1976" i="2"/>
  <c r="M1976" i="2" s="1"/>
  <c r="J1976" i="2"/>
  <c r="L1172" i="2"/>
  <c r="K1172" i="2"/>
  <c r="M1172" i="2" s="1"/>
  <c r="J1172" i="2"/>
  <c r="L1979" i="2"/>
  <c r="K1979" i="2"/>
  <c r="M1979" i="2" s="1"/>
  <c r="J1979" i="2"/>
  <c r="L2010" i="2"/>
  <c r="K2010" i="2"/>
  <c r="M2010" i="2" s="1"/>
  <c r="J2010" i="2"/>
  <c r="L2185" i="2"/>
  <c r="K2185" i="2"/>
  <c r="M2185" i="2" s="1"/>
  <c r="J2185" i="2"/>
  <c r="L2024" i="2"/>
  <c r="K2024" i="2"/>
  <c r="M2024" i="2" s="1"/>
  <c r="J2024" i="2"/>
  <c r="L1140" i="2"/>
  <c r="K1140" i="2"/>
  <c r="M1140" i="2" s="1"/>
  <c r="J1140" i="2"/>
  <c r="L2349" i="2"/>
  <c r="K2349" i="2"/>
  <c r="M2349" i="2" s="1"/>
  <c r="J2349" i="2"/>
  <c r="L2495" i="2"/>
  <c r="K2495" i="2"/>
  <c r="M2495" i="2" s="1"/>
  <c r="J2495" i="2"/>
  <c r="L1839" i="2"/>
  <c r="K1839" i="2"/>
  <c r="M1839" i="2" s="1"/>
  <c r="J1839" i="2"/>
  <c r="L2077" i="2"/>
  <c r="K2077" i="2"/>
  <c r="M2077" i="2" s="1"/>
  <c r="J2077" i="2"/>
  <c r="L1842" i="2"/>
  <c r="K1842" i="2"/>
  <c r="M1842" i="2" s="1"/>
  <c r="J1842" i="2"/>
  <c r="L1241" i="2"/>
  <c r="K1241" i="2"/>
  <c r="M1241" i="2" s="1"/>
  <c r="J1241" i="2"/>
  <c r="L2414" i="2"/>
  <c r="K2414" i="2"/>
  <c r="M2414" i="2" s="1"/>
  <c r="J2414" i="2"/>
  <c r="L2239" i="2"/>
  <c r="K2239" i="2"/>
  <c r="M2239" i="2" s="1"/>
  <c r="J2239" i="2"/>
  <c r="L2257" i="2"/>
  <c r="K2257" i="2"/>
  <c r="M2257" i="2" s="1"/>
  <c r="J2257" i="2"/>
  <c r="L1890" i="2"/>
  <c r="K1890" i="2"/>
  <c r="M1890" i="2" s="1"/>
  <c r="J1890" i="2"/>
  <c r="L1176" i="2"/>
  <c r="K1176" i="2"/>
  <c r="M1176" i="2" s="1"/>
  <c r="J1176" i="2"/>
  <c r="L2506" i="2"/>
  <c r="K2506" i="2"/>
  <c r="M2506" i="2" s="1"/>
  <c r="J2506" i="2"/>
  <c r="L2502" i="2"/>
  <c r="K2502" i="2"/>
  <c r="M2502" i="2" s="1"/>
  <c r="J2502" i="2"/>
  <c r="L1998" i="2"/>
  <c r="K1998" i="2"/>
  <c r="M1998" i="2" s="1"/>
  <c r="J1998" i="2"/>
  <c r="L1881" i="2"/>
  <c r="K1881" i="2"/>
  <c r="M1881" i="2" s="1"/>
  <c r="J1881" i="2"/>
  <c r="L2372" i="2"/>
  <c r="K2372" i="2"/>
  <c r="M2372" i="2" s="1"/>
  <c r="J2372" i="2"/>
  <c r="L2260" i="2"/>
  <c r="K2260" i="2"/>
  <c r="M2260" i="2" s="1"/>
  <c r="J2260" i="2"/>
  <c r="L2005" i="2"/>
  <c r="K2005" i="2"/>
  <c r="M2005" i="2" s="1"/>
  <c r="J2005" i="2"/>
  <c r="L2107" i="2"/>
  <c r="K2107" i="2"/>
  <c r="M2107" i="2" s="1"/>
  <c r="J2107" i="2"/>
  <c r="L2080" i="2"/>
  <c r="K2080" i="2"/>
  <c r="M2080" i="2" s="1"/>
  <c r="J2080" i="2"/>
  <c r="L2249" i="2"/>
  <c r="K2249" i="2"/>
  <c r="M2249" i="2" s="1"/>
  <c r="J2249" i="2"/>
  <c r="L2311" i="2"/>
  <c r="K2311" i="2"/>
  <c r="M2311" i="2" s="1"/>
  <c r="J2311" i="2"/>
  <c r="L2054" i="2"/>
  <c r="K2054" i="2"/>
  <c r="M2054" i="2" s="1"/>
  <c r="J2054" i="2"/>
  <c r="L2064" i="2"/>
  <c r="K2064" i="2"/>
  <c r="M2064" i="2" s="1"/>
  <c r="J2064" i="2"/>
  <c r="L2234" i="2"/>
  <c r="K2234" i="2"/>
  <c r="M2234" i="2" s="1"/>
  <c r="J2234" i="2"/>
  <c r="L2309" i="2"/>
  <c r="K2309" i="2"/>
  <c r="M2309" i="2" s="1"/>
  <c r="J2309" i="2"/>
  <c r="L2180" i="2"/>
  <c r="K2180" i="2"/>
  <c r="M2180" i="2" s="1"/>
  <c r="J2180" i="2"/>
  <c r="L1980" i="2"/>
  <c r="K1980" i="2"/>
  <c r="M1980" i="2" s="1"/>
  <c r="J1980" i="2"/>
  <c r="L1186" i="2"/>
  <c r="K1186" i="2"/>
  <c r="M1186" i="2" s="1"/>
  <c r="J1186" i="2"/>
  <c r="L1231" i="2"/>
  <c r="K1231" i="2"/>
  <c r="M1231" i="2" s="1"/>
  <c r="J1231" i="2"/>
  <c r="L2359" i="2"/>
  <c r="K2359" i="2"/>
  <c r="M2359" i="2" s="1"/>
  <c r="J2359" i="2"/>
  <c r="L2419" i="2"/>
  <c r="K2419" i="2"/>
  <c r="M2419" i="2" s="1"/>
  <c r="J2419" i="2"/>
  <c r="L2271" i="2"/>
  <c r="K2271" i="2"/>
  <c r="M2271" i="2" s="1"/>
  <c r="J2271" i="2"/>
  <c r="L2352" i="2"/>
  <c r="K2352" i="2"/>
  <c r="M2352" i="2" s="1"/>
  <c r="J2352" i="2"/>
  <c r="L1210" i="2"/>
  <c r="K1210" i="2"/>
  <c r="M1210" i="2" s="1"/>
  <c r="J1210" i="2"/>
  <c r="L1156" i="2"/>
  <c r="K1156" i="2"/>
  <c r="M1156" i="2" s="1"/>
  <c r="J1156" i="2"/>
  <c r="L1999" i="2"/>
  <c r="K1999" i="2"/>
  <c r="M1999" i="2" s="1"/>
  <c r="J1999" i="2"/>
  <c r="L1170" i="2"/>
  <c r="K1170" i="2"/>
  <c r="M1170" i="2" s="1"/>
  <c r="J1170" i="2"/>
  <c r="L1136" i="2"/>
  <c r="K1136" i="2"/>
  <c r="M1136" i="2" s="1"/>
  <c r="J1136" i="2"/>
  <c r="L2455" i="2"/>
  <c r="K2455" i="2"/>
  <c r="M2455" i="2" s="1"/>
  <c r="J2455" i="2"/>
  <c r="L2263" i="2"/>
  <c r="K2263" i="2"/>
  <c r="M2263" i="2" s="1"/>
  <c r="J2263" i="2"/>
  <c r="L2163" i="2"/>
  <c r="K2163" i="2"/>
  <c r="M2163" i="2" s="1"/>
  <c r="J2163" i="2"/>
  <c r="L1227" i="2"/>
  <c r="K1227" i="2"/>
  <c r="M1227" i="2" s="1"/>
  <c r="J1227" i="2"/>
  <c r="L2085" i="2"/>
  <c r="K2085" i="2"/>
  <c r="M2085" i="2" s="1"/>
  <c r="J2085" i="2"/>
  <c r="L2164" i="2"/>
  <c r="K2164" i="2"/>
  <c r="M2164" i="2" s="1"/>
  <c r="J2164" i="2"/>
  <c r="L1161" i="2"/>
  <c r="K1161" i="2"/>
  <c r="M1161" i="2" s="1"/>
  <c r="J1161" i="2"/>
  <c r="L2156" i="2"/>
  <c r="K2156" i="2"/>
  <c r="M2156" i="2" s="1"/>
  <c r="J2156" i="2"/>
  <c r="L2438" i="2"/>
  <c r="K2438" i="2"/>
  <c r="M2438" i="2" s="1"/>
  <c r="J2438" i="2"/>
  <c r="L2296" i="2"/>
  <c r="K2296" i="2"/>
  <c r="M2296" i="2" s="1"/>
  <c r="J2296" i="2"/>
  <c r="L1850" i="2"/>
  <c r="K1850" i="2"/>
  <c r="M1850" i="2" s="1"/>
  <c r="J1850" i="2"/>
  <c r="L2211" i="2"/>
  <c r="K2211" i="2"/>
  <c r="M2211" i="2" s="1"/>
  <c r="J2211" i="2"/>
  <c r="L1177" i="2"/>
  <c r="K1177" i="2"/>
  <c r="M1177" i="2" s="1"/>
  <c r="J1177" i="2"/>
  <c r="L1238" i="2"/>
  <c r="K1238" i="2"/>
  <c r="M1238" i="2" s="1"/>
  <c r="J1238" i="2"/>
  <c r="L2134" i="2"/>
  <c r="K2134" i="2"/>
  <c r="M2134" i="2" s="1"/>
  <c r="J2134" i="2"/>
  <c r="L1202" i="2"/>
  <c r="K1202" i="2"/>
  <c r="M1202" i="2" s="1"/>
  <c r="J1202" i="2"/>
  <c r="L2466" i="2"/>
  <c r="K2466" i="2"/>
  <c r="M2466" i="2" s="1"/>
  <c r="J2466" i="2"/>
  <c r="L2350" i="2"/>
  <c r="K2350" i="2"/>
  <c r="M2350" i="2" s="1"/>
  <c r="J2350" i="2"/>
  <c r="L2682" i="2"/>
  <c r="K2682" i="2"/>
  <c r="M2682" i="2" s="1"/>
  <c r="J2682" i="2"/>
  <c r="L1963" i="2"/>
  <c r="K1963" i="2"/>
  <c r="M1963" i="2" s="1"/>
  <c r="J1963" i="2"/>
  <c r="L2029" i="2"/>
  <c r="K2029" i="2"/>
  <c r="M2029" i="2" s="1"/>
  <c r="J2029" i="2"/>
  <c r="L2146" i="2"/>
  <c r="K2146" i="2"/>
  <c r="M2146" i="2" s="1"/>
  <c r="J2146" i="2"/>
  <c r="L1857" i="2"/>
  <c r="K1857" i="2"/>
  <c r="M1857" i="2" s="1"/>
  <c r="J1857" i="2"/>
  <c r="L1845" i="2"/>
  <c r="K1845" i="2"/>
  <c r="M1845" i="2" s="1"/>
  <c r="J1845" i="2"/>
  <c r="L1887" i="2"/>
  <c r="K1887" i="2"/>
  <c r="M1887" i="2" s="1"/>
  <c r="J1887" i="2"/>
  <c r="L2651" i="2"/>
  <c r="K2651" i="2"/>
  <c r="M2651" i="2" s="1"/>
  <c r="J2651" i="2"/>
  <c r="L2154" i="2"/>
  <c r="K2154" i="2"/>
  <c r="M2154" i="2" s="1"/>
  <c r="J2154" i="2"/>
  <c r="L2329" i="2"/>
  <c r="K2329" i="2"/>
  <c r="M2329" i="2" s="1"/>
  <c r="J2329" i="2"/>
  <c r="L2259" i="2"/>
  <c r="K2259" i="2"/>
  <c r="M2259" i="2" s="1"/>
  <c r="J2259" i="2"/>
  <c r="L2221" i="2"/>
  <c r="K2221" i="2"/>
  <c r="M2221" i="2" s="1"/>
  <c r="J2221" i="2"/>
  <c r="L2599" i="2"/>
  <c r="K2599" i="2"/>
  <c r="M2599" i="2" s="1"/>
  <c r="J2599" i="2"/>
  <c r="L2678" i="2"/>
  <c r="K2678" i="2"/>
  <c r="M2678" i="2" s="1"/>
  <c r="J2678" i="2"/>
  <c r="L2046" i="2"/>
  <c r="K2046" i="2"/>
  <c r="M2046" i="2" s="1"/>
  <c r="J2046" i="2"/>
  <c r="L2605" i="2"/>
  <c r="K2605" i="2"/>
  <c r="M2605" i="2" s="1"/>
  <c r="J2605" i="2"/>
  <c r="L2615" i="2"/>
  <c r="K2615" i="2"/>
  <c r="M2615" i="2" s="1"/>
  <c r="J2615" i="2"/>
  <c r="L1983" i="2"/>
  <c r="K1983" i="2"/>
  <c r="M1983" i="2" s="1"/>
  <c r="J1983" i="2"/>
  <c r="L2086" i="2"/>
  <c r="K2086" i="2"/>
  <c r="M2086" i="2" s="1"/>
  <c r="J2086" i="2"/>
  <c r="L2604" i="2"/>
  <c r="K2604" i="2"/>
  <c r="M2604" i="2" s="1"/>
  <c r="J2604" i="2"/>
  <c r="L2559" i="2"/>
  <c r="K2559" i="2"/>
  <c r="M2559" i="2" s="1"/>
  <c r="J2559" i="2"/>
  <c r="L2637" i="2"/>
  <c r="K2637" i="2"/>
  <c r="M2637" i="2" s="1"/>
  <c r="J2637" i="2"/>
  <c r="L2649" i="2"/>
  <c r="K2649" i="2"/>
  <c r="M2649" i="2" s="1"/>
  <c r="J2649" i="2"/>
  <c r="L2452" i="2"/>
  <c r="K2452" i="2"/>
  <c r="M2452" i="2" s="1"/>
  <c r="J2452" i="2"/>
  <c r="L2070" i="2"/>
  <c r="K2070" i="2"/>
  <c r="M2070" i="2" s="1"/>
  <c r="J2070" i="2"/>
  <c r="L2646" i="2"/>
  <c r="K2646" i="2"/>
  <c r="M2646" i="2" s="1"/>
  <c r="J2646" i="2"/>
  <c r="L2640" i="2"/>
  <c r="K2640" i="2"/>
  <c r="M2640" i="2" s="1"/>
  <c r="J2640" i="2"/>
  <c r="L2095" i="2"/>
  <c r="K2095" i="2"/>
  <c r="M2095" i="2" s="1"/>
  <c r="J2095" i="2"/>
  <c r="L2093" i="2"/>
  <c r="K2093" i="2"/>
  <c r="M2093" i="2" s="1"/>
  <c r="J2093" i="2"/>
  <c r="L2568" i="2"/>
  <c r="K2568" i="2"/>
  <c r="M2568" i="2" s="1"/>
  <c r="J2568" i="2"/>
  <c r="L1933" i="2"/>
  <c r="K1933" i="2"/>
  <c r="M1933" i="2" s="1"/>
  <c r="J1933" i="2"/>
  <c r="L2667" i="2"/>
  <c r="K2667" i="2"/>
  <c r="M2667" i="2" s="1"/>
  <c r="J2667" i="2"/>
  <c r="L2582" i="2"/>
  <c r="K2582" i="2"/>
  <c r="M2582" i="2" s="1"/>
  <c r="J2582" i="2"/>
  <c r="L2639" i="2"/>
  <c r="K2639" i="2"/>
  <c r="M2639" i="2" s="1"/>
  <c r="J2639" i="2"/>
  <c r="L2002" i="2"/>
  <c r="K2002" i="2"/>
  <c r="M2002" i="2" s="1"/>
  <c r="J2002" i="2"/>
  <c r="L1908" i="2"/>
  <c r="K1908" i="2"/>
  <c r="M1908" i="2" s="1"/>
  <c r="J1908" i="2"/>
  <c r="L1966" i="2"/>
  <c r="K1966" i="2"/>
  <c r="M1966" i="2" s="1"/>
  <c r="J1966" i="2"/>
  <c r="L2572" i="2"/>
  <c r="K2572" i="2"/>
  <c r="M2572" i="2" s="1"/>
  <c r="J2572" i="2"/>
  <c r="L2675" i="2"/>
  <c r="K2675" i="2"/>
  <c r="M2675" i="2" s="1"/>
  <c r="J2675" i="2"/>
  <c r="L2195" i="2"/>
  <c r="K2195" i="2"/>
  <c r="M2195" i="2" s="1"/>
  <c r="J2195" i="2"/>
  <c r="L2116" i="2"/>
  <c r="K2116" i="2"/>
  <c r="M2116" i="2" s="1"/>
  <c r="J2116" i="2"/>
  <c r="L2564" i="2"/>
  <c r="K2564" i="2"/>
  <c r="M2564" i="2" s="1"/>
  <c r="J2564" i="2"/>
  <c r="L2183" i="2"/>
  <c r="K2183" i="2"/>
  <c r="M2183" i="2" s="1"/>
  <c r="J2183" i="2"/>
  <c r="L1853" i="2"/>
  <c r="K1853" i="2"/>
  <c r="M1853" i="2" s="1"/>
  <c r="J1853" i="2"/>
  <c r="L2610" i="2"/>
  <c r="K2610" i="2"/>
  <c r="M2610" i="2" s="1"/>
  <c r="J2610" i="2"/>
  <c r="L2626" i="2"/>
  <c r="K2626" i="2"/>
  <c r="M2626" i="2" s="1"/>
  <c r="J2626" i="2"/>
  <c r="L2595" i="2"/>
  <c r="K2595" i="2"/>
  <c r="M2595" i="2" s="1"/>
  <c r="J2595" i="2"/>
  <c r="L2581" i="2"/>
  <c r="K2581" i="2"/>
  <c r="M2581" i="2" s="1"/>
  <c r="J2581" i="2"/>
  <c r="L2601" i="2"/>
  <c r="K2601" i="2"/>
  <c r="M2601" i="2" s="1"/>
  <c r="J2601" i="2"/>
  <c r="L2600" i="2"/>
  <c r="K2600" i="2"/>
  <c r="M2600" i="2" s="1"/>
  <c r="J2600" i="2"/>
  <c r="L2627" i="2"/>
  <c r="K2627" i="2"/>
  <c r="M2627" i="2" s="1"/>
  <c r="J2627" i="2"/>
  <c r="L2650" i="2"/>
  <c r="K2650" i="2"/>
  <c r="M2650" i="2" s="1"/>
  <c r="J2650" i="2"/>
  <c r="L2328" i="2"/>
  <c r="K2328" i="2"/>
  <c r="M2328" i="2" s="1"/>
  <c r="J2328" i="2"/>
  <c r="L2501" i="2"/>
  <c r="K2501" i="2"/>
  <c r="M2501" i="2" s="1"/>
  <c r="J2501" i="2"/>
  <c r="L2530" i="2"/>
  <c r="K2530" i="2"/>
  <c r="M2530" i="2" s="1"/>
  <c r="J2530" i="2"/>
  <c r="L2312" i="2"/>
  <c r="K2312" i="2"/>
  <c r="M2312" i="2" s="1"/>
  <c r="J2312" i="2"/>
  <c r="L2557" i="2"/>
  <c r="K2557" i="2"/>
  <c r="M2557" i="2" s="1"/>
  <c r="J2557" i="2"/>
  <c r="L2026" i="2"/>
  <c r="K2026" i="2"/>
  <c r="M2026" i="2" s="1"/>
  <c r="J2026" i="2"/>
  <c r="L2100" i="2"/>
  <c r="K2100" i="2"/>
  <c r="M2100" i="2" s="1"/>
  <c r="J2100" i="2"/>
  <c r="L2152" i="2"/>
  <c r="K2152" i="2"/>
  <c r="M2152" i="2" s="1"/>
  <c r="J2152" i="2"/>
  <c r="L2450" i="2"/>
  <c r="K2450" i="2"/>
  <c r="M2450" i="2" s="1"/>
  <c r="J2450" i="2"/>
  <c r="L1192" i="2"/>
  <c r="K1192" i="2"/>
  <c r="M1192" i="2" s="1"/>
  <c r="J1192" i="2"/>
  <c r="L2059" i="2"/>
  <c r="K2059" i="2"/>
  <c r="M2059" i="2" s="1"/>
  <c r="J2059" i="2"/>
  <c r="L2106" i="2"/>
  <c r="K2106" i="2"/>
  <c r="M2106" i="2" s="1"/>
  <c r="J2106" i="2"/>
  <c r="L2524" i="2"/>
  <c r="K2524" i="2"/>
  <c r="M2524" i="2" s="1"/>
  <c r="J2524" i="2"/>
  <c r="L2034" i="2"/>
  <c r="K2034" i="2"/>
  <c r="M2034" i="2" s="1"/>
  <c r="J2034" i="2"/>
  <c r="L2315" i="2"/>
  <c r="K2315" i="2"/>
  <c r="M2315" i="2" s="1"/>
  <c r="J2315" i="2"/>
  <c r="L2305" i="2"/>
  <c r="K2305" i="2"/>
  <c r="M2305" i="2" s="1"/>
  <c r="J2305" i="2"/>
  <c r="L1873" i="2"/>
  <c r="K1873" i="2"/>
  <c r="M1873" i="2" s="1"/>
  <c r="J1873" i="2"/>
  <c r="L1848" i="2"/>
  <c r="K1848" i="2"/>
  <c r="M1848" i="2" s="1"/>
  <c r="J1848" i="2"/>
  <c r="L1907" i="2"/>
  <c r="K1907" i="2"/>
  <c r="M1907" i="2" s="1"/>
  <c r="J1907" i="2"/>
  <c r="L2241" i="2"/>
  <c r="K2241" i="2"/>
  <c r="M2241" i="2" s="1"/>
  <c r="J2241" i="2"/>
  <c r="L2512" i="2"/>
  <c r="K2512" i="2"/>
  <c r="M2512" i="2" s="1"/>
  <c r="J2512" i="2"/>
  <c r="L2481" i="2"/>
  <c r="K2481" i="2"/>
  <c r="M2481" i="2" s="1"/>
  <c r="J2481" i="2"/>
  <c r="L2381" i="2"/>
  <c r="K2381" i="2"/>
  <c r="M2381" i="2" s="1"/>
  <c r="J2381" i="2"/>
  <c r="L1972" i="2"/>
  <c r="K1972" i="2"/>
  <c r="M1972" i="2" s="1"/>
  <c r="J1972" i="2"/>
  <c r="L2287" i="2"/>
  <c r="K2287" i="2"/>
  <c r="M2287" i="2" s="1"/>
  <c r="J2287" i="2"/>
  <c r="L2121" i="2"/>
  <c r="K2121" i="2"/>
  <c r="M2121" i="2" s="1"/>
  <c r="J2121" i="2"/>
  <c r="L2103" i="2"/>
  <c r="K2103" i="2"/>
  <c r="M2103" i="2" s="1"/>
  <c r="J2103" i="2"/>
  <c r="L1909" i="2"/>
  <c r="K1909" i="2"/>
  <c r="M1909" i="2" s="1"/>
  <c r="J1909" i="2"/>
  <c r="L2111" i="2"/>
  <c r="K2111" i="2"/>
  <c r="M2111" i="2" s="1"/>
  <c r="J2111" i="2"/>
  <c r="L2331" i="2"/>
  <c r="K2331" i="2"/>
  <c r="M2331" i="2" s="1"/>
  <c r="J2331" i="2"/>
  <c r="L1952" i="2"/>
  <c r="K1952" i="2"/>
  <c r="M1952" i="2" s="1"/>
  <c r="J1952" i="2"/>
  <c r="L2158" i="2"/>
  <c r="K2158" i="2"/>
  <c r="M2158" i="2" s="1"/>
  <c r="J2158" i="2"/>
  <c r="L1984" i="2"/>
  <c r="K1984" i="2"/>
  <c r="M1984" i="2" s="1"/>
  <c r="J1984" i="2"/>
  <c r="L2018" i="2"/>
  <c r="K2018" i="2"/>
  <c r="M2018" i="2" s="1"/>
  <c r="J2018" i="2"/>
  <c r="L2389" i="2"/>
  <c r="K2389" i="2"/>
  <c r="M2389" i="2" s="1"/>
  <c r="J2389" i="2"/>
  <c r="L2044" i="2"/>
  <c r="K2044" i="2"/>
  <c r="M2044" i="2" s="1"/>
  <c r="J2044" i="2"/>
  <c r="L1936" i="2"/>
  <c r="K1936" i="2"/>
  <c r="M1936" i="2" s="1"/>
  <c r="J1936" i="2"/>
  <c r="L2291" i="2"/>
  <c r="K2291" i="2"/>
  <c r="M2291" i="2" s="1"/>
  <c r="J2291" i="2"/>
  <c r="L2108" i="2"/>
  <c r="K2108" i="2"/>
  <c r="M2108" i="2" s="1"/>
  <c r="J2108" i="2"/>
  <c r="L2385" i="2"/>
  <c r="K2385" i="2"/>
  <c r="M2385" i="2" s="1"/>
  <c r="J2385" i="2"/>
  <c r="L1863" i="2"/>
  <c r="K1863" i="2"/>
  <c r="M1863" i="2" s="1"/>
  <c r="J1863" i="2"/>
  <c r="L1169" i="2"/>
  <c r="K1169" i="2"/>
  <c r="M1169" i="2" s="1"/>
  <c r="J1169" i="2"/>
  <c r="L1164" i="2"/>
  <c r="K1164" i="2"/>
  <c r="M1164" i="2" s="1"/>
  <c r="J1164" i="2"/>
  <c r="L1211" i="2"/>
  <c r="K1211" i="2"/>
  <c r="M1211" i="2" s="1"/>
  <c r="J1211" i="2"/>
  <c r="L2133" i="2"/>
  <c r="K2133" i="2"/>
  <c r="M2133" i="2" s="1"/>
  <c r="J2133" i="2"/>
  <c r="L1142" i="2"/>
  <c r="K1142" i="2"/>
  <c r="M1142" i="2" s="1"/>
  <c r="J1142" i="2"/>
  <c r="L1174" i="2"/>
  <c r="K1174" i="2"/>
  <c r="M1174" i="2" s="1"/>
  <c r="J1174" i="2"/>
  <c r="L1995" i="2"/>
  <c r="K1995" i="2"/>
  <c r="M1995" i="2" s="1"/>
  <c r="J1995" i="2"/>
  <c r="L1943" i="2"/>
  <c r="K1943" i="2"/>
  <c r="M1943" i="2" s="1"/>
  <c r="J1943" i="2"/>
  <c r="L2016" i="2"/>
  <c r="K2016" i="2"/>
  <c r="M2016" i="2" s="1"/>
  <c r="J2016" i="2"/>
  <c r="L1917" i="2"/>
  <c r="K1917" i="2"/>
  <c r="M1917" i="2" s="1"/>
  <c r="J1917" i="2"/>
  <c r="L2090" i="2"/>
  <c r="K2090" i="2"/>
  <c r="M2090" i="2" s="1"/>
  <c r="J2090" i="2"/>
  <c r="L1205" i="2"/>
  <c r="K1205" i="2"/>
  <c r="M1205" i="2" s="1"/>
  <c r="J1205" i="2"/>
  <c r="L1148" i="2"/>
  <c r="K1148" i="2"/>
  <c r="M1148" i="2" s="1"/>
  <c r="J1148" i="2"/>
  <c r="L2445" i="2"/>
  <c r="K2445" i="2"/>
  <c r="M2445" i="2" s="1"/>
  <c r="J2445" i="2"/>
  <c r="L2175" i="2"/>
  <c r="K2175" i="2"/>
  <c r="M2175" i="2" s="1"/>
  <c r="J2175" i="2"/>
  <c r="L2337" i="2"/>
  <c r="K2337" i="2"/>
  <c r="M2337" i="2" s="1"/>
  <c r="J2337" i="2"/>
  <c r="L1960" i="2"/>
  <c r="K1960" i="2"/>
  <c r="M1960" i="2" s="1"/>
  <c r="J1960" i="2"/>
  <c r="L2131" i="2"/>
  <c r="K2131" i="2"/>
  <c r="M2131" i="2" s="1"/>
  <c r="J2131" i="2"/>
  <c r="L2096" i="2"/>
  <c r="K2096" i="2"/>
  <c r="M2096" i="2" s="1"/>
  <c r="J2096" i="2"/>
  <c r="L1163" i="2"/>
  <c r="K1163" i="2"/>
  <c r="M1163" i="2" s="1"/>
  <c r="J1163" i="2"/>
  <c r="L1155" i="2"/>
  <c r="K1155" i="2"/>
  <c r="M1155" i="2" s="1"/>
  <c r="J1155" i="2"/>
  <c r="L2375" i="2"/>
  <c r="K2375" i="2"/>
  <c r="M2375" i="2" s="1"/>
  <c r="J2375" i="2"/>
  <c r="L2365" i="2"/>
  <c r="K2365" i="2"/>
  <c r="M2365" i="2" s="1"/>
  <c r="J2365" i="2"/>
  <c r="L2357" i="2"/>
  <c r="K2357" i="2"/>
  <c r="M2357" i="2" s="1"/>
  <c r="J2357" i="2"/>
  <c r="L2148" i="2"/>
  <c r="K2148" i="2"/>
  <c r="M2148" i="2" s="1"/>
  <c r="J2148" i="2"/>
  <c r="L2027" i="2"/>
  <c r="K2027" i="2"/>
  <c r="M2027" i="2" s="1"/>
  <c r="J2027" i="2"/>
  <c r="L2147" i="2"/>
  <c r="K2147" i="2"/>
  <c r="M2147" i="2" s="1"/>
  <c r="J2147" i="2"/>
  <c r="L2238" i="2"/>
  <c r="K2238" i="2"/>
  <c r="M2238" i="2" s="1"/>
  <c r="J2238" i="2"/>
  <c r="L2246" i="2"/>
  <c r="K2246" i="2"/>
  <c r="M2246" i="2" s="1"/>
  <c r="J2246" i="2"/>
  <c r="L2176" i="2"/>
  <c r="K2176" i="2"/>
  <c r="M2176" i="2" s="1"/>
  <c r="J2176" i="2"/>
  <c r="L2140" i="2"/>
  <c r="K2140" i="2"/>
  <c r="M2140" i="2" s="1"/>
  <c r="J2140" i="2"/>
  <c r="L1232" i="2"/>
  <c r="K1232" i="2"/>
  <c r="M1232" i="2" s="1"/>
  <c r="J1232" i="2"/>
  <c r="L1187" i="2"/>
  <c r="K1187" i="2"/>
  <c r="M1187" i="2" s="1"/>
  <c r="J1187" i="2"/>
  <c r="L1196" i="2"/>
  <c r="K1196" i="2"/>
  <c r="M1196" i="2" s="1"/>
  <c r="J1196" i="2"/>
  <c r="L1137" i="2"/>
  <c r="K1137" i="2"/>
  <c r="M1137" i="2" s="1"/>
  <c r="J1137" i="2"/>
  <c r="L1158" i="2"/>
  <c r="K1158" i="2"/>
  <c r="M1158" i="2" s="1"/>
  <c r="J1158" i="2"/>
  <c r="L2364" i="2"/>
  <c r="K2364" i="2"/>
  <c r="M2364" i="2" s="1"/>
  <c r="J2364" i="2"/>
  <c r="L2194" i="2"/>
  <c r="K2194" i="2"/>
  <c r="M2194" i="2" s="1"/>
  <c r="J2194" i="2"/>
  <c r="L1898" i="2"/>
  <c r="K1898" i="2"/>
  <c r="M1898" i="2" s="1"/>
  <c r="J1898" i="2"/>
  <c r="L2151" i="2"/>
  <c r="K2151" i="2"/>
  <c r="M2151" i="2" s="1"/>
  <c r="J2151" i="2"/>
  <c r="L1235" i="2"/>
  <c r="K1235" i="2"/>
  <c r="M1235" i="2" s="1"/>
  <c r="J1235" i="2"/>
  <c r="L1229" i="2"/>
  <c r="K1229" i="2"/>
  <c r="M1229" i="2" s="1"/>
  <c r="J1229" i="2"/>
  <c r="L1236" i="2"/>
  <c r="K1236" i="2"/>
  <c r="M1236" i="2" s="1"/>
  <c r="J1236" i="2"/>
  <c r="L2289" i="2"/>
  <c r="K2289" i="2"/>
  <c r="M2289" i="2" s="1"/>
  <c r="J2289" i="2"/>
  <c r="L1959" i="2"/>
  <c r="K1959" i="2"/>
  <c r="M1959" i="2" s="1"/>
  <c r="J1959" i="2"/>
  <c r="L2030" i="2"/>
  <c r="K2030" i="2"/>
  <c r="M2030" i="2" s="1"/>
  <c r="J2030" i="2"/>
  <c r="L2105" i="2"/>
  <c r="K2105" i="2"/>
  <c r="M2105" i="2" s="1"/>
  <c r="J2105" i="2"/>
  <c r="L2528" i="2"/>
  <c r="K2528" i="2"/>
  <c r="M2528" i="2" s="1"/>
  <c r="J2528" i="2"/>
  <c r="L2476" i="2"/>
  <c r="K2476" i="2"/>
  <c r="M2476" i="2" s="1"/>
  <c r="J2476" i="2"/>
  <c r="L2449" i="2"/>
  <c r="K2449" i="2"/>
  <c r="M2449" i="2" s="1"/>
  <c r="J2449" i="2"/>
  <c r="L2632" i="2"/>
  <c r="K2632" i="2"/>
  <c r="M2632" i="2" s="1"/>
  <c r="J2632" i="2"/>
  <c r="L2596" i="2"/>
  <c r="K2596" i="2"/>
  <c r="M2596" i="2" s="1"/>
  <c r="J2596" i="2"/>
  <c r="L2232" i="2"/>
  <c r="K2232" i="2"/>
  <c r="M2232" i="2" s="1"/>
  <c r="J2232" i="2"/>
  <c r="L2274" i="2"/>
  <c r="K2274" i="2"/>
  <c r="M2274" i="2" s="1"/>
  <c r="J2274" i="2"/>
  <c r="L2184" i="2"/>
  <c r="K2184" i="2"/>
  <c r="M2184" i="2" s="1"/>
  <c r="J2184" i="2"/>
  <c r="L2299" i="2"/>
  <c r="K2299" i="2"/>
  <c r="M2299" i="2" s="1"/>
  <c r="J2299" i="2"/>
  <c r="L2197" i="2"/>
  <c r="K2197" i="2"/>
  <c r="M2197" i="2" s="1"/>
  <c r="J2197" i="2"/>
  <c r="L1854" i="2"/>
  <c r="K1854" i="2"/>
  <c r="M1854" i="2" s="1"/>
  <c r="J1854" i="2"/>
  <c r="L2378" i="2"/>
  <c r="K2378" i="2"/>
  <c r="M2378" i="2" s="1"/>
  <c r="J2378" i="2"/>
  <c r="L2407" i="2"/>
  <c r="K2407" i="2"/>
  <c r="M2407" i="2" s="1"/>
  <c r="J2407" i="2"/>
  <c r="L1841" i="2"/>
  <c r="K1841" i="2"/>
  <c r="M1841" i="2" s="1"/>
  <c r="J1841" i="2"/>
  <c r="L1879" i="2"/>
  <c r="K1879" i="2"/>
  <c r="M1879" i="2" s="1"/>
  <c r="J1879" i="2"/>
  <c r="L1923" i="2"/>
  <c r="K1923" i="2"/>
  <c r="M1923" i="2" s="1"/>
  <c r="J1923" i="2"/>
  <c r="L2019" i="2"/>
  <c r="K2019" i="2"/>
  <c r="M2019" i="2" s="1"/>
  <c r="J2019" i="2"/>
  <c r="L1905" i="2"/>
  <c r="K1905" i="2"/>
  <c r="M1905" i="2" s="1"/>
  <c r="J1905" i="2"/>
  <c r="L2496" i="2"/>
  <c r="K2496" i="2"/>
  <c r="M2496" i="2" s="1"/>
  <c r="J2496" i="2"/>
  <c r="L2000" i="2"/>
  <c r="K2000" i="2"/>
  <c r="M2000" i="2" s="1"/>
  <c r="J2000" i="2"/>
  <c r="L2072" i="2"/>
  <c r="K2072" i="2"/>
  <c r="M2072" i="2" s="1"/>
  <c r="J2072" i="2"/>
  <c r="L2004" i="2"/>
  <c r="K2004" i="2"/>
  <c r="M2004" i="2" s="1"/>
  <c r="J2004" i="2"/>
  <c r="L2212" i="2"/>
  <c r="K2212" i="2"/>
  <c r="M2212" i="2" s="1"/>
  <c r="J2212" i="2"/>
  <c r="L2047" i="2"/>
  <c r="K2047" i="2"/>
  <c r="M2047" i="2" s="1"/>
  <c r="J2047" i="2"/>
  <c r="L2248" i="2"/>
  <c r="K2248" i="2"/>
  <c r="M2248" i="2" s="1"/>
  <c r="J2248" i="2"/>
  <c r="L2186" i="2"/>
  <c r="K2186" i="2"/>
  <c r="M2186" i="2" s="1"/>
  <c r="J2186" i="2"/>
  <c r="L2460" i="2"/>
  <c r="K2460" i="2"/>
  <c r="M2460" i="2" s="1"/>
  <c r="J2460" i="2"/>
  <c r="L2462" i="2"/>
  <c r="K2462" i="2"/>
  <c r="M2462" i="2" s="1"/>
  <c r="J2462" i="2"/>
  <c r="L2513" i="2"/>
  <c r="K2513" i="2"/>
  <c r="M2513" i="2" s="1"/>
  <c r="J2513" i="2"/>
  <c r="L2306" i="2"/>
  <c r="K2306" i="2"/>
  <c r="M2306" i="2" s="1"/>
  <c r="J2306" i="2"/>
  <c r="L2390" i="2"/>
  <c r="K2390" i="2"/>
  <c r="M2390" i="2" s="1"/>
  <c r="J2390" i="2"/>
  <c r="L1153" i="2"/>
  <c r="K1153" i="2"/>
  <c r="M1153" i="2" s="1"/>
  <c r="J1153" i="2"/>
  <c r="L1233" i="2"/>
  <c r="K1233" i="2"/>
  <c r="M1233" i="2" s="1"/>
  <c r="J1233" i="2"/>
  <c r="L1173" i="2"/>
  <c r="K1173" i="2"/>
  <c r="M1173" i="2" s="1"/>
  <c r="J1173" i="2"/>
  <c r="L1154" i="2"/>
  <c r="K1154" i="2"/>
  <c r="M1154" i="2" s="1"/>
  <c r="J1154" i="2"/>
  <c r="L2546" i="2"/>
  <c r="K2546" i="2"/>
  <c r="M2546" i="2" s="1"/>
  <c r="J2546" i="2"/>
  <c r="L2417" i="2"/>
  <c r="K2417" i="2"/>
  <c r="M2417" i="2" s="1"/>
  <c r="J2417" i="2"/>
  <c r="L2398" i="2"/>
  <c r="K2398" i="2"/>
  <c r="M2398" i="2" s="1"/>
  <c r="J2398" i="2"/>
  <c r="L2416" i="2"/>
  <c r="K2416" i="2"/>
  <c r="M2416" i="2" s="1"/>
  <c r="J2416" i="2"/>
  <c r="L2447" i="2"/>
  <c r="K2447" i="2"/>
  <c r="M2447" i="2" s="1"/>
  <c r="J2447" i="2"/>
  <c r="L2409" i="2"/>
  <c r="K2409" i="2"/>
  <c r="M2409" i="2" s="1"/>
  <c r="J2409" i="2"/>
  <c r="L2415" i="2"/>
  <c r="K2415" i="2"/>
  <c r="M2415" i="2" s="1"/>
  <c r="J2415" i="2"/>
  <c r="L1875" i="2"/>
  <c r="K1875" i="2"/>
  <c r="M1875" i="2" s="1"/>
  <c r="J1875" i="2"/>
  <c r="L1987" i="2"/>
  <c r="K1987" i="2"/>
  <c r="M1987" i="2" s="1"/>
  <c r="J1987" i="2"/>
  <c r="L2491" i="2"/>
  <c r="K2491" i="2"/>
  <c r="M2491" i="2" s="1"/>
  <c r="J2491" i="2"/>
  <c r="L2283" i="2"/>
  <c r="K2283" i="2"/>
  <c r="M2283" i="2" s="1"/>
  <c r="J2283" i="2"/>
  <c r="L2150" i="2"/>
  <c r="K2150" i="2"/>
  <c r="M2150" i="2" s="1"/>
  <c r="J2150" i="2"/>
  <c r="L2192" i="2"/>
  <c r="K2192" i="2"/>
  <c r="M2192" i="2" s="1"/>
  <c r="J2192" i="2"/>
  <c r="L2437" i="2"/>
  <c r="K2437" i="2"/>
  <c r="M2437" i="2" s="1"/>
  <c r="J2437" i="2"/>
  <c r="L2324" i="2"/>
  <c r="K2324" i="2"/>
  <c r="M2324" i="2" s="1"/>
  <c r="J2324" i="2"/>
  <c r="L2426" i="2"/>
  <c r="K2426" i="2"/>
  <c r="M2426" i="2" s="1"/>
  <c r="J2426" i="2"/>
  <c r="L2542" i="2"/>
  <c r="K2542" i="2"/>
  <c r="M2542" i="2" s="1"/>
  <c r="J2542" i="2"/>
  <c r="L2120" i="2"/>
  <c r="K2120" i="2"/>
  <c r="M2120" i="2" s="1"/>
  <c r="J2120" i="2"/>
  <c r="L2522" i="2"/>
  <c r="K2522" i="2"/>
  <c r="M2522" i="2" s="1"/>
  <c r="J2522" i="2"/>
  <c r="L2520" i="2"/>
  <c r="K2520" i="2"/>
  <c r="M2520" i="2" s="1"/>
  <c r="J2520" i="2"/>
  <c r="L2084" i="2"/>
  <c r="K2084" i="2"/>
  <c r="M2084" i="2" s="1"/>
  <c r="J2084" i="2"/>
  <c r="L2056" i="2"/>
  <c r="K2056" i="2"/>
  <c r="M2056" i="2" s="1"/>
  <c r="J2056" i="2"/>
  <c r="L2202" i="2"/>
  <c r="K2202" i="2"/>
  <c r="M2202" i="2" s="1"/>
  <c r="J2202" i="2"/>
  <c r="L2442" i="2"/>
  <c r="K2442" i="2"/>
  <c r="M2442" i="2" s="1"/>
  <c r="J2442" i="2"/>
  <c r="L2048" i="2"/>
  <c r="K2048" i="2"/>
  <c r="M2048" i="2" s="1"/>
  <c r="J2048" i="2"/>
  <c r="L2213" i="2"/>
  <c r="K2213" i="2"/>
  <c r="M2213" i="2" s="1"/>
  <c r="J2213" i="2"/>
  <c r="L2053" i="2"/>
  <c r="K2053" i="2"/>
  <c r="M2053" i="2" s="1"/>
  <c r="J2053" i="2"/>
  <c r="L1877" i="2"/>
  <c r="K1877" i="2"/>
  <c r="M1877" i="2" s="1"/>
  <c r="J1877" i="2"/>
  <c r="L1840" i="2"/>
  <c r="K1840" i="2"/>
  <c r="M1840" i="2" s="1"/>
  <c r="J1840" i="2"/>
  <c r="L2668" i="2"/>
  <c r="K2668" i="2"/>
  <c r="M2668" i="2" s="1"/>
  <c r="J2668" i="2"/>
  <c r="L1212" i="2"/>
  <c r="K1212" i="2"/>
  <c r="M1212" i="2" s="1"/>
  <c r="J1212" i="2"/>
  <c r="L1932" i="2"/>
  <c r="K1932" i="2"/>
  <c r="M1932" i="2" s="1"/>
  <c r="J1932" i="2"/>
  <c r="L1950" i="2"/>
  <c r="K1950" i="2"/>
  <c r="M1950" i="2" s="1"/>
  <c r="J1950" i="2"/>
  <c r="L2412" i="2"/>
  <c r="K2412" i="2"/>
  <c r="M2412" i="2" s="1"/>
  <c r="J2412" i="2"/>
  <c r="L2401" i="2"/>
  <c r="K2401" i="2"/>
  <c r="M2401" i="2" s="1"/>
  <c r="J2401" i="2"/>
  <c r="L1914" i="2"/>
  <c r="K1914" i="2"/>
  <c r="M1914" i="2" s="1"/>
  <c r="J1914" i="2"/>
  <c r="L2098" i="2"/>
  <c r="K2098" i="2"/>
  <c r="M2098" i="2" s="1"/>
  <c r="J2098" i="2"/>
  <c r="L2592" i="2"/>
  <c r="K2592" i="2"/>
  <c r="M2592" i="2" s="1"/>
  <c r="J2592" i="2"/>
  <c r="L2662" i="2"/>
  <c r="K2662" i="2"/>
  <c r="M2662" i="2" s="1"/>
  <c r="J2662" i="2"/>
  <c r="L2679" i="2"/>
  <c r="K2679" i="2"/>
  <c r="M2679" i="2" s="1"/>
  <c r="J2679" i="2"/>
  <c r="L2680" i="2"/>
  <c r="K2680" i="2"/>
  <c r="M2680" i="2" s="1"/>
  <c r="J2680" i="2"/>
  <c r="L2681" i="2"/>
  <c r="K2681" i="2"/>
  <c r="M2681" i="2" s="1"/>
  <c r="J2681" i="2"/>
  <c r="L2609" i="2"/>
  <c r="K2609" i="2"/>
  <c r="M2609" i="2" s="1"/>
  <c r="J2609" i="2"/>
  <c r="L2684" i="2"/>
  <c r="K2684" i="2"/>
  <c r="M2684" i="2" s="1"/>
  <c r="J2684" i="2"/>
  <c r="L2073" i="2"/>
  <c r="K2073" i="2"/>
  <c r="M2073" i="2" s="1"/>
  <c r="J2073" i="2"/>
  <c r="L2210" i="2"/>
  <c r="K2210" i="2"/>
  <c r="M2210" i="2" s="1"/>
  <c r="J2210" i="2"/>
  <c r="L2139" i="2"/>
  <c r="K2139" i="2"/>
  <c r="M2139" i="2" s="1"/>
  <c r="J2139" i="2"/>
  <c r="L2579" i="2"/>
  <c r="K2579" i="2"/>
  <c r="M2579" i="2" s="1"/>
  <c r="J2579" i="2"/>
  <c r="L2597" i="2"/>
  <c r="K2597" i="2"/>
  <c r="M2597" i="2" s="1"/>
  <c r="J2597" i="2"/>
  <c r="L1947" i="2"/>
  <c r="K1947" i="2"/>
  <c r="M1947" i="2" s="1"/>
  <c r="J1947" i="2"/>
  <c r="L2689" i="2"/>
  <c r="K2689" i="2"/>
  <c r="M2689" i="2" s="1"/>
  <c r="J2689" i="2"/>
  <c r="L2612" i="2"/>
  <c r="K2612" i="2"/>
  <c r="M2612" i="2" s="1"/>
  <c r="J2612" i="2"/>
  <c r="L2638" i="2"/>
  <c r="K2638" i="2"/>
  <c r="M2638" i="2" s="1"/>
  <c r="J2638" i="2"/>
  <c r="L2636" i="2"/>
  <c r="K2636" i="2"/>
  <c r="M2636" i="2" s="1"/>
  <c r="J2636" i="2"/>
  <c r="L2182" i="2"/>
  <c r="K2182" i="2"/>
  <c r="M2182" i="2" s="1"/>
  <c r="J2182" i="2"/>
  <c r="L2634" i="2"/>
  <c r="K2634" i="2"/>
  <c r="M2634" i="2" s="1"/>
  <c r="J2634" i="2"/>
  <c r="L2664" i="2"/>
  <c r="K2664" i="2"/>
  <c r="M2664" i="2" s="1"/>
  <c r="J2664" i="2"/>
  <c r="L2661" i="2"/>
  <c r="K2661" i="2"/>
  <c r="M2661" i="2" s="1"/>
  <c r="J2661" i="2"/>
  <c r="L1902" i="2"/>
  <c r="K1902" i="2"/>
  <c r="M1902" i="2" s="1"/>
  <c r="J1902" i="2"/>
  <c r="L1860" i="2"/>
  <c r="K1860" i="2"/>
  <c r="M1860" i="2" s="1"/>
  <c r="J1860" i="2"/>
  <c r="L2319" i="2"/>
  <c r="K2319" i="2"/>
  <c r="M2319" i="2" s="1"/>
  <c r="J2319" i="2"/>
  <c r="L2692" i="2"/>
  <c r="K2692" i="2"/>
  <c r="M2692" i="2" s="1"/>
  <c r="J2692" i="2"/>
  <c r="L2621" i="2"/>
  <c r="K2621" i="2"/>
  <c r="M2621" i="2" s="1"/>
  <c r="J2621" i="2"/>
  <c r="L2343" i="2"/>
  <c r="K2343" i="2"/>
  <c r="M2343" i="2" s="1"/>
  <c r="J2343" i="2"/>
  <c r="L2617" i="2"/>
  <c r="K2617" i="2"/>
  <c r="M2617" i="2" s="1"/>
  <c r="J2617" i="2"/>
  <c r="L2589" i="2"/>
  <c r="K2589" i="2"/>
  <c r="M2589" i="2" s="1"/>
  <c r="J2589" i="2"/>
  <c r="L2635" i="2"/>
  <c r="K2635" i="2"/>
  <c r="M2635" i="2" s="1"/>
  <c r="J2635" i="2"/>
  <c r="L2363" i="2"/>
  <c r="K2363" i="2"/>
  <c r="M2363" i="2" s="1"/>
  <c r="J2363" i="2"/>
  <c r="L1918" i="2"/>
  <c r="K1918" i="2"/>
  <c r="M1918" i="2" s="1"/>
  <c r="J1918" i="2"/>
  <c r="L2013" i="2"/>
  <c r="K2013" i="2"/>
  <c r="M2013" i="2" s="1"/>
  <c r="J2013" i="2"/>
  <c r="L2571" i="2"/>
  <c r="K2571" i="2"/>
  <c r="M2571" i="2" s="1"/>
  <c r="J2571" i="2"/>
  <c r="L1916" i="2"/>
  <c r="K1916" i="2"/>
  <c r="M1916" i="2" s="1"/>
  <c r="J1916" i="2"/>
  <c r="L2370" i="2"/>
  <c r="K2370" i="2"/>
  <c r="M2370" i="2" s="1"/>
  <c r="J2370" i="2"/>
  <c r="L2017" i="2"/>
  <c r="K2017" i="2"/>
  <c r="M2017" i="2" s="1"/>
  <c r="J2017" i="2"/>
  <c r="L2326" i="2"/>
  <c r="K2326" i="2"/>
  <c r="M2326" i="2" s="1"/>
  <c r="J2326" i="2"/>
  <c r="L2313" i="2"/>
  <c r="K2313" i="2"/>
  <c r="M2313" i="2" s="1"/>
  <c r="J2313" i="2"/>
  <c r="L2286" i="2"/>
  <c r="K2286" i="2"/>
  <c r="M2286" i="2" s="1"/>
  <c r="J2286" i="2"/>
  <c r="L2127" i="2"/>
  <c r="K2127" i="2"/>
  <c r="M2127" i="2" s="1"/>
  <c r="J2127" i="2"/>
  <c r="L1869" i="2"/>
  <c r="K1869" i="2"/>
  <c r="M1869" i="2" s="1"/>
  <c r="J1869" i="2"/>
  <c r="L2529" i="2"/>
  <c r="K2529" i="2"/>
  <c r="M2529" i="2" s="1"/>
  <c r="J2529" i="2"/>
  <c r="L2362" i="2"/>
  <c r="K2362" i="2"/>
  <c r="M2362" i="2" s="1"/>
  <c r="J2362" i="2"/>
  <c r="L2403" i="2"/>
  <c r="K2403" i="2"/>
  <c r="M2403" i="2" s="1"/>
  <c r="J2403" i="2"/>
  <c r="L2405" i="2"/>
  <c r="K2405" i="2"/>
  <c r="M2405" i="2" s="1"/>
  <c r="J2405" i="2"/>
  <c r="L2408" i="2"/>
  <c r="K2408" i="2"/>
  <c r="M2408" i="2" s="1"/>
  <c r="J2408" i="2"/>
  <c r="L2293" i="2"/>
  <c r="K2293" i="2"/>
  <c r="M2293" i="2" s="1"/>
  <c r="J2293" i="2"/>
  <c r="L2342" i="2"/>
  <c r="K2342" i="2"/>
  <c r="M2342" i="2" s="1"/>
  <c r="J2342" i="2"/>
  <c r="L2200" i="2"/>
  <c r="K2200" i="2"/>
  <c r="M2200" i="2" s="1"/>
  <c r="J2200" i="2"/>
  <c r="L1990" i="2"/>
  <c r="K1990" i="2"/>
  <c r="M1990" i="2" s="1"/>
  <c r="J1990" i="2"/>
  <c r="L2288" i="2"/>
  <c r="K2288" i="2"/>
  <c r="M2288" i="2" s="1"/>
  <c r="J2288" i="2"/>
  <c r="L1954" i="2"/>
  <c r="K1954" i="2"/>
  <c r="M1954" i="2" s="1"/>
  <c r="J1954" i="2"/>
  <c r="L2117" i="2"/>
  <c r="K2117" i="2"/>
  <c r="M2117" i="2" s="1"/>
  <c r="J2117" i="2"/>
  <c r="L2038" i="2"/>
  <c r="K2038" i="2"/>
  <c r="M2038" i="2" s="1"/>
  <c r="J2038" i="2"/>
  <c r="L2137" i="2"/>
  <c r="K2137" i="2"/>
  <c r="M2137" i="2" s="1"/>
  <c r="J2137" i="2"/>
  <c r="L2461" i="2"/>
  <c r="K2461" i="2"/>
  <c r="M2461" i="2" s="1"/>
  <c r="J2461" i="2"/>
  <c r="L2413" i="2"/>
  <c r="K2413" i="2"/>
  <c r="M2413" i="2" s="1"/>
  <c r="J2413" i="2"/>
  <c r="L2369" i="2"/>
  <c r="K2369" i="2"/>
  <c r="M2369" i="2" s="1"/>
  <c r="J2369" i="2"/>
  <c r="L2297" i="2"/>
  <c r="K2297" i="2"/>
  <c r="M2297" i="2" s="1"/>
  <c r="J2297" i="2"/>
  <c r="L2453" i="2"/>
  <c r="K2453" i="2"/>
  <c r="M2453" i="2" s="1"/>
  <c r="J2453" i="2"/>
  <c r="L1911" i="2"/>
  <c r="K1911" i="2"/>
  <c r="M1911" i="2" s="1"/>
  <c r="J1911" i="2"/>
  <c r="L2060" i="2"/>
  <c r="K2060" i="2"/>
  <c r="M2060" i="2" s="1"/>
  <c r="J2060" i="2"/>
  <c r="L1931" i="2"/>
  <c r="K1931" i="2"/>
  <c r="M1931" i="2" s="1"/>
  <c r="J1931" i="2"/>
  <c r="L2069" i="2"/>
  <c r="K2069" i="2"/>
  <c r="M2069" i="2" s="1"/>
  <c r="J2069" i="2"/>
  <c r="L1944" i="2"/>
  <c r="K1944" i="2"/>
  <c r="M1944" i="2" s="1"/>
  <c r="J1944" i="2"/>
  <c r="L2550" i="2"/>
  <c r="K2550" i="2"/>
  <c r="M2550" i="2" s="1"/>
  <c r="J2550" i="2"/>
  <c r="L2021" i="2"/>
  <c r="K2021" i="2"/>
  <c r="M2021" i="2" s="1"/>
  <c r="J2021" i="2"/>
  <c r="L2087" i="2"/>
  <c r="K2087" i="2"/>
  <c r="M2087" i="2" s="1"/>
  <c r="J2087" i="2"/>
  <c r="L2237" i="2"/>
  <c r="K2237" i="2"/>
  <c r="M2237" i="2" s="1"/>
  <c r="J2237" i="2"/>
  <c r="L2336" i="2"/>
  <c r="K2336" i="2"/>
  <c r="M2336" i="2" s="1"/>
  <c r="J2336" i="2"/>
  <c r="L2487" i="2"/>
  <c r="K2487" i="2"/>
  <c r="M2487" i="2" s="1"/>
  <c r="J2487" i="2"/>
  <c r="L2126" i="2"/>
  <c r="K2126" i="2"/>
  <c r="M2126" i="2" s="1"/>
  <c r="J2126" i="2"/>
  <c r="L2427" i="2"/>
  <c r="K2427" i="2"/>
  <c r="M2427" i="2" s="1"/>
  <c r="J2427" i="2"/>
  <c r="L1224" i="2"/>
  <c r="K1224" i="2"/>
  <c r="M1224" i="2" s="1"/>
  <c r="J1224" i="2"/>
  <c r="L2041" i="2"/>
  <c r="K2041" i="2"/>
  <c r="M2041" i="2" s="1"/>
  <c r="J2041" i="2"/>
  <c r="L2278" i="2"/>
  <c r="K2278" i="2"/>
  <c r="M2278" i="2" s="1"/>
  <c r="J2278" i="2"/>
  <c r="L2265" i="2"/>
  <c r="K2265" i="2"/>
  <c r="M2265" i="2" s="1"/>
  <c r="J2265" i="2"/>
  <c r="L1226" i="2"/>
  <c r="K1226" i="2"/>
  <c r="M1226" i="2" s="1"/>
  <c r="J1226" i="2"/>
  <c r="L2371" i="2"/>
  <c r="K2371" i="2"/>
  <c r="M2371" i="2" s="1"/>
  <c r="J2371" i="2"/>
  <c r="L2118" i="2"/>
  <c r="K2118" i="2"/>
  <c r="M2118" i="2" s="1"/>
  <c r="J2118" i="2"/>
  <c r="L1159" i="2"/>
  <c r="K1159" i="2"/>
  <c r="M1159" i="2" s="1"/>
  <c r="J1159" i="2"/>
  <c r="L1184" i="2"/>
  <c r="K1184" i="2"/>
  <c r="M1184" i="2" s="1"/>
  <c r="J1184" i="2"/>
  <c r="L1191" i="2"/>
  <c r="K1191" i="2"/>
  <c r="M1191" i="2" s="1"/>
  <c r="J1191" i="2"/>
  <c r="L1131" i="2"/>
  <c r="K1131" i="2"/>
  <c r="M1131" i="2" s="1"/>
  <c r="J1131" i="2"/>
  <c r="L1225" i="2"/>
  <c r="K1225" i="2"/>
  <c r="M1225" i="2" s="1"/>
  <c r="J1225" i="2"/>
  <c r="L2112" i="2"/>
  <c r="K2112" i="2"/>
  <c r="M2112" i="2" s="1"/>
  <c r="J2112" i="2"/>
  <c r="L2220" i="2"/>
  <c r="K2220" i="2"/>
  <c r="M2220" i="2" s="1"/>
  <c r="J2220" i="2"/>
  <c r="L2225" i="2"/>
  <c r="K2225" i="2"/>
  <c r="M2225" i="2" s="1"/>
  <c r="J2225" i="2"/>
  <c r="L1974" i="2"/>
  <c r="K1974" i="2"/>
  <c r="M1974" i="2" s="1"/>
  <c r="J1974" i="2"/>
  <c r="L1185" i="2"/>
  <c r="K1185" i="2"/>
  <c r="M1185" i="2" s="1"/>
  <c r="J1185" i="2"/>
  <c r="L1220" i="2"/>
  <c r="K1220" i="2"/>
  <c r="M1220" i="2" s="1"/>
  <c r="J1220" i="2"/>
  <c r="L2440" i="2"/>
  <c r="K2440" i="2"/>
  <c r="M2440" i="2" s="1"/>
  <c r="J2440" i="2"/>
  <c r="L2399" i="2"/>
  <c r="K2399" i="2"/>
  <c r="M2399" i="2" s="1"/>
  <c r="J2399" i="2"/>
  <c r="L2230" i="2"/>
  <c r="K2230" i="2"/>
  <c r="M2230" i="2" s="1"/>
  <c r="J2230" i="2"/>
  <c r="L1213" i="2"/>
  <c r="K1213" i="2"/>
  <c r="M1213" i="2" s="1"/>
  <c r="J1213" i="2"/>
  <c r="L1215" i="2"/>
  <c r="K1215" i="2"/>
  <c r="M1215" i="2" s="1"/>
  <c r="J1215" i="2"/>
  <c r="L2482" i="2"/>
  <c r="K2482" i="2"/>
  <c r="M2482" i="2" s="1"/>
  <c r="J2482" i="2"/>
  <c r="L2537" i="2"/>
  <c r="K2537" i="2"/>
  <c r="M2537" i="2" s="1"/>
  <c r="J2537" i="2"/>
  <c r="L1895" i="2"/>
  <c r="K1895" i="2"/>
  <c r="M1895" i="2" s="1"/>
  <c r="J1895" i="2"/>
  <c r="L2223" i="2"/>
  <c r="K2223" i="2"/>
  <c r="M2223" i="2" s="1"/>
  <c r="J2223" i="2"/>
  <c r="L2119" i="2"/>
  <c r="K2119" i="2"/>
  <c r="M2119" i="2" s="1"/>
  <c r="J2119" i="2"/>
  <c r="L2603" i="2"/>
  <c r="K2603" i="2"/>
  <c r="M2603" i="2" s="1"/>
  <c r="J2603" i="2"/>
  <c r="L2050" i="2"/>
  <c r="K2050" i="2"/>
  <c r="M2050" i="2" s="1"/>
  <c r="J2050" i="2"/>
  <c r="L2280" i="2"/>
  <c r="K2280" i="2"/>
  <c r="M2280" i="2" s="1"/>
  <c r="J2280" i="2"/>
  <c r="L2273" i="2"/>
  <c r="K2273" i="2"/>
  <c r="M2273" i="2" s="1"/>
  <c r="J2273" i="2"/>
  <c r="L2253" i="2"/>
  <c r="K2253" i="2"/>
  <c r="M2253" i="2" s="1"/>
  <c r="J2253" i="2"/>
  <c r="L2361" i="2"/>
  <c r="K2361" i="2"/>
  <c r="M2361" i="2" s="1"/>
  <c r="J2361" i="2"/>
  <c r="L2022" i="2"/>
  <c r="K2022" i="2"/>
  <c r="M2022" i="2" s="1"/>
  <c r="J2022" i="2"/>
  <c r="L2165" i="2"/>
  <c r="K2165" i="2"/>
  <c r="M2165" i="2" s="1"/>
  <c r="J2165" i="2"/>
  <c r="L1838" i="2"/>
  <c r="K1838" i="2"/>
  <c r="M1838" i="2" s="1"/>
  <c r="J1838" i="2"/>
  <c r="L2109" i="2"/>
  <c r="K2109" i="2"/>
  <c r="M2109" i="2" s="1"/>
  <c r="J2109" i="2"/>
  <c r="L2623" i="2"/>
  <c r="K2623" i="2"/>
  <c r="M2623" i="2" s="1"/>
  <c r="J2623" i="2"/>
  <c r="L1973" i="2"/>
  <c r="K1973" i="2"/>
  <c r="M1973" i="2" s="1"/>
  <c r="J1973" i="2"/>
  <c r="L2061" i="2"/>
  <c r="K2061" i="2"/>
  <c r="M2061" i="2" s="1"/>
  <c r="J2061" i="2"/>
  <c r="L2190" i="2"/>
  <c r="K2190" i="2"/>
  <c r="M2190" i="2" s="1"/>
  <c r="J2190" i="2"/>
  <c r="L1921" i="2"/>
  <c r="K1921" i="2"/>
  <c r="M1921" i="2" s="1"/>
  <c r="J1921" i="2"/>
  <c r="L2314" i="2"/>
  <c r="K2314" i="2"/>
  <c r="M2314" i="2" s="1"/>
  <c r="J2314" i="2"/>
  <c r="L2123" i="2"/>
  <c r="K2123" i="2"/>
  <c r="M2123" i="2" s="1"/>
  <c r="J2123" i="2"/>
  <c r="L2316" i="2"/>
  <c r="K2316" i="2"/>
  <c r="M2316" i="2" s="1"/>
  <c r="J2316" i="2"/>
  <c r="L2198" i="2"/>
  <c r="K2198" i="2"/>
  <c r="M2198" i="2" s="1"/>
  <c r="J2198" i="2"/>
  <c r="L1906" i="2"/>
  <c r="K1906" i="2"/>
  <c r="M1906" i="2" s="1"/>
  <c r="J1906" i="2"/>
  <c r="L2081" i="2"/>
  <c r="K2081" i="2"/>
  <c r="M2081" i="2" s="1"/>
  <c r="J2081" i="2"/>
  <c r="L2553" i="2"/>
  <c r="K2553" i="2"/>
  <c r="M2553" i="2" s="1"/>
  <c r="J2553" i="2"/>
  <c r="L1942" i="2"/>
  <c r="K1942" i="2"/>
  <c r="M1942" i="2" s="1"/>
  <c r="J1942" i="2"/>
  <c r="L1956" i="2"/>
  <c r="K1956" i="2"/>
  <c r="M1956" i="2" s="1"/>
  <c r="J1956" i="2"/>
  <c r="L2618" i="2"/>
  <c r="K2618" i="2"/>
  <c r="M2618" i="2" s="1"/>
  <c r="J2618" i="2"/>
  <c r="L2244" i="2"/>
  <c r="K2244" i="2"/>
  <c r="M2244" i="2" s="1"/>
  <c r="J2244" i="2"/>
  <c r="L1958" i="2"/>
  <c r="K1958" i="2"/>
  <c r="M1958" i="2" s="1"/>
  <c r="J1958" i="2"/>
  <c r="L2189" i="2"/>
  <c r="K2189" i="2"/>
  <c r="M2189" i="2" s="1"/>
  <c r="J2189" i="2"/>
  <c r="L1971" i="2"/>
  <c r="K1971" i="2"/>
  <c r="M1971" i="2" s="1"/>
  <c r="J1971" i="2"/>
  <c r="L1939" i="2"/>
  <c r="K1939" i="2"/>
  <c r="M1939" i="2" s="1"/>
  <c r="J1939" i="2"/>
  <c r="L1831" i="2"/>
  <c r="K1831" i="2"/>
  <c r="M1831" i="2" s="1"/>
  <c r="J1831" i="2"/>
  <c r="L2396" i="2"/>
  <c r="K2396" i="2"/>
  <c r="M2396" i="2" s="1"/>
  <c r="J2396" i="2"/>
  <c r="L2614" i="2"/>
  <c r="K2614" i="2"/>
  <c r="M2614" i="2" s="1"/>
  <c r="J2614" i="2"/>
  <c r="L1160" i="2"/>
  <c r="K1160" i="2"/>
  <c r="M1160" i="2" s="1"/>
  <c r="J1160" i="2"/>
  <c r="L2446" i="2"/>
  <c r="K2446" i="2"/>
  <c r="M2446" i="2" s="1"/>
  <c r="J2446" i="2"/>
  <c r="L2178" i="2"/>
  <c r="K2178" i="2"/>
  <c r="M2178" i="2" s="1"/>
  <c r="J2178" i="2"/>
  <c r="L2207" i="2"/>
  <c r="K2207" i="2"/>
  <c r="M2207" i="2" s="1"/>
  <c r="J2207" i="2"/>
  <c r="L2354" i="2"/>
  <c r="K2354" i="2"/>
  <c r="M2354" i="2" s="1"/>
  <c r="J2354" i="2"/>
  <c r="L1219" i="2"/>
  <c r="K1219" i="2"/>
  <c r="M1219" i="2" s="1"/>
  <c r="J1219" i="2"/>
  <c r="L1207" i="2"/>
  <c r="K1207" i="2"/>
  <c r="M1207" i="2" s="1"/>
  <c r="J1207" i="2"/>
  <c r="L1237" i="2"/>
  <c r="K1237" i="2"/>
  <c r="M1237" i="2" s="1"/>
  <c r="J1237" i="2"/>
  <c r="L1167" i="2"/>
  <c r="K1167" i="2"/>
  <c r="M1167" i="2" s="1"/>
  <c r="J1167" i="2"/>
  <c r="L1222" i="2"/>
  <c r="K1222" i="2"/>
  <c r="M1222" i="2" s="1"/>
  <c r="J1222" i="2"/>
  <c r="L2345" i="2"/>
  <c r="K2345" i="2"/>
  <c r="M2345" i="2" s="1"/>
  <c r="J2345" i="2"/>
  <c r="L1145" i="2"/>
  <c r="K1145" i="2"/>
  <c r="M1145" i="2" s="1"/>
  <c r="J1145" i="2"/>
  <c r="L2174" i="2"/>
  <c r="K2174" i="2"/>
  <c r="M2174" i="2" s="1"/>
  <c r="J2174" i="2"/>
  <c r="L2498" i="2"/>
  <c r="K2498" i="2"/>
  <c r="M2498" i="2" s="1"/>
  <c r="J2498" i="2"/>
  <c r="L2510" i="2"/>
  <c r="K2510" i="2"/>
  <c r="M2510" i="2" s="1"/>
  <c r="J2510" i="2"/>
  <c r="L2422" i="2"/>
  <c r="K2422" i="2"/>
  <c r="M2422" i="2" s="1"/>
  <c r="J2422" i="2"/>
  <c r="L2424" i="2"/>
  <c r="K2424" i="2"/>
  <c r="M2424" i="2" s="1"/>
  <c r="J2424" i="2"/>
  <c r="L2483" i="2"/>
  <c r="K2483" i="2"/>
  <c r="M2483" i="2" s="1"/>
  <c r="J2483" i="2"/>
  <c r="L2544" i="2"/>
  <c r="K2544" i="2"/>
  <c r="M2544" i="2" s="1"/>
  <c r="J2544" i="2"/>
  <c r="L2540" i="2"/>
  <c r="K2540" i="2"/>
  <c r="M2540" i="2" s="1"/>
  <c r="J2540" i="2"/>
  <c r="L2523" i="2"/>
  <c r="K2523" i="2"/>
  <c r="M2523" i="2" s="1"/>
  <c r="J2523" i="2"/>
  <c r="L2471" i="2"/>
  <c r="K2471" i="2"/>
  <c r="M2471" i="2" s="1"/>
  <c r="J2471" i="2"/>
  <c r="L2477" i="2"/>
  <c r="K2477" i="2"/>
  <c r="M2477" i="2" s="1"/>
  <c r="J2477" i="2"/>
  <c r="L2547" i="2"/>
  <c r="K2547" i="2"/>
  <c r="M2547" i="2" s="1"/>
  <c r="J2547" i="2"/>
  <c r="L2492" i="2"/>
  <c r="K2492" i="2"/>
  <c r="M2492" i="2" s="1"/>
  <c r="J2492" i="2"/>
  <c r="L1934" i="2"/>
  <c r="K1934" i="2"/>
  <c r="M1934" i="2" s="1"/>
  <c r="J1934" i="2"/>
  <c r="L1946" i="2"/>
  <c r="K1946" i="2"/>
  <c r="M1946" i="2" s="1"/>
  <c r="J1946" i="2"/>
  <c r="L1996" i="2"/>
  <c r="K1996" i="2"/>
  <c r="M1996" i="2" s="1"/>
  <c r="J1996" i="2"/>
  <c r="L1901" i="2"/>
  <c r="K1901" i="2"/>
  <c r="M1901" i="2" s="1"/>
  <c r="J1901" i="2"/>
  <c r="L2045" i="2"/>
  <c r="K2045" i="2"/>
  <c r="M2045" i="2" s="1"/>
  <c r="J2045" i="2"/>
  <c r="L2043" i="2"/>
  <c r="K2043" i="2"/>
  <c r="M2043" i="2" s="1"/>
  <c r="J2043" i="2"/>
  <c r="L2468" i="2"/>
  <c r="K2468" i="2"/>
  <c r="M2468" i="2" s="1"/>
  <c r="J2468" i="2"/>
  <c r="L2199" i="2"/>
  <c r="K2199" i="2"/>
  <c r="M2199" i="2" s="1"/>
  <c r="J2199" i="2"/>
  <c r="L2303" i="2"/>
  <c r="K2303" i="2"/>
  <c r="M2303" i="2" s="1"/>
  <c r="J2303" i="2"/>
  <c r="L2515" i="2"/>
  <c r="K2515" i="2"/>
  <c r="M2515" i="2" s="1"/>
  <c r="J2515" i="2"/>
  <c r="L2384" i="2"/>
  <c r="K2384" i="2"/>
  <c r="M2384" i="2" s="1"/>
  <c r="J2384" i="2"/>
  <c r="L2459" i="2"/>
  <c r="K2459" i="2"/>
  <c r="M2459" i="2" s="1"/>
  <c r="J2459" i="2"/>
  <c r="L1949" i="2"/>
  <c r="K1949" i="2"/>
  <c r="M1949" i="2" s="1"/>
  <c r="J1949" i="2"/>
  <c r="L2102" i="2"/>
  <c r="K2102" i="2"/>
  <c r="M2102" i="2" s="1"/>
  <c r="J2102" i="2"/>
  <c r="L2128" i="2"/>
  <c r="K2128" i="2"/>
  <c r="M2128" i="2" s="1"/>
  <c r="J2128" i="2"/>
  <c r="L2203" i="2"/>
  <c r="K2203" i="2"/>
  <c r="M2203" i="2" s="1"/>
  <c r="J2203" i="2"/>
  <c r="L2360" i="2"/>
  <c r="K2360" i="2"/>
  <c r="M2360" i="2" s="1"/>
  <c r="J2360" i="2"/>
  <c r="L2255" i="2"/>
  <c r="K2255" i="2"/>
  <c r="M2255" i="2" s="1"/>
  <c r="J2255" i="2"/>
  <c r="L1886" i="2"/>
  <c r="K1886" i="2"/>
  <c r="M1886" i="2" s="1"/>
  <c r="J1886" i="2"/>
  <c r="L2322" i="2"/>
  <c r="K2322" i="2"/>
  <c r="M2322" i="2" s="1"/>
  <c r="J2322" i="2"/>
  <c r="L2091" i="2"/>
  <c r="K2091" i="2"/>
  <c r="M2091" i="2" s="1"/>
  <c r="J2091" i="2"/>
  <c r="L2025" i="2"/>
  <c r="K2025" i="2"/>
  <c r="M2025" i="2" s="1"/>
  <c r="J2025" i="2"/>
  <c r="L1871" i="2"/>
  <c r="K1871" i="2"/>
  <c r="M1871" i="2" s="1"/>
  <c r="J1871" i="2"/>
  <c r="L2172" i="2"/>
  <c r="K2172" i="2"/>
  <c r="M2172" i="2" s="1"/>
  <c r="J2172" i="2"/>
  <c r="L1832" i="2"/>
  <c r="K1832" i="2"/>
  <c r="M1832" i="2" s="1"/>
  <c r="J1832" i="2"/>
  <c r="L2608" i="2"/>
  <c r="K2608" i="2"/>
  <c r="M2608" i="2" s="1"/>
  <c r="J2608" i="2"/>
  <c r="L2227" i="2"/>
  <c r="K2227" i="2"/>
  <c r="M2227" i="2" s="1"/>
  <c r="J2227" i="2"/>
  <c r="L2624" i="2"/>
  <c r="K2624" i="2"/>
  <c r="M2624" i="2" s="1"/>
  <c r="J2624" i="2"/>
  <c r="L1870" i="2"/>
  <c r="K1870" i="2"/>
  <c r="M1870" i="2" s="1"/>
  <c r="J1870" i="2"/>
  <c r="L2382" i="2"/>
  <c r="K2382" i="2"/>
  <c r="M2382" i="2" s="1"/>
  <c r="J2382" i="2"/>
  <c r="L2655" i="2"/>
  <c r="K2655" i="2"/>
  <c r="M2655" i="2" s="1"/>
  <c r="J2655" i="2"/>
  <c r="L2104" i="2"/>
  <c r="K2104" i="2"/>
  <c r="M2104" i="2" s="1"/>
  <c r="J2104" i="2"/>
  <c r="L1922" i="2"/>
  <c r="K1922" i="2"/>
  <c r="M1922" i="2" s="1"/>
  <c r="J1922" i="2"/>
  <c r="L2663" i="2"/>
  <c r="K2663" i="2"/>
  <c r="M2663" i="2" s="1"/>
  <c r="J2663" i="2"/>
  <c r="L2658" i="2"/>
  <c r="K2658" i="2"/>
  <c r="M2658" i="2" s="1"/>
  <c r="J2658" i="2"/>
  <c r="L2671" i="2"/>
  <c r="K2671" i="2"/>
  <c r="M2671" i="2" s="1"/>
  <c r="J2671" i="2"/>
  <c r="L1893" i="2"/>
  <c r="K1893" i="2"/>
  <c r="M1893" i="2" s="1"/>
  <c r="J1893" i="2"/>
  <c r="L1862" i="2"/>
  <c r="K1862" i="2"/>
  <c r="M1862" i="2" s="1"/>
  <c r="J1862" i="2"/>
  <c r="L1919" i="2"/>
  <c r="K1919" i="2"/>
  <c r="M1919" i="2" s="1"/>
  <c r="J1919" i="2"/>
  <c r="L1851" i="2"/>
  <c r="K1851" i="2"/>
  <c r="M1851" i="2" s="1"/>
  <c r="J1851" i="2"/>
  <c r="L2591" i="2"/>
  <c r="K2591" i="2"/>
  <c r="M2591" i="2" s="1"/>
  <c r="J2591" i="2"/>
  <c r="L1937" i="2"/>
  <c r="K1937" i="2"/>
  <c r="M1937" i="2" s="1"/>
  <c r="J1937" i="2"/>
  <c r="L2141" i="2"/>
  <c r="K2141" i="2"/>
  <c r="M2141" i="2" s="1"/>
  <c r="J2141" i="2"/>
  <c r="L2228" i="2"/>
  <c r="K2228" i="2"/>
  <c r="M2228" i="2" s="1"/>
  <c r="J2228" i="2"/>
  <c r="L2659" i="2"/>
  <c r="K2659" i="2"/>
  <c r="M2659" i="2" s="1"/>
  <c r="J2659" i="2"/>
  <c r="L2683" i="2"/>
  <c r="K2683" i="2"/>
  <c r="M2683" i="2" s="1"/>
  <c r="J2683" i="2"/>
  <c r="L1920" i="2"/>
  <c r="K1920" i="2"/>
  <c r="M1920" i="2" s="1"/>
  <c r="J1920" i="2"/>
  <c r="L2569" i="2"/>
  <c r="K2569" i="2"/>
  <c r="M2569" i="2" s="1"/>
  <c r="J2569" i="2"/>
  <c r="L2619" i="2"/>
  <c r="K2619" i="2"/>
  <c r="M2619" i="2" s="1"/>
  <c r="J2619" i="2"/>
  <c r="L2656" i="2"/>
  <c r="K2656" i="2"/>
  <c r="M2656" i="2" s="1"/>
  <c r="J2656" i="2"/>
  <c r="L2645" i="2"/>
  <c r="K2645" i="2"/>
  <c r="M2645" i="2" s="1"/>
  <c r="J2645" i="2"/>
  <c r="L2580" i="2"/>
  <c r="K2580" i="2"/>
  <c r="M2580" i="2" s="1"/>
  <c r="J2580" i="2"/>
  <c r="L2373" i="2"/>
  <c r="K2373" i="2"/>
  <c r="M2373" i="2" s="1"/>
  <c r="J2373" i="2"/>
  <c r="L2374" i="2"/>
  <c r="K2374" i="2"/>
  <c r="M2374" i="2" s="1"/>
  <c r="J2374" i="2"/>
  <c r="L2268" i="2"/>
  <c r="K2268" i="2"/>
  <c r="M2268" i="2" s="1"/>
  <c r="J2268" i="2"/>
  <c r="L2421" i="2"/>
  <c r="K2421" i="2"/>
  <c r="M2421" i="2" s="1"/>
  <c r="J2421" i="2"/>
  <c r="L2594" i="2"/>
  <c r="K2594" i="2"/>
  <c r="M2594" i="2" s="1"/>
  <c r="J2594" i="2"/>
  <c r="L2613" i="2"/>
  <c r="K2613" i="2"/>
  <c r="M2613" i="2" s="1"/>
  <c r="J2613" i="2"/>
  <c r="L2673" i="2"/>
  <c r="K2673" i="2"/>
  <c r="M2673" i="2" s="1"/>
  <c r="J2673" i="2"/>
  <c r="L2066" i="2"/>
  <c r="K2066" i="2"/>
  <c r="M2066" i="2" s="1"/>
  <c r="J2066" i="2"/>
  <c r="L2062" i="2"/>
  <c r="K2062" i="2"/>
  <c r="M2062" i="2" s="1"/>
  <c r="J2062" i="2"/>
  <c r="L2129" i="2"/>
  <c r="K2129" i="2"/>
  <c r="M2129" i="2" s="1"/>
  <c r="J2129" i="2"/>
  <c r="L1859" i="2"/>
  <c r="K1859" i="2"/>
  <c r="M1859" i="2" s="1"/>
  <c r="J1859" i="2"/>
  <c r="L2023" i="2"/>
  <c r="K2023" i="2"/>
  <c r="M2023" i="2" s="1"/>
  <c r="J2023" i="2"/>
  <c r="L2224" i="2"/>
  <c r="K2224" i="2"/>
  <c r="M2224" i="2" s="1"/>
  <c r="J2224" i="2"/>
  <c r="L1910" i="2"/>
  <c r="K1910" i="2"/>
  <c r="M1910" i="2" s="1"/>
  <c r="J1910" i="2"/>
  <c r="L1203" i="2"/>
  <c r="K1203" i="2"/>
  <c r="M1203" i="2" s="1"/>
  <c r="J1203" i="2"/>
  <c r="L1940" i="2"/>
  <c r="K1940" i="2"/>
  <c r="M1940" i="2" s="1"/>
  <c r="J1940" i="2"/>
  <c r="L2067" i="2"/>
  <c r="K2067" i="2"/>
  <c r="M2067" i="2" s="1"/>
  <c r="J2067" i="2"/>
  <c r="L2035" i="2"/>
  <c r="K2035" i="2"/>
  <c r="M2035" i="2" s="1"/>
  <c r="J2035" i="2"/>
  <c r="L2042" i="2"/>
  <c r="K2042" i="2"/>
  <c r="M2042" i="2" s="1"/>
  <c r="J2042" i="2"/>
  <c r="L2367" i="2"/>
  <c r="K2367" i="2"/>
  <c r="M2367" i="2" s="1"/>
  <c r="J2367" i="2"/>
  <c r="L2444" i="2"/>
  <c r="K2444" i="2"/>
  <c r="M2444" i="2" s="1"/>
  <c r="J2444" i="2"/>
  <c r="L2233" i="2"/>
  <c r="K2233" i="2"/>
  <c r="M2233" i="2" s="1"/>
  <c r="J2233" i="2"/>
  <c r="L1997" i="2"/>
  <c r="K1997" i="2"/>
  <c r="M1997" i="2" s="1"/>
  <c r="J1997" i="2"/>
  <c r="L2484" i="2"/>
  <c r="K2484" i="2"/>
  <c r="M2484" i="2" s="1"/>
  <c r="J2484" i="2"/>
  <c r="L1872" i="2"/>
  <c r="K1872" i="2"/>
  <c r="M1872" i="2" s="1"/>
  <c r="J1872" i="2"/>
  <c r="L1868" i="2"/>
  <c r="K1868" i="2"/>
  <c r="M1868" i="2" s="1"/>
  <c r="J1868" i="2"/>
  <c r="L1935" i="2"/>
  <c r="K1935" i="2"/>
  <c r="M1935" i="2" s="1"/>
  <c r="J1935" i="2"/>
  <c r="L2012" i="2"/>
  <c r="K2012" i="2"/>
  <c r="M2012" i="2" s="1"/>
  <c r="J2012" i="2"/>
  <c r="L1883" i="2"/>
  <c r="K1883" i="2"/>
  <c r="M1883" i="2" s="1"/>
  <c r="J1883" i="2"/>
  <c r="L1864" i="2"/>
  <c r="K1864" i="2"/>
  <c r="M1864" i="2" s="1"/>
  <c r="J1864" i="2"/>
  <c r="L1876" i="2"/>
  <c r="K1876" i="2"/>
  <c r="M1876" i="2" s="1"/>
  <c r="J1876" i="2"/>
  <c r="L1915" i="2"/>
  <c r="K1915" i="2"/>
  <c r="M1915" i="2" s="1"/>
  <c r="J1915" i="2"/>
  <c r="L2320" i="2"/>
  <c r="K2320" i="2"/>
  <c r="M2320" i="2" s="1"/>
  <c r="J2320" i="2"/>
  <c r="L2388" i="2"/>
  <c r="K2388" i="2"/>
  <c r="M2388" i="2" s="1"/>
  <c r="J2388" i="2"/>
  <c r="L1913" i="2"/>
  <c r="K1913" i="2"/>
  <c r="M1913" i="2" s="1"/>
  <c r="J1913" i="2"/>
  <c r="L2473" i="2"/>
  <c r="K2473" i="2"/>
  <c r="M2473" i="2" s="1"/>
  <c r="J2473" i="2"/>
  <c r="L2153" i="2"/>
  <c r="K2153" i="2"/>
  <c r="M2153" i="2" s="1"/>
  <c r="J2153" i="2"/>
  <c r="L1867" i="2"/>
  <c r="K1867" i="2"/>
  <c r="M1867" i="2" s="1"/>
  <c r="J1867" i="2"/>
  <c r="L1982" i="2"/>
  <c r="K1982" i="2"/>
  <c r="M1982" i="2" s="1"/>
  <c r="J1982" i="2"/>
  <c r="L2094" i="2"/>
  <c r="K2094" i="2"/>
  <c r="M2094" i="2" s="1"/>
  <c r="J2094" i="2"/>
  <c r="L2040" i="2"/>
  <c r="K2040" i="2"/>
  <c r="M2040" i="2" s="1"/>
  <c r="J2040" i="2"/>
  <c r="L2078" i="2"/>
  <c r="K2078" i="2"/>
  <c r="M2078" i="2" s="1"/>
  <c r="J2078" i="2"/>
  <c r="L2509" i="2"/>
  <c r="K2509" i="2"/>
  <c r="M2509" i="2" s="1"/>
  <c r="J2509" i="2"/>
  <c r="L2472" i="2"/>
  <c r="K2472" i="2"/>
  <c r="M2472" i="2" s="1"/>
  <c r="J2472" i="2"/>
  <c r="L2277" i="2"/>
  <c r="K2277" i="2"/>
  <c r="M2277" i="2" s="1"/>
  <c r="J2277" i="2"/>
  <c r="L2318" i="2"/>
  <c r="K2318" i="2"/>
  <c r="M2318" i="2" s="1"/>
  <c r="J2318" i="2"/>
  <c r="L2269" i="2"/>
  <c r="K2269" i="2"/>
  <c r="M2269" i="2" s="1"/>
  <c r="J2269" i="2"/>
  <c r="L2497" i="2"/>
  <c r="K2497" i="2"/>
  <c r="M2497" i="2" s="1"/>
  <c r="J2497" i="2"/>
  <c r="L2304" i="2"/>
  <c r="K2304" i="2"/>
  <c r="M2304" i="2" s="1"/>
  <c r="J2304" i="2"/>
  <c r="L2114" i="2"/>
  <c r="K2114" i="2"/>
  <c r="M2114" i="2" s="1"/>
  <c r="J2114" i="2"/>
  <c r="L2330" i="2"/>
  <c r="K2330" i="2"/>
  <c r="M2330" i="2" s="1"/>
  <c r="J2330" i="2"/>
  <c r="L2168" i="2"/>
  <c r="K2168" i="2"/>
  <c r="M2168" i="2" s="1"/>
  <c r="J2168" i="2"/>
  <c r="L2270" i="2"/>
  <c r="K2270" i="2"/>
  <c r="M2270" i="2" s="1"/>
  <c r="J2270" i="2"/>
  <c r="L1147" i="2"/>
  <c r="K1147" i="2"/>
  <c r="M1147" i="2" s="1"/>
  <c r="J1147" i="2"/>
  <c r="L2534" i="2"/>
  <c r="K2534" i="2"/>
  <c r="M2534" i="2" s="1"/>
  <c r="J2534" i="2"/>
  <c r="L2292" i="2"/>
  <c r="K2292" i="2"/>
  <c r="M2292" i="2" s="1"/>
  <c r="J2292" i="2"/>
  <c r="L2231" i="2"/>
  <c r="K2231" i="2"/>
  <c r="M2231" i="2" s="1"/>
  <c r="J2231" i="2"/>
  <c r="L2166" i="2"/>
  <c r="K2166" i="2"/>
  <c r="M2166" i="2" s="1"/>
  <c r="J2166" i="2"/>
  <c r="L1175" i="2"/>
  <c r="K1175" i="2"/>
  <c r="M1175" i="2" s="1"/>
  <c r="J1175" i="2"/>
  <c r="L1183" i="2"/>
  <c r="K1183" i="2"/>
  <c r="M1183" i="2" s="1"/>
  <c r="J1183" i="2"/>
  <c r="L1195" i="2"/>
  <c r="K1195" i="2"/>
  <c r="M1195" i="2" s="1"/>
  <c r="J1195" i="2"/>
  <c r="L1197" i="2"/>
  <c r="K1197" i="2"/>
  <c r="M1197" i="2" s="1"/>
  <c r="J1197" i="2"/>
  <c r="L2009" i="2"/>
  <c r="K2009" i="2"/>
  <c r="M2009" i="2" s="1"/>
  <c r="J2009" i="2"/>
  <c r="L2124" i="2"/>
  <c r="K2124" i="2"/>
  <c r="M2124" i="2" s="1"/>
  <c r="J2124" i="2"/>
  <c r="L2358" i="2"/>
  <c r="K2358" i="2"/>
  <c r="M2358" i="2" s="1"/>
  <c r="J2358" i="2"/>
  <c r="L2272" i="2"/>
  <c r="K2272" i="2"/>
  <c r="M2272" i="2" s="1"/>
  <c r="J2272" i="2"/>
  <c r="L2122" i="2"/>
  <c r="K2122" i="2"/>
  <c r="M2122" i="2" s="1"/>
  <c r="J2122" i="2"/>
  <c r="L1216" i="2"/>
  <c r="K1216" i="2"/>
  <c r="M1216" i="2" s="1"/>
  <c r="J1216" i="2"/>
  <c r="L1240" i="2"/>
  <c r="K1240" i="2"/>
  <c r="M1240" i="2" s="1"/>
  <c r="J1240" i="2"/>
  <c r="L1138" i="2"/>
  <c r="K1138" i="2"/>
  <c r="M1138" i="2" s="1"/>
  <c r="J1138" i="2"/>
  <c r="L1209" i="2"/>
  <c r="K1209" i="2"/>
  <c r="M1209" i="2" s="1"/>
  <c r="J1209" i="2"/>
  <c r="L1178" i="2"/>
  <c r="K1178" i="2"/>
  <c r="M1178" i="2" s="1"/>
  <c r="J1178" i="2"/>
  <c r="L1978" i="2"/>
  <c r="K1978" i="2"/>
  <c r="M1978" i="2" s="1"/>
  <c r="J1978" i="2"/>
  <c r="L2448" i="2"/>
  <c r="K2448" i="2"/>
  <c r="M2448" i="2" s="1"/>
  <c r="J2448" i="2"/>
  <c r="L1991" i="2"/>
  <c r="K1991" i="2"/>
  <c r="M1991" i="2" s="1"/>
  <c r="J1991" i="2"/>
  <c r="L1141" i="2"/>
  <c r="K1141" i="2"/>
  <c r="M1141" i="2" s="1"/>
  <c r="J1141" i="2"/>
  <c r="L1162" i="2"/>
  <c r="K1162" i="2"/>
  <c r="M1162" i="2" s="1"/>
  <c r="J1162" i="2"/>
  <c r="L1150" i="2"/>
  <c r="K1150" i="2"/>
  <c r="M1150" i="2" s="1"/>
  <c r="J1150" i="2"/>
  <c r="L1146" i="2"/>
  <c r="K1146" i="2"/>
  <c r="M1146" i="2" s="1"/>
  <c r="J1146" i="2"/>
  <c r="L1206" i="2"/>
  <c r="K1206" i="2"/>
  <c r="M1206" i="2" s="1"/>
  <c r="J1206" i="2"/>
  <c r="L1874" i="2"/>
  <c r="K1874" i="2"/>
  <c r="M1874" i="2" s="1"/>
  <c r="J1874" i="2"/>
  <c r="L2386" i="2"/>
  <c r="K2386" i="2"/>
  <c r="M2386" i="2" s="1"/>
  <c r="J2386" i="2"/>
  <c r="L2356" i="2"/>
  <c r="K2356" i="2"/>
  <c r="M2356" i="2" s="1"/>
  <c r="J2356" i="2"/>
  <c r="L2279" i="2"/>
  <c r="K2279" i="2"/>
  <c r="M2279" i="2" s="1"/>
  <c r="J2279" i="2"/>
  <c r="L2420" i="2"/>
  <c r="K2420" i="2"/>
  <c r="M2420" i="2" s="1"/>
  <c r="J2420" i="2"/>
  <c r="L2011" i="2"/>
  <c r="K2011" i="2"/>
  <c r="M2011" i="2" s="1"/>
  <c r="J2011" i="2"/>
  <c r="L1221" i="2"/>
  <c r="K1221" i="2"/>
  <c r="M1221" i="2" s="1"/>
  <c r="J1221" i="2"/>
  <c r="L2351" i="2"/>
  <c r="K2351" i="2"/>
  <c r="M2351" i="2" s="1"/>
  <c r="J2351" i="2"/>
  <c r="L2252" i="2"/>
  <c r="K2252" i="2"/>
  <c r="M2252" i="2" s="1"/>
  <c r="J2252" i="2"/>
  <c r="L1234" i="2"/>
  <c r="K1234" i="2"/>
  <c r="M1234" i="2" s="1"/>
  <c r="J1234" i="2"/>
  <c r="L1243" i="2"/>
  <c r="K1243" i="2"/>
  <c r="M1243" i="2" s="1"/>
  <c r="J1243" i="2"/>
  <c r="L2204" i="2"/>
  <c r="K2204" i="2"/>
  <c r="M2204" i="2" s="1"/>
  <c r="J2204" i="2"/>
  <c r="L2327" i="2"/>
  <c r="K2327" i="2"/>
  <c r="M2327" i="2" s="1"/>
  <c r="J2327" i="2"/>
  <c r="L1964" i="2"/>
  <c r="K1964" i="2"/>
  <c r="M1964" i="2" s="1"/>
  <c r="J1964" i="2"/>
  <c r="L1969" i="2"/>
  <c r="K1969" i="2"/>
  <c r="M1969" i="2" s="1"/>
  <c r="J1969" i="2"/>
  <c r="L2003" i="2"/>
  <c r="K2003" i="2"/>
  <c r="M2003" i="2" s="1"/>
  <c r="J2003" i="2"/>
  <c r="L2586" i="2"/>
  <c r="K2586" i="2"/>
  <c r="M2586" i="2" s="1"/>
  <c r="J2586" i="2"/>
  <c r="L1925" i="2"/>
  <c r="K1925" i="2"/>
  <c r="M1925" i="2" s="1"/>
  <c r="J1925" i="2"/>
  <c r="L1882" i="2"/>
  <c r="K1882" i="2"/>
  <c r="M1882" i="2" s="1"/>
  <c r="J1882" i="2"/>
  <c r="L1929" i="2"/>
  <c r="K1929" i="2"/>
  <c r="M1929" i="2" s="1"/>
  <c r="J1929" i="2"/>
  <c r="L1892" i="2"/>
  <c r="K1892" i="2"/>
  <c r="M1892" i="2" s="1"/>
  <c r="J1892" i="2"/>
  <c r="L1941" i="2"/>
  <c r="K1941" i="2"/>
  <c r="M1941" i="2" s="1"/>
  <c r="J1941" i="2"/>
  <c r="L2115" i="2"/>
  <c r="K2115" i="2"/>
  <c r="M2115" i="2" s="1"/>
  <c r="J2115" i="2"/>
  <c r="L2063" i="2"/>
  <c r="K2063" i="2"/>
  <c r="M2063" i="2" s="1"/>
  <c r="J2063" i="2"/>
  <c r="L1992" i="2"/>
  <c r="K1992" i="2"/>
  <c r="M1992" i="2" s="1"/>
  <c r="J1992" i="2"/>
  <c r="L2142" i="2"/>
  <c r="K2142" i="2"/>
  <c r="M2142" i="2" s="1"/>
  <c r="J2142" i="2"/>
  <c r="L2049" i="2"/>
  <c r="K2049" i="2"/>
  <c r="M2049" i="2" s="1"/>
  <c r="J2049" i="2"/>
  <c r="L2433" i="2"/>
  <c r="K2433" i="2"/>
  <c r="M2433" i="2" s="1"/>
  <c r="J2433" i="2"/>
  <c r="L2193" i="2"/>
  <c r="K2193" i="2"/>
  <c r="M2193" i="2" s="1"/>
  <c r="J2193" i="2"/>
  <c r="L2191" i="2"/>
  <c r="K2191" i="2"/>
  <c r="M2191" i="2" s="1"/>
  <c r="J2191" i="2"/>
  <c r="L2295" i="2"/>
  <c r="K2295" i="2"/>
  <c r="M2295" i="2" s="1"/>
  <c r="J2295" i="2"/>
  <c r="L2516" i="2"/>
  <c r="K2516" i="2"/>
  <c r="M2516" i="2" s="1"/>
  <c r="J2516" i="2"/>
  <c r="L2222" i="2"/>
  <c r="K2222" i="2"/>
  <c r="M2222" i="2" s="1"/>
  <c r="J2222" i="2"/>
  <c r="L1993" i="2"/>
  <c r="K1993" i="2"/>
  <c r="M1993" i="2" s="1"/>
  <c r="J1993" i="2"/>
  <c r="L1927" i="2"/>
  <c r="K1927" i="2"/>
  <c r="M1927" i="2" s="1"/>
  <c r="J1927" i="2"/>
  <c r="L2236" i="2"/>
  <c r="K2236" i="2"/>
  <c r="M2236" i="2" s="1"/>
  <c r="J2236" i="2"/>
  <c r="L2517" i="2"/>
  <c r="K2517" i="2"/>
  <c r="M2517" i="2" s="1"/>
  <c r="J2517" i="2"/>
  <c r="L1938" i="2"/>
  <c r="K1938" i="2"/>
  <c r="M1938" i="2" s="1"/>
  <c r="J1938" i="2"/>
  <c r="L2157" i="2"/>
  <c r="K2157" i="2"/>
  <c r="M2157" i="2" s="1"/>
  <c r="J2157" i="2"/>
  <c r="L2555" i="2"/>
  <c r="K2555" i="2"/>
  <c r="M2555" i="2" s="1"/>
  <c r="J2555" i="2"/>
  <c r="L1975" i="2"/>
  <c r="K1975" i="2"/>
  <c r="M1975" i="2" s="1"/>
  <c r="J1975" i="2"/>
  <c r="L2552" i="2"/>
  <c r="K2552" i="2"/>
  <c r="M2552" i="2" s="1"/>
  <c r="J2552" i="2"/>
  <c r="L2561" i="2"/>
  <c r="K2561" i="2"/>
  <c r="M2561" i="2" s="1"/>
  <c r="J2561" i="2"/>
  <c r="L2602" i="2"/>
  <c r="K2602" i="2"/>
  <c r="M2602" i="2" s="1"/>
  <c r="J2602" i="2"/>
  <c r="L2538" i="2"/>
  <c r="K2538" i="2"/>
  <c r="M2538" i="2" s="1"/>
  <c r="J2538" i="2"/>
  <c r="L2397" i="2"/>
  <c r="K2397" i="2"/>
  <c r="M2397" i="2" s="1"/>
  <c r="J2397" i="2"/>
  <c r="L2039" i="2"/>
  <c r="K2039" i="2"/>
  <c r="M2039" i="2" s="1"/>
  <c r="J2039" i="2"/>
  <c r="L2574" i="2"/>
  <c r="K2574" i="2"/>
  <c r="M2574" i="2" s="1"/>
  <c r="J2574" i="2"/>
  <c r="L1888" i="2"/>
  <c r="K1888" i="2"/>
  <c r="M1888" i="2" s="1"/>
  <c r="J1888" i="2"/>
  <c r="L1988" i="2"/>
  <c r="K1988" i="2"/>
  <c r="M1988" i="2" s="1"/>
  <c r="J1988" i="2"/>
  <c r="L1852" i="2"/>
  <c r="K1852" i="2"/>
  <c r="M1852" i="2" s="1"/>
  <c r="J1852" i="2"/>
  <c r="L1834" i="2"/>
  <c r="K1834" i="2"/>
  <c r="M1834" i="2" s="1"/>
  <c r="J1834" i="2"/>
  <c r="L1880" i="2"/>
  <c r="K1880" i="2"/>
  <c r="M1880" i="2" s="1"/>
  <c r="J1880" i="2"/>
  <c r="L2264" i="2"/>
  <c r="K2264" i="2"/>
  <c r="M2264" i="2" s="1"/>
  <c r="J2264" i="2"/>
  <c r="L1180" i="2"/>
  <c r="K1180" i="2"/>
  <c r="M1180" i="2" s="1"/>
  <c r="J1180" i="2"/>
  <c r="L1157" i="2"/>
  <c r="K1157" i="2"/>
  <c r="M1157" i="2" s="1"/>
  <c r="J1157" i="2"/>
  <c r="L2256" i="2"/>
  <c r="K2256" i="2"/>
  <c r="M2256" i="2" s="1"/>
  <c r="J2256" i="2"/>
  <c r="L2216" i="2"/>
  <c r="K2216" i="2"/>
  <c r="M2216" i="2" s="1"/>
  <c r="J2216" i="2"/>
  <c r="L2167" i="2"/>
  <c r="K2167" i="2"/>
  <c r="M2167" i="2" s="1"/>
  <c r="J2167" i="2"/>
  <c r="L2258" i="2"/>
  <c r="K2258" i="2"/>
  <c r="M2258" i="2" s="1"/>
  <c r="J2258" i="2"/>
  <c r="L2425" i="2"/>
  <c r="K2425" i="2"/>
  <c r="M2425" i="2" s="1"/>
  <c r="J2425" i="2"/>
  <c r="L1239" i="2"/>
  <c r="K1239" i="2"/>
  <c r="M1239" i="2" s="1"/>
  <c r="J1239" i="2"/>
  <c r="L1166" i="2"/>
  <c r="K1166" i="2"/>
  <c r="M1166" i="2" s="1"/>
  <c r="J1166" i="2"/>
  <c r="L1190" i="2"/>
  <c r="K1190" i="2"/>
  <c r="M1190" i="2" s="1"/>
  <c r="J1190" i="2"/>
  <c r="L1223" i="2"/>
  <c r="K1223" i="2"/>
  <c r="M1223" i="2" s="1"/>
  <c r="J1223" i="2"/>
  <c r="L1165" i="2"/>
  <c r="K1165" i="2"/>
  <c r="M1165" i="2" s="1"/>
  <c r="J1165" i="2"/>
  <c r="L2368" i="2"/>
  <c r="K2368" i="2"/>
  <c r="M2368" i="2" s="1"/>
  <c r="J2368" i="2"/>
  <c r="L2377" i="2"/>
  <c r="K2377" i="2"/>
  <c r="M2377" i="2" s="1"/>
  <c r="J2377" i="2"/>
  <c r="L2451" i="2"/>
  <c r="K2451" i="2"/>
  <c r="M2451" i="2" s="1"/>
  <c r="J2451" i="2"/>
  <c r="L2500" i="2"/>
  <c r="K2500" i="2"/>
  <c r="M2500" i="2" s="1"/>
  <c r="J2500" i="2"/>
  <c r="L2527" i="2"/>
  <c r="K2527" i="2"/>
  <c r="M2527" i="2" s="1"/>
  <c r="J2527" i="2"/>
  <c r="L2521" i="2"/>
  <c r="K2521" i="2"/>
  <c r="M2521" i="2" s="1"/>
  <c r="J2521" i="2"/>
  <c r="L2519" i="2"/>
  <c r="K2519" i="2"/>
  <c r="M2519" i="2" s="1"/>
  <c r="J2519" i="2"/>
  <c r="L2380" i="2"/>
  <c r="K2380" i="2"/>
  <c r="M2380" i="2" s="1"/>
  <c r="J2380" i="2"/>
  <c r="L2411" i="2"/>
  <c r="K2411" i="2"/>
  <c r="M2411" i="2" s="1"/>
  <c r="J2411" i="2"/>
  <c r="L2549" i="2"/>
  <c r="K2549" i="2"/>
  <c r="M2549" i="2" s="1"/>
  <c r="J2549" i="2"/>
  <c r="L2470" i="2"/>
  <c r="K2470" i="2"/>
  <c r="M2470" i="2" s="1"/>
  <c r="J2470" i="2"/>
  <c r="L2536" i="2"/>
  <c r="K2536" i="2"/>
  <c r="M2536" i="2" s="1"/>
  <c r="J2536" i="2"/>
  <c r="L2219" i="2"/>
  <c r="K2219" i="2"/>
  <c r="M2219" i="2" s="1"/>
  <c r="J2219" i="2"/>
  <c r="L2464" i="2"/>
  <c r="K2464" i="2"/>
  <c r="M2464" i="2" s="1"/>
  <c r="J2464" i="2"/>
  <c r="L2130" i="2"/>
  <c r="K2130" i="2"/>
  <c r="M2130" i="2" s="1"/>
  <c r="J2130" i="2"/>
  <c r="L2032" i="2"/>
  <c r="K2032" i="2"/>
  <c r="M2032" i="2" s="1"/>
  <c r="J2032" i="2"/>
  <c r="L2494" i="2"/>
  <c r="K2494" i="2"/>
  <c r="M2494" i="2" s="1"/>
  <c r="J2494" i="2"/>
  <c r="L2037" i="2"/>
  <c r="K2037" i="2"/>
  <c r="M2037" i="2" s="1"/>
  <c r="J2037" i="2"/>
  <c r="L2254" i="2"/>
  <c r="K2254" i="2"/>
  <c r="M2254" i="2" s="1"/>
  <c r="J2254" i="2"/>
  <c r="L2430" i="2"/>
  <c r="K2430" i="2"/>
  <c r="M2430" i="2" s="1"/>
  <c r="J2430" i="2"/>
  <c r="L2533" i="2"/>
  <c r="K2533" i="2"/>
  <c r="M2533" i="2" s="1"/>
  <c r="J2533" i="2"/>
  <c r="L2454" i="2"/>
  <c r="K2454" i="2"/>
  <c r="M2454" i="2" s="1"/>
  <c r="J2454" i="2"/>
  <c r="L2475" i="2"/>
  <c r="K2475" i="2"/>
  <c r="M2475" i="2" s="1"/>
  <c r="J2475" i="2"/>
  <c r="L2400" i="2"/>
  <c r="K2400" i="2"/>
  <c r="M2400" i="2" s="1"/>
  <c r="J2400" i="2"/>
  <c r="L2218" i="2"/>
  <c r="K2218" i="2"/>
  <c r="M2218" i="2" s="1"/>
  <c r="J2218" i="2"/>
  <c r="L2335" i="2"/>
  <c r="K2335" i="2"/>
  <c r="M2335" i="2" s="1"/>
  <c r="J2335" i="2"/>
  <c r="L2323" i="2"/>
  <c r="K2323" i="2"/>
  <c r="M2323" i="2" s="1"/>
  <c r="J2323" i="2"/>
  <c r="L2161" i="2"/>
  <c r="K2161" i="2"/>
  <c r="M2161" i="2" s="1"/>
  <c r="J2161" i="2"/>
  <c r="L2366" i="2"/>
  <c r="K2366" i="2"/>
  <c r="M2366" i="2" s="1"/>
  <c r="J2366" i="2"/>
  <c r="L2036" i="2"/>
  <c r="K2036" i="2"/>
  <c r="M2036" i="2" s="1"/>
  <c r="J2036" i="2"/>
  <c r="L2598" i="2"/>
  <c r="K2598" i="2"/>
  <c r="M2598" i="2" s="1"/>
  <c r="J2598" i="2"/>
  <c r="L2556" i="2"/>
  <c r="K2556" i="2"/>
  <c r="M2556" i="2" s="1"/>
  <c r="J2556" i="2"/>
  <c r="L1200" i="2"/>
  <c r="K1200" i="2"/>
  <c r="M1200" i="2" s="1"/>
  <c r="J1200" i="2"/>
  <c r="L2573" i="2"/>
  <c r="K2573" i="2"/>
  <c r="M2573" i="2" s="1"/>
  <c r="J2573" i="2"/>
  <c r="L1884" i="2"/>
  <c r="K1884" i="2"/>
  <c r="M1884" i="2" s="1"/>
  <c r="J1884" i="2"/>
  <c r="L1955" i="2"/>
  <c r="K1955" i="2"/>
  <c r="M1955" i="2" s="1"/>
  <c r="J1955" i="2"/>
  <c r="L1900" i="2"/>
  <c r="K1900" i="2"/>
  <c r="M1900" i="2" s="1"/>
  <c r="J1900" i="2"/>
  <c r="L2677" i="2"/>
  <c r="K2677" i="2"/>
  <c r="M2677" i="2" s="1"/>
  <c r="J2677" i="2"/>
  <c r="L2666" i="2"/>
  <c r="K2666" i="2"/>
  <c r="M2666" i="2" s="1"/>
  <c r="J2666" i="2"/>
  <c r="L2690" i="2"/>
  <c r="K2690" i="2"/>
  <c r="M2690" i="2" s="1"/>
  <c r="J2690" i="2"/>
  <c r="L2317" i="2"/>
  <c r="K2317" i="2"/>
  <c r="M2317" i="2" s="1"/>
  <c r="J2317" i="2"/>
  <c r="L2020" i="2"/>
  <c r="K2020" i="2"/>
  <c r="M2020" i="2" s="1"/>
  <c r="J2020" i="2"/>
  <c r="L2486" i="2"/>
  <c r="K2486" i="2"/>
  <c r="M2486" i="2" s="1"/>
  <c r="J2486" i="2"/>
  <c r="L2245" i="2"/>
  <c r="K2245" i="2"/>
  <c r="M2245" i="2" s="1"/>
  <c r="J2245" i="2"/>
  <c r="L2143" i="2"/>
  <c r="K2143" i="2"/>
  <c r="M2143" i="2" s="1"/>
  <c r="J2143" i="2"/>
  <c r="L2611" i="2"/>
  <c r="K2611" i="2"/>
  <c r="M2611" i="2" s="1"/>
  <c r="J2611" i="2"/>
  <c r="L2300" i="2"/>
  <c r="K2300" i="2"/>
  <c r="M2300" i="2" s="1"/>
  <c r="J2300" i="2"/>
  <c r="L2284" i="2"/>
  <c r="K2284" i="2"/>
  <c r="M2284" i="2" s="1"/>
  <c r="J2284" i="2"/>
  <c r="L1885" i="2"/>
  <c r="K1885" i="2"/>
  <c r="M1885" i="2" s="1"/>
  <c r="J1885" i="2"/>
  <c r="L1986" i="2"/>
  <c r="K1986" i="2"/>
  <c r="M1986" i="2" s="1"/>
  <c r="J1986" i="2"/>
  <c r="L2652" i="2"/>
  <c r="K2652" i="2"/>
  <c r="M2652" i="2" s="1"/>
  <c r="J2652" i="2"/>
  <c r="L2643" i="2"/>
  <c r="K2643" i="2"/>
  <c r="M2643" i="2" s="1"/>
  <c r="J2643" i="2"/>
  <c r="L2653" i="2"/>
  <c r="K2653" i="2"/>
  <c r="M2653" i="2" s="1"/>
  <c r="J2653" i="2"/>
  <c r="L2563" i="2"/>
  <c r="K2563" i="2"/>
  <c r="M2563" i="2" s="1"/>
  <c r="J2563" i="2"/>
  <c r="L2593" i="2"/>
  <c r="K2593" i="2"/>
  <c r="M2593" i="2" s="1"/>
  <c r="J2593" i="2"/>
  <c r="L2670" i="2"/>
  <c r="K2670" i="2"/>
  <c r="M2670" i="2" s="1"/>
  <c r="J2670" i="2"/>
  <c r="L2688" i="2"/>
  <c r="K2688" i="2"/>
  <c r="M2688" i="2" s="1"/>
  <c r="J2688" i="2"/>
  <c r="L2585" i="2"/>
  <c r="K2585" i="2"/>
  <c r="M2585" i="2" s="1"/>
  <c r="J2585" i="2"/>
  <c r="L2075" i="2"/>
  <c r="K2075" i="2"/>
  <c r="M2075" i="2" s="1"/>
  <c r="J2075" i="2"/>
  <c r="L2431" i="2"/>
  <c r="K2431" i="2"/>
  <c r="M2431" i="2" s="1"/>
  <c r="J2431" i="2"/>
  <c r="L2566" i="2"/>
  <c r="K2566" i="2"/>
  <c r="M2566" i="2" s="1"/>
  <c r="J2566" i="2"/>
  <c r="L2669" i="2"/>
  <c r="K2669" i="2"/>
  <c r="M2669" i="2" s="1"/>
  <c r="J2669" i="2"/>
  <c r="L2687" i="2"/>
  <c r="K2687" i="2"/>
  <c r="M2687" i="2" s="1"/>
  <c r="J2687" i="2"/>
  <c r="L2243" i="2"/>
  <c r="K2243" i="2"/>
  <c r="M2243" i="2" s="1"/>
  <c r="J2243" i="2"/>
  <c r="L1903" i="2"/>
  <c r="K1903" i="2"/>
  <c r="M1903" i="2" s="1"/>
  <c r="J1903" i="2"/>
  <c r="L2587" i="2"/>
  <c r="K2587" i="2"/>
  <c r="M2587" i="2" s="1"/>
  <c r="J2587" i="2"/>
  <c r="L2630" i="2"/>
  <c r="K2630" i="2"/>
  <c r="M2630" i="2" s="1"/>
  <c r="J2630" i="2"/>
  <c r="L2590" i="2"/>
  <c r="K2590" i="2"/>
  <c r="M2590" i="2" s="1"/>
  <c r="J2590" i="2"/>
  <c r="L2629" i="2"/>
  <c r="K2629" i="2"/>
  <c r="M2629" i="2" s="1"/>
  <c r="J2629" i="2"/>
  <c r="L2644" i="2"/>
  <c r="K2644" i="2"/>
  <c r="M2644" i="2" s="1"/>
  <c r="J2644" i="2"/>
  <c r="L2014" i="2"/>
  <c r="K2014" i="2"/>
  <c r="M2014" i="2" s="1"/>
  <c r="J2014" i="2"/>
  <c r="L2428" i="2"/>
  <c r="K2428" i="2"/>
  <c r="M2428" i="2" s="1"/>
  <c r="J2428" i="2"/>
  <c r="L2439" i="2"/>
  <c r="K2439" i="2"/>
  <c r="M2439" i="2" s="1"/>
  <c r="J2439" i="2"/>
  <c r="L2294" i="2"/>
  <c r="K2294" i="2"/>
  <c r="M2294" i="2" s="1"/>
  <c r="J2294" i="2"/>
  <c r="L2441" i="2"/>
  <c r="K2441" i="2"/>
  <c r="M2441" i="2" s="1"/>
  <c r="J2441" i="2"/>
  <c r="L2685" i="2"/>
  <c r="K2685" i="2"/>
  <c r="M2685" i="2" s="1"/>
  <c r="J2685" i="2"/>
  <c r="L2229" i="2"/>
  <c r="K2229" i="2"/>
  <c r="M2229" i="2" s="1"/>
  <c r="J2229" i="2"/>
  <c r="L2665" i="2"/>
  <c r="K2665" i="2"/>
  <c r="M2665" i="2" s="1"/>
  <c r="J2665" i="2"/>
  <c r="L2674" i="2"/>
  <c r="K2674" i="2"/>
  <c r="M2674" i="2" s="1"/>
  <c r="J2674" i="2"/>
  <c r="L2071" i="2"/>
  <c r="K2071" i="2"/>
  <c r="M2071" i="2" s="1"/>
  <c r="J2071" i="2"/>
  <c r="L2560" i="2"/>
  <c r="K2560" i="2"/>
  <c r="M2560" i="2" s="1"/>
  <c r="J2560" i="2"/>
  <c r="L1985" i="2"/>
  <c r="K1985" i="2"/>
  <c r="M1985" i="2" s="1"/>
  <c r="J1985" i="2"/>
  <c r="L1139" i="2"/>
  <c r="K1139" i="2"/>
  <c r="M1139" i="2" s="1"/>
  <c r="J1139" i="2"/>
  <c r="L2307" i="2"/>
  <c r="K2307" i="2"/>
  <c r="M2307" i="2" s="1"/>
  <c r="J2307" i="2"/>
  <c r="L2548" i="2"/>
  <c r="K2548" i="2"/>
  <c r="M2548" i="2" s="1"/>
  <c r="J2548" i="2"/>
  <c r="H2667" i="5" l="1"/>
  <c r="H2704" i="5"/>
  <c r="H2560" i="5"/>
  <c r="F2704" i="5"/>
  <c r="H404" i="5"/>
  <c r="E16" i="4"/>
  <c r="D16" i="4"/>
  <c r="B16" i="4"/>
  <c r="F13" i="4"/>
  <c r="F27" i="4"/>
  <c r="F10" i="4"/>
  <c r="F6" i="4"/>
  <c r="F28" i="4"/>
  <c r="G15" i="4"/>
  <c r="G14" i="4"/>
  <c r="F11" i="4"/>
  <c r="G10" i="4"/>
  <c r="F7" i="4"/>
  <c r="G6" i="4"/>
  <c r="F15" i="4"/>
  <c r="F14" i="4"/>
  <c r="G13" i="4"/>
  <c r="F9" i="4"/>
  <c r="F8" i="4"/>
  <c r="G7" i="4"/>
  <c r="F5" i="4"/>
  <c r="F12" i="4"/>
  <c r="G11" i="4"/>
  <c r="G9" i="4"/>
  <c r="G8" i="4"/>
  <c r="G5" i="4"/>
  <c r="D22" i="4"/>
  <c r="C22" i="4"/>
  <c r="E21" i="4"/>
  <c r="E22" i="4"/>
  <c r="B22" i="4"/>
  <c r="D21" i="4"/>
  <c r="C21" i="4"/>
  <c r="C16" i="4"/>
  <c r="H5" i="4" s="1"/>
  <c r="D20" i="4"/>
  <c r="E20" i="4"/>
  <c r="B20" i="4"/>
  <c r="B21" i="4"/>
  <c r="C20" i="4"/>
  <c r="F22" i="4" l="1"/>
  <c r="F21" i="4"/>
  <c r="H6" i="4"/>
  <c r="H7" i="4"/>
  <c r="H8" i="4"/>
  <c r="H9" i="4"/>
  <c r="H10" i="4"/>
  <c r="H11" i="4"/>
  <c r="H12" i="4"/>
  <c r="H13" i="4"/>
  <c r="H14" i="4"/>
  <c r="H15" i="4"/>
  <c r="F16" i="4"/>
  <c r="G16" i="4"/>
  <c r="F20" i="4"/>
  <c r="H16" i="4" l="1"/>
</calcChain>
</file>

<file path=xl/sharedStrings.xml><?xml version="1.0" encoding="utf-8"?>
<sst xmlns="http://schemas.openxmlformats.org/spreadsheetml/2006/main" count="24814" uniqueCount="1906">
  <si>
    <t>Parcoursup 2025 en Île-de-France</t>
  </si>
  <si>
    <t>Où la concurrence à l'entrée de l'enseignement supérieur est-elle la plus forte ?</t>
  </si>
  <si>
    <t>Auteur</t>
  </si>
  <si>
    <t>[NOM Prénom] — [N° étudiant]</t>
  </si>
  <si>
    <t>Formation</t>
  </si>
  <si>
    <t>[Filière], Université Paris Nanterre — année universitaire 2026-2027</t>
  </si>
  <si>
    <t>Cadre</t>
  </si>
  <si>
    <t>EC Compétences numériques : Machines et Logiciels — Séance 5, projet personnel</t>
  </si>
  <si>
    <t>Problématique</t>
  </si>
  <si>
    <t>Question 1</t>
  </si>
  <si>
    <t>En Île-de-France, dans quelles filières le nombre de candidatures par place offerte est-il le plus élevé ?</t>
  </si>
  <si>
    <t>Question 2</t>
  </si>
  <si>
    <t>Cette tension est-elle la même à Paris, en petite couronne et en grande couronne ?</t>
  </si>
  <si>
    <t>Indicateur</t>
  </si>
  <si>
    <t>Candidatures par place = nombre de candidats ayant confirmé un vœu dans la formation ÷ capacité d'accueil de la formation.</t>
  </si>
  <si>
    <t>Source des données (données ouvertes)</t>
  </si>
  <si>
    <t>Jeu de données</t>
  </si>
  <si>
    <t>Parcoursup 2025 — vœux de poursuite d'études et de réorientation dans l'enseignement supérieur et réponses des établissements</t>
  </si>
  <si>
    <t>Producteur</t>
  </si>
  <si>
    <t>Ministère chargé de l'Enseignement supérieur et de la Recherche — SIES (traitement des données Parcoursup)</t>
  </si>
  <si>
    <t>Adresse</t>
  </si>
  <si>
    <t>https://data.enseignementsup-recherche.gouv.fr/explore/dataset/fr-esr-parcoursup/</t>
  </si>
  <si>
    <t>Licence</t>
  </si>
  <si>
    <t>Licence Ouverte v2.0 (Etalab) — réutilisation libre avec mention de la source</t>
  </si>
  <si>
    <t>Version</t>
  </si>
  <si>
    <t>Jeu mis à jour le 9 mars 2026 ; téléchargé le 12 octobre 2026 au format CSV</t>
  </si>
  <si>
    <t>Périmètre retenu</t>
  </si>
  <si>
    <t>Filtre Région = Île-de-France : 2 691 formations sur 14 252 (hors apprentissage), 8 départements.</t>
  </si>
  <si>
    <t>Colonnes retenues</t>
  </si>
  <si>
    <t>9 colonnes sur les 118 du fichier d'origine (voir ci-dessous).</t>
  </si>
  <si>
    <t>Nettoyage</t>
  </si>
  <si>
    <t>Libellés de filière harmonisés (Licence_Las → Licence L.AS ; Ecole d'Ingénieur → École d'ingénieur ; Ecole de Commerce → École de commerce) et sélectivité abrégée (Sélective / Non sélective). Aucune valeur numérique modifiée.</t>
  </si>
  <si>
    <t>Feuilles du classeur</t>
  </si>
  <si>
    <t>Données</t>
  </si>
  <si>
    <t>Les 2 691 formations. En-têtes bleus : colonnes d'origine. En-têtes orange : colonnes calculées par formule. Tri à deux niveaux (Filière, puis Candidatures par place décroissant) et filtres automatiques.</t>
  </si>
  <si>
    <t>Paramètres</t>
  </si>
  <si>
    <t>Table départements → zones (utilisée par RECHERCHEV) et seuils des niveaux de tension (utilisés par les SI imbriqués).</t>
  </si>
  <si>
    <t>Synthèse</t>
  </si>
  <si>
    <t>Tableau de synthèse par filière et par zone, calculé par formules (NB.SI, SOMME.SI, SOMME.SI.ENS), et graphique.</t>
  </si>
  <si>
    <t>TCD</t>
  </si>
  <si>
    <t>Tableaux croisés dynamiques : par filière, puis filière × zone, avec un champ calculé « candidatures par place ».</t>
  </si>
  <si>
    <t>Sous-totaux</t>
  </si>
  <si>
    <t>Liste triée par filière avec sous-totaux automatiques (Données &gt; Sous-total) des places, candidatures et admis.</t>
  </si>
  <si>
    <t>Zoom Paris Nanterre</t>
  </si>
  <si>
    <t>Extraction par filtre avancé des formations de mon université, triées de la plus demandée à la moins demandée.</t>
  </si>
  <si>
    <t>Colonnes de la feuille Données</t>
  </si>
  <si>
    <t>Établissement</t>
  </si>
  <si>
    <t>Nom de l'établissement qui porte la formation</t>
  </si>
  <si>
    <t>origine : g_ea_lib_vx</t>
  </si>
  <si>
    <t>Code dép. / Département</t>
  </si>
  <si>
    <t>Département de l'établissement</t>
  </si>
  <si>
    <t>origine : dep, dep_lib</t>
  </si>
  <si>
    <t>Filière</t>
  </si>
  <si>
    <t>Type de formation très agrégé (Licence, BTS, BUT, CPGE, PASS…)</t>
  </si>
  <si>
    <t>origine : fili</t>
  </si>
  <si>
    <t>Intitulé de la formation</t>
  </si>
  <si>
    <t>origine : lib_for_voe_ins</t>
  </si>
  <si>
    <t>Sélectivité</t>
  </si>
  <si>
    <t>Formation sélective ou non sélective</t>
  </si>
  <si>
    <t>origine : select_form</t>
  </si>
  <si>
    <t>Places</t>
  </si>
  <si>
    <t>Capacité de l'établissement pour la formation</t>
  </si>
  <si>
    <t>origine : capa_fin</t>
  </si>
  <si>
    <t>Candidatures</t>
  </si>
  <si>
    <t>Effectif total des candidats pour la formation</t>
  </si>
  <si>
    <t>origine : voe_tot</t>
  </si>
  <si>
    <t>Admis</t>
  </si>
  <si>
    <t>Candidats ayant accepté la proposition de l'établissement</t>
  </si>
  <si>
    <t>origine : acc_tot</t>
  </si>
  <si>
    <t>Zone</t>
  </si>
  <si>
    <t>Paris, Petite couronne ou Grande couronne</t>
  </si>
  <si>
    <t>calculée : RECHERCHEV</t>
  </si>
  <si>
    <t>Candidatures par place</t>
  </si>
  <si>
    <t>Candidatures ÷ Places</t>
  </si>
  <si>
    <t>calculée : SIERREUR</t>
  </si>
  <si>
    <t>Taux de remplissage</t>
  </si>
  <si>
    <t>Admis ÷ Places</t>
  </si>
  <si>
    <t>Niveau de tension</t>
  </si>
  <si>
    <t>Faible, Modérée, Forte ou Très forte selon les seuils</t>
  </si>
  <si>
    <t>calculée : SI imbriqués</t>
  </si>
  <si>
    <t>Limite de l'indicateur</t>
  </si>
  <si>
    <t>À garder en tête</t>
  </si>
  <si>
    <t>Un même candidat formule plusieurs vœux : les candidatures s'additionnent d'une formation à l'autre. Le ratio mesure donc l'attractivité d'une formation par rapport à sa capacité, pas la probabilité individuelle d'être admis.</t>
  </si>
  <si>
    <t>Code dép.</t>
  </si>
  <si>
    <t>Département</t>
  </si>
  <si>
    <t>FAC LIBRE THEOLOGIE PROTESTANT</t>
  </si>
  <si>
    <t>Paris</t>
  </si>
  <si>
    <t>Licence - Théologie - Parcours Théologie protestante</t>
  </si>
  <si>
    <t>Non sélective</t>
  </si>
  <si>
    <t>CY ILEPS</t>
  </si>
  <si>
    <t>Val-d'oise</t>
  </si>
  <si>
    <t>Licence - Sciences de l'éducation et de la formation - Parcours Education, enseignement et développement corporel de l’enfant</t>
  </si>
  <si>
    <t>Sélective</t>
  </si>
  <si>
    <t>I.U.T de Ville d'Avray - Antenne de Nanterre</t>
  </si>
  <si>
    <t>Hauts-de-Seine</t>
  </si>
  <si>
    <t>BUT</t>
  </si>
  <si>
    <t>BUT - Techniques de commercialisation</t>
  </si>
  <si>
    <t>Université Paris Nanterre</t>
  </si>
  <si>
    <t>Licence - Economie et gestion - Parcours Cursus master en ingénierie (CMI) : Data science for social Sciences</t>
  </si>
  <si>
    <t>Université Sorbonne Paris Nord - Antenne de Bobigny</t>
  </si>
  <si>
    <t>Seine-Saint-Denis</t>
  </si>
  <si>
    <t>Licence L.AS</t>
  </si>
  <si>
    <t>Licence - Portail Sciences de la vie</t>
  </si>
  <si>
    <t>Double licence - Droit / Histoire de l'art et archéologie - Double licence mention Droit - mention Histoire de l'art et archéologie</t>
  </si>
  <si>
    <t>Ecole Universitaire de premier cycle - Campus d'Orsay Université Paris-Saclay</t>
  </si>
  <si>
    <t>Essonne</t>
  </si>
  <si>
    <t>PASS</t>
  </si>
  <si>
    <t>Licence - Parcours d'Accès Spécifique Santé (PASS)</t>
  </si>
  <si>
    <t>Université Paris 8</t>
  </si>
  <si>
    <t>Licence - Langues étrangères appliquées - Parcours Anglais / Espagnol</t>
  </si>
  <si>
    <t>Université Paris Cité</t>
  </si>
  <si>
    <t>Licence - Langues étrangères appliquées - Parcours Anglais / Portugais</t>
  </si>
  <si>
    <t>Licence - Langues étrangères appliquées - Parcours Anglais / Russe</t>
  </si>
  <si>
    <t>Licence - Langues étrangères appliquées - Parcours Espagnol / Italien</t>
  </si>
  <si>
    <t>Licence - Langues étrangères appliquées - Parcours Italien / Portugais</t>
  </si>
  <si>
    <t>Université Paris- Est-Créteil Val de Marne - UPEC (Paris 12)</t>
  </si>
  <si>
    <t>Val-de-Marne</t>
  </si>
  <si>
    <t>Licence - Portail Sciences de la vie et de la terre - Parcours Sciences de la vie et de la terre</t>
  </si>
  <si>
    <t>Licence - Portail Philosophie - Parcours Philosophie</t>
  </si>
  <si>
    <t>Sorbonne université</t>
  </si>
  <si>
    <t>Licence - Portail Lettres - LETTRES EDITION SCENARIO ET MEDIAS</t>
  </si>
  <si>
    <t>Licence - Portail Economie et gestion</t>
  </si>
  <si>
    <t>Licence - Portail Langues, littératures et civilisations étrangères et régionales - LLCER : ESPAGNOL</t>
  </si>
  <si>
    <t>Licence - Portail Mathématiques-Informatique (MI)</t>
  </si>
  <si>
    <t>Licence - Portail Sciences biomédicales</t>
  </si>
  <si>
    <t>Licence - Administration et Echanges internationaux - Parcours Amérique Latine</t>
  </si>
  <si>
    <t>Licence - Portail Sciences et Techniques des Activités Physiques et Sportives - STAPS - site de Créteil</t>
  </si>
  <si>
    <t>Université Sorbonne Nouvelle Paris 3</t>
  </si>
  <si>
    <t>Licence - Information et communication - Parcours Information et communication mineure Allemand</t>
  </si>
  <si>
    <t>Université Paris-Saclay, Campus d'Orsay</t>
  </si>
  <si>
    <t>Licence - Double diplôme - Licence Mathématiques, Sciences de la vie - Licence Double-Diplôme Mathématiques, Sciences de la vie</t>
  </si>
  <si>
    <t>Université Gustave Eiffel</t>
  </si>
  <si>
    <t>Seine-et-Marne</t>
  </si>
  <si>
    <t>Licence - Portail Sciences et Techniques des Activités Physiques et Sportives</t>
  </si>
  <si>
    <t>Université de Versailles - Saint Quentin en Yvelines</t>
  </si>
  <si>
    <t>Yvelines</t>
  </si>
  <si>
    <t>Licence - Portail Economie et Gestion / Gestion</t>
  </si>
  <si>
    <t>Licence - Portail Psychologie - Sciences Psychologiques</t>
  </si>
  <si>
    <t>INALCO</t>
  </si>
  <si>
    <t>Licence - Portail Langues, littératures et civilisations étrangères et régionales - parcours Asie du Sud-Est et Pacifique - Khmer</t>
  </si>
  <si>
    <t>Licence - Portail Langues, littératures et civilisations étrangères et régionales - Parcours Hébreu moderne</t>
  </si>
  <si>
    <t>Licence - Portail Langues, littératures et civilisations étrangères et régionales - Parcours Europe - Polonais</t>
  </si>
  <si>
    <t>Double licence - Langues, littératures et civilisations étrangères et régionales / Langues, littératures et civilisations étrangères et régionales - ARABE - HEBREU</t>
  </si>
  <si>
    <t>Licence - Portail Chimie - Sciences et Chinois</t>
  </si>
  <si>
    <t>Université de Cergy-Pontoise - CY SUP</t>
  </si>
  <si>
    <t>Licence - Lettres - Parcours Préparatoire au Professorat des Ecoles (PPPE)</t>
  </si>
  <si>
    <t>Licence - Portail Physique, chimie - Physique, Chimie, Sciences de la Terre et Ingenierie (PCSTI)</t>
  </si>
  <si>
    <t>Licence - Sciences pour la santé - Licence accès santé première année BI -  Accès Santé</t>
  </si>
  <si>
    <t>Institut d'études politiques de Paris - Sciences Po</t>
  </si>
  <si>
    <t>Licence - Double diplôme - Licence Histoire - Humanités littéraires et Sciences sociales / Filière Histoire</t>
  </si>
  <si>
    <t>Licence - Double diplôme - Licence Philosophie - Humanités littéraires et Sciences sociales / Filière Philosophie</t>
  </si>
  <si>
    <t>Licence - Double diplôme - Licence Sciences de la Terre et environnement - Sciences et Sciences sociales / Spécialité Géosciences (IPGP)</t>
  </si>
  <si>
    <t>Université Paris 1 Panthéon Sorbonne</t>
  </si>
  <si>
    <t>Licence - Arts plastiques - Parcours Préparatoire au Professorat des Ecoles (PPPE)</t>
  </si>
  <si>
    <t>Licence - Portail Droit, Sciences et Innovation - Licence Double-Diplôme Droit, Sciences et Innovation</t>
  </si>
  <si>
    <t>Université Paris Panthéon Assas</t>
  </si>
  <si>
    <t>Double licence - Droit / Histoire - Droit et Histoire</t>
  </si>
  <si>
    <t>Double Licence - Sciences - Droit</t>
  </si>
  <si>
    <t>Double licence - Histoire / Information et communication - Histoire et Médias</t>
  </si>
  <si>
    <t>Licence - Portail Sciences et Techniques des Activités Physiques et Sportives - Tronc Commun STAPS</t>
  </si>
  <si>
    <t>I.U.T. de Montreuil</t>
  </si>
  <si>
    <t>BUT - Gestion administrative et commerciale des organisations - en distanciel</t>
  </si>
  <si>
    <t>Université d'Evry Val d'Essonne</t>
  </si>
  <si>
    <t>Licence - Portail Sciences de la vie-Chimie</t>
  </si>
  <si>
    <t>Licence - Droit</t>
  </si>
  <si>
    <t>Licence - Histoire</t>
  </si>
  <si>
    <t>Licence - Langues étrangères appliquées - Parcours LEA  Anglais - Espagnol</t>
  </si>
  <si>
    <t>Licence - Langues étrangères appliquées - Parcours LEA  Anglais - Portugais</t>
  </si>
  <si>
    <t>Licence - Langues étrangères appliquées - Parcours LEA  Anglais - Chinois</t>
  </si>
  <si>
    <t>Licence - Arts - Parcours Médiation culturelle</t>
  </si>
  <si>
    <t>Licence - Langues, littératures et civilisations étrangères et régionales - Parcours LLCER : LANGUES LITTERATURES ET CIVILISATIONS D'EUROPE CENTRALE (Allemand, BCMS, Hongrois, Polonais, Russe, Tchèque)</t>
  </si>
  <si>
    <t>Licence - Langues, littératures et civilisations étrangères et régionales - Parcours LLCER : RUSSE</t>
  </si>
  <si>
    <t>Licence - Langues, littératures et civilisations étrangères et régionales - Parcours LLCER : POLONAIS</t>
  </si>
  <si>
    <t>Licence - Lettres - Parcours LETTRES MODERNES</t>
  </si>
  <si>
    <t>Double licence - Langues, littératures et civilisations étrangères et régionales / Langues, littératures et civilisations étrangères et régionales - LLCER ANGLAIS - LLCER ALLEMAND NON DEBUTANT</t>
  </si>
  <si>
    <t>Double licence - Philosophie / Sociologie - PHILOSOPHIE - SOCIOLOGIE</t>
  </si>
  <si>
    <t>Double licence - Histoire / Langues, littératures et civilisations étrangères et régionales - LLCER ITALIEN NON DEBUTANT - HISTOIRE</t>
  </si>
  <si>
    <t>Licence - Portail Droit</t>
  </si>
  <si>
    <t>Licence - Portail Langues, littératures et civilisations étrangères et régionales - LLCER Anglais</t>
  </si>
  <si>
    <t>Licence - Portail Langues, littératures et civilisations étrangères et régionales - LLCER Etudes Chinoises</t>
  </si>
  <si>
    <t>Licence - Portail Histoire</t>
  </si>
  <si>
    <t>Licence - Langues, littératures et civilisations étrangères et régionales - Parcours Asie du Sud-Est et Pacifique - Siamois (Thaï)</t>
  </si>
  <si>
    <t>Licence - Portail Langues, littératures et civilisations étrangères et régionales - Parcours Asie du Sud et Himalaya - Tamoul</t>
  </si>
  <si>
    <t>Licence - Langues, littératures et civilisations étrangères et régionales - Parcours Asie du Sud et Himalaya -  Rromani</t>
  </si>
  <si>
    <t>Licence - Portail Langues, littératures et civilisations étrangères et régionales - parcours Afrique et océan Indien - Swahili</t>
  </si>
  <si>
    <t>Licence - Portail Langues, littératures et civilisations étrangères et régionales - Parcours Europe - Grec moderne</t>
  </si>
  <si>
    <t>Licence - Langues, littératures et civilisations étrangères et régionales - Parcours Eurasie - Kurde</t>
  </si>
  <si>
    <t>Licence - Langues, littératures et civilisations étrangères et régionales - Parcours Eurasie -  Mongol</t>
  </si>
  <si>
    <t>Licence - Portail Langues, littératures et civilisations étrangères et régionales - Parcours Eurasie - Turc</t>
  </si>
  <si>
    <t>Licence - Langues, littératures et civilisations étrangères et régionales - Parcours Europe - Hongrois</t>
  </si>
  <si>
    <t>Institut Catholique de Paris (ICP)- Campus de Paris</t>
  </si>
  <si>
    <t>Licence - Histoire de l'art et archéologie - Parcours Histoire de l'Art - Anglais</t>
  </si>
  <si>
    <t>Licence - Histoire de l'art et archéologie - Parcours Histoire de l'Art - Histoire</t>
  </si>
  <si>
    <t>IUT de Paris - Rives de Seine - Université Paris Cité</t>
  </si>
  <si>
    <t>BUT - Informatique</t>
  </si>
  <si>
    <t>BUT - Carrières sociales Parcours animation sociale et socioculturelle</t>
  </si>
  <si>
    <t>BUT - Carrières sociales Parcours assistance sociale</t>
  </si>
  <si>
    <t>I.U.T. de Sénart/Fontainebleau - site de Fontainebleau - UPEC</t>
  </si>
  <si>
    <t>I.U.T de Sénart/Fontainebleau - Site Sénart - UPEC</t>
  </si>
  <si>
    <t>BUT - Génie électrique et informatique industrielle</t>
  </si>
  <si>
    <t>Licence - Lettres - Parcours Lettres modernes</t>
  </si>
  <si>
    <t>Licence - Physique, chimie</t>
  </si>
  <si>
    <t>Licence - Economie et gestion</t>
  </si>
  <si>
    <t>Unité de Formation et de Recherche de Sciences de l' Université de Versailles Saint Quentin en Yvelines</t>
  </si>
  <si>
    <t>Licence - Portail Portail CB  : Chimie - Biologie</t>
  </si>
  <si>
    <t>Licence - Mathématiques et informatique appliquées aux sciences humaines et sociales - Parcours Mathématiques et informatique Appliquées aux Sciences Humaines Sociales MIASHS</t>
  </si>
  <si>
    <t>I.U.T de Velizy</t>
  </si>
  <si>
    <t>BUT - Métiers du multimédia et de l'internet</t>
  </si>
  <si>
    <t>Double licence - Droit / Langues, littératures et civilisations étrangères et régionales - Droit - LLCER Parcours Anglais</t>
  </si>
  <si>
    <t>Double licence - Informatique / Mathématiques - Mathématiques et informatique fondamentales - Campus Grands Moulins</t>
  </si>
  <si>
    <t>Double licence - Informatique / Droit - Informatique / Droit</t>
  </si>
  <si>
    <t>Double licence - Sciences biomédicales / Droit - Sciences biomédicales / Droit</t>
  </si>
  <si>
    <t>Licence - Arts du spectacle - Parcours Cinéma</t>
  </si>
  <si>
    <t>Licence - Sciences de l'éducation et de la formation - Parcours Encadrement éducatif et lien social</t>
  </si>
  <si>
    <t>Licence - Portail Mathématiques - Mathématiques fondamentales et appliquées - Campus Grands Moulins</t>
  </si>
  <si>
    <t>Double licence - Lettres / Langues, littératures et civilisations étrangères et régionales - Lettres - LLCER Anglais</t>
  </si>
  <si>
    <t>Double licence - Langues, littératures et civilisations étrangères et régionales / Lettres - LLCER Italien - Lettres</t>
  </si>
  <si>
    <t>Double licence - Langues, littératures et civilisations étrangères et régionales / Langues, littératures et civilisations étrangères et régionales - LLCER Études Nordiques - LLCER Allemand</t>
  </si>
  <si>
    <t>Licence - Portail Chimie, Sciences de la Terre, Mécanique</t>
  </si>
  <si>
    <t>Licence - Portail Électronique, Informatique</t>
  </si>
  <si>
    <t>Licence - Portail Mathématiques, Informatique</t>
  </si>
  <si>
    <t>Licence - Portail Physique, Chimie</t>
  </si>
  <si>
    <t>Licence - Economie - Parcours International Track</t>
  </si>
  <si>
    <t>Licence - Double diplôme - Licence Histoire - Histoire - Science politique + Bachelor Science politique, Géopolitique, Humanités</t>
  </si>
  <si>
    <t>Licence - Théologie - Parcours Théologie catholique</t>
  </si>
  <si>
    <t>Université Panthéon- Assas Paris2 - Antenne Melun</t>
  </si>
  <si>
    <t>Licence - Double diplôme - Licence Droit - Cursus Étoile</t>
  </si>
  <si>
    <t>Licence - Double diplôme - Licence Economie et gestion - Cursus Étoile</t>
  </si>
  <si>
    <t>Licence - Portail Langues, littératures et civilisations étrangères et régionales - Licence LLCER Arabe (renforcé OU mineures)</t>
  </si>
  <si>
    <t>Licence - Portail Langues, littératures et civilisations étrangères et régionales - Licence LLCER Portugais (renforcé OU mineures)</t>
  </si>
  <si>
    <t>Licence - Portail Langues, littératures et civilisations étrangères et régionales - Licence LLCER Espagnol (renforcé ou mineures)</t>
  </si>
  <si>
    <t>Licence - Portail Langues, littératures et civilisations étrangères et régionales - Licence LLCER Anglais (renforcé ou mineures)</t>
  </si>
  <si>
    <t>Licence - Gestion - Parcours International Track</t>
  </si>
  <si>
    <t>Double licence - Langues, littératures et civilisations étrangères et régionales / Philosophie - Double licence 1 LLCER Anglais / Philosophie (avec Université Paris 1 - Panthéon Sorbonne)</t>
  </si>
  <si>
    <t>Licence - Portail Langues, littératures et civilisations étrangères et régionales - Licence LLCER Anglais (renforcé ou mineures) - Entièrement en distanciel</t>
  </si>
  <si>
    <t>Licence - Portail Lettres - (Renforcé ou mineures)</t>
  </si>
  <si>
    <t>Licence - Information et communication - Parcours Licence Information et Communication renforcé</t>
  </si>
  <si>
    <t>Licence - Double diplôme - Licence Economie et gestion - Collège d'économie filière ingénierie en analyse économique</t>
  </si>
  <si>
    <t>Licence - Double diplôme - Licence Economie et gestion - Collège d'économie filière économie et droit</t>
  </si>
  <si>
    <t>Ecole Universitaire de premier cycle - Campus de Guyancourt, Versailles Saint Quentin en Yvelines, Université Paris-Saclay</t>
  </si>
  <si>
    <t>EIVP - Ecole des ingénieurs de la ville de Paris</t>
  </si>
  <si>
    <t>Licence - Génie urbain</t>
  </si>
  <si>
    <t>CY Cergy Paris Université</t>
  </si>
  <si>
    <t>Licence - Double diplôme - Licence Economie et gestion - Licence 1 Economie et gestion + DU Agir pour la transition (en 5 ans)</t>
  </si>
  <si>
    <t>Double licence - Mathématiques / Informatique - Double licence Mathématiques - Informatique</t>
  </si>
  <si>
    <t>Licence - Langues, littératures et civilisations étrangères et régionales - Parcours Anglais</t>
  </si>
  <si>
    <t>Licence - Portail Administration économique et sociale</t>
  </si>
  <si>
    <t>I.U.T. de Mantes en Yvelines</t>
  </si>
  <si>
    <t>BUT - Génie industriel et maintenance</t>
  </si>
  <si>
    <t>I.U.T d'Orsay - Université Paris-Saclay</t>
  </si>
  <si>
    <t>BUT - Chimie</t>
  </si>
  <si>
    <t>I.U.T. d'Evry Val d'Essonne</t>
  </si>
  <si>
    <t>BUT - Science et génie des matériaux</t>
  </si>
  <si>
    <t>Licence - Administration économique et sociale</t>
  </si>
  <si>
    <t>Licence - Sciences du langage</t>
  </si>
  <si>
    <t>Licence - Géographie et aménagement</t>
  </si>
  <si>
    <t>Licence - Langues, littératures et civilisations étrangères et régionales - Parcours Espagnol</t>
  </si>
  <si>
    <t>Ecole Universitaire de premier cycle - Campus de Sceaux Université Paris-Saclay</t>
  </si>
  <si>
    <t>Licence - Double diplôme - Licence Droit - Parcours Langues et Civilisations - option Anglais et Allemand</t>
  </si>
  <si>
    <t>Université Paris Nanterre - Ville-d'Avray</t>
  </si>
  <si>
    <t>Licence - Sciences pour l'ingénieur</t>
  </si>
  <si>
    <t>I.U.T de Saint-Denis - Université Paris 13</t>
  </si>
  <si>
    <t>BUT - Mesures physiques</t>
  </si>
  <si>
    <t>BUT - Gestion des entreprises et des administrations</t>
  </si>
  <si>
    <t>I.U.T de Villetaneuse - Université Sorbonne Paris Nord</t>
  </si>
  <si>
    <t>Université Sorbonne Paris Nord</t>
  </si>
  <si>
    <t>Licence - Psychologie</t>
  </si>
  <si>
    <t>I.U.T de Tremblay-en-France - Paris 8</t>
  </si>
  <si>
    <t>BUT - Management de la Logistique et des Transports</t>
  </si>
  <si>
    <t>BUT - Qualité, logistique industrielle et organisation</t>
  </si>
  <si>
    <t>I.U.T. de Bobigny - Université Sorbonne Paris Nord, Paris XIII (93)</t>
  </si>
  <si>
    <t>I.U.T de Saint-Denis - Antenne de La Plaine - Université Paris 13</t>
  </si>
  <si>
    <t>IUT de Cachan Université Paris-Saclay</t>
  </si>
  <si>
    <t>Licence - Droit - Parcours Européen Jean Monnet</t>
  </si>
  <si>
    <t>Licence - Langues étrangères appliquées - Parcours Langues Etrangères Appliquées Anglais/Espagnol - Site de Créteil</t>
  </si>
  <si>
    <t>Licence - Sciences de l'éducation et de la formation - Parcours Intervention sociale et insertion-formation</t>
  </si>
  <si>
    <t>Double licence - Histoire / Lettres - Histoire -Lettres</t>
  </si>
  <si>
    <t>I.U.T. de Créteil-Vitry - Site de Créteil- UPEC</t>
  </si>
  <si>
    <t>IUT de Créteil Vitry (Site de Vitry) - UPEC</t>
  </si>
  <si>
    <t>I.U.T de Cergy-Pontoise - Site de Neuville</t>
  </si>
  <si>
    <t>BUT - Génie civil - Construction durable</t>
  </si>
  <si>
    <t>I.U.T de Cergy-Pontoise - Site de Pontoise</t>
  </si>
  <si>
    <t>BUT - Génie biologique parcours biologie médicale et biotechnologie</t>
  </si>
  <si>
    <t>Licence - Portail Mathématiques - Mathématiques Informatique Physique et Ingénierie</t>
  </si>
  <si>
    <t>Licence - Double diplôme - Licence Droit - Droit Anglo-Américain (DU droit anglo-américain)</t>
  </si>
  <si>
    <t>Licence - Langues étrangères appliquées - Parcours Langues Étrangères Appliquées Anglais Espagnol</t>
  </si>
  <si>
    <t>Licence - Sciences et Techniques des Activités Physiques et Sportives - Parcours STAPS Education et Motricité / Management du Sport</t>
  </si>
  <si>
    <t>I.U.T de Cergy-Pontoise - Site de Sarcelles</t>
  </si>
  <si>
    <t>Double licence - Histoire / Langues, littératures et civilisations étrangères et régionales - HISTOIRE - LLCER ETUDES SLAVES</t>
  </si>
  <si>
    <t>Double licence - Langues, littératures et civilisations étrangères et régionales / Langues, littératures et civilisations étrangères et régionales - LLCER ANGLAIS - LLCER NEERLANDAIS</t>
  </si>
  <si>
    <t>Double licence - Musicologie / Langues, littératures et civilisations étrangères et régionales - MUSIQUE et MUSICOLOGIE - LLCER ITALIEN NON DEBUTANT</t>
  </si>
  <si>
    <t>Licence - Administration et Echanges internationaux - Parcours Amérique du Nord</t>
  </si>
  <si>
    <t>Licence - Lettres - Parcours Lettres, cultures et échanges internationaux</t>
  </si>
  <si>
    <t>Licence - Langues étrangères appliquées - Parcours Grec - Anglais</t>
  </si>
  <si>
    <t>Licence - Langues étrangères appliquées - Parcours Portugais - Anglais</t>
  </si>
  <si>
    <t>Licence - Portail Lettres - Littérature : création littéraire et écritures du monde</t>
  </si>
  <si>
    <t>Licence - Sociologie</t>
  </si>
  <si>
    <t>Licence - Langues étrangères appliquées - Parcours Langues étrangères appliquées Anglais/Allemand - Site de Créteil</t>
  </si>
  <si>
    <t>Licence - Langues, littératures et civilisations étrangères et régionales - Parcours Asie du Sud et Himalaya - Télougou</t>
  </si>
  <si>
    <t>Licence - Mathématiques</t>
  </si>
  <si>
    <t>Double licence - Economie / Histoire - Economie - Histoire</t>
  </si>
  <si>
    <t>Double licence - Droit / Philosophie - Droit - Philosophie</t>
  </si>
  <si>
    <t>Institut d'études politiques de Fontainebleau - UPEC</t>
  </si>
  <si>
    <t>Licence - Portail Science politique - Parcours Science politique internationale</t>
  </si>
  <si>
    <t>Double licence - Physique, chimie / Physique - Double licence Physique Chimie</t>
  </si>
  <si>
    <t>Double licence - Economie / Géographie et aménagement - Double licence Economie Géographie</t>
  </si>
  <si>
    <t>Licence - Philosophie - Parcours PHILOSOPHIE MAJEURE / mineure italien non débutant</t>
  </si>
  <si>
    <t>Double licence - Sciences de la terre / Langues, littératures et civilisations étrangères et régionales - Double licence Sciences de la terre - LLCER Japonais ou Chinois (ASTER)</t>
  </si>
  <si>
    <t>Licence - Philosophie</t>
  </si>
  <si>
    <t>Licence - Histoire - Entièrement en distanciel</t>
  </si>
  <si>
    <t>Double licence - Histoire / Langues, littératures et civilisations étrangères et régionales -  Parcours Mondes anglophones</t>
  </si>
  <si>
    <t>Double licence - Informatique / Mathématiques - Double Licence Informatique/Mathématiques</t>
  </si>
  <si>
    <t>Licence - Droit - Parcours Droits français et anglais</t>
  </si>
  <si>
    <t>Licence - Sciences de la vie et de la terre</t>
  </si>
  <si>
    <t>Licence - Lettres / Histoire</t>
  </si>
  <si>
    <t>Licence - Portail Chimie</t>
  </si>
  <si>
    <t>Licence - Informatique</t>
  </si>
  <si>
    <t>Double licence - Droit / Economie et gestion -</t>
  </si>
  <si>
    <t>Licence - Langues, littératures et civilisations étrangères et régionales - Parcours Sanskrit - Mineures</t>
  </si>
  <si>
    <t>Licence - Portail Sciences pour l'ingénieur</t>
  </si>
  <si>
    <t>Licence - Sciences du langage - Parcours Sciences du langage - Mineure au choix (Lettres, DFLES, Anglais) - Entièrement en distanciel</t>
  </si>
  <si>
    <t>Licence - Langues, littératures et civilisations étrangères et régionales - Parcours Allemand - Interculturalité et relations internationales</t>
  </si>
  <si>
    <t>Licence - Portail Langues, littératures et civilisations étrangères et régionales - Espagnol</t>
  </si>
  <si>
    <t>Double licence - Histoire / Géographie et aménagement - Double-licence mention Histoire - mention Géographie aménagement</t>
  </si>
  <si>
    <t>Double licence - Histoire / Histoire de l'art et archéologie - Double licence mention Histoire - mention Histoire de l'art et archéologie</t>
  </si>
  <si>
    <t>Double licence - Histoire de l'art et archéologie / Sciences de l'Homme, Anthropologie, Ethnologie - Double licence mention Histoire de l'art et archéologie  - mention Sciences de l'Homme, Antropologie, Ethnologie</t>
  </si>
  <si>
    <t>Double licence - Géographie et aménagement / Histoire - Double Licence Histoire-Géographie</t>
  </si>
  <si>
    <t>Licence - Information et communication</t>
  </si>
  <si>
    <t>Licence - Géographie et aménagement - Parcours Cursus master en ingénierie (CMI) : Transition, territoires, participation</t>
  </si>
  <si>
    <t>Double licence - Mathématiques / Physique, chimie -  Double licence Mathématiques - Physique, chimie</t>
  </si>
  <si>
    <t>Licence - Double diplôme - Licence Droit - Droits français et italien - Padoue</t>
  </si>
  <si>
    <t>Double licence - Droit / Histoire - Double Licence mention Droit - mention Histoire</t>
  </si>
  <si>
    <t>Licence - Sciences de l'éducation et de la formation - Parcours Enseignement, éducation et formation</t>
  </si>
  <si>
    <t>Licence - Portail Physique-Chimie-Sciences de la Terre (PCST)</t>
  </si>
  <si>
    <t>Licence - Langues étrangères appliquées - Parcours Anglais / Allemand</t>
  </si>
  <si>
    <t>Licence - Langues étrangères appliquées - Parcours Arabe / Espagnol</t>
  </si>
  <si>
    <t>Licence - Langues étrangères appliquées - Parcours Arabe / Italien</t>
  </si>
  <si>
    <t>Licence - Langues étrangères appliquées - Parcours Espagnol / Portugais</t>
  </si>
  <si>
    <t>Licence - Portail Sciences sanitaires et sociales</t>
  </si>
  <si>
    <t>Licence - Portail Langues, littératures et civilisations étrangères et régionales - LLCER : ALLEMAND</t>
  </si>
  <si>
    <t>Licence - Portail Lettres - SCIENCES DU LANGAGE</t>
  </si>
  <si>
    <t>Licence - Portail Portail Biologie-Chimie-Sciences de la Terre (BCST)</t>
  </si>
  <si>
    <t>Licence - Chimie, Sciences de la vie - Parcours International Chimie-Biologie</t>
  </si>
  <si>
    <t>Licence - Information et communication - Parcours Information et communication mineure Portugais</t>
  </si>
  <si>
    <t>Université Paris-Saclay - Campus de Versailles</t>
  </si>
  <si>
    <t>Licence - Double diplôme - Licence Informatique, Sciences de la vie - Licence Double-Diplôme Sciences de la Vie, Informatique</t>
  </si>
  <si>
    <t>Licence - Portail Santé et société - Santé et sciences humaines et sociales</t>
  </si>
  <si>
    <t>Licence - Double diplôme - Licence Mathématiques, Physique et Sciences pour l'Ingénieur - Licence Double-Diplôme Mathématiques, Physique</t>
  </si>
  <si>
    <t>Licence - Double diplôme - Licence Informatique, Mathématiques - Licence Double-Diplôme Informatique, Mathématiques</t>
  </si>
  <si>
    <t>Université Paris-Saclay, Campus d’Evry</t>
  </si>
  <si>
    <t>Licence - Double diplôme - Licence Droit, Informatique - Parcours Licence Double-Diplôme Droit, Informatique</t>
  </si>
  <si>
    <t>Licence - Double diplôme - Licence Informatique, Sciences de la vie - Parcours Licence Double-Diplôme Informatique, Sciences de la vie</t>
  </si>
  <si>
    <t>Licence - Double diplôme - Licence Chimie, Sciences de la vie - Licence Double-Diplôme Chimie, Sciences de la Vie</t>
  </si>
  <si>
    <t>Licence - Double diplôme - Licence Humanités - Double diplôme Licence mention Humanités [Humanités et sciences humaines] - Diplôme d'université (DU) Cultures, langues et rhétorique 1</t>
  </si>
  <si>
    <t>Licence - Portail Langues, littératures et civilisations étrangères et régionales - Parcours Europe - Albanais</t>
  </si>
  <si>
    <t>Licence - Langues, littératures et civilisations étrangères et régionales - Parcours Mondes arabes</t>
  </si>
  <si>
    <t>Licence - Portail Sciences de la terre - Terre / Envrionnement</t>
  </si>
  <si>
    <t>Licence - Sciences pour la santé - Licence accès santé première année PCSTI -  Accès Santé</t>
  </si>
  <si>
    <t>Licence - Double diplôme - Licence Lettres - Humanités littéraires et Sciences sociales / Filière Lettres</t>
  </si>
  <si>
    <t>Double licence - Mathématiques / Physique -</t>
  </si>
  <si>
    <t>Licence - Administration et Echanges internationaux - Parcours Préparatoire au Professorat des Ecoles (PPPE)</t>
  </si>
  <si>
    <t>Double licence - Histoire / Science politique - Histoire / Science politique</t>
  </si>
  <si>
    <t>Double licence - Droit / Histoire de l'art et archéologie - Droit - Histoire de l'art et archéologie</t>
  </si>
  <si>
    <t>Licence - Droit - Parcours Droits français et espagnol</t>
  </si>
  <si>
    <t>Licence - Droit - Parcours Droits français et italien</t>
  </si>
  <si>
    <t>Double licence - Histoire / Science politique - Histoire - Science Politique</t>
  </si>
  <si>
    <t>Licence - Histoire de l'art et archéologie</t>
  </si>
  <si>
    <t>Licence - Gestion</t>
  </si>
  <si>
    <t>Licence - Mathématiques et informatique appliquées aux sciences humaines et sociales - Parcours MIASHS</t>
  </si>
  <si>
    <t>Licence - Cinéma et Audiovisuel - Parcours Cinéma et Audiovisuel - Mineure Arts et Médias</t>
  </si>
  <si>
    <t>Licence - Langues, littératures et civilisations étrangères et régionales - Parcours Etudes franco-allemandes - Mineures Etudes internationales OU Métiers de la culture</t>
  </si>
  <si>
    <t>Licence - Langues étrangères appliquées - Parcours LEA Anglais - Italien</t>
  </si>
  <si>
    <t>Licence - Portail Langues, littératures et civilisations étrangères et régionales - LLCER : ITALIEN NON DEBUTANT</t>
  </si>
  <si>
    <t>Licence - Lettres - Parcours LETTRES CLASSIQUES</t>
  </si>
  <si>
    <t>Licence - Langues étrangères appliquées - Parcours LEA (Langues Etrangères Appliquées) 2 langues : Anglais et une autre langue, hors Espagnol</t>
  </si>
  <si>
    <t>Double licence - Histoire / Langues, littératures et civilisations étrangères et régionales - HISTOIRE - LLCER ALLEMAND NON DEBUTANT</t>
  </si>
  <si>
    <t>Licence - Portail Mathématiques et informatique appliquées aux sciences humaines et sociales</t>
  </si>
  <si>
    <t>Licence - Portail Economie - Sciences Economiques et Sociales</t>
  </si>
  <si>
    <t>IPC-Facultés Libres de Philosophie et de Psycholog</t>
  </si>
  <si>
    <t>Licence - Langues, littératures et civilisations étrangères et régionales - Parcours Asie du Sud et Himalaya -  Népali</t>
  </si>
  <si>
    <t>Licence - Langues, littératures et civilisations étrangères et régionales - Parcours Asie du Sud-Est et Pacifique -  Birman</t>
  </si>
  <si>
    <t>Licence - Langues, littératures et civilisations étrangères et régionales - Parcours Afrique et océan Indien - Peul</t>
  </si>
  <si>
    <t>Licence - Langues, littératures et civilisations étrangères et régionales - Parcours Asie du Sud et Himalaya - Hindi</t>
  </si>
  <si>
    <t>Licence - Langues, littératures et civilisations étrangères et régionales - Parcours Europe - Ukrainien</t>
  </si>
  <si>
    <t>Licence - Langues, littératures et civilisations étrangères et régionales - Parcours Europe - Slovène</t>
  </si>
  <si>
    <t>Licence - Langues, littératures et civilisations étrangères et régionales - Parcours Europe - Lituanien</t>
  </si>
  <si>
    <t>Licence - Portail Langues, littératures et civilisations étrangères et régionales - Parcours Russie - Russe</t>
  </si>
  <si>
    <t>Licence - Langues, littératures et civilisations étrangères et régionales - Parcours Europe - Bosniaque, Croate et Serbe</t>
  </si>
  <si>
    <t>Licence - Langues, littératures et civilisations étrangères et régionales - Parcours Eurasie -  Géorgien</t>
  </si>
  <si>
    <t>Licence - Histoire - Parcours Histoire Géographie</t>
  </si>
  <si>
    <t>Institut Saint-Pie X</t>
  </si>
  <si>
    <t>I.U.T de Marne la Vallée - Antenne de Meaux</t>
  </si>
  <si>
    <t>Licence - Economie et gestion - Parcours Economie gestion</t>
  </si>
  <si>
    <t>Licence - Arts - Parcours Musique et métiers du son</t>
  </si>
  <si>
    <t>Licence - Sciences pour l'ingénieur - Parcours Génie industriel / Ingénierie des organisations / Génie des procédés pour l'environnement</t>
  </si>
  <si>
    <t>BUT - Réseaux et télécommunications</t>
  </si>
  <si>
    <t>Licence - Portail Sciences du langage - Expertise linguistique</t>
  </si>
  <si>
    <t>Licence - Sciences du langage - Parcours Professorat des Ecoles</t>
  </si>
  <si>
    <t>Double licence - Sciences biomédicales / Psychologie - Sciences biomédicales / Psychologie parcours Sciences Psychologiques</t>
  </si>
  <si>
    <t>Double licence - Sciences biomédicales / Economie et gestion - Sciences biomédicales / Economie et gestion</t>
  </si>
  <si>
    <t>Licence - Langues étrangères appliquées - Parcours Monde asiatique : travail, cultures et sociétés - Anglais / Japonais</t>
  </si>
  <si>
    <t>Licence - Langues étrangères appliquées - Parcours Monde asiatique : travail, cultures et sociétés - Anglais / Chinois</t>
  </si>
  <si>
    <t>Licence - Chimie - Parcours Mineure Biologie</t>
  </si>
  <si>
    <t>Licence - Portail Langues étrangères appliquées - Santé environnement : Anglais / Espagnol</t>
  </si>
  <si>
    <t>Licence - Portail Mathématiques, Physique, Mécanique</t>
  </si>
  <si>
    <t>Double licence - Droit / Philosophie -</t>
  </si>
  <si>
    <t>Double licence - Science politique / Economie et gestion -</t>
  </si>
  <si>
    <t>Licence - Double diplôme - Licence Economie et gestion - Sciences numériques pour l'économie et la gestion</t>
  </si>
  <si>
    <t>Licence - Portail Langues, littératures et civilisations étrangères et régionales - Licence LLCER Italien (renforcé ou mineures)</t>
  </si>
  <si>
    <t>Licence - Sciences pour la santé - Parcours Rééducation Réadaptation</t>
  </si>
  <si>
    <t>Licence - Mathématiques - Licence accès santé mathématiques -  Accès Santé</t>
  </si>
  <si>
    <t>Licence - Etudes européennes et internationales - Parcours Licence 1 Etude européennes et internationales</t>
  </si>
  <si>
    <t>Double licence - Histoire / Gestion - Histoire - Gestion</t>
  </si>
  <si>
    <t>Licence - Portail Lettres - Entièrement en distanciel (Renforcé ou mineures) - Entièrement en distanciel</t>
  </si>
  <si>
    <t>Licence - Portail Etudes théâtrales - Renforcé ou mineures</t>
  </si>
  <si>
    <t>Licence - Economie et gestion - Parcours international franco-espagnol Equateur</t>
  </si>
  <si>
    <t>Licence - Double diplôme - Licence Droit - Parcours Droit, Culture juridique, Environnement</t>
  </si>
  <si>
    <t>Licence - Double diplôme - Licence Economie et gestion - Licence Economie et gestion + DU Innovation by Design</t>
  </si>
  <si>
    <t>CY Cergy Paris Université - Antenne de l'IEG de Gennevilliers</t>
  </si>
  <si>
    <t>Licence - Sciences, Enseignement, Médiation</t>
  </si>
  <si>
    <t>I.U.T de Velizy - Antenne de Rambouillet</t>
  </si>
  <si>
    <t>Licence - Sciences et Techniques des Activités Physiques et Sportives</t>
  </si>
  <si>
    <t>Ecole Universitaire de premier cycle - Campus d'Evry Université Paris-Saclay</t>
  </si>
  <si>
    <t>Licence - Musicologie</t>
  </si>
  <si>
    <t>BUT - Génie mécanique et productique</t>
  </si>
  <si>
    <t>Licence - Droit français - Droit étranger - Parcours Droit français - droit russe</t>
  </si>
  <si>
    <t>Licence - Langues étrangères appliquées - Parcours Espagnol - Anglais</t>
  </si>
  <si>
    <t>Licence - Mathématiques et informatique appliquées aux sciences humaines et sociales</t>
  </si>
  <si>
    <t>I.U.T de Ville d'Avray - Antenne de Saint-Cloud</t>
  </si>
  <si>
    <t>BUT - Information communication Parcours métiers du livre et du patrimoine</t>
  </si>
  <si>
    <t>Licence - Lettres</t>
  </si>
  <si>
    <t>BUT - Carrières sociales parcours villes et territoires durables</t>
  </si>
  <si>
    <t>Licence - Administration et Echanges internationaux - Parcours Shanghai</t>
  </si>
  <si>
    <t>Licence - Portail Administration et Echanges internationaux</t>
  </si>
  <si>
    <t>Double licence - Histoire / Langues, littératures et civilisations étrangères et régionales - Allemand - Interculturalité et relations internationales</t>
  </si>
  <si>
    <t>Licence - Double diplôme - Licence Droit - Droit Espagnol (DU droit espagnol et latino-américain)</t>
  </si>
  <si>
    <t>Licence - Langues étrangères appliquées - Parcours Langues Étrangères Appliquées Anglais Japonais</t>
  </si>
  <si>
    <t>Licence - Géographie et aménagement - Parcours Géographie</t>
  </si>
  <si>
    <t>Licence - Langues, littératures et civilisations étrangères et régionales - Parcours Langues, Littératures et Civilisations Étrangères et Régionales - Anglais</t>
  </si>
  <si>
    <t>Licence - Langues étrangères appliquées - Parcours Chinois - Anglais</t>
  </si>
  <si>
    <t>Double licence - Histoire / Langues, littératures et civilisations étrangères et régionales - HISTOIRE - LLCER ARABE</t>
  </si>
  <si>
    <t>Double licence - Langues, littératures et civilisations étrangères et régionales / Langues, littératures et civilisations étrangères et régionales -  Allemand - Interculturalité et relations internationales - Anglais</t>
  </si>
  <si>
    <t>Licence - Lettres, langues - Parcours Langues et Civilisations Orient ancien</t>
  </si>
  <si>
    <t>Licence - Portail Sciences pour l'ingénieur - Sciences et Technologies - Institut Villebon-Charpak</t>
  </si>
  <si>
    <t>Licence - Sciences et Techniques des Activités Physiques et Sportives - Parcours Kinésithérapie - site de Créteil</t>
  </si>
  <si>
    <t>Université Paris- Est- Créteil Val de Marne UPEC - Antenne de Sénart</t>
  </si>
  <si>
    <t>Licence - Double diplôme - Licence Economie et gestion - Double diplôme Licence Management international - Diplôme universitaire Compétences en management - site de Sénart</t>
  </si>
  <si>
    <t>Licence - Science politique</t>
  </si>
  <si>
    <t>Licence - Langues étrangères appliquées - Parcours Allemand - Anglais</t>
  </si>
  <si>
    <t>Licence - Arts plastiques</t>
  </si>
  <si>
    <t>Licence - Portail Sciences du langage</t>
  </si>
  <si>
    <t>Licence - Humanités - Parcours Théologie, Philosophie et Anthropologies Contemporaines- Sciences Sociales</t>
  </si>
  <si>
    <t>Double licence - Géographie et aménagement / Economie - Géographie - Economie</t>
  </si>
  <si>
    <t>Double licence - Droit / Géographie et aménagement - Droit - Géographie</t>
  </si>
  <si>
    <t>Licence - Sciences de l'éducation et de la formation</t>
  </si>
  <si>
    <t>Licence - Administration et Echanges internationaux - Parcours International Business</t>
  </si>
  <si>
    <t>Licence - Langues, littératures et civilisations étrangères et régionales - Parcours LLCER : ITALIEN MAJEURE NON DEBUTANT / mineure philosophie</t>
  </si>
  <si>
    <t>Licence - Portail Science politique</t>
  </si>
  <si>
    <t>Double licence - Philosophie / Economie - Philosophie - Economie</t>
  </si>
  <si>
    <t>Licence - Langues étrangères appliquées - Parcours Anglais-Espagnol</t>
  </si>
  <si>
    <t>Licence - Humanités - Parcours Humanités et Sciences Humaines - Entièrement en distanciel</t>
  </si>
  <si>
    <t>Licence - Philosophie - Entièrement en distanciel</t>
  </si>
  <si>
    <t>Licence - Langues, littératures et civilisations étrangères et régionales - Parcours Espagnol - Entièrement en distanciel</t>
  </si>
  <si>
    <t>Licence - Langues étrangères appliquées - Parcours Allemand-Anglais - Entièrement en distanciel</t>
  </si>
  <si>
    <t>Licence - Arts plastiques - Entièrement en distanciel</t>
  </si>
  <si>
    <t>Licence - Droit - Parcours Droit (EDS-IED) - Entièrement en distanciel</t>
  </si>
  <si>
    <t>Licence - Physique</t>
  </si>
  <si>
    <t>Licence - Portail Langues, littératures et civilisations étrangères et régionales - Anglais</t>
  </si>
  <si>
    <t>Licence - Histoire - Parcours Histoire de l'art</t>
  </si>
  <si>
    <t>Licence - Portail Droit - Parcours Droit</t>
  </si>
  <si>
    <t>Licence - Lettres - Parcours Lettres, écriture et culture numériques</t>
  </si>
  <si>
    <t>Licence - Double diplôme - Licence Droit - Droits français et espagnol</t>
  </si>
  <si>
    <t>Double licence - Sciences du langage / Langues, littératures et civilisations étrangères et régionales - Double Licence mention Sciences du langage - mention Langues, littératures et civilisations étrangères et régionales [Anglais]</t>
  </si>
  <si>
    <t>Licence - Langues étrangères appliquées - Parcours Anglais / Arabe</t>
  </si>
  <si>
    <t>Licence - Portail Lettres - Parcours Lettres modernes</t>
  </si>
  <si>
    <t>Licence - Portail Langues, littératures et civilisations étrangères et régionales - LLCER :  ANGLAIS</t>
  </si>
  <si>
    <t>Licence - Etudes théâtrales</t>
  </si>
  <si>
    <t>Licence - Portail Philosophie</t>
  </si>
  <si>
    <t>Licence - Humanités - Parcours Théologie, philosophie et anthropologie contemporaine : civilisation de l'orient ancien</t>
  </si>
  <si>
    <t>Licence - Double diplôme - Licence Droit, Economie - Parcours Licence Double-Diplôme Droit, Economie</t>
  </si>
  <si>
    <t>Licence - Double diplôme - Licence STAPS, Sciences pour l'ingénieur - Licence Double-Diplôme STAPS, Sciences pour l'Ingénieur</t>
  </si>
  <si>
    <t>Licence - Histoire de l'art et archéologie - Entièrement en distanciel</t>
  </si>
  <si>
    <t>Licence - Portail Langues, littératures et civilisations étrangères et régionales - LLCER Etudes vietnamiennes</t>
  </si>
  <si>
    <t>Licence - Portail Langues, littératures et civilisations étrangères et régionales - Parcours Arabe littéral</t>
  </si>
  <si>
    <t>Double licence - Histoire - Sciences</t>
  </si>
  <si>
    <t>Licence - Informatique -  Accès Santé</t>
  </si>
  <si>
    <t>Licence - Double diplôme - Licence Mathématiques et informatique appliquées aux sciences humaines et sociales - Mathématiques appliquées et Sciences sociales</t>
  </si>
  <si>
    <t>Licence - Double diplôme - Licence Mathématiques - Sciences et Sciences sociales / Spécialité Mathématiques</t>
  </si>
  <si>
    <t>Licence - Portail Mathématiques Informatique (MI)</t>
  </si>
  <si>
    <t>Licence - Langues, littératures et civilisations étrangères et régionales - Parcours Préparatoire au Professorat des Ecoles (PPPE) - Anglais</t>
  </si>
  <si>
    <t>Licence - Portail Droit français - Droit étranger - Droit français - common law</t>
  </si>
  <si>
    <t>Licence - Double diplôme - Licence Sciences de la vie - Licence Sciences de la vie + DU Science forensique</t>
  </si>
  <si>
    <t>Licence - Double diplôme - Licence Physique - Parcours monodisciplinaire intensif de physique SPRINT</t>
  </si>
  <si>
    <t>BUT - Métiers de la Transition et de l'Efficacité Énergétiques</t>
  </si>
  <si>
    <t>Licence - Double diplôme - Licence Chimie - Double diplôme Sciences et Journalisme - Licence Sciences - Bachelor Communication et Journalisme</t>
  </si>
  <si>
    <t>Double licence - Economie et gestion / Langues étrangères appliquées - Double licence Economie et gestion / LEA anglais espagnol ou anglais allemand (au choix) + DU Economics and Corporate English + Certification Ecotopia</t>
  </si>
  <si>
    <t>Licence - Histoire - Parcours Histoire - Etudes juives</t>
  </si>
  <si>
    <t>Licence - Langues, littératures et civilisations étrangères et régionales - Parcours Anglais Culture Economique</t>
  </si>
  <si>
    <t>Licence - Langues étrangères appliquées - Parcours LEA Anglais - Arabe</t>
  </si>
  <si>
    <t>Licence - Information et communication - Parcours Information-Communication - Mineure Lettres</t>
  </si>
  <si>
    <t>Licence - Langues, littératures et civilisations étrangères et régionales - Parcours LLCER :  BOSNIAQUE-CROATE-MONTENEGRIN-SERBE</t>
  </si>
  <si>
    <t>Licence - Langues, littératures et civilisations étrangères et régionales - Parcours LLCER : PORTUGAIS</t>
  </si>
  <si>
    <t>Licence - Langues, littératures et civilisations étrangères et régionales - Parcours LLCER : NEERLANDAIS</t>
  </si>
  <si>
    <t>Double licence - Lettres / Langues, littératures et civilisations étrangères et régionales - LETTRES MODERNES - LLCER ALLEMAND NON DEBUTANT - Parcours binational et de co-diplomation avec l’université allemande de Bonn (Bachelor Deutsch-Französische Studien)</t>
  </si>
  <si>
    <t>Double licence - Histoire / Géographie et aménagement - HISTOIRE - GEOGRAPHIE</t>
  </si>
  <si>
    <t>Double licence - Histoire / Langues, littératures et civilisations étrangères et régionales - LLCER Espagnol - Histoire</t>
  </si>
  <si>
    <t>Licence - Langues, littératures et civilisations étrangères et régionales - Parcours LLCER Etudes Coréennes</t>
  </si>
  <si>
    <t>Licence - Lettres - Parcours Lettres et Arts</t>
  </si>
  <si>
    <t>Licence - Portail Psychologie - Psychologie et Humanités</t>
  </si>
  <si>
    <t>Licence - Langues, littératures et civilisations étrangères et régionales - Parcours Asie du Sud et Himalaya -  Singhalais</t>
  </si>
  <si>
    <t>Licence - Portail Langues, littératures et civilisations étrangères et régionales - parcours Afrique et océan Indien - Malgache</t>
  </si>
  <si>
    <t>Licence - Langues, littératures et civilisations étrangères et régionales - Parcours Europe - Finnois</t>
  </si>
  <si>
    <t>Licence - Langues, littératures et civilisations étrangères et régionales - Parcours Europe - Slovaque</t>
  </si>
  <si>
    <t>Licence - Langues, littératures et civilisations étrangères et régionales - Parcours Anglais - Arts et cultures du monde anglophone</t>
  </si>
  <si>
    <t>Licence - Lettres - Parcours Lettres modernes - Techniques et pratiques de l'écrit</t>
  </si>
  <si>
    <t>BUT - Information communication Parcours communication des organisations</t>
  </si>
  <si>
    <t>I.U.T de Marne la Vallée</t>
  </si>
  <si>
    <t>Licence - Langues étrangères appliquées - Parcours Anglais-Allemand</t>
  </si>
  <si>
    <t>Licence - Sciences et Techniques des Activités Physiques et Sportives - Parcours STAPS - site de Sénart</t>
  </si>
  <si>
    <t>Licence - Portail Portail BI : Biologie - Informatique</t>
  </si>
  <si>
    <t>Double licence - Histoire / Langues, littératures et civilisations étrangères et régionales - Histoire / Etudes Japonaises</t>
  </si>
  <si>
    <t>Licence - Langues étrangères appliquées - Parcours Bi-disciplinaire : Information Communication - Anglais / Allemand</t>
  </si>
  <si>
    <t>Licence - Informatique - Parcours Informatique fondamentale - Campus Grands Moulins</t>
  </si>
  <si>
    <t>Licence - Physique - Parcours Enseigner la Physique-Chimie</t>
  </si>
  <si>
    <t>Licence - Portail Mathématiques - Mathématiques et Informatique - Campus Saint-Germain-des-Prés</t>
  </si>
  <si>
    <t>Licence - Portail Langues étrangères appliquées - Santé environnement : Anglais / Allemand</t>
  </si>
  <si>
    <t>Licence - Portail Sciences de la Vie, Chimie, Sciences de la Terre</t>
  </si>
  <si>
    <t>Licence - Double diplôme - Licence Sciences sociales - Economie, Science Politique, Sociologie (ESPS) + Bachelor Science politique, Géopolitique, Humanités</t>
  </si>
  <si>
    <t>Licence - Sciences et Techniques des Activités Physiques et Sportives - Parcours Kiné</t>
  </si>
  <si>
    <t>Double licence - Science politique / Droit -</t>
  </si>
  <si>
    <t>Double licence - Etudes théâtrales / Lettres - Double licence 1 Etudes théâtrales-Lettres</t>
  </si>
  <si>
    <t>Licence - Informatique - Licence accès santé informatique -  Accès Santé</t>
  </si>
  <si>
    <t>Licence - Physique - Licence accès santé physique -  Accès Santé</t>
  </si>
  <si>
    <t>CY Cergy Paris Université - INSPÉ de l’académie de Versailles</t>
  </si>
  <si>
    <t>Licence - Sciences, Enseignement, Médiation - Parcours Professorat des écoles, médiation et inclusion Saint Germain-en-Laye</t>
  </si>
  <si>
    <t>Licence - Langues, littératures et civilisations étrangères et régionales - Parcours Licence 1 LLCER Etudes hébraïques</t>
  </si>
  <si>
    <t>Licence - Portail Langues, littératures et civilisations étrangères et régionales - Licence  Allemand - Spécialisation Etudes germaniques/ Enseignement  OU mineure Anglais</t>
  </si>
  <si>
    <t>Double licence - Histoire / Lettres - Double licence - Histoire / Lettres</t>
  </si>
  <si>
    <t>BUT - Génie chimique génie des procédés</t>
  </si>
  <si>
    <t>Licence - Portail Mathématiques-Physique (MP)</t>
  </si>
  <si>
    <t>Licence - Langues étrangères appliquées</t>
  </si>
  <si>
    <t>Antenne - Institut Universitaire de Technologie Juvisy sur Orge - Université d'Evry Val d'Essonne</t>
  </si>
  <si>
    <t>I.U.T de Ville d'Avray</t>
  </si>
  <si>
    <t>Licence - Droit français - Droit étranger - Parcours Droit français - droit italien</t>
  </si>
  <si>
    <t>Licence - Droit français - Droit étranger - Parcours Droit français - droit allemand</t>
  </si>
  <si>
    <t>Licence - Portail Psychologie</t>
  </si>
  <si>
    <t>Licence - Arts du spectacle</t>
  </si>
  <si>
    <t>Licence - Langues, littératures et civilisations étrangères et régionales - Parcours Portugais</t>
  </si>
  <si>
    <t>Licence - Langues, littératures et civilisations étrangères et régionales - Parcours Italien</t>
  </si>
  <si>
    <t>IUT de Sceaux-Ecole universitaire de premier cycle-Université Paris-Saclay.</t>
  </si>
  <si>
    <t>BUT - Carrières juridiques</t>
  </si>
  <si>
    <t>Licence - Langues, littératures et civilisations étrangères et régionales - Parcours  Anglais</t>
  </si>
  <si>
    <t>Licence - Portail Sciences et Techniques des Activités Physiques et Sportives - Sciences et techniques des activités physiques et sportives (STAPS)</t>
  </si>
  <si>
    <t>BUT - Gestion administrative et commerciale des organisations</t>
  </si>
  <si>
    <t>Double licence - Mathématiques / Informatique - Mathématiques et Informatique</t>
  </si>
  <si>
    <t>Licence - Administration et Echanges internationaux - Parcours Europe</t>
  </si>
  <si>
    <t>Double licence - Histoire / Langues, littératures et civilisations étrangères et régionales - Histoire -Espagnol</t>
  </si>
  <si>
    <t>Double licence - Histoire / Géographie et aménagement - Histoire - Géographie et aménagement</t>
  </si>
  <si>
    <t>BUT - Génie biologique parcours sciences de l'aliment et biotechnologie</t>
  </si>
  <si>
    <t>Licence - Lettres - Parcours Lettres et Arts Vivants (théâtre)</t>
  </si>
  <si>
    <t>I.U.T de Cergy-Pontoise - Site d'Argenteuil</t>
  </si>
  <si>
    <t>Double licence - Géographie et aménagement / Histoire de l'art et archéologie - ARCHEOLOGIE  - GEOGRAPHIE</t>
  </si>
  <si>
    <t>Faculté de Droit campus Issy-les-Moulineaux – Institut Catholique de Lille</t>
  </si>
  <si>
    <t>Licence - Droit - Parcours Droit et Culture Juridique</t>
  </si>
  <si>
    <t>Licence - Langues étrangères appliquées - Parcours LEA (Langues Etrangères Appliquées) ( 2 langues : HORS anglais)</t>
  </si>
  <si>
    <t>Licence - Sciences de l'Homme, Anthropologie, Ethnologie</t>
  </si>
  <si>
    <t>Double licence - Mathématiques / Economie et gestion -  DOUBLE LICENCE MATHEMATIQUES-ECONOMIE</t>
  </si>
  <si>
    <t>Licence - Langues étrangères appliquées - Parcours LEA (Langues Etrangères Appliquées) (2 langues : Anglais et Espagnol)</t>
  </si>
  <si>
    <t>Licence - Double diplôme - Licence Histoire - Histoire- Cursus intégré franco-allemand avec l'université de Bielefeld</t>
  </si>
  <si>
    <t>Licence - Information et communication - Parcours Information-Communication - Mineure Arts et Médias</t>
  </si>
  <si>
    <t>Licence - Langues, littératures et civilisations étrangères et régionales - Parcours Arabe Oriental</t>
  </si>
  <si>
    <t>Double licence - Géographie et aménagement / Histoire - Géographie - Histoire</t>
  </si>
  <si>
    <t>Licence - Double diplôme - Licence Economie et gestion - Double diplôme Licence Management international - Diplôme universitaire Compétences en management - site de Créteil</t>
  </si>
  <si>
    <t>Licence - Philosophie - Parcours Philosophie - sociologie</t>
  </si>
  <si>
    <t>Licence - Sciences de l'éducation et de la formation - Parcours Accompagnement socio-éducatif et formation</t>
  </si>
  <si>
    <t>Double licence - Philosophie / Langues, littératures et civilisations étrangères et régionales - PHILOSOPHIE - LLCER RUSSE</t>
  </si>
  <si>
    <t>Double licence - Philosophie / Histoire - Philosophie - Histoire</t>
  </si>
  <si>
    <t>Licence - Lettres - Parcours Lettres - littérature française, francophone et comparée - Entièrement en distanciel</t>
  </si>
  <si>
    <t>Licence - Langues étrangères appliquées - Parcours Allemand-Espagnol - Entièrement en distanciel</t>
  </si>
  <si>
    <t>Double licence - Histoire / Langues, littératures et civilisations étrangères et régionales - Histoire-Allemand/Etudes germaniques</t>
  </si>
  <si>
    <t>Double licence - Informatique / Sciences de la vie - Double licence Informatique - Biologie - Campus Grands Moulins</t>
  </si>
  <si>
    <t>Double licence - Science politique / Economie - Science Politique - Economie</t>
  </si>
  <si>
    <t>Double licence - Etudes théâtrales / Cinéma et Audiovisuel - Double licence Cinéma et audiovisuel (CAV) / Etudes théâtrales</t>
  </si>
  <si>
    <t>Licence - Double diplôme - Licence Langues, littératures et civilisations étrangères et régionales - Double diplôme international - Licence Etudes interculturelles franco-allemandes (avec la Freie Universität de Berlin) (Langues associées)</t>
  </si>
  <si>
    <t>Licence - Langues, littératures et civilisations étrangères et régionales - Parcours Arabe Grands débutants (Licence en 4 ans)</t>
  </si>
  <si>
    <t>Double licence - Langues, littératures et civilisations étrangères et régionales / Langues, littératures et civilisations étrangères et régionales - Double licence LLCER Espagnol / LLCER Portugais (Langues associées)</t>
  </si>
  <si>
    <t>Licence - Langues, littératures et civilisations étrangères et régionales - Parcours LLCER : Bosniaque - Croate - Monténégrin - Serbe - Entièrement en distanciel</t>
  </si>
  <si>
    <t>Double licence - Langues, littératures et civilisations étrangères et régionales / Langues, littératures et civilisations étrangères et régionales - Double Licence mention Langues, littératures et civilisations étrangères et régionales (LLCER) [Anglais] - mention LLCER [Allemand]</t>
  </si>
  <si>
    <t>Double licence - Langues, littératures et civilisations étrangères et régionales / Langues, littératures et civilisations étrangères et régionales - Double Licence mention Langues, littératures et civilisations étrangères et régionales (LLCER) Anglais] - mention LLCER [Portugais]</t>
  </si>
  <si>
    <t>BUT - Techniques de commercialisation - ENEPS destiné aux bacs professionnels</t>
  </si>
  <si>
    <t>Licence - Musicologie - Entièrement en distanciel</t>
  </si>
  <si>
    <t>Licence - Portail Mathématiques - Mathématiques-Informatique</t>
  </si>
  <si>
    <t>Licence - Portail Mathématiques - Mathématiques-Physique</t>
  </si>
  <si>
    <t>Licence - Double diplôme - Licence Droit - Droits français et italien - Rome</t>
  </si>
  <si>
    <t>Licence - Portail Sciences de la vie et de la terre - Biologie et Ingénierie</t>
  </si>
  <si>
    <t>Licence - Langues étrangères appliquées - Parcours Allemand / Espagnol</t>
  </si>
  <si>
    <t>Licence - Langues étrangères appliquées - Parcours Allemand / Arabe</t>
  </si>
  <si>
    <t>Licence - Sciences de l'éducation et de la formation - Parcours Education et enseignement</t>
  </si>
  <si>
    <t>Licence - Portail Géographie et aménagement - Parcours Géographie</t>
  </si>
  <si>
    <t>Licence - Portail Physique, chimie</t>
  </si>
  <si>
    <t>Licence - Economie et gestion - Economie et management de la santé -  Accès Santé</t>
  </si>
  <si>
    <t>Double licence - LETTRES - INFORMATIQUE</t>
  </si>
  <si>
    <t>Double licence - SCIENCES - MUSICOLOGIE</t>
  </si>
  <si>
    <t>Licence - Portail Chimie, Sciences de la vie - Chimie - Biologie</t>
  </si>
  <si>
    <t>Licence - Double diplôme - Licence Economie, Mathématiques - Parcours Licence Double-Diplôme Economie, Mathématiques</t>
  </si>
  <si>
    <t>Licence - Double diplôme - Licence Physique, chimie - Parcours Licence Double-Diplôme Physique, Chimie</t>
  </si>
  <si>
    <t>Licence - Sciences pour la santé -  Accès Santé</t>
  </si>
  <si>
    <t>Licence - Double diplôme - Licence Sciences de la Terre et Sciences Physiques - Licence Double-Diplôme Géosciences, Physique</t>
  </si>
  <si>
    <t>Licence - Portail Sciences sociales</t>
  </si>
  <si>
    <t>Licence - Double diplôme - Licence Humanités - Double diplôme Licence mention Humanités [Humanités classiques, art et patrimoine] - Diplôme d'université (DU) Cultures, langues et rhétorique 1</t>
  </si>
  <si>
    <t>Licence - Double diplôme - Licence Humanités - Double diplôme Licence mention Humanités [Humanités, droit, sciences politiques et économie]- Diplôme d'université (DU) Cultures, langues et rhétorique 1</t>
  </si>
  <si>
    <t>Double licence - LLCER / Sciences - LLCER : ALLEMAND NON DEBUTANT - SCIENCES</t>
  </si>
  <si>
    <t>Licence - Langues, littératures et civilisations étrangères et régionales - Parcours Mondes hispaniques</t>
  </si>
  <si>
    <t>Licence - Portail Langues, littératures et civilisations étrangères et régionales - Parcours Afrique et océan Indien - Berbère</t>
  </si>
  <si>
    <t>Licence - Mathématiques -  Accès Santé</t>
  </si>
  <si>
    <t>Licence - Sciences de l'éducation et de la formation - Parcours Professorat des écoles</t>
  </si>
  <si>
    <t>Licence - Sciences pour la santé - Rééducation Réadaptation -  Accès Santé</t>
  </si>
  <si>
    <t>Double licence - Philosophie / Psychologie - Double licence Philosophie - Psychologie</t>
  </si>
  <si>
    <t>Licence - Langues étrangères appliquées - Parcours Anglais-espagnol</t>
  </si>
  <si>
    <t>Licence - Science politique - Parcours Préparatoire au Professorat des Ecoles (PPPE)</t>
  </si>
  <si>
    <t>Licence - Sciences et technologies - Parcours Préparatoire au Professorat des Ecoles (PPPE)</t>
  </si>
  <si>
    <t>Licence - Double diplôme - Licence Administration et Echanges internationaux - Green Business</t>
  </si>
  <si>
    <t>Licence - Portail Langues, littératures et civilisations étrangères et régionales - Parcours Afrique et océan Indien - Haoussa</t>
  </si>
  <si>
    <t>Double licence - Mathématiques / Informatique - Double Licence en Mathématiques et Informatique</t>
  </si>
  <si>
    <t>Double licence - Mathématiques / Physique - Licence Mathématiques-Physique</t>
  </si>
  <si>
    <t>Licence - Economie et gestion - Parcours international franco-espagnol</t>
  </si>
  <si>
    <t>Double licence - Droit / Economie et gestion - Double licence Droit / Economie et gestion</t>
  </si>
  <si>
    <t>Licence - Lettres - Parcours Lettres Modernes</t>
  </si>
  <si>
    <t>I.U.T. d'Evry Val d'Essonne - Site Brétigny S/Orge</t>
  </si>
  <si>
    <t>Licence - Droit français - Droit étranger - Parcours Droit français - droits espagnol et latino-américains</t>
  </si>
  <si>
    <t>Licence - Economie et gestion - Parcours Economie et gestion - cursus international intégré franco-allemand</t>
  </si>
  <si>
    <t>Licence - Langues, littératures et civilisations étrangères et régionales - Parcours Allemand</t>
  </si>
  <si>
    <t>Licence - Double diplôme - Licence Droit - Parcours Langues et Civilisations - option Anglais et Espagnol</t>
  </si>
  <si>
    <t>BUT - Hygiène Sécurité Environnement</t>
  </si>
  <si>
    <t>Double licence - Histoire / Philosophie - Histoire -Philosophie</t>
  </si>
  <si>
    <t>BUT - Génie biologique Parcours diététique et nutrition</t>
  </si>
  <si>
    <t>Licence - Langues étrangères appliquées - Parcours Langues Étrangères Appliquées Anglais Chinois</t>
  </si>
  <si>
    <t>Licence - Langues étrangères appliquées - Parcours Langues Étrangères Appliquées Anglais Allemand</t>
  </si>
  <si>
    <t>Licence - Langues, littératures et civilisations étrangères et régionales - Parcours Langues, Littératures et Civilisations Étrangères et Régionales - Espagnol</t>
  </si>
  <si>
    <t>Licence - Double diplôme - Licence Economie et gestion - Parcours Langues et Civilisations - option Chinois et Anglais</t>
  </si>
  <si>
    <t>Licence - Droit - Parcours multilingue, droit européen et comparé</t>
  </si>
  <si>
    <t>Licence - Portail Informatique - Portail Informatique / Mathématiques</t>
  </si>
  <si>
    <t>Licence - Sciences sociales</t>
  </si>
  <si>
    <t>Licence - Langues étrangères appliquées - Parcours Arabe - Anglais</t>
  </si>
  <si>
    <t>Licence - Langues étrangères appliquées - Parcours Italien - Anglais</t>
  </si>
  <si>
    <t>Licence - Langues étrangères appliquées - Parcours Russe - Anglais</t>
  </si>
  <si>
    <t>Licence - Double diplôme - Licence Economie et gestion - Parcours Langues et Civilisations - option Anglais et Allemand</t>
  </si>
  <si>
    <t>Licence - Double diplôme - Licence Droit - Parcours Langues et Civilisations - option Chinois et Anglais</t>
  </si>
  <si>
    <t>Licence - Langues, littératures et civilisations étrangères et régionales - Parcours Etudes européennes et internationales</t>
  </si>
  <si>
    <t>Double licence - Philosophie / Science politique - Philosophie - Science Politique</t>
  </si>
  <si>
    <t>Double licence - Droit / Histoire - Droit - Histoire</t>
  </si>
  <si>
    <t>Double licence - Langues, littératures et civilisations étrangères et régionales / Philosophie - LLCER ALLEMAND NON DEBUTANT - PHILOSOPHIE</t>
  </si>
  <si>
    <t>Licence - Humanités - Parcours Lettres classiques et/ou Lettres, cultures et patrimoine</t>
  </si>
  <si>
    <t>Licence - Langues, littératures et civilisations étrangères et régionales - Parcours Anglais - Entièrement en distanciel</t>
  </si>
  <si>
    <t>Licence - Information et communication - Parcours Humanités et diversité des langages</t>
  </si>
  <si>
    <t>BUT - Management de la Logistique et des Transports - ENEPS destiné aux bacs professionnels</t>
  </si>
  <si>
    <t>Double licence - Droit / Science politique - Droit - Science Politique</t>
  </si>
  <si>
    <t>Double licence - Langues, littératures et civilisations étrangères et régionales / Informatique - Double licence Informatique-Japonais - Campus Grands Moulins</t>
  </si>
  <si>
    <t>Licence - Sciences du langage - Parcours Sciences du langage mineures au choix (Lettres ou Didactique du français langue étrangère et secondes ou Langues ou Informatique ou Renforcée ou Langues régionales)</t>
  </si>
  <si>
    <t>Double licence - Droit / Economie et gestion - Double licence mention Droit - mention Economie et gestion</t>
  </si>
  <si>
    <t>Double licence - Histoire / Langues, littératures et civilisations étrangères et régionales - Double licence mention Histoire - mention Langues, littératures et civilisations étrangères et régionales [Anglais]</t>
  </si>
  <si>
    <t>Double licence - Langues, littératures et civilisations étrangères et régionales / Langues, littératures et civilisations étrangères et régionales - Double Licence mention Langues, littératures et civilisations étrangères et régionales (LLCER) [Anglais] - mention LLCER [Italien]</t>
  </si>
  <si>
    <t>Licence - Droit - Parcours Droit International</t>
  </si>
  <si>
    <t>BUT - Science des données</t>
  </si>
  <si>
    <t>Licence - Cinéma - Parcours Cinéma : pratique et esthétique</t>
  </si>
  <si>
    <t>Double licence - Droit / Economie - Droit - Economie</t>
  </si>
  <si>
    <t>Licence - Langues étrangères appliquées - Parcours LEA Anglais - Russe</t>
  </si>
  <si>
    <t>Licence - Histoire de l'art et archéologie - Parcours ARCHEOLOGIE ET HISTOIRE DE L'ART</t>
  </si>
  <si>
    <t>Licence - Langues, littératures et civilisations étrangères et régionales - Parcours LLCER : ETUDES NORDIQUES (Danois, Islandais, Norvégien, Suédois)</t>
  </si>
  <si>
    <t>Double licence - Histoire / Langues, littératures et civilisations étrangères et régionales - HISTOIRE - LLCER ANGLAIS</t>
  </si>
  <si>
    <t>Double licence - Langues, littératures et civilisations étrangères et régionales / Langues, littératures et civilisations étrangères et régionales - LLCER ANGLAIS - LLCER ESPAGNOL</t>
  </si>
  <si>
    <t>Licence - Langues, littératures et civilisations étrangères et régionales - Parcours LLCER Etudes Japonaises</t>
  </si>
  <si>
    <t>Licence - Portail Physique</t>
  </si>
  <si>
    <t>Licence - Géographie et aménagement - Parcours Géographie, Aménagement, Environnement, Développement</t>
  </si>
  <si>
    <t>Licence - Langues, littératures et civilisations étrangères et régionales - Parcours Asie du Sud-Est et Pacifique -  Drehu - Tahitien</t>
  </si>
  <si>
    <t>Licence - Langues, littératures et civilisations étrangères et régionales - Parcours Afrique et océan Indien - Amharique</t>
  </si>
  <si>
    <t>Licence - Langues, littératures et civilisations étrangères et régionales - Parcours Asie du Sud-Est et Pacifique - Lao</t>
  </si>
  <si>
    <t>Licence - Langues, littératures et civilisations étrangères et régionales - Parcours Asie du Sud-Est et Pacifique -  Indonésien-Malaisien</t>
  </si>
  <si>
    <t>Licence - Langues, littératures et civilisations étrangères et régionales - Parcours Afrique et océan Indien - Yoruba</t>
  </si>
  <si>
    <t>Licence - Langues, littératures et civilisations étrangères et régionales - Parcours Asie du Sud-Est et Pacifique -  Filipino</t>
  </si>
  <si>
    <t>Licence - Langues, littératures et civilisations étrangères et régionales - Parcours Asie de l’Est - Japonais</t>
  </si>
  <si>
    <t>Licence - Langues, littératures et civilisations étrangères et régionales - Parcours Asie du Sud-Est et Pacifique - Vietnamien</t>
  </si>
  <si>
    <t>Licence - Langues, littératures et civilisations étrangères et régionales - Parcours Asie du Sud et Himalaya - Ourdou</t>
  </si>
  <si>
    <t>Licence - Langues, littératures et civilisations étrangères et régionales - Parcours Afrique et océan Indien - Mandingue (Bambara)</t>
  </si>
  <si>
    <t>Licence - Portail Langues, littératures et civilisations étrangères et régionales - Parcours Arabe maghrébin</t>
  </si>
  <si>
    <t>Licence - Langues, littératures et civilisations étrangères et régionales - Parcours Europe - Tchèque</t>
  </si>
  <si>
    <t>Licence - Portail Langues, littératures et civilisations étrangères et régionales - Parcours Europe - Roumain</t>
  </si>
  <si>
    <t>Licence - Langues, littératures et civilisations étrangères et régionales - Parcours Eurasie - Pashto</t>
  </si>
  <si>
    <t>Licence - Langues, littératures et civilisations étrangères et régionales - Parcours Asie de l’Est - Coréen</t>
  </si>
  <si>
    <t>Licence - Langues, littératures et civilisations étrangères et régionales - Parcours Eurasie - Persan</t>
  </si>
  <si>
    <t>Licence - Langues, littératures et civilisations étrangères et régionales - Parcours Europe - Letton</t>
  </si>
  <si>
    <t>BUT - Information communication Parcours publicité</t>
  </si>
  <si>
    <t>Licence - Arts - Parcours Cinéma et audiovisuel</t>
  </si>
  <si>
    <t>Licence - Arts - Parcours Etudes visuelles, médias et arts numériques</t>
  </si>
  <si>
    <t>Licence - Physique, chimie - Parcours Sciences physiques - Anglais</t>
  </si>
  <si>
    <t>Licence - Langues étrangères appliquées - Parcours Langues Etrangères Appliquées Anglais/Espagnol - Site de Sénart</t>
  </si>
  <si>
    <t>Licence - Langues étrangères appliquées - Parcours Bi-disciplinaire : Information Communication - Anglais / Espagnol</t>
  </si>
  <si>
    <t>Double licence - Sciences biomédicales / Mathématiques - Sciences biomédicales / Mathématiques</t>
  </si>
  <si>
    <t>Double licence - Géographie et aménagement / Langues, littératures et civilisations étrangères et régionales - Géographie - LLCER Études Nordiques</t>
  </si>
  <si>
    <t>Licence - Humanités - Parcours Humanités : Sciences de l'antiquité</t>
  </si>
  <si>
    <t>Licence - Portail Sciences de l'ingénieur : Électronique, Mécanique</t>
  </si>
  <si>
    <t>Licence - Arts - Parcours Licence 1 Etudes culturelles</t>
  </si>
  <si>
    <t>BUT - Génie biologique parcours sciences de l'environnement et écotechnologies</t>
  </si>
  <si>
    <t>Licence - Portail Physique - Physique-Chimie</t>
  </si>
  <si>
    <t>Licence - Double diplôme - Licence Droit - Droits français et allemand - programme BerMüPa</t>
  </si>
  <si>
    <t>Licence - Double diplôme - Licence Droit - Droits français et de Common Law</t>
  </si>
  <si>
    <t>Licence - Double diplôme - Licence Droit - Droits français et suisse</t>
  </si>
  <si>
    <t>Licence - Double diplôme - Licence Droit - Droits français et allemand - programme Sarrebruck</t>
  </si>
  <si>
    <t>Double licence - Economie et gestion / Mathématiques et informatique appliquées aux sciences humaines et sociales - Double Licence mention Economie et gestion [Gestion] - mention MIASHS [Informatique]</t>
  </si>
  <si>
    <t>Double licence - Droit / Philosophie - Double licence mention Droit - mention Philosophie</t>
  </si>
  <si>
    <t>Double licence - Sciences du langage / Langues, littératures et civilisations étrangères et régionales - Double Licence mention Sciences du langage - mention Langues, littératures et civilisations étrangères et régionales [Espagnol]</t>
  </si>
  <si>
    <t>Licence - Langues étrangères appliquées - Parcours Anglais / Italien</t>
  </si>
  <si>
    <t>Licence - Langues étrangères appliquées - Parcours Anglais / Chinois</t>
  </si>
  <si>
    <t>Licence - Droit - Droit et santé -  Accès Santé</t>
  </si>
  <si>
    <t>Double licence - Droit / Economie et gestion - Double Licence Droit - Economie et gestion</t>
  </si>
  <si>
    <t>Licence - Cinéma</t>
  </si>
  <si>
    <t>Licence - Double diplôme - Licence Humanités - Double diplôme Licence mention Humanités [Humanités et arts du spectacle] - Diplôme d'université (DU) Cultures, langues et rhétorique 1</t>
  </si>
  <si>
    <t>Licence - Portail Langues, littératures et civilisations étrangères et régionales - parcours Afrique et océan Indien - Wolof</t>
  </si>
  <si>
    <t>Licence - Portail Langues, littératures et civilisations étrangères et régionales - Parcours Eurasie - Arménien</t>
  </si>
  <si>
    <t>Double licence - Sciences - Philosophie</t>
  </si>
  <si>
    <t>Licence - Langues, littératures et civilisations étrangères et régionales - Parcours Mondes anglophones</t>
  </si>
  <si>
    <t>Licence - Double diplôme - Licence Sciences de la vie - Sciences et Sciences sociales / Spécialité Sciences de la Vie</t>
  </si>
  <si>
    <t>Licence - Portail Mathématiques Physique Chimie (MPC)</t>
  </si>
  <si>
    <t>Licence - Sciences de l'éducation et de la formation - Parcours Préparatoire au Professorat des Ecoles (PPPE)</t>
  </si>
  <si>
    <t>Licence - Double diplôme - Licence Droit - Licence droit Collège de droit</t>
  </si>
  <si>
    <t>Double licence - Droit / Histoire de l'art et archéologie - Droit et Histoire de l'Art</t>
  </si>
  <si>
    <t>Licence - Double diplôme - Licence Droit - Juriste International</t>
  </si>
  <si>
    <t>Licence - Sciences de l'éducation et de la formation - Parcours Sciences et Médiation Scientifique</t>
  </si>
  <si>
    <t>Licence - Portail Sciences de la vie - Biologie-Chimie-Sciences de la Terre (BCST) - parcours préparation à l'entrée à des Ecoles de Kinésithérapie en IDF</t>
  </si>
  <si>
    <t>Licence - Portail Chimie - Physique-Chimie-Sciences de la Terre (PCST) - parcours préparation à l'entrée à des Ecoles de Kinésithérapie en IDF</t>
  </si>
  <si>
    <t>Licence - Double diplôme - Licence Mathématiques, Physique et Sciences pour l'Ingénieur - Mathématiques, Physique et Applications</t>
  </si>
  <si>
    <t>Licence - Sciences du langage - Parcours Français langue étrangère-seconde</t>
  </si>
  <si>
    <t>Licence - Lettres - Parcours Lettres, Edition et Métiers de l'écrit</t>
  </si>
  <si>
    <t>Double licence - Droit / Economie et gestion - Droit / Economie et gestion</t>
  </si>
  <si>
    <t>Licence - Lettres - Parcours Lettres et Humanités</t>
  </si>
  <si>
    <t>Double licence - Lettres / Langues, littératures et civilisations étrangères et régionales - Lettres - LLCER Espagnol</t>
  </si>
  <si>
    <t>Licence - Langues, littératures et civilisations étrangères et régionales - Parcours LLCER Italien : Numérique, Traduction, Édition et Culture</t>
  </si>
  <si>
    <t>Licence - Humanités - Parcours Culture Antique et Monde Contemporain</t>
  </si>
  <si>
    <t>Licence - Humanités - Parcours Humanités : Espagnol « Traduction, Édition, Média »</t>
  </si>
  <si>
    <t>Licence - Cinéma et Audiovisuel - Parcours Licence 1 Cinéma et Audiovisuel renforcé</t>
  </si>
  <si>
    <t>Licence - Double diplôme - Licence Gestion - Collège de Management de la Sorbonne</t>
  </si>
  <si>
    <t>Licence - Langues, littératures et civilisations étrangères et régionales - Parcours Licence 0 LLCER Italien - Grands débutants</t>
  </si>
  <si>
    <t>Licence - Sciences et Techniques des Activités Physiques et Sportives - Parcours STAPS - Préparation à l'entrée à l'Ecole de Kinésithérapie et de Rééducation de Saint Maurice et à certains IFMK d'Ile de France</t>
  </si>
  <si>
    <t>Licence - Economie et gestion - Parcours Economie et gestion - cursus international franco-anglais</t>
  </si>
  <si>
    <t>Licence - Langues étrangères appliquées - Parcours Tout couple de langues sans l'anglais</t>
  </si>
  <si>
    <t>Licence - Lettres - Parcours Lettres - Littérature française, francophone et comparée</t>
  </si>
  <si>
    <t>Licence - Science politique - Parcours Sociologie politique</t>
  </si>
  <si>
    <t>Licence - Droit - Parcours Carrières publiques</t>
  </si>
  <si>
    <t>Double licence - Histoire / Langues, littératures et civilisations étrangères et régionales - Histoire -Anglais</t>
  </si>
  <si>
    <t>Double licence - Mathématiques / Physique - Mathématiques et Physique</t>
  </si>
  <si>
    <t>Licence - Double diplôme - Licence Economie et gestion - Parcours Langues et Civilisations - option Anglais et Espagnol</t>
  </si>
  <si>
    <t>Licence - Double diplôme - Licence Droit - Parcours Law and Advisory</t>
  </si>
  <si>
    <t>Licence - Musicologie - Parcours Formation Supérieure de Musiciens Interprètes</t>
  </si>
  <si>
    <t>Licence - Double diplôme - Licence Economie et gestion - Double diplôme Licence Informatique et management et Diplôme universitaire Innovation et cybersécurité</t>
  </si>
  <si>
    <t>Licence - Géographie et aménagement - Parcours Géographie Environnement Aménagement</t>
  </si>
  <si>
    <t>Licence - Double diplôme - Licence Chimie -  Chimie - Cursus intégré franco-allemand avec l'Université de Bielefeld</t>
  </si>
  <si>
    <t>Double licence - Cinéma / Gestion - Cinéma : pratique et esthétique - Gestion</t>
  </si>
  <si>
    <t>Licence - Sciences de l'éducation et de la formation - Parcours Education, enseignement et formation</t>
  </si>
  <si>
    <t>Double licence - Economie et gestion / Géographie et aménagement - Double licence Economie-Géographie</t>
  </si>
  <si>
    <t>Licence - Economie et gestion - Parcours Langues renforcées, anglais et coréen</t>
  </si>
  <si>
    <t>Licence - Langues étrangères appliquées - Parcours Espagnol-Anglais - Entièrement en distanciel</t>
  </si>
  <si>
    <t>Licence - Humanités - Parcours Humanités et danse - Entièrement en distanciel</t>
  </si>
  <si>
    <t>Licence - Histoire - Parcours Histoire-Science politique</t>
  </si>
  <si>
    <t>Licence - Double diplôme - Licence Droit - Collège de Droit de la Sorbonne</t>
  </si>
  <si>
    <t>Licence - Histoire / Allemand</t>
  </si>
  <si>
    <t>Licence - Sciences de la vie et de la terre - Parcours International Biologie Santé</t>
  </si>
  <si>
    <t>Licence - Double diplôme - Licence Langues, littératures et civilisations étrangères et régionales - Double diplôme international - Licence Métiers de l'enseignement allemand / français (avec l'Université Koblenz-Landau) (Langues associées)</t>
  </si>
  <si>
    <t>Double licence - Economie et gestion / Mathématiques et informatique appliquées aux sciences humaines et sociales - Double Licence mention Economie et gestion [Economie] - mention MIASHS [Mathématiques]</t>
  </si>
  <si>
    <t>Double licence - Langues, littératures et civilisations étrangères et régionales / Langues, littératures et civilisations étrangères et régionales - Double Licence mention Langues, littératures et civilisations étrangères et régionales (LLCER) [Anglais] - mention LLCER [Espagnol]</t>
  </si>
  <si>
    <t>Double licence - Langues, littératures et civilisations étrangères et régionales / Langues, littératures et civilisations étrangères et régionales - Double Licence mention Langues, littératures et civilisations étrangères et régionales (LLCER) [Espagnol] - mention LLCER [Portugais]</t>
  </si>
  <si>
    <t>Licence - Droit - Parcours Droits français et allemand</t>
  </si>
  <si>
    <t>Double licence - Histoire / Histoire de l'art et archéologie - Histoire - Histoire de l'art et Archéologie</t>
  </si>
  <si>
    <t>Double licence - Droit / Gestion - Droit - Gestion</t>
  </si>
  <si>
    <t>Licence - Economie</t>
  </si>
  <si>
    <t>Licence - Cinéma et Audiovisuel - Parcours Cinéma et Audiovisuel - Mineure Théâtre</t>
  </si>
  <si>
    <t>Licence - Langues étrangères appliquées - Parcours LEA  Anglais - Allemand</t>
  </si>
  <si>
    <t>Licence - Cinéma et Audiovisuel - Parcours Cinéma et Audiovisuel - Mineure Lettres</t>
  </si>
  <si>
    <t>Double licence - Lettres / Philosophie - Double Licence Lettres / Philosophie</t>
  </si>
  <si>
    <t>Licence - Sciences du langage - Parcours Sciences du langage - Mineure École, langage et littérature</t>
  </si>
  <si>
    <t>Licence - Musicologie - Parcours MUSIQUE ET MUSICOLOGIE</t>
  </si>
  <si>
    <t>Licence - Langues, littératures et civilisations étrangères et régionales - Parcours LLCER : ARABE</t>
  </si>
  <si>
    <t>Double licence - Langues, littératures et civilisations étrangères et régionales / Langues, littératures et civilisations étrangères et régionales - LLCER ESPAGNOL - LLCER PORTUGAIS</t>
  </si>
  <si>
    <t>Licence - Lettres, langues - Parcours PLURIDISCIPLINAIRE BILINGUE ANGLAIS, LETTRES, SCIENCES HUMAINES</t>
  </si>
  <si>
    <t>Licence - Langues, littératures et civilisations étrangères et régionales - Parcours Asie de l’Est - Chinois</t>
  </si>
  <si>
    <t>Licence - Langues, littératures et civilisations étrangères et régionales - Parcours Asie du Sud et Himalaya -  Bengali</t>
  </si>
  <si>
    <t>Licence - Langues, littératures et civilisations étrangères et régionales - Parcours Asie du Sud et Himalaya - Tibétain</t>
  </si>
  <si>
    <t>Licence - Langues, littératures et civilisations étrangères et régionales - Parcours Europe - Bulgare</t>
  </si>
  <si>
    <t>Licence - Langues, littératures et civilisations étrangères et régionales - Parcours Europe - Macédonien</t>
  </si>
  <si>
    <t>Licence - Langues, littératures et civilisations étrangères et régionales - Parcours Europe - Estonien</t>
  </si>
  <si>
    <t>Licence - Langues, littératures et civilisations étrangères et régionales - Parcours Espagnol  - Arts et cultures du monde hispanique</t>
  </si>
  <si>
    <t>Licence - Langues, littératures et civilisations étrangères et régionales - Parcours Anglais - Espagnol</t>
  </si>
  <si>
    <t>Licence - Sciences sociales - Parcours Economie, Science Politique, Sociologie (ESPS)</t>
  </si>
  <si>
    <t>Institut universitaire de technologie de Paris Pajol - Université Paris Cité</t>
  </si>
  <si>
    <t>Licence - Mathématiques et informatique appliquées aux sciences humaines et sociales - Parcours Mathématiques Appliquées et Sciences Sociales (MASS)</t>
  </si>
  <si>
    <t>Lycée Henri IV</t>
  </si>
  <si>
    <t>Licence - Sciences et société - Classe Préparatoire au Professorat des Écoles</t>
  </si>
  <si>
    <t>Lycée Henri Becquerel</t>
  </si>
  <si>
    <t>BTS</t>
  </si>
  <si>
    <t>BTS - Services - Management Commercial Opérationnel</t>
  </si>
  <si>
    <t>Lycée professionnel Les Cotes De Villebon</t>
  </si>
  <si>
    <t>Lycée Notre Dame du Grandchamp</t>
  </si>
  <si>
    <t>CPGE</t>
  </si>
  <si>
    <t>CPGE - ECG</t>
  </si>
  <si>
    <t>Lycée Marcelin Berthelot</t>
  </si>
  <si>
    <t>Lycée Janson De Sailly</t>
  </si>
  <si>
    <t>Lycée Jean Baptiste Corot</t>
  </si>
  <si>
    <t>CPGE - ECG -  - Mathématiques appliquées + ESH</t>
  </si>
  <si>
    <t>Lycée Jeanne D'Albret</t>
  </si>
  <si>
    <t>CPGE - ECG -  - Mathématiques appliquées + HGG</t>
  </si>
  <si>
    <t>Lycée Madeleine Daniélou</t>
  </si>
  <si>
    <t>Lycée Carnot</t>
  </si>
  <si>
    <t>Lycée Hoche</t>
  </si>
  <si>
    <t>Lycée Saint Michel de Picpus</t>
  </si>
  <si>
    <t>Lycée Notre Dame de Ste Croix</t>
  </si>
  <si>
    <t>Lycée Alfred Kastler</t>
  </si>
  <si>
    <t>Lycée Parc de Vilgenis</t>
  </si>
  <si>
    <t>Lycée Sainte Geneviève</t>
  </si>
  <si>
    <t>CPGE - ECG -  - Mathématiques approfondies + HGG</t>
  </si>
  <si>
    <t>Lycée Emily Brontë</t>
  </si>
  <si>
    <t>BTS - Services - Professions immobilières</t>
  </si>
  <si>
    <t>Lycée Turgot</t>
  </si>
  <si>
    <t>CPGE - ENS Cachan D2</t>
  </si>
  <si>
    <t>BTS - Services - Comptabilité et gestion</t>
  </si>
  <si>
    <t>BTS - Services - Services informatiques aux organisations</t>
  </si>
  <si>
    <t>Lycée Simone Weil</t>
  </si>
  <si>
    <t>BTS - Services - Gestion de la PME</t>
  </si>
  <si>
    <t>Lycée Louis Le Grand</t>
  </si>
  <si>
    <t>CPGE - MPSI</t>
  </si>
  <si>
    <t>Lycée Chaptal</t>
  </si>
  <si>
    <t>CPGE - PTSI</t>
  </si>
  <si>
    <t>CPGE - BCPST</t>
  </si>
  <si>
    <t>Lycée RACINE</t>
  </si>
  <si>
    <t>BTS - Services - Support à l'action managériale</t>
  </si>
  <si>
    <t>Lycée Jacques Decour</t>
  </si>
  <si>
    <t>CPGE - PCSI</t>
  </si>
  <si>
    <t>Lycée des Métiers Dorian</t>
  </si>
  <si>
    <t>BTS - Production - Conception de produits industriels</t>
  </si>
  <si>
    <t>BTS - Production - Cybersécurité, Informatique et réseaux, ELectronique - Option A : Informatique et réseaux</t>
  </si>
  <si>
    <t>BTS - Production - Conception des processus de réalisation de produits (1ère année commune)</t>
  </si>
  <si>
    <t>BTS - Production - Cybersécurité, Informatique et réseaux, ELectronique - Option B : Electronique et réseaux</t>
  </si>
  <si>
    <t>Lycée Paul Valery</t>
  </si>
  <si>
    <t>Lycée Pierre-Gilles de Gennes - ENCPB</t>
  </si>
  <si>
    <t>CPGE - TB</t>
  </si>
  <si>
    <t>BTS - Production - Contrôle industriel et régulation automatique</t>
  </si>
  <si>
    <t>BTS - Production - Métiers de la chimie</t>
  </si>
  <si>
    <t>BTS - Production - Biotechnologie en recherche et en production</t>
  </si>
  <si>
    <t>BTS - Production - Métiers de l'eau</t>
  </si>
  <si>
    <t>Lycée Estienne Esaig</t>
  </si>
  <si>
    <t>BTS - Services - Edition</t>
  </si>
  <si>
    <t>BTS - Services - Etudes de réalisation d'un projet de communication - 1ère année commune</t>
  </si>
  <si>
    <t>Lycée Buffon</t>
  </si>
  <si>
    <t>Lycée Batiment-Saint-Lambert</t>
  </si>
  <si>
    <t>BTS - Production - Bâtiment</t>
  </si>
  <si>
    <t>BTS - Services - Conseil et commercialisation de solutions techniques</t>
  </si>
  <si>
    <t>Lycée Moliere</t>
  </si>
  <si>
    <t>CPGE - Lettres</t>
  </si>
  <si>
    <t>Ecole Nationale De Commerce</t>
  </si>
  <si>
    <t>Lycée Diderot</t>
  </si>
  <si>
    <t>BTS - Production - Traitement des matériaux</t>
  </si>
  <si>
    <t>Lycée Henri Bergson-Jacquard</t>
  </si>
  <si>
    <t>BTS - Production - Assistance technique d'ingénieur</t>
  </si>
  <si>
    <t>BTS - Production - Electrotechnique</t>
  </si>
  <si>
    <t>Lycée Louis Armand</t>
  </si>
  <si>
    <t>Lycée professionnel Agricole Breuil-Ecole privée d'Horticulture et Arboriculture</t>
  </si>
  <si>
    <t>BTS - Agricole - Aménagements paysagers</t>
  </si>
  <si>
    <t>Lycée Jean Lurcat</t>
  </si>
  <si>
    <t>BTS - Services - Assurance</t>
  </si>
  <si>
    <t>BTS - Services - Communication</t>
  </si>
  <si>
    <t>Lycée Stanislas</t>
  </si>
  <si>
    <t>CPGE - B/L - Lettres et sciences sociales</t>
  </si>
  <si>
    <t>Lycée Fénelon Sainte-Marie</t>
  </si>
  <si>
    <t>Lycée Carcado Saisseval</t>
  </si>
  <si>
    <t>BTS - Services - Services et prestations des secteurs sanitaire et social</t>
  </si>
  <si>
    <t>Lycée Albert de Mun</t>
  </si>
  <si>
    <t>Lycée Le Rebours</t>
  </si>
  <si>
    <t>CPGE - ECT - Option technologique</t>
  </si>
  <si>
    <t>Lycée Charles De Foucauld</t>
  </si>
  <si>
    <t>Lycée des Métiers de l'Hôtellerie Guillaume TIREL</t>
  </si>
  <si>
    <t>BTS - Services - Management en hôtellerie restauration</t>
  </si>
  <si>
    <t>Lycée Passy-Saint-Honoré</t>
  </si>
  <si>
    <t>Lycée polyvalent La Fayette</t>
  </si>
  <si>
    <t>Lycée Pierre de Coubertin</t>
  </si>
  <si>
    <t>Lycée André Malraux</t>
  </si>
  <si>
    <t>BTS - Production - Maintenance des systèmes - option A Systèmes de production</t>
  </si>
  <si>
    <t>Lycée professionnel Louis Lumiere</t>
  </si>
  <si>
    <t>BTS - Services - Négociation et digitalisation de la Relation Client</t>
  </si>
  <si>
    <t>Lycée Les Pannevelles</t>
  </si>
  <si>
    <t>Lycée Charles Le Chauve</t>
  </si>
  <si>
    <t>Lycée polyvalent Simone Veil</t>
  </si>
  <si>
    <t>Lycée JEAN ROSE</t>
  </si>
  <si>
    <t>Lycée Jean VILAR</t>
  </si>
  <si>
    <t>BTS - Services - Commerce International</t>
  </si>
  <si>
    <t>Lycée Blaise Pascal</t>
  </si>
  <si>
    <t>Lycée Campus de Coulommiers</t>
  </si>
  <si>
    <t>BTS - Production - Maintenance des matériels de construction et de manutention</t>
  </si>
  <si>
    <t>Lycée Agricole de Saint Germain en Laye/Chambourcy</t>
  </si>
  <si>
    <t>BTS - Agricole - Métiers du Végétal : Alimentation, Ornement, Environnement</t>
  </si>
  <si>
    <t>Lycée Militaire de Saint-Cyr</t>
  </si>
  <si>
    <t>CPGE - Option lettres et sciences humaines (St Cyr)</t>
  </si>
  <si>
    <t>Lycée Francois Villon</t>
  </si>
  <si>
    <t>Lycée International-Palaiseau-Paris-Saclay</t>
  </si>
  <si>
    <t>BTS - Production - Photonique : technologies et sciences de la lumière</t>
  </si>
  <si>
    <t>IPAG Business School - Campus de Paris</t>
  </si>
  <si>
    <t>Lycée professionnel Charles Baudelaire</t>
  </si>
  <si>
    <t>Ecole Française Hôtesses Tourisme</t>
  </si>
  <si>
    <t>BTS - Services - Tourisme</t>
  </si>
  <si>
    <t>BTS - Production - Enveloppe des bâtiments : conception et réalisation</t>
  </si>
  <si>
    <t>Lycée Le Corbusier</t>
  </si>
  <si>
    <t>Lycée Jean-Baptiste Poquelin</t>
  </si>
  <si>
    <t>Lycée Jules Ferry</t>
  </si>
  <si>
    <t>Lycée Marie Curie</t>
  </si>
  <si>
    <t>BTS - Services - Collaborateur juriste notarial</t>
  </si>
  <si>
    <t>BTS - Services - Biologie médicale</t>
  </si>
  <si>
    <t>Lycée Evariste Galois</t>
  </si>
  <si>
    <t>Lycée Robert Doisneau</t>
  </si>
  <si>
    <t>Lycée Geoffroy-St-Hilaire</t>
  </si>
  <si>
    <t>Lycée Marcel Pagnol</t>
  </si>
  <si>
    <t>Lycée ROSA PARKS</t>
  </si>
  <si>
    <t>Lycée Clement Ader</t>
  </si>
  <si>
    <t>Lycée Fustel De Coulanges</t>
  </si>
  <si>
    <t>BTS - Production - Conception et Réalisation de Systèmes Automatiques</t>
  </si>
  <si>
    <t>Lycée Jean Pierre Timbaud</t>
  </si>
  <si>
    <t>Institut et Campus d'Optique (ICO)</t>
  </si>
  <si>
    <t>BTS - Services - Opticien-Lunetier</t>
  </si>
  <si>
    <t>Lycée Albert Einstein</t>
  </si>
  <si>
    <t>Lycée de l'Essouriau</t>
  </si>
  <si>
    <t>Lycée polyvalent Nikola Tesla</t>
  </si>
  <si>
    <t>Lycée Gaspard Monge</t>
  </si>
  <si>
    <t>BTS - Production - Maintenance des véhicules option voitures particulières</t>
  </si>
  <si>
    <t>Lycée Henri Poincare</t>
  </si>
  <si>
    <t>Lycée Jacques Prevert</t>
  </si>
  <si>
    <t>BTS - Services - Métiers de l'audio-visuel opt : techn. d'ingeniérie et exploit. équipements</t>
  </si>
  <si>
    <t>Lycée Newton-Enrea</t>
  </si>
  <si>
    <t>Lycée Guy De Maupassant</t>
  </si>
  <si>
    <t>Lycée Joliot-Curie</t>
  </si>
  <si>
    <t>Lycée Paul Langevin</t>
  </si>
  <si>
    <t>Lycée Sainte-Marie de Neuilly</t>
  </si>
  <si>
    <t>Lycée La Salle Passy Buzenval</t>
  </si>
  <si>
    <t>Lycée polyvalent Missak et Mélinée Manouchian</t>
  </si>
  <si>
    <t>Lycée Leonard De Vinci</t>
  </si>
  <si>
    <t>BTS - Production - Conception et industrialisation en microtechniques</t>
  </si>
  <si>
    <t>Lycée Claude Garamont</t>
  </si>
  <si>
    <t>CPGE - TSI</t>
  </si>
  <si>
    <t>Lycée Jean Renoir</t>
  </si>
  <si>
    <t>Lycée Jacques Feyder</t>
  </si>
  <si>
    <t>Lycée Jean Jaurès</t>
  </si>
  <si>
    <t>Lycée CONDORCET</t>
  </si>
  <si>
    <t>Lycée Olympe De Gouges</t>
  </si>
  <si>
    <t>Lycée Auguste Blanqui</t>
  </si>
  <si>
    <t>Lycée Albert Schweitzer</t>
  </si>
  <si>
    <t>Lycée Voillaume</t>
  </si>
  <si>
    <t>Maison d'éducation de la Légion d'honneur</t>
  </si>
  <si>
    <t>Lycée Protectorat Saint Joseph</t>
  </si>
  <si>
    <t>Lycée Flora Tristan</t>
  </si>
  <si>
    <t>Lycée Andre Boulloche</t>
  </si>
  <si>
    <t>Lycée des Métiers de l'horticulture et du paysage</t>
  </si>
  <si>
    <t>Lycée Jean-Baptiste de La Salle</t>
  </si>
  <si>
    <t>Lycée Charles De Gaulle</t>
  </si>
  <si>
    <t>BTS - Services - Gestion des transports et logistique associée</t>
  </si>
  <si>
    <t>Lycée Suger</t>
  </si>
  <si>
    <t>BTS - Services - Métiers de l'audio-visuel opt : métiers de l'image</t>
  </si>
  <si>
    <t>BTS - Services - Métiers de l'audio-visuel opt : gestion de la production</t>
  </si>
  <si>
    <t>Lycée Francois Rabelais</t>
  </si>
  <si>
    <t>Lycée polyvalent de Cachan</t>
  </si>
  <si>
    <t>Lycée Langevin-Wallon</t>
  </si>
  <si>
    <t>Lycée Antoine de Saint Exupery</t>
  </si>
  <si>
    <t>Lycée Paul Doumer</t>
  </si>
  <si>
    <t>Lycée Maximilien Perret (Batiment)</t>
  </si>
  <si>
    <t>BTS - Production - Fluide, énergie, domotique - option A génie climatique et fluidique</t>
  </si>
  <si>
    <t>Lycée Jean Mace</t>
  </si>
  <si>
    <t>Lycée Francois Mansart</t>
  </si>
  <si>
    <t>BTS - Production - Management économique de la construction</t>
  </si>
  <si>
    <t>BTS - Production - Systèmes constructifs bois et habitat</t>
  </si>
  <si>
    <t>Lycée Teilhard De Chardin</t>
  </si>
  <si>
    <t>Lycée Christophe Colomb</t>
  </si>
  <si>
    <t>Lycée Francois Arago</t>
  </si>
  <si>
    <t>Lycée Jean Jaures</t>
  </si>
  <si>
    <t>BTS - Production - Conception et réalisation en chaudronnerie industrielle</t>
  </si>
  <si>
    <t>LYCEE POLYVALENT GUSTAVE MONOD</t>
  </si>
  <si>
    <t>Lycée Van Gogh</t>
  </si>
  <si>
    <t>Lycée René Cassin</t>
  </si>
  <si>
    <t>Lycée Jean-Jacques Rousseau</t>
  </si>
  <si>
    <t>Lycée Camille Pissarro</t>
  </si>
  <si>
    <t>Lycée Georges Braque</t>
  </si>
  <si>
    <t>Lycée Romain Rolland</t>
  </si>
  <si>
    <t>Lycée Polyvalent Maryse Condé</t>
  </si>
  <si>
    <t>Lycée Fragonard</t>
  </si>
  <si>
    <t>Lycée Jean Monnet</t>
  </si>
  <si>
    <t>Lycée Charles BAUDELAIRE</t>
  </si>
  <si>
    <t>Lycée De L'Hautil</t>
  </si>
  <si>
    <t>Lycée Camille Saint-Saens</t>
  </si>
  <si>
    <t>BTS - Services - Banque</t>
  </si>
  <si>
    <t>Ecole Technique Sup Laboratoire</t>
  </si>
  <si>
    <t>BTS - Production - Métiers de la mode-vêtements</t>
  </si>
  <si>
    <t>Lycée D'Alembert-Cuir</t>
  </si>
  <si>
    <t>BTS - Production - Métiers de la mode-chaussure et maroquinerie</t>
  </si>
  <si>
    <t>Lycée Léonard de Vinci</t>
  </si>
  <si>
    <t>BTS - Production - Etude et réalisation d'agencement</t>
  </si>
  <si>
    <t>BTS - Services - Diététique et nutrition</t>
  </si>
  <si>
    <t>Lycée professionnel Chenneviere Malezieux</t>
  </si>
  <si>
    <t>Lycée professionnel Jean Moulin</t>
  </si>
  <si>
    <t>BTS - Production - Fluide, énergie, domotique - option B froid et conditionnement d'air</t>
  </si>
  <si>
    <t>Lycée polyvalent Rosa Parks</t>
  </si>
  <si>
    <t>BTS - Services - Economie sociale familiale</t>
  </si>
  <si>
    <t>EFREI Paris</t>
  </si>
  <si>
    <t>Lycée professionnel Jean-Pierre Timbaud</t>
  </si>
  <si>
    <t>BTS - Services - Métiers des Services à l'environnement</t>
  </si>
  <si>
    <t>Lycée Internat d'Excellence de Sourdun</t>
  </si>
  <si>
    <t>Lycée Jacques Amyot</t>
  </si>
  <si>
    <t>Lycée Francois Couperin</t>
  </si>
  <si>
    <t>Lycée Hector Berlioz</t>
  </si>
  <si>
    <t>CPGE - ECG - Mathématiques appliquées + ESH</t>
  </si>
  <si>
    <t>Lycée Saint Jean de Passy</t>
  </si>
  <si>
    <t>Lycée Saint Exupéry</t>
  </si>
  <si>
    <t>Lycée Descartes</t>
  </si>
  <si>
    <t>Lycée Alexandre Dumas</t>
  </si>
  <si>
    <t>Lycée St Louis Blanche De Castille</t>
  </si>
  <si>
    <t>CPGE - MP2I</t>
  </si>
  <si>
    <t>Lycée professionnel Theophile Gautier</t>
  </si>
  <si>
    <t>BTS - Services - Management opérationnel de la sécurité</t>
  </si>
  <si>
    <t>Lycée professionnel Simone Weil</t>
  </si>
  <si>
    <t>CPGE - ENS Rennes D1</t>
  </si>
  <si>
    <t>BTS - Services - Orthoprothésiste</t>
  </si>
  <si>
    <t>Lycée Charlemagne</t>
  </si>
  <si>
    <t>Lycée Saint-Louis (6ème)</t>
  </si>
  <si>
    <t>Lycée Fénelon</t>
  </si>
  <si>
    <t>Lycée Jules SIEGFRIED</t>
  </si>
  <si>
    <t>Lycée Voltaire</t>
  </si>
  <si>
    <t>BTS - Production - Métiers du géomètre-topographe et de la modélisation numérique</t>
  </si>
  <si>
    <t>Lycée Elisa Lemonnier</t>
  </si>
  <si>
    <t>BTS - Services - Métiers de l'esthétique-cosmétique-parfumerie</t>
  </si>
  <si>
    <t>BTS - Production - Bioqualité</t>
  </si>
  <si>
    <t>BTS - Production - Bioanalyses en laboratoire de contrôle</t>
  </si>
  <si>
    <t>Lycée Raspail</t>
  </si>
  <si>
    <t>Lycée Emile Dubois</t>
  </si>
  <si>
    <t>BTS - Production - Travaux publics</t>
  </si>
  <si>
    <t>Lycée Des métiers Jean DROUANT</t>
  </si>
  <si>
    <t>Lycée Auguste Renoir</t>
  </si>
  <si>
    <t>BTS - Services - Photographie</t>
  </si>
  <si>
    <t>Lycée Blomet</t>
  </si>
  <si>
    <t>Lycée Jules Richard Microtechniques</t>
  </si>
  <si>
    <t>Lycée L'Initiative</t>
  </si>
  <si>
    <t>Lycée Saint-Nicolas</t>
  </si>
  <si>
    <t>Institut National des Formations Notariales INFN site de Paris</t>
  </si>
  <si>
    <t>Lycée Uruguay France</t>
  </si>
  <si>
    <t>Lycée Gaston BACHELARD</t>
  </si>
  <si>
    <t>Lycée Francois Ier</t>
  </si>
  <si>
    <t>Lycée Etienne Bezout</t>
  </si>
  <si>
    <t>Lycée Thibaut de Champagne</t>
  </si>
  <si>
    <t>Lycée professionnel Benjamin Franklin</t>
  </si>
  <si>
    <t>Lycée du Gué-à-Tresmes</t>
  </si>
  <si>
    <t>BTS - Production - Finitions, aménagement des bâtiments: conception et réalisation</t>
  </si>
  <si>
    <t>Lycée Rene Descartes</t>
  </si>
  <si>
    <t>Lycée Camille Claudel</t>
  </si>
  <si>
    <t>Lycée Martin Luther King</t>
  </si>
  <si>
    <t>Lycée Hotellerie Et Tourisme</t>
  </si>
  <si>
    <t>GROUPE ICS</t>
  </si>
  <si>
    <t>BTS - Production - Maintenance des systèmes - option D:  maintenance des ascenseurs et élévateurs</t>
  </si>
  <si>
    <t>Lycée Joliot Curie</t>
  </si>
  <si>
    <t>CPGE - TSI - (en 3 ans, destinée aux bacs professionnels)</t>
  </si>
  <si>
    <t>Lycée Lamartine</t>
  </si>
  <si>
    <t>Lycée Louis Bascan</t>
  </si>
  <si>
    <t>Lycée Viollet-Le-Duc</t>
  </si>
  <si>
    <t>Lycée Notre-Dame Les Oiseaux</t>
  </si>
  <si>
    <t>CHEPP du Tremblay sur Mauldre</t>
  </si>
  <si>
    <t>BTS - Agricole - Gestion et protection de la nature</t>
  </si>
  <si>
    <t>Lycée du Parc des Loges</t>
  </si>
  <si>
    <t>Lycée Edmond Michelet</t>
  </si>
  <si>
    <t>BTS - Production - Motorisations toutes énergies</t>
  </si>
  <si>
    <t>BTS - Services - Métiers de l'audio-visuel opt : métiers du son</t>
  </si>
  <si>
    <t>Lycée Paul Lapie</t>
  </si>
  <si>
    <t>Lycée Agora</t>
  </si>
  <si>
    <t>Lycée Lakanal</t>
  </si>
  <si>
    <t>Lycée Michelet</t>
  </si>
  <si>
    <t>Lycée Jean-Pierre Vernant</t>
  </si>
  <si>
    <t>Lycée St Gabriel</t>
  </si>
  <si>
    <t>Lycée Notre Dame</t>
  </si>
  <si>
    <t>Lycée Sainte Marie</t>
  </si>
  <si>
    <t>Lycée Galilée</t>
  </si>
  <si>
    <t>EREA Toulouse Lautrec</t>
  </si>
  <si>
    <t>Lycée Auffray</t>
  </si>
  <si>
    <t>Lycée DES METIERS LA SALLE ST NICOLAS</t>
  </si>
  <si>
    <t>Lycée Henri Wallon</t>
  </si>
  <si>
    <t>Lycée Eugène Delacroix</t>
  </si>
  <si>
    <t>Lycée Paul Eluard</t>
  </si>
  <si>
    <t>Lycée Clemenceau</t>
  </si>
  <si>
    <t>Lycée Jean Zay</t>
  </si>
  <si>
    <t>Lycée GUSTAVE EIFFEL</t>
  </si>
  <si>
    <t>Lycée Jacques Brel</t>
  </si>
  <si>
    <t>Lycée ORT DANIEL MAYER</t>
  </si>
  <si>
    <t>Lycée Maurice Utrillo</t>
  </si>
  <si>
    <t>Lycée Henri Sellier</t>
  </si>
  <si>
    <t>Lycée D'Arsonval</t>
  </si>
  <si>
    <t>CPGE - TPC</t>
  </si>
  <si>
    <t>Lycée Condorcet</t>
  </si>
  <si>
    <t>Lycée Guillaume Apollinaire</t>
  </si>
  <si>
    <t>BTS - Production - Maintenance des systèmes - option B Systèmes énergétiques et fluidiques</t>
  </si>
  <si>
    <t>Lycée professionnel Armand Guillaumin</t>
  </si>
  <si>
    <t>Lycée Claude-Nicolas LEDOUX / EBTP</t>
  </si>
  <si>
    <t>Lycée Edouard Branly</t>
  </si>
  <si>
    <t>Lycée Adolphe Cherioux</t>
  </si>
  <si>
    <t>Lycée professionnel Paul Bert</t>
  </si>
  <si>
    <t>Lycée professionnel CE3P</t>
  </si>
  <si>
    <t>Lycée Darius Milhaud</t>
  </si>
  <si>
    <t>LGT SAINTE MARIE</t>
  </si>
  <si>
    <t>Lycée Julie-Victoire Daubié</t>
  </si>
  <si>
    <t>Lycée Louis Jouvet</t>
  </si>
  <si>
    <t>Lycée George Sand</t>
  </si>
  <si>
    <t>Lycée Henri Moissan</t>
  </si>
  <si>
    <t>Lycée agricole de la Bretonnière</t>
  </si>
  <si>
    <t>BTS - Agricole - Développement et animation de projets territoriaux</t>
  </si>
  <si>
    <t>Lycée ESTBA</t>
  </si>
  <si>
    <t>Lycée professionnel Agricole SULLY</t>
  </si>
  <si>
    <t>BTS - Agricole - Métiers de l'élevage: développement, production et conseil</t>
  </si>
  <si>
    <t>Lycée professionnel Madeleine Vionnet</t>
  </si>
  <si>
    <t>Lycée Honoré De Balzac</t>
  </si>
  <si>
    <t>Lycée LPO Anatole FRANCE</t>
  </si>
  <si>
    <t>Lycée Jean Perrin</t>
  </si>
  <si>
    <t>BTS - Production - Métiers de la mesure</t>
  </si>
  <si>
    <t>Lycée Dumont D'Urville</t>
  </si>
  <si>
    <t>BTS - Agricole - Technico-commercial - Spécialité alimentation et boisson</t>
  </si>
  <si>
    <t>Lycée professionnel Erik Satie</t>
  </si>
  <si>
    <t>Lycée Vaucanson</t>
  </si>
  <si>
    <t>Lycée professionnel Turgot</t>
  </si>
  <si>
    <t>Lycée Hélène Boucher</t>
  </si>
  <si>
    <t>CPGE - ECG -  Mathématiques approfondies + HGG</t>
  </si>
  <si>
    <t>Lycée La Bruyère</t>
  </si>
  <si>
    <t>Lycée Montaigne</t>
  </si>
  <si>
    <t>Lycée Saint-Louis De Gonzague</t>
  </si>
  <si>
    <t>Lycée Gregor Mendel</t>
  </si>
  <si>
    <t>Lycée Sophie Germain</t>
  </si>
  <si>
    <t>CPGE - Ecole nationale des Chartes</t>
  </si>
  <si>
    <t>Lycée Edgar Quinet</t>
  </si>
  <si>
    <t>Esaa Duperré</t>
  </si>
  <si>
    <t>CPGE - Ecole normale supérieure Paris Saclay – arts et design</t>
  </si>
  <si>
    <t>Lycée Roger Verlomme</t>
  </si>
  <si>
    <t>Lycée Claude Bernard</t>
  </si>
  <si>
    <t>Lycée Jean-Baptiste Say</t>
  </si>
  <si>
    <t>Lycée Maurice Ravel</t>
  </si>
  <si>
    <t>Institut Supérieur Clorivière</t>
  </si>
  <si>
    <t>Institution Saint Aspais</t>
  </si>
  <si>
    <t>Lycée agricole Bougainville</t>
  </si>
  <si>
    <t>BTS - Agricole - Analyse, conduite et stratégie de l'entreprise agricole, option Territoires métropolitains</t>
  </si>
  <si>
    <t>Lycée Jean Moulin</t>
  </si>
  <si>
    <t>Lycée Plaine De Neauphle</t>
  </si>
  <si>
    <t>Lycée Saint Charles</t>
  </si>
  <si>
    <t>Lycée Jean Rostand</t>
  </si>
  <si>
    <t>Lycée Polyvalent Institut Saint Pierre</t>
  </si>
  <si>
    <t>BTS - Production - Architectures en Métal : conception et Réalisation</t>
  </si>
  <si>
    <t>Lycée Georges Brassens</t>
  </si>
  <si>
    <t>BTS - Production - Fluide, énergie, domotique - option C domotique et bâtiment communicants</t>
  </si>
  <si>
    <t>Lycée Maurice Genevoix</t>
  </si>
  <si>
    <t>Lycée Montalembert</t>
  </si>
  <si>
    <t>Lycée Georges Pompidou/Michel Ange</t>
  </si>
  <si>
    <t>Lycée Louise Michel</t>
  </si>
  <si>
    <t>Lycée Alfred Nobel</t>
  </si>
  <si>
    <t>Lycée Nicolas-Joseph Cugnot</t>
  </si>
  <si>
    <t>Lycée Eugene Delacroix</t>
  </si>
  <si>
    <t>Lycée professionnel Jacques Brel</t>
  </si>
  <si>
    <t>BTS - Production - Maintenance des véhicules option motocycles</t>
  </si>
  <si>
    <t>BTS - Production - Développement et Réalisation Bois</t>
  </si>
  <si>
    <t>Lycée polyvalent Marianne (Ex-Lycée Georges Brassens)</t>
  </si>
  <si>
    <t>Lycée Frederic Mistral</t>
  </si>
  <si>
    <t>Lycée Edmond Rostand</t>
  </si>
  <si>
    <t>Lycée F. Et N. Leger</t>
  </si>
  <si>
    <t>Lycée G A R A C</t>
  </si>
  <si>
    <t>Lycée Santos Dumont</t>
  </si>
  <si>
    <t>Lycée Jehan De Chelles</t>
  </si>
  <si>
    <t>Pauline Roland</t>
  </si>
  <si>
    <t>Lycée Guillaume Budé</t>
  </si>
  <si>
    <t>Lycée Marcel Cachin</t>
  </si>
  <si>
    <t>Lycée professionnel VIRGINIA HENDERSON</t>
  </si>
  <si>
    <t>INSTA</t>
  </si>
  <si>
    <t>Lycée De Villaroy</t>
  </si>
  <si>
    <t>CPGE - ECG - Mathématiques approfondies + HGG</t>
  </si>
  <si>
    <t>Lycée de La Folie Saint-James</t>
  </si>
  <si>
    <t>Lycée polyvalent Nadar - Lycée des métiers de la sécurité, de l'industrie et de la relation client</t>
  </si>
  <si>
    <t>CPGE - ECT - Option technologique - (en 3 ans, destinée aux bacs professionnels)</t>
  </si>
  <si>
    <t>Lycée professionnel Nicolas Louis Vauquelin</t>
  </si>
  <si>
    <t>Lycée Rene Cassin</t>
  </si>
  <si>
    <t>Lycée Francois Truffaut</t>
  </si>
  <si>
    <t>BTS - Services - Métiers de l'audio-visuel opt : montage et post-production</t>
  </si>
  <si>
    <t>Lycée Richelieu</t>
  </si>
  <si>
    <t>Lycée Charles Petiet</t>
  </si>
  <si>
    <t>BTS - Production - Construction et aménagement de véhicules</t>
  </si>
  <si>
    <t>Lycée Pablo Picasso</t>
  </si>
  <si>
    <t>Lycée Leon Blum</t>
  </si>
  <si>
    <t>Lycée Champlain</t>
  </si>
  <si>
    <t>Lycée Fernand Leger</t>
  </si>
  <si>
    <t>Lycée Notre-Dame De Bury</t>
  </si>
  <si>
    <t>Lycée Arthur Rimbaud</t>
  </si>
  <si>
    <t>Lycée polyvalent Louise Michel</t>
  </si>
  <si>
    <t>LYCEE TECHNOLOGIQUE PRIVE ROBERT SCHUMAN</t>
  </si>
  <si>
    <t>Lycée professionnel Galilee</t>
  </si>
  <si>
    <t>BTS - Services - Prothésiste dentaire</t>
  </si>
  <si>
    <t>BTS - Services - Métiers de la coiffure</t>
  </si>
  <si>
    <t>Lycée ORT</t>
  </si>
  <si>
    <t>Lycée professionnel Gustave Eiffel</t>
  </si>
  <si>
    <t>BTS - Production - Pilotage des procédés</t>
  </si>
  <si>
    <t>Lycée professionnel Florian</t>
  </si>
  <si>
    <t>Lycée polyvalent De Prony</t>
  </si>
  <si>
    <t>Lycée Lavoisier</t>
  </si>
  <si>
    <t>Lycée Arago</t>
  </si>
  <si>
    <t>Lycée Claude Monet</t>
  </si>
  <si>
    <t>Lycée Fresnel</t>
  </si>
  <si>
    <t>Lycée Martin-Nadaud</t>
  </si>
  <si>
    <t>Lycée Blanche De Castille</t>
  </si>
  <si>
    <t>Lycée Van Dongen</t>
  </si>
  <si>
    <t>Lycée De La Mare Carree</t>
  </si>
  <si>
    <t>Lycée Jean Vilar</t>
  </si>
  <si>
    <t>BTS - Agricole - Agronomie et cultures durables</t>
  </si>
  <si>
    <t>Lycée LAVOISIER</t>
  </si>
  <si>
    <t>Lycée professionnel Louis Bleriot</t>
  </si>
  <si>
    <t>Lycée Pierre Corneille</t>
  </si>
  <si>
    <t>Lycée professionnel La Tournelle</t>
  </si>
  <si>
    <t>LYCEE PROFESSIONNEL PRIVE COGNACQ-JAY</t>
  </si>
  <si>
    <t>CPGE - ECT - Option technologique - (réservée aux bacs technologiques)</t>
  </si>
  <si>
    <t>Lycée BLANCHE DE CASTILLE</t>
  </si>
  <si>
    <t>Lycée Vallee De Chevreuse</t>
  </si>
  <si>
    <t>Lycée E. Mounier</t>
  </si>
  <si>
    <t>Lycée Louis Pasteur</t>
  </si>
  <si>
    <t>Lycée Gustave Eiffel</t>
  </si>
  <si>
    <t>Lycée Jules Verne</t>
  </si>
  <si>
    <t>Lycée Emilie du Châtelet</t>
  </si>
  <si>
    <t>BTS - Production - Cybersécurité, Informatique et réseaux, ELectronique - Option A : Informatique et réseaux - Internat obligatoire</t>
  </si>
  <si>
    <t>Lycée professionnel Lino Ventura</t>
  </si>
  <si>
    <t>Lycée Fenelon</t>
  </si>
  <si>
    <t>Lycée polyvalent Alexandre Denis, lycée des métiers de l'aéronautique, du transport et de la logistique</t>
  </si>
  <si>
    <t>BTS - Production - Aéronautique</t>
  </si>
  <si>
    <t>BTS - Services - Podo-orthésiste</t>
  </si>
  <si>
    <t>Lycée Victor Duruy</t>
  </si>
  <si>
    <t>Lycée Charles Peguy</t>
  </si>
  <si>
    <t>Lycée Fenelon Sup La Plaine Monceau</t>
  </si>
  <si>
    <t>Lycée Bossuet</t>
  </si>
  <si>
    <t>Lycée Honore De Balzac</t>
  </si>
  <si>
    <t>Lycée Galilee</t>
  </si>
  <si>
    <t>Lycée Pierre Mendes-France</t>
  </si>
  <si>
    <t>Lycée Simone Signoret</t>
  </si>
  <si>
    <t>Autre formation</t>
  </si>
  <si>
    <t>Mise à niveau - Hôtellerie restauration</t>
  </si>
  <si>
    <t>CNAM INTEC</t>
  </si>
  <si>
    <t>DGC (Diplôme de Gestion et de Comptabilité)</t>
  </si>
  <si>
    <t>Université Paris-Dauphine</t>
  </si>
  <si>
    <t>Formation valant grade de licence - Sciences des Organisations - Paris - Classique</t>
  </si>
  <si>
    <t>Ecole polytechnique</t>
  </si>
  <si>
    <t>Formation valant grade de licence - Bachelor of Science</t>
  </si>
  <si>
    <t>EFOM- Boris DOLTO</t>
  </si>
  <si>
    <t>D.E Pédicure-Podologue</t>
  </si>
  <si>
    <t>École de commerce</t>
  </si>
  <si>
    <t>Formation des écoles de commerce et de management</t>
  </si>
  <si>
    <t>NEOMA Business School - Campus de Paris</t>
  </si>
  <si>
    <t>Ecole Camondo</t>
  </si>
  <si>
    <t>Formation des écoles supérieure d'art Bac + 5 - Architecte d’intérieur – designer</t>
  </si>
  <si>
    <t>Ecole nationale supérieure des Beaux-Arts de Paris</t>
  </si>
  <si>
    <t>Formation des écoles supérieure d'art Bac + 3 - Diplôme 1er Cycle ENSBA</t>
  </si>
  <si>
    <t>PSB Paris School of Business</t>
  </si>
  <si>
    <t>Formation des écoles de commerce et de management Bac + 3 - International Bachelor in Management</t>
  </si>
  <si>
    <t>ESRA - Paris</t>
  </si>
  <si>
    <t>Formation des écoles supérieure d'art Bac + 3 - Etudes Supérieures des Techniques du Son</t>
  </si>
  <si>
    <t>Formation des écoles supérieure d'art Bac + 3 - Etudes Supérieures en Film d'Animation</t>
  </si>
  <si>
    <t>Lycée Assomption</t>
  </si>
  <si>
    <t>DN MADE - Innovation sociale - parcours matériaux</t>
  </si>
  <si>
    <t>EPF Paris-Cachan</t>
  </si>
  <si>
    <t>École d'ingénieur</t>
  </si>
  <si>
    <t>Formation Bac + 3 - Bachelors - Bacs séries générale, STI2D, STAV, STL, ST2S, bacs pros identifiés</t>
  </si>
  <si>
    <t>ESILV - Paris la Défense</t>
  </si>
  <si>
    <t>CREPS d'Ile de France - Antenne de Vaires-sur-Marne</t>
  </si>
  <si>
    <t>BPJEPS - Spécialité Educateur sportif - Mention Activités de la forme</t>
  </si>
  <si>
    <t>3IS Institut International de l'Image et du Son</t>
  </si>
  <si>
    <t>Formation des écoles supérieure d'art Bac + 3 - Cinéma Audiovisuel/Son - Option Son</t>
  </si>
  <si>
    <t>Formation des écoles supérieure d'art Bac + 3 - Cinéma Audiovisuel/Son - Option Cinéma Audiovisuel</t>
  </si>
  <si>
    <t>Paris Sciences Lettres PSL</t>
  </si>
  <si>
    <t>Formation valant grade de licence - Sciences pour un monde durable</t>
  </si>
  <si>
    <t>Institut National du Patrimoine (département des restaurateurs)</t>
  </si>
  <si>
    <t>Conservation-restauration des biens culturels - spécialité  Arts du feu (céramique, émail, verre)</t>
  </si>
  <si>
    <t>Conservation-restauration des biens culturels - spécialité Mobilier</t>
  </si>
  <si>
    <t>Conservation-restauration des biens culturels - spécialité Peinture</t>
  </si>
  <si>
    <t>Conservation-restauration des biens culturels - spécialité - Photographie et image numérique</t>
  </si>
  <si>
    <t>Conservation-restauration des biens culturels - spécialité Sculpture</t>
  </si>
  <si>
    <t>Centre de préparation au diplôme d'état d'audioprothèsiste Conservatoire National des Arts et Métiers</t>
  </si>
  <si>
    <t>D.E Audioprothésiste</t>
  </si>
  <si>
    <t>Formation d'ingénieur Bac + 5 - Série STI2D</t>
  </si>
  <si>
    <t>Formation d'ingénieur Bac + 5 - Série générale</t>
  </si>
  <si>
    <t>Formation Bac + 3</t>
  </si>
  <si>
    <t>ICN Business School</t>
  </si>
  <si>
    <t>Formation des écoles de commerce et de management Bac + 3 - ICN Bachelor en management (dit Sup'Est)</t>
  </si>
  <si>
    <t>CY Ecole de Design</t>
  </si>
  <si>
    <t>Formation d'ingénieur Bac + 5 - Double diplôme : ingénieur CY Tech + diplôme établissement partenaire</t>
  </si>
  <si>
    <t>European Business School Paris</t>
  </si>
  <si>
    <t>Polytech Sorbonne</t>
  </si>
  <si>
    <t>Formation d'ingénieur Bac + 5 - Bac général</t>
  </si>
  <si>
    <t>DSP - Patrimoine bâti : métiers de la construction et du patrimoine</t>
  </si>
  <si>
    <t>ESIEE Paris</t>
  </si>
  <si>
    <t>Formation Bac + 3 - Bachelor Informatique et technologies de l’information, Parcours Bachelor en Economie, Sciences et Technologies multimédia (BESTm)</t>
  </si>
  <si>
    <t>ISTY UVSQ Paris-Saclay</t>
  </si>
  <si>
    <t>ESIEA Paris</t>
  </si>
  <si>
    <t>Formation d'ingénieur Bac + 5 - Bacs généraux - 1 Science</t>
  </si>
  <si>
    <t>Sup Galilée Paris</t>
  </si>
  <si>
    <t>Formation Bac + 3 - Bachelor Cybersécurité et Ethical Hacking</t>
  </si>
  <si>
    <t>Classe préparatoire aux études supérieures - Arts - Paysage</t>
  </si>
  <si>
    <t>Cycle pluridisciplinaire d'Études Supérieures - Humanités et société</t>
  </si>
  <si>
    <t>Diplôme de Comptabilité et de Gestion</t>
  </si>
  <si>
    <t>Ecole Nationale Supérieure d'Architecture de Versailles</t>
  </si>
  <si>
    <t>Architecture</t>
  </si>
  <si>
    <t>Ecole de management de Normandie - Campus de Paris Clichy</t>
  </si>
  <si>
    <t>ISEN YNCREA OUEST</t>
  </si>
  <si>
    <t>EXCELIA Campus Cachan</t>
  </si>
  <si>
    <t>ASCENCIA Business School - Evry</t>
  </si>
  <si>
    <t>Formation des écoles de commerce et de management Bac + 3 - Bachelor gestion et développement commercial</t>
  </si>
  <si>
    <t>Bachelor Sport Event and International Marketing Business</t>
  </si>
  <si>
    <t>Formation des écoles de commerce et de management Bac + 3 - Bachelor en Management</t>
  </si>
  <si>
    <t>ECE Paris</t>
  </si>
  <si>
    <t>Formation d'ingénieur Bac + 5 - Voie d'accès réservée aux BAC +1 uniquement</t>
  </si>
  <si>
    <t>Formation d'ingénieur Bac + 5 - Bac Série générale - Programme ParityLab – procédure réservée aux candidates féminines</t>
  </si>
  <si>
    <t>Formation d'ingénieur Bac + 5 - bac STI2D</t>
  </si>
  <si>
    <t>ICD International Business School - Campus de Paris</t>
  </si>
  <si>
    <t>Formation des écoles de commerce et de management Bac + 5 - Programme Grande Ecole</t>
  </si>
  <si>
    <t>CUPGE - Cycle Universitaire Préparatoire aux Grandes Ecoles - CUPGE Scientifique - Cycle Universitaire Préparatoire aux Grandes Ecoles d'ingénieur</t>
  </si>
  <si>
    <t>EPITA Paris</t>
  </si>
  <si>
    <t>Formation des écoles de commerce et de management Bac + 3 - Programme Bachelor in Management</t>
  </si>
  <si>
    <t>Lycée Sabatier</t>
  </si>
  <si>
    <t>FCIL - Cheveux texturés</t>
  </si>
  <si>
    <t>éklore-ed – CFA St Denis – CCI Pau Béarn</t>
  </si>
  <si>
    <t>Formation des écoles de commerce et de management Bac + 3 - Bachelor Business Management</t>
  </si>
  <si>
    <t>Ecole Supérieure de Gestion et Finance</t>
  </si>
  <si>
    <t>Formation des écoles de commerce et de management Bac + 3 - Bachelor en Finance</t>
  </si>
  <si>
    <t>CNAM PARIS</t>
  </si>
  <si>
    <t>Diplôme d'Etablissement - Assitant juridique et comptable - Bac +1</t>
  </si>
  <si>
    <t>Diplôme d'Etablissement - Chargé(e) d'expériences en recherche scientifique</t>
  </si>
  <si>
    <t>Formation des écoles de commerce et de management Bac + 3 - Tech for Management</t>
  </si>
  <si>
    <t>FCIL - Menuisier Valoriste</t>
  </si>
  <si>
    <t>Lycée professionnel Auguste Escoffier</t>
  </si>
  <si>
    <t>Certificat de Spécialisation - Métiers du bar</t>
  </si>
  <si>
    <t>Lycée professionnel Hôtelier Belliard</t>
  </si>
  <si>
    <t>Certificat de Spécialisation - Encadrement secteur sportif opt. activités de la forme-cours collectifs</t>
  </si>
  <si>
    <t>Certificat de Spécialisation - Production et réparation de produits électroniques</t>
  </si>
  <si>
    <t>GOBELINS PARIS GAMBETTA</t>
  </si>
  <si>
    <t>DN MADE - Graphisme - Spécialité : Designer UI/UX - Interface et narration interactives</t>
  </si>
  <si>
    <t>EBI</t>
  </si>
  <si>
    <t>ESEO Paris - Vélizy</t>
  </si>
  <si>
    <t>ESITC Paris</t>
  </si>
  <si>
    <t>Formation d'ingénieur Bac + 5 - Bacs technologiques</t>
  </si>
  <si>
    <t>Formation d'ingénieur Bac + 5 - Bac Série générale avec la spécialité Maths en Terminale + une spécialité non scientifique</t>
  </si>
  <si>
    <t>FCIL - Encadrement de travaux du BTP Bio sourcé et numérique</t>
  </si>
  <si>
    <t>Université Paris-Saclay</t>
  </si>
  <si>
    <t>Cycle pluridisciplinaire d'Études Supérieures - Sciences Des Données, Société et Santé</t>
  </si>
  <si>
    <t>Licence professionnelle - Commercialisation des produits et services sportifs</t>
  </si>
  <si>
    <t>AUDENCIA - SAINT-OUEN</t>
  </si>
  <si>
    <t>Formation des écoles de commerce et de management Bac + 3 - Bachelor in Management</t>
  </si>
  <si>
    <t>INSEEC Paris</t>
  </si>
  <si>
    <t>Formation des écoles de commerce et de management Bac + 4</t>
  </si>
  <si>
    <t>Formation des écoles de commerce et de management Bac + 3 - Bachelor of Business Administration</t>
  </si>
  <si>
    <t>ESAA Boulle</t>
  </si>
  <si>
    <t>DN MADE - Espace - Spécialité Agencement</t>
  </si>
  <si>
    <t>Certificat de Spécialisation - Sommellerie</t>
  </si>
  <si>
    <t>Lycée professionnel Gustave Ferrie</t>
  </si>
  <si>
    <t>Certificat de Spécialisation - Cybersécurité</t>
  </si>
  <si>
    <t>Lycée professionnel Leonard De Vinci</t>
  </si>
  <si>
    <t>DN MADE - Espace - Spécialité : Tapisserie décoration (Créateur-concepteur - mobilier et décor d’exception)</t>
  </si>
  <si>
    <t>Licence professionnelle - Métier du commerce international - Parcours Trilingue Tourisme international</t>
  </si>
  <si>
    <t>Formation d'ingénieur Bac + 5 - Bacs généraux - 2 Sciences</t>
  </si>
  <si>
    <t>Ecole supérieure libre des sciences commerciales appliquées</t>
  </si>
  <si>
    <t>Formation des écoles de commerce et de management Bac + 3 - Bachelor finance</t>
  </si>
  <si>
    <t>ESTACA Paris-Saclay (Saint-Quentin-en-Yvelines)</t>
  </si>
  <si>
    <t>Formation d'ingénieur Bac + 5 - Bac série générale avec la spécialité Maths en Terminale + une spécialité scientifique</t>
  </si>
  <si>
    <t>ESME Sudria Paris</t>
  </si>
  <si>
    <t>Formation d'ingénieur Bac + 5 - Bac Série générale</t>
  </si>
  <si>
    <t>Certificat de Spécialisation - Organisateur de réception</t>
  </si>
  <si>
    <t>Certificat de Spécialisation - Techn. en énergies renouvelables opt. a énergie électrique</t>
  </si>
  <si>
    <t>Certificat de Spécialisation - Technicien(ne) ascensoriste (service et modernisation)</t>
  </si>
  <si>
    <t>C.M.I - Cursus Master en Ingénierie - Physique - Cursus Master en Ingénierie (CMI) : Physique</t>
  </si>
  <si>
    <t>C.M.I - Cursus Master en Ingénierie - Electronique, énergie électrique, automatique - Cursus Master en Ingénierie (CMI) : Electronique, Energie électrique, Automatique</t>
  </si>
  <si>
    <t>Ecole nationale supérieure d'arts de Paris-Cergy</t>
  </si>
  <si>
    <t>Diplôme National d'Art</t>
  </si>
  <si>
    <t>Diplôme d'Université - PAREO - PAREO</t>
  </si>
  <si>
    <t>Classe préparatoire aux études supérieures - Arts</t>
  </si>
  <si>
    <t>DN MADE - Objet - Spécialité : Horlogerie, mention objet numérique et patrimoine</t>
  </si>
  <si>
    <t>DN MADE - Animation - Spécialité : Cinéma d'animation 3D</t>
  </si>
  <si>
    <t>ECOLE NATIONALE SUPERIEURE A.A-MET.D'ART.</t>
  </si>
  <si>
    <t>DN MADE - Numérique - Spécialité : Expériences narratives et interactives</t>
  </si>
  <si>
    <t>DN MADE - Événement - Spécialité : Evénement - Espaces et dispositifs de communication pour les marques : culturelles, commerciales et associatives</t>
  </si>
  <si>
    <t>DN MADE - Spectacle - Spécialité : Sculpture appliquée à l'espace scénique</t>
  </si>
  <si>
    <t>DN MADE - Événement - Spécialité : Conception de dispositifs et d'espaces éphémères pour les marques, les associations et les organisations culturelles</t>
  </si>
  <si>
    <t>DN MADE - Espace - Spécialité : Design d'espace en pratiques collaboratives</t>
  </si>
  <si>
    <t>Lycée Eugenie Cotton</t>
  </si>
  <si>
    <t>DN MADE - Graphisme - Spécialité : Graphisme en mouvement</t>
  </si>
  <si>
    <t>DN MADE - Objet - Spécialité : Design d'objet, édition et production</t>
  </si>
  <si>
    <t>DN MADE - Graphisme - Spécialité : Image et Identité visuelle - Design Éditorial</t>
  </si>
  <si>
    <t>DN MADE - Ornement - Spécialité : Vitrail</t>
  </si>
  <si>
    <t>DN MADE - Objet - Spécialité : DESIGN DE PRODUITS, OBJETS D'EXCEPTION ET PRATIQUES SINGULIERES</t>
  </si>
  <si>
    <t>Lycée Maximilien Vox</t>
  </si>
  <si>
    <t>DN MADE - Événement - Spécialité : Dispositifs de communication</t>
  </si>
  <si>
    <t>Certificat de Spécialisation - Animation-gestion de projets dans le secteur sportif</t>
  </si>
  <si>
    <t>DEUST - Animation et gestion des activités physiques, sportives ou culturelles</t>
  </si>
  <si>
    <t>IFSI de l'Hôpital NOVO - site de Pontoise</t>
  </si>
  <si>
    <t>IFSI</t>
  </si>
  <si>
    <t>D.E Infirmier</t>
  </si>
  <si>
    <t>IFSI Diaconesses Reuilly</t>
  </si>
  <si>
    <t>IFSI Antoine Beclere (AP-HP)</t>
  </si>
  <si>
    <t>IFSI Virginie Olivier CH Sainte Anne</t>
  </si>
  <si>
    <t>IFSI Grand Hôpital Est Francilien - Site de Formation Serris</t>
  </si>
  <si>
    <t>IFSI de l'Inst Hosp Franco-Britannique</t>
  </si>
  <si>
    <t>IFSI Charles Foix (AP-HP)</t>
  </si>
  <si>
    <t>IFSI CH André Mignot Versailles</t>
  </si>
  <si>
    <t>IFSI du CH de Rambouillet</t>
  </si>
  <si>
    <t>Diplôme d'Université - Chimie-Physique entièrement enseigné en anglais</t>
  </si>
  <si>
    <t>CERPE</t>
  </si>
  <si>
    <t>EFTS</t>
  </si>
  <si>
    <t>D.E Educateur de Jeunes Enfants</t>
  </si>
  <si>
    <t>CEMEA ILE-DE-FRANCE-CFPES</t>
  </si>
  <si>
    <t>D.E Educateur Spécialisé</t>
  </si>
  <si>
    <t>ISIT - Institut de Management et de Communication Interculturels</t>
  </si>
  <si>
    <t>Formation des écoles de commerce et de management Bac + 5 - Programme Grandes Ecoles - Management - Communication</t>
  </si>
  <si>
    <t>EPSS - Ecole Pratique de Service Social</t>
  </si>
  <si>
    <t>IRFASE</t>
  </si>
  <si>
    <t>Formation des écoles de commerce et de management Bac + 3 - Bachelor Marketing Digital et communication</t>
  </si>
  <si>
    <t>Institut de travail social et de recherches sociales - Montrouge</t>
  </si>
  <si>
    <t>Institut de Travail Social et de Recherche Sociale Neuilly-sur-Marne</t>
  </si>
  <si>
    <t>D.E Assistant de Service Social</t>
  </si>
  <si>
    <t>Lycée professionnel Etienne Dolet</t>
  </si>
  <si>
    <t>Formation valant grade de licence - Sciences des Organisations - Paris - Talents</t>
  </si>
  <si>
    <t>Formation valant grade de licence - Mathématique - Informatique - Paris - Talents</t>
  </si>
  <si>
    <t>Sciences Po Saint-Germain-en-Laye – Institut d'études politiques</t>
  </si>
  <si>
    <t>Sciences Po / Instituts d'études politiques - Sciences Humaines et Sociales - Grade Master - Cursus général</t>
  </si>
  <si>
    <t>ISEP Paris</t>
  </si>
  <si>
    <t>ISG Paris</t>
  </si>
  <si>
    <t>Formation des écoles de commerce et de management Bac + 5 -  Programme Grande Ecole</t>
  </si>
  <si>
    <t>Ecole nationale supérieure de paysage Versailles</t>
  </si>
  <si>
    <t>Paysage - Première année commune, Arts, Paysage, Architecture</t>
  </si>
  <si>
    <t>Institut supérieur de rééducation psychomotrice</t>
  </si>
  <si>
    <t>D.E Psychomotricien</t>
  </si>
  <si>
    <t>EDC Paris Business School</t>
  </si>
  <si>
    <t>EMLV - École de Management Léonard De Vinci</t>
  </si>
  <si>
    <t>ESSCA School of Management - Paris</t>
  </si>
  <si>
    <t>Formation des écoles de commerce et de management Bac + 3 - Bachelor en Management International</t>
  </si>
  <si>
    <t>Ecole nationale supérieure de création industrielle - Les ateliers</t>
  </si>
  <si>
    <t>Formation des écoles supérieure d'art Bac + 5 - Créateur industriel</t>
  </si>
  <si>
    <t>ESCP Business School</t>
  </si>
  <si>
    <t>Formation des écoles de commerce et de management Bac + 3 - Commerce et entrepreneuriat</t>
  </si>
  <si>
    <t>ECOLE DU LOUVRE</t>
  </si>
  <si>
    <t>Archéologie, histoire de l'art, anthropologie</t>
  </si>
  <si>
    <t>Certificat de capacité d'Orthophoniste</t>
  </si>
  <si>
    <t>Ecole Nationale Supérieure des Arts Décoratifs</t>
  </si>
  <si>
    <t>Formation des écoles supérieure d'art Bac + 3 - Diplôme de premier cycle de l'ENSAD</t>
  </si>
  <si>
    <t>DN MADE - Objet - Spécialité : Ebénisterie (Créateur-concepteur - ameublement d’exception)</t>
  </si>
  <si>
    <t>Centre de Ressources, d'Expertise et de Performance Sportive d'Ile de France (CREPS)</t>
  </si>
  <si>
    <t>BPJEPS - Spécialité Educateur sportif - Mention Activités aquatiques et de la natation</t>
  </si>
  <si>
    <t>ECAM EPMI</t>
  </si>
  <si>
    <t>Formation d'ingénieur Bac + 5 - Autres Séries</t>
  </si>
  <si>
    <t>Lycée professionnel Turquetil</t>
  </si>
  <si>
    <t>FCIL - Maroquinerie / Gainerie / Sellerie de luxe</t>
  </si>
  <si>
    <t>Certificat de Spécialisation - Techn. en énergies renouvelables opt. b énergie thermique</t>
  </si>
  <si>
    <t>Ecole Spéciale d'Architecture</t>
  </si>
  <si>
    <t>Bicursus Architecture Ingénieur - ESTP</t>
  </si>
  <si>
    <t>LP Lycée des métiers La Source</t>
  </si>
  <si>
    <t>DN MADE - Matériaux - Spécialité - Objets, décors et mobiliers</t>
  </si>
  <si>
    <t>Ecole Universitaire de premier cycle - Université Paris-Saclay</t>
  </si>
  <si>
    <t>Diplôme d'Université - PAREO - DU Rebondir, Réagir, Réussir</t>
  </si>
  <si>
    <t>École nationale vétérinaire d’Alfort</t>
  </si>
  <si>
    <t>Formation Bac+6</t>
  </si>
  <si>
    <t>Formation des écoles de commerce et de management Bac + 3 - Bachelor Digital et International Business</t>
  </si>
  <si>
    <t>ISTEC - Ecole Supérieure de Commerce et de Marketing</t>
  </si>
  <si>
    <t>Formation des écoles de commerce et de management Bac + 3 - Bachelor Commerce et Marketing</t>
  </si>
  <si>
    <t>CY TECH - Université de Cergy-Pontoise</t>
  </si>
  <si>
    <t>Formation d'ingénieur Bac + 5</t>
  </si>
  <si>
    <t>Institut Supérieur de Commerce de Paris</t>
  </si>
  <si>
    <t>Formation des écoles de commerce et de management Bac + 3 - Bachelor en management</t>
  </si>
  <si>
    <t>DSP - Développement et exploitation de parcs informatiques</t>
  </si>
  <si>
    <t>Cycle pluridisciplinaire d'Études Supérieures - Sciences</t>
  </si>
  <si>
    <t>Licence professionnelle - Métiers des arts culinaires et des arts de la table</t>
  </si>
  <si>
    <t>Certificat de Spécialisation - Services numériques aux organisations</t>
  </si>
  <si>
    <t>Conservation-restauration des biens culturels - spécialité Livre</t>
  </si>
  <si>
    <t>Formation valant grade de licence - Double licence Intelligence Artificielle et Sciences des Organisations</t>
  </si>
  <si>
    <t>Licence professionnelle - Bio-industries et biotechnologies</t>
  </si>
  <si>
    <t>Institut Francais de la Mode (IFM)</t>
  </si>
  <si>
    <t>Formation des écoles supérieure d'art Bac + 3 - Bachelor of Arts in Fashion Design  - Cursus francophone ou anglophone</t>
  </si>
  <si>
    <t>BUC RESSOURCES</t>
  </si>
  <si>
    <t>Lycée Colbert</t>
  </si>
  <si>
    <t>Lycée professionnel Corvisart-Arts Graphiques</t>
  </si>
  <si>
    <t>Certificat de Spécialisation - Art de la dorure à chaud</t>
  </si>
  <si>
    <t>ESCE Courbevoie</t>
  </si>
  <si>
    <t>Diplôme d'Université - Bachelor Relations internationales/International Affairs</t>
  </si>
  <si>
    <t>Formation des écoles de commerce et de management Bac + 3 - Bachelor en management du tourisme et de l'hôtellerie</t>
  </si>
  <si>
    <t>Formation des écoles de commerce et de management Bac + 5 -  Programme Grande école</t>
  </si>
  <si>
    <t>FCIL - Perruquier cheveux synthétiques "Perruques en Scène"</t>
  </si>
  <si>
    <t>Lycée professionnel Alfred Costes</t>
  </si>
  <si>
    <t>FCIL - Graphisme et médiation culturelle</t>
  </si>
  <si>
    <t>FCIL - Préparation aux concours de la sécurité civile et publique (police, gendarmerie, pénitentiaire, pompiers)</t>
  </si>
  <si>
    <t>ESTP Campus de Cachan</t>
  </si>
  <si>
    <t>Diplôme d'Etablissement - Admission commune Bachelors</t>
  </si>
  <si>
    <t>Lycée professionnel Andre-Marie Ampere</t>
  </si>
  <si>
    <t>Licence professionnelle - Assurance, banque, finance : chargé de clientèle - Parcours chargé de clientèle banque- assurance</t>
  </si>
  <si>
    <t>Certificat de Spécialisation - Accueil-réception</t>
  </si>
  <si>
    <t>Diplôme d'Université - PAREO</t>
  </si>
  <si>
    <t>Lycée professionnel Saint-Jean De Montmartre</t>
  </si>
  <si>
    <t>Diplôme d'Université - Préparation à la conduite Ferroviaire</t>
  </si>
  <si>
    <t>Certificat de capacité d'Orthoptiste</t>
  </si>
  <si>
    <t>ESME Sudria</t>
  </si>
  <si>
    <t>Formation Bac + 3 - Bachelor en sciences et ingénierie</t>
  </si>
  <si>
    <t>Cycle pluridisciplinaire d'Études Supérieures - Sciences des données, arts et cultures</t>
  </si>
  <si>
    <t>DN MADE - Espace - Spécialité : Menuiserie en siège (Créateur-concepteur - mobilier et décor d’exception)</t>
  </si>
  <si>
    <t>IDRAC Business School - Campus de PARIS</t>
  </si>
  <si>
    <t>Formation des écoles de commerce et de management Bac + 3</t>
  </si>
  <si>
    <t>Sciences Po / Instituts d'études politiques - Sciences Humaines et Sociales - Grade Licence - Double diplôme Sciences Po-LUISS</t>
  </si>
  <si>
    <t>Lycée Leo Lagrange</t>
  </si>
  <si>
    <t>FCIL - Conseiller de vente en produits et services de luxe</t>
  </si>
  <si>
    <t>FCIL - Organisation de transport de marchandises</t>
  </si>
  <si>
    <t>ECAM-EPMI site de Cachan</t>
  </si>
  <si>
    <t>DTS Imagerie médicale et radiologie thérapeutique</t>
  </si>
  <si>
    <t>Certificat de Spécialisation - Aéronautique option avions à moteurs à pistons</t>
  </si>
  <si>
    <t>Formation d'ingénieur Bac + 5 - Bac Série STI2D</t>
  </si>
  <si>
    <t>C.M.I - Cursus Master en Ingénierie - Electronique, énergie électrique, automatique - Cursus Master en Ingénierie (CMI) : EEA (Traitement de l'information et gestion de l'énergie)</t>
  </si>
  <si>
    <t>SupBiotech Paris</t>
  </si>
  <si>
    <t>Formation d'ingénieur Bac + 5 - Bac STL</t>
  </si>
  <si>
    <t>Cycle pluridisciplinaire d'Études Supérieures - Economie, société et droit</t>
  </si>
  <si>
    <t>DN MADE - Graphisme - Spécialité : Design du livre et de l'édition</t>
  </si>
  <si>
    <t>DN MADE - Objet - Spécialité : Matériaux</t>
  </si>
  <si>
    <t>DN MADE - Numérique - Spécialité : Graphisme Augmenté</t>
  </si>
  <si>
    <t>DN MADE - Espace - Spécialité : Scénographies : scènes, corps, récits</t>
  </si>
  <si>
    <t>DN MADE - Mode - Spécialité : Savoir-faire, luxe et innovation – Broderie</t>
  </si>
  <si>
    <t>DN MADE - Objet - Spécialité : Objets et systèmes d'objets céramique</t>
  </si>
  <si>
    <t>Lycée Paul Poiret</t>
  </si>
  <si>
    <t>DN MADE - Spectacle - Spécialité : Étude, recherche et réalisation de costumes pour le spectacle vivant</t>
  </si>
  <si>
    <t>DN MADE - Graphisme - Spécialité : Design collaboratif social et solidaire</t>
  </si>
  <si>
    <t>Institut Sainte-Genevieve</t>
  </si>
  <si>
    <t>DN MADE - Objet - Spécialité : Concevoir l’unique et la série</t>
  </si>
  <si>
    <t>DN MADE - Numérique - Spécialité : Designer graphique numérique option motion</t>
  </si>
  <si>
    <t>DN MADE - Matériaux - Spécialité :  Laque</t>
  </si>
  <si>
    <t>DN MADE - Objet - Spécialité : Design éco-responsable</t>
  </si>
  <si>
    <t>DN MADE - Graphisme - Spécialité : Médiation et narration scientifiques par le design graphique et l’illustration</t>
  </si>
  <si>
    <t>DN MADE - Graphisme - Spécialité : Dispositifs d'interaction</t>
  </si>
  <si>
    <t>DN MADE - Livre - Spécialité : Objet-livre - création éditoriale</t>
  </si>
  <si>
    <t>DN MADE - Graphisme - Spécialité : Design et stratégie de communication</t>
  </si>
  <si>
    <t>DN MADE - Graphisme - Spécialité : Designer typographe</t>
  </si>
  <si>
    <t>DN MADE - Numérique - Spécialité : Designer graphique numérique option interface</t>
  </si>
  <si>
    <t>Diplôme d'Université - Diplôme d'Initiation à l'Arabe</t>
  </si>
  <si>
    <t>Diplôme d'Université - Diplôme d'Initiation au Chinois</t>
  </si>
  <si>
    <t>IFSI Bichat (AP-HP)</t>
  </si>
  <si>
    <t>IFSI de l'Hôpital NOVO - site de Beaumont</t>
  </si>
  <si>
    <t>IFSI Avicenne - Jean Verdier (AP-HP)</t>
  </si>
  <si>
    <t>IFSI CH Robert Ballanger</t>
  </si>
  <si>
    <t>IFSI Campus Picpus (AP-HP)</t>
  </si>
  <si>
    <t>IFSI Croix Saint-Simon</t>
  </si>
  <si>
    <t>IFSI du CHI de Poissy Saint Germain-En-Laye</t>
  </si>
  <si>
    <t>IFSI de l'Hôpital Foch</t>
  </si>
  <si>
    <t>IFSI Raymond Poincaré (AP-HP)</t>
  </si>
  <si>
    <t>ETSUP</t>
  </si>
  <si>
    <t>EFPP</t>
  </si>
  <si>
    <t>IRTS Paris Ile-de-France</t>
  </si>
  <si>
    <t>Formation des écoles de commerce et de management Bac + 3 - Bachelor en sciences du management - Diplôme responsable du développement commercial et marketing - Option "Business Development</t>
  </si>
  <si>
    <t>Lycée Pierre Brossolette</t>
  </si>
  <si>
    <t>IFSI GH Nord Essonne</t>
  </si>
  <si>
    <t>FCIL - Mécanicien circuit auto</t>
  </si>
  <si>
    <t>DN MADE - Matériaux - Spécialité : Créateur textile tissage</t>
  </si>
  <si>
    <t>DN MADE - Mode - Spécialité : Textile, Mode, Recherche et Développement</t>
  </si>
  <si>
    <t>Lycée professionnel Daniel Balavoine</t>
  </si>
  <si>
    <t>FCIL - Métiers de Laboratoire</t>
  </si>
  <si>
    <t>CESI Ecole d’Ingénieurs</t>
  </si>
  <si>
    <t>Formation d'ingénieur Bac + 5 - Cycle Préparatoire Intégré - Spécialité Généraliste, BTP, Informatique, Systèmes embarqués</t>
  </si>
  <si>
    <t>IFSI Saint Louis (AP-HP)</t>
  </si>
  <si>
    <t>I.F.S.I. du centre hospitalier du sud Seine-et-Marne (rentrée en février)</t>
  </si>
  <si>
    <t>Formation valant grade de licence - Sciences des Organisations - Programme franco-allemand</t>
  </si>
  <si>
    <t>IPSA Paris</t>
  </si>
  <si>
    <t>INSTITUT NATIONAL DE PODOLOGIE</t>
  </si>
  <si>
    <t>ESSEC Business School</t>
  </si>
  <si>
    <t>FERRANDI Paris - L'école Française de Gastronomie et de Management Hôtelier</t>
  </si>
  <si>
    <t>Formations aux métiers de l'hôtellerie restauration Bac +3 - Bachelor Manager dans l’hôtellerie restauration</t>
  </si>
  <si>
    <t>Formations aux métiers de l'hôtellerie restauration Bac +3 - Bachelor Arts culinaires et entrepreneuriat / Option Pâtisserie</t>
  </si>
  <si>
    <t>Strate - Ecole de design</t>
  </si>
  <si>
    <t>Formation des écoles supérieure d'art Bac + 5 - Designer</t>
  </si>
  <si>
    <t>Formation des écoles supérieure d'art Bac + 3 - Etudes Supérieures en Réalisation Audiovisuelle</t>
  </si>
  <si>
    <t>Institut de formation en Ergothérapie du Centre Hospitalier Intercommunal de Meulan-Les Mureaux</t>
  </si>
  <si>
    <t>D.E Ergothérapeute</t>
  </si>
  <si>
    <t>Institut de formation en Psychomotricité du Centre Hospitalier Intercommunal de Meulan-Les Mureaux</t>
  </si>
  <si>
    <t>Ecole danhier de pédicurie-podologie</t>
  </si>
  <si>
    <t>Conservation-restauration des biens culturels - spécialité Arts graphiques</t>
  </si>
  <si>
    <t>Conservation-restauration des biens culturels - spécialité Arts textiles</t>
  </si>
  <si>
    <t>Architecture - Diplôme de l’ESA</t>
  </si>
  <si>
    <t>Année préparatoire - Année de préparation aux études supérieures (A.P.E.S.)- Option Sciences humaines</t>
  </si>
  <si>
    <t>Formation des écoles supérieure d'art Bac + 5 - Designer textile</t>
  </si>
  <si>
    <t>IESEG School of Management - Paris La Défense</t>
  </si>
  <si>
    <t>Formation des écoles de commerce et de management Bac + 3 - Bachelor in International Business</t>
  </si>
  <si>
    <t>DN MADE - Matériaux - Spécialité : Objet, Mobilier et Marqueterie</t>
  </si>
  <si>
    <t>Lycée professionnel Claude Chappe</t>
  </si>
  <si>
    <t>FCIL - Mobilités Urbaines, maintenances des véhicules électriques légers (Vélos électriques, trottinettes, hoverboards, ...)</t>
  </si>
  <si>
    <t>FCIL - SVDI (Sureté vidéo détection Intrusion)</t>
  </si>
  <si>
    <t>Formation des écoles de commerce et de management Bac + 5 - Juriste linguiste /  Droit et Etudes Multilingues</t>
  </si>
  <si>
    <t>Diplôme d'Etablissement - Bachelor Entrepreneuriat dans les métiers d'art et du design</t>
  </si>
  <si>
    <t>Formation des écoles de commerce et de management Bac + 3 - BSC Chef de projet Mode et des Industries Créatives - Cursus anglophone</t>
  </si>
  <si>
    <t>Année préparatoire - Année de préparation aux études supérieures (A.P.E.S.)- Option Sciences politiques</t>
  </si>
  <si>
    <t>IFSI Paris Croix Saint-Simon</t>
  </si>
  <si>
    <t>Toulouse Business School - Campus de Paris</t>
  </si>
  <si>
    <t>Formation des écoles de commerce et de management Bac + 5 - Juriste linguiste / Droit Etudes Interculturelles</t>
  </si>
  <si>
    <t>Formation des écoles de commerce et de management Bac + 3 - Bachelor Management et stratégie digitale</t>
  </si>
  <si>
    <t>EGC SUP de V - Paris</t>
  </si>
  <si>
    <t>Formation des écoles de commerce et de management Bac + 3 - Bachelor Marketing, Vente et Gestion</t>
  </si>
  <si>
    <t>Lycée professionnel Chateau Des Coudraies</t>
  </si>
  <si>
    <t>aivancity School of AI &amp; Data for Business &amp; Society</t>
  </si>
  <si>
    <t>Diplôme d'Etablissement - Programme Grande Ecole - Intelligence Artificielle et Sciences de données</t>
  </si>
  <si>
    <t>ESIEE-IT - CCI PARIS ILE DE FRANCE - Pontoise</t>
  </si>
  <si>
    <t>Kedge Business School - Campus de Paris</t>
  </si>
  <si>
    <t>DN MADE - Matériaux - Spécialité : Monture en bronze (Créateur-concepteur métal - objet d’exception)</t>
  </si>
  <si>
    <t>DN MADE - Patrimoine - Spécialité : Restauration de mobilier (Créateur-concepteur - décor et restauration en mobilier d’exception)</t>
  </si>
  <si>
    <t>Année préparatoire - Année de préparation aux études supérieures (A.P.E.S.) - Option santé</t>
  </si>
  <si>
    <t>ASCENCIA Business School</t>
  </si>
  <si>
    <t>Ascencia Business School - Paris-la-Défense</t>
  </si>
  <si>
    <t>Double Diplôme - Grade Master - Spécialité Politiques Publiques et Management des Organisations (PPMO)</t>
  </si>
  <si>
    <t>Formation Bac + 3 - Bachelors - Voie d'accès réservée aux BAC +1 uniquement</t>
  </si>
  <si>
    <t>ESA - Ecole Supérieure des Agricultures (Paris-St Quentin)</t>
  </si>
  <si>
    <t>Formation d'ingénieur Bac + 5 - Bacs généraux</t>
  </si>
  <si>
    <t>Formation Bac + 3 - Bachelor en sciences et ingénierie, spécialité Agroécologie et Systèmes Alimentaires</t>
  </si>
  <si>
    <t>Conservation-restauration des biens culturels - spécialité  Arts du feu (vitrail)</t>
  </si>
  <si>
    <t>Formation des écoles de commerce et de management Bac + 4 - International BBA cursus anglophone</t>
  </si>
  <si>
    <t>Lycée Paul-Emile Victor</t>
  </si>
  <si>
    <t>FCIL - secrétariat médical</t>
  </si>
  <si>
    <t>DSP - Assistant communication digitale</t>
  </si>
  <si>
    <t>DSP - Assistant intégrateur web</t>
  </si>
  <si>
    <t>Diplôme d'Etablissement - Assistant de gestion - Bac +1</t>
  </si>
  <si>
    <t>Diplôme d'Etablissement - Bachelor des transitions</t>
  </si>
  <si>
    <t>Formation des écoles de commerce et de management Bac + 3 - Diplôme de manager international- IBBA</t>
  </si>
  <si>
    <t>Formation valant grade de licence - International Bachelor of Science in Artificial Intelligence (AI)</t>
  </si>
  <si>
    <t>Institut de gestion sociale</t>
  </si>
  <si>
    <t>Formation des écoles de commerce et de management Bac + 3 - Bachelor RH et Transformation Digitale</t>
  </si>
  <si>
    <t>Ecole Supérieure d'Architecture des Jardins (E.S.A.J.)</t>
  </si>
  <si>
    <t>Paysagiste concepteur</t>
  </si>
  <si>
    <t>Certificat de Spécialisation - Aéronautique option avions à moteurs à turbines</t>
  </si>
  <si>
    <t>Certificat de Spécialisation - Aéronautique option avionique</t>
  </si>
  <si>
    <t>Année préparatoire aux Etudes de Santé (APES)</t>
  </si>
  <si>
    <t>C.M.I - Cursus Master en Ingénierie - Mécanique - Cursus Master en Ingénierie (CMI) : Mécanique</t>
  </si>
  <si>
    <t>Lycée professionnel Mixte THEODORE MONOD</t>
  </si>
  <si>
    <t>Lycée professionnel Paul Painleve</t>
  </si>
  <si>
    <t>BPJEPS - Spécialité Educateur sportif - Mention Activités physiques pour tous</t>
  </si>
  <si>
    <t>DN MADE - Espace - Spécialité : Scénographie : théâtre, danse, exposition</t>
  </si>
  <si>
    <t>DN MADE - Événement - Spécialité : Espaces éphémères de marques et d'institutions culturelles</t>
  </si>
  <si>
    <t>Lycée professionnel Hector Guimard</t>
  </si>
  <si>
    <t>DN MADE - Espace - Spécialité : Décors</t>
  </si>
  <si>
    <t>Lycée Lucas De Nehou</t>
  </si>
  <si>
    <t>DN MADE - Matériaux - Spécialité : Verre, espace, objet</t>
  </si>
  <si>
    <t>DN MADE - Graphisme - Spécialité : Designer graphique</t>
  </si>
  <si>
    <t>DN MADE - Objet - Spécialité : Design produits et services</t>
  </si>
  <si>
    <t>DN MADE - Objet - Spécialité : Céramique</t>
  </si>
  <si>
    <t>DN MADE - Spectacle - Spécialité : Concepteur / réalisateur de costumes</t>
  </si>
  <si>
    <t>DN MADE - Espace - Spécialité : Design Éco Social, territoires et transitions</t>
  </si>
  <si>
    <t>DN MADE - Événement - Spécialité : Scénographie des événements culturels</t>
  </si>
  <si>
    <t>DN MADE - Graphisme - Spécialité : Graphisme et image - création et diffusion</t>
  </si>
  <si>
    <t>DN MADE - Matériaux - Spécialité Textile mineure numérique, parcours Volume textile : Techniques, Savoir-faire et Innovations</t>
  </si>
  <si>
    <t>DN MADE - Livre - Spécialité : Gravure- images imprimées</t>
  </si>
  <si>
    <t>DN MADE - Animation - Spécialité : Cinéma d'Animation 2D</t>
  </si>
  <si>
    <t>DN MADE - Matériaux - Spécialité : Textile, Matériaux, Recherche et Développement</t>
  </si>
  <si>
    <t>DN MADE - Espace - Spécialité : Espaces de vie : matériaux, contextes, expériences</t>
  </si>
  <si>
    <t>DN MADE - Ornement - Spécialité : Fresque et arts du mur</t>
  </si>
  <si>
    <t>DN MADE - Espace - Spécialité : ARCHITECTURE, ESPACES PUBLICS ET CONTEXTES URBAINS</t>
  </si>
  <si>
    <t>DN MADE - Espace - Spécialité : ARCHITECTURE, PATRIMOINE ET LIEUX CULTURELS</t>
  </si>
  <si>
    <t>DN MADE - Spectacle - Spécialité : Mise en lumière pour le spectacle et l'événement</t>
  </si>
  <si>
    <t>DN MADE - Spectacle - Spécialité : Sonorisation et création sonore</t>
  </si>
  <si>
    <t>Lycée professionnel Régional Abbe Gregoire</t>
  </si>
  <si>
    <t>IFSI Camille Claudel CH Argenteuil</t>
  </si>
  <si>
    <t>IFSI EPS Ville Evrard</t>
  </si>
  <si>
    <t>IFSI CH Barthélemy Durand</t>
  </si>
  <si>
    <t>IFSI Bicetre (AP-HP)</t>
  </si>
  <si>
    <t>IFSI Henri Mondor (AP-HP)</t>
  </si>
  <si>
    <t>IFSI Croix Rouge Française Paris</t>
  </si>
  <si>
    <t>IFSI Croix Rouge Française Mantes La Jolie</t>
  </si>
  <si>
    <t>IFSI CH Intercommunal Meulan-Les Mureaux (CHimm)</t>
  </si>
  <si>
    <t>Institut Mines-Télécom Business School</t>
  </si>
  <si>
    <t>Formation des écoles de commerce et de management Bac + 3 - Bachelor</t>
  </si>
  <si>
    <t>DN MADE - Graphisme</t>
  </si>
  <si>
    <t>FCIL - Maintenance Milieu Nucléaire</t>
  </si>
  <si>
    <t>FCIL - E-Commerce</t>
  </si>
  <si>
    <t>FCIL - Secrétariat Médico Social</t>
  </si>
  <si>
    <t>CENTRE DE FORMATION L'HORIZON</t>
  </si>
  <si>
    <t>IRTS Île-de-France - Site de Melun</t>
  </si>
  <si>
    <t>FCIL - Agent de maitrise de "métré bois"</t>
  </si>
  <si>
    <t>DN MADE - Espace - Spécialité : Conception et Réhabilitation</t>
  </si>
  <si>
    <t>FCIL - Technicien de systèmes de sécurité et d'incendie</t>
  </si>
  <si>
    <t>FCIL - Multimédia</t>
  </si>
  <si>
    <t>IFSI Françoise Dolto</t>
  </si>
  <si>
    <t>Sciences Po / Instituts d'études politiques - Sciences Humaines et Sociales - Grade Licence - Bachelor du Collège universitaire de Sciences Po</t>
  </si>
  <si>
    <t>Formation des écoles de commerce et de management Bac + 3 - Bachelor Communication digitale et internationale</t>
  </si>
  <si>
    <t>Formation des écoles de commerce et de management Bac + 5</t>
  </si>
  <si>
    <t>Assas Formations Santé</t>
  </si>
  <si>
    <t>Formations aux métiers de l'hôtellerie restauration Bac +3 - Bachelor Arts culinaires et entrepreneuriat / Option Cuisine</t>
  </si>
  <si>
    <t>AFREP - Institut de formation en pédicurie-podologie</t>
  </si>
  <si>
    <t>IFSI Hôpital Stell</t>
  </si>
  <si>
    <t>FCIL - Prototypiste Mécanicien(ne) Modèle</t>
  </si>
  <si>
    <t>Diplôme d'Université - Designer Global - Bac+5</t>
  </si>
  <si>
    <t>Formation des écoles de commerce et de management Bac + 3 - Bachelor de responsable en gestion et management des entreprises</t>
  </si>
  <si>
    <t>Lycée professionnel Rene Cassin</t>
  </si>
  <si>
    <t>Conservation-restauration des biens culturels - spécialité Arts du feu (métal)</t>
  </si>
  <si>
    <t>DN MADE - Mode - Spécialité : Savoir-faire, luxe et innovation – Tissage</t>
  </si>
  <si>
    <t>Formation des écoles de commerce et de management Bac + 3 - Bachelor Business et nouvelles technologies</t>
  </si>
  <si>
    <t>Ecole du Travail Social Paris Croix Saint-Simon</t>
  </si>
  <si>
    <t>Formation d'ingénieur Bac + 5 - Bac Série générale avec 2 spécialités scientifiques mais sans la spécialité Maths en Terminale</t>
  </si>
  <si>
    <t>Ecole Supérieure des Sciences Economiques et Commerciales de Cergy</t>
  </si>
  <si>
    <t>Formation des écoles de commerce et de management Bac + 3 - Bachelor ACT - Apprendre à conduire les transitions</t>
  </si>
  <si>
    <t>Ecole Nationale Supérieure de l'Electronique et de ses Applications</t>
  </si>
  <si>
    <t>Formation Bac + 3 - Bachelor en sciences et ingénierie - technologies de l'information et société</t>
  </si>
  <si>
    <t>Diplôme d'Université - Institut d’études politiques – Sciences Humaines et Sociales - Grade Master – Cursus général</t>
  </si>
  <si>
    <t>Formation Bac + 3 - Bachelor en Sciences et Ingénierie - Biotechnologies</t>
  </si>
  <si>
    <t>DN MADE - Patrimoine - Spécialité : Décor et traitement de surfaces (Créateur-concepteur - décor et restauration en mobilier d’exception)</t>
  </si>
  <si>
    <t>DN MADE - Matériaux - Spécialité : Sculpture sur bois (Créateur-concepteur - volume et décor d’exception)</t>
  </si>
  <si>
    <t>DN MADE - Matériaux - Spécialité : Gravure en modelé (Créateur-concepteur - volume et décor d’exception)</t>
  </si>
  <si>
    <t>DN MADE - Ornement - Spécialité : Gravure ornementale (Créateur-concepteur - ornement et objet d’exception)</t>
  </si>
  <si>
    <t>DN MADE - Matériaux - Spécialité : Tournage d’art (Créateur-concepteur métal - objet d’exception)</t>
  </si>
  <si>
    <t>FCIL - Illustration</t>
  </si>
  <si>
    <t>Rennes School of Business Paris</t>
  </si>
  <si>
    <t>Formation des écoles de commerce et de management Bac + 3 - Bachelor Affaires internationales</t>
  </si>
  <si>
    <t>Licence professionnelle - Métier du commerce international - Parcours Trilingue Métiers du Commerce Bio et Développement Durable</t>
  </si>
  <si>
    <t>Lycée professionnel Jean Mace</t>
  </si>
  <si>
    <t>FCIL - Mobilités urbaines</t>
  </si>
  <si>
    <t>Lycée professionnel Marie Laurencin</t>
  </si>
  <si>
    <t>FCIL - Lingerie - Homewear</t>
  </si>
  <si>
    <t>PCSO : Préparation aux cursus scientifiques d'Orsay</t>
  </si>
  <si>
    <t>Classe de mise à niveau Cinéma-Audiovisuel</t>
  </si>
  <si>
    <t>Institut de Formation de Manipulateur d'électroradiologie médicale (IFMEM)</t>
  </si>
  <si>
    <t>D.E manipulateur/trice en électroradiologie médicale</t>
  </si>
  <si>
    <t>Institut de formation de manipulateur d'électroradiologie médicale du Campus Picpus (AP-HP)</t>
  </si>
  <si>
    <t>Ecole Nationale Supérieure d'Architecture de Paris-La Villette</t>
  </si>
  <si>
    <t>Bicursus Architecture Ingénieur - EIVP</t>
  </si>
  <si>
    <t>DEUST - Métiers de la forme</t>
  </si>
  <si>
    <t>DN MADE - Graphisme - Spécialité : Graphisme en action - Territoires d'Innovation Sociale</t>
  </si>
  <si>
    <t>DN MADE - Graphisme - Spécialité : Image de communication</t>
  </si>
  <si>
    <t>DN MADE - Événement - Spécialité : Espaces de communication</t>
  </si>
  <si>
    <t>DN MADE - Animation - Spécialité : Cinéma d'animation au service de la fiction</t>
  </si>
  <si>
    <t>DN MADE - Espace - Spécialité : Architecture intérieure</t>
  </si>
  <si>
    <t>DN MADE - Livre - Spécialité : Images et narration</t>
  </si>
  <si>
    <t>DN MADE - Espace - Spécialité : Architecture, habitat, mobilier et environnement</t>
  </si>
  <si>
    <t>DN MADE - Graphisme - Spécialité : Éditions et typographie imprimées et numériques</t>
  </si>
  <si>
    <t>DN MADE - Matériaux - Spécialité : Textile, couleur, matière, surface</t>
  </si>
  <si>
    <t>DN MADE - Graphisme - Spécialité : OBJET ÉDITORIAL</t>
  </si>
  <si>
    <t>DN MADE - Objet - Spécialité : Innovation sociale</t>
  </si>
  <si>
    <t>DN MADE - Graphisme - Spécialité : IDENTITÉS VISUELLES</t>
  </si>
  <si>
    <t>DN MADE - Événement - Spécialité : Design graphique événementiel de marques et d'institutions culturelles</t>
  </si>
  <si>
    <t>DN MADE - Animation - Spécialité : Cinéma d'animation au service du réel</t>
  </si>
  <si>
    <t>DN MADE - Mode - Spécialité : Collection, vêtements et accessoires</t>
  </si>
  <si>
    <t>DN MADE - Objet - Spécialité : Design produits, usages, innovation et production</t>
  </si>
  <si>
    <t>DN MADE - Graphisme - Spécialité : Identité visuelle et stratégie de communication</t>
  </si>
  <si>
    <t>Diplôme d'Université - Diplôme d'Initiation au Russe</t>
  </si>
  <si>
    <t>IFSI CH de Gonesse</t>
  </si>
  <si>
    <t>Etablissement hospitalier Centre hospitalier Sud Francilien</t>
  </si>
  <si>
    <t>IFSI- GH Paris St Joseph</t>
  </si>
  <si>
    <t>IFSI C.A.S.H. de Nanterre</t>
  </si>
  <si>
    <t>IFSI Jean Baptiste Pussin</t>
  </si>
  <si>
    <t>I.F.S.I. du centre hospitalier du sud Seine-et-Marne (rentrée en septembre)</t>
  </si>
  <si>
    <t>IFSI Grand Hôpital Est Francilien-Site de Formation Coulommiers</t>
  </si>
  <si>
    <t>IFSI Séraphine de Senlis - CH Les Murets</t>
  </si>
  <si>
    <t>IFSI Pitié Salpetrière (AP-HP)</t>
  </si>
  <si>
    <t>IFSI du CHI de Villeneuve-St-Georges</t>
  </si>
  <si>
    <t>IFSI Léonie Chaptal</t>
  </si>
  <si>
    <t>IFSI Ambroise Paré (AP-HP)</t>
  </si>
  <si>
    <t>CENTRE FORMATION SAINT-HONORE</t>
  </si>
  <si>
    <t>Formation des écoles de commerce et de management Bac + 5 - Programme Grandes Ecoles - Grade Master</t>
  </si>
  <si>
    <t>ICAM Grand Paris Sud</t>
  </si>
  <si>
    <t>FCIL - Restauration Meubles Anciens</t>
  </si>
  <si>
    <t>Lycée professionnel Helene Boucher</t>
  </si>
  <si>
    <t>FCIL - Aide déclarant en douane</t>
  </si>
  <si>
    <t>DN MADE - Espace - Spécialité : Fabrique d'espace et d'environnement</t>
  </si>
  <si>
    <t>IFSI CH Paul Guiraud</t>
  </si>
  <si>
    <t>Lycée professionnel Le Corbusier</t>
  </si>
  <si>
    <t>FCIL - Technicien sur centre d'usinage bois 3 et 5 axes - Concepteur sur modeleur 3D</t>
  </si>
  <si>
    <t>Lycée Etienne-Jules Marey</t>
  </si>
  <si>
    <t>FCIL - Formation graphisme et communication visuelle</t>
  </si>
  <si>
    <t>Ecole Nationale Supérieure d'Architecture de Paris-Val de Seine</t>
  </si>
  <si>
    <t>Diplôme d'Université - PAREO - Prép'Avenir</t>
  </si>
  <si>
    <t>Ecole nationale des sciences géographiques - ENSG GEOMATIQUE</t>
  </si>
  <si>
    <t>Licence professionnelle - Cartographie, topographie, systèmes d'information géographique Parcours Géomètre-Géomaticien</t>
  </si>
  <si>
    <t>MBS - Campus de Paris</t>
  </si>
  <si>
    <t>Formation des écoles de commerce et de management Bac + 3 - Bachelor of International Business Administration (BIBA)</t>
  </si>
  <si>
    <t>Licence professionnelle - Métiers de l'aménagement du territoire et de l'urbanisme parcours Architecture et Conception</t>
  </si>
  <si>
    <t>DEUST - Assistant juridique</t>
  </si>
  <si>
    <t>Licence professionnelle - Protection et valorisation du patrimoine historique et culturel Parcours  protection et mise en valeur du patrimoine bâti</t>
  </si>
  <si>
    <t>Lycée professionnel Antonin Careme</t>
  </si>
  <si>
    <t>Lycée Montaleau</t>
  </si>
  <si>
    <t>IFSI Emile Roux (AP-HP)</t>
  </si>
  <si>
    <t>IFSI Louise Couve</t>
  </si>
  <si>
    <t>IFSI Louis Mourier (AP-HP)</t>
  </si>
  <si>
    <t>Formation valant grade de licence - Mathématique - Informatique - Paris - Classique</t>
  </si>
  <si>
    <t>Institut de formation en ergothérapie Université Paris 12</t>
  </si>
  <si>
    <t>Institut de Formation en Ergothérapie ADERE</t>
  </si>
  <si>
    <t>Ecole d'Assas</t>
  </si>
  <si>
    <t>D.E Educateur Technique Spécialisé</t>
  </si>
  <si>
    <t>Année préparatoire - Année de préparation aux études supérieures (A.P.E.S.)- Option Etudes européennes</t>
  </si>
  <si>
    <t>DEUST - Bureautique et Communication Multimédia</t>
  </si>
  <si>
    <t>DN MADE - Innovation sociale - parcours événements</t>
  </si>
  <si>
    <t>DN MADE - Spectacle - Spécialité - Costume, costume accessoire</t>
  </si>
  <si>
    <t>DN MADE - Matériaux - Spécialité : Recherche Matière et croisement des savoir-faire</t>
  </si>
  <si>
    <t>Polytech Paris-Saclay</t>
  </si>
  <si>
    <t>FCIL - Préparation aux concours de la sécurité publique et civile</t>
  </si>
  <si>
    <t>Formation Bac + 3 - Bachelor Développeur web et application</t>
  </si>
  <si>
    <t>DSP - Design et métiers du bois (de la forêt au salon)</t>
  </si>
  <si>
    <t>DN MADE - Numérique - Spécialité : Coder sa créativité - Interface et narration interactives</t>
  </si>
  <si>
    <t>Bicursus Architecture Ingénieur</t>
  </si>
  <si>
    <t>CentraleSupélec</t>
  </si>
  <si>
    <t>Formation Bac + 3 - Bachelor en sciences et ingénierie - Ingénierie généraliste, en partenariat avec l'université Mc Gill</t>
  </si>
  <si>
    <t>Formation des écoles de commerce et de management Bac + 3 - Bachelor Ingénierie Marketing Digital</t>
  </si>
  <si>
    <t>Formation des écoles de commerce et de management Bac + 4 - Diplôme d’études supérieures en Data, IA et Management</t>
  </si>
  <si>
    <t>EPITECH - Campus de Paris - Kremlin-Bicêtre</t>
  </si>
  <si>
    <t>Diplôme d'Etablissement - Expert(e) en Technologies de l’information - Formation Bac + 5</t>
  </si>
  <si>
    <t>ASCENCIA Business School- Saint-Quentin-en-Yvelines</t>
  </si>
  <si>
    <t>Certificat de Spécialisation - Accueil dans les transports</t>
  </si>
  <si>
    <t>Licence professionnelle - Cartographie, topographie, systèmes d'information géographique Parcours Géomètre-Géomaticien - Statut Fonctionnaire</t>
  </si>
  <si>
    <t>Licence professionnelle - Métiers des réseaux informatiques et télécommunications Parcours réseaux et cybersécurité</t>
  </si>
  <si>
    <t>Forward College</t>
  </si>
  <si>
    <t>Diplôme d'Etablissement - Diplôme en sciences sociales et technologie</t>
  </si>
  <si>
    <t>Institut de Travail Social et de Recherche Sociale - Meaux</t>
  </si>
  <si>
    <t>EGC Sup de V - Saint-Germain-en-Laye</t>
  </si>
  <si>
    <t>Lycée professionnel Louis Girard</t>
  </si>
  <si>
    <t>Certificat de Spécialisation - Maquettes et prototypes</t>
  </si>
  <si>
    <t>Lycée professionnel Marcel Deprez</t>
  </si>
  <si>
    <t>Lycée professionnel Jean Perrin</t>
  </si>
  <si>
    <t>C.M.I - Cursus Master en Ingénierie - Economie et gestion - CURSUS MASTER EN INGENIERIE Economie Finance Quantitative et Statistique (CMI EFiQuaS)</t>
  </si>
  <si>
    <t>C.M.I - Cursus Master en Ingénierie - Sciences pour l'ingénieur - Cursus Master en Ingénierie (CMI) : Ingénierie pour l'Aéronautique, les Transports et l'Energétique</t>
  </si>
  <si>
    <t>IFMEM DE L'IFPM SUD FRANCILIEN</t>
  </si>
  <si>
    <t>C.M.I - Cursus Master en Ingénierie - Sciences de la terre - Cursus Master en Ingénierie (CMI) : Géosciences pour l'énergie</t>
  </si>
  <si>
    <t>Certificat de Spécialisation - Technicien(ne) en soudage</t>
  </si>
  <si>
    <t>DN MADE - Matériaux - Spécialité Céramique mineure numérique, parcours Volume céramique : Techniques, Savoir-faire et Innovations</t>
  </si>
  <si>
    <t>DN MADE - Matériaux - Spécialité : Céramique</t>
  </si>
  <si>
    <t>DN MADE - Événement - Spécialité : Evénementiel, médiation, scénographie</t>
  </si>
  <si>
    <t>DN MADE - Ornement - Spécialité : Mosaïque</t>
  </si>
  <si>
    <t>Certificat de Spécialisation - Technicien(ne) en tuyauterie</t>
  </si>
  <si>
    <t>DN MADE - Espace - Spécialité : Environnements pérennes et éphémères</t>
  </si>
  <si>
    <t>DN MADE - Matériaux - Spécialité : Créateur textile broderie</t>
  </si>
  <si>
    <t>DN MADE - Espace - Spécialité : Conception des paysages urbains partagés</t>
  </si>
  <si>
    <t>DN MADE - Graphisme - Spécialité : Image et narration</t>
  </si>
  <si>
    <t>DN MADE - Livre - Spécialité : Reliure-création et patrimoine</t>
  </si>
  <si>
    <t>DN MADE - Mode - Spécialité : Stylisme, image et médiatisation</t>
  </si>
  <si>
    <t>DN MADE - Matériaux - Spécialité : Création Métal</t>
  </si>
  <si>
    <t>IFSI Beaujon René Auffray (AP-HP)</t>
  </si>
  <si>
    <t>IFSI CH de Saint-Denis</t>
  </si>
  <si>
    <t>IFSI Institut de Formation Interhospitalier Théodore Simon</t>
  </si>
  <si>
    <t>IFSI Barthélemy Durand Sur Orge</t>
  </si>
  <si>
    <t>IFSI Tenon (AP-HP)</t>
  </si>
  <si>
    <t>IFSI CH Marc Jacquet Melun</t>
  </si>
  <si>
    <t>IFSI Grand Hôpital Est Francilien-Site de Formation Meaux</t>
  </si>
  <si>
    <t>IFSI du CH de Provins</t>
  </si>
  <si>
    <t>IFSI MGEN de La Verrière</t>
  </si>
  <si>
    <t>Ecole de service social de la CRAMIF</t>
  </si>
  <si>
    <t>Diplôme d'Université - Diplôme intensif de Russe</t>
  </si>
  <si>
    <t>FCIL - Visual Merchandising</t>
  </si>
  <si>
    <t>ECOLE NORMALE SOCIALE</t>
  </si>
  <si>
    <t>Formation des écoles de commerce et de management Bac + 3 - Bachelor en sciences du management - Diplôme responsable du développement commercial et marketing - Option Event Management</t>
  </si>
  <si>
    <t>DN MADE - Graphisme - Spécialité : Design d'identité</t>
  </si>
  <si>
    <t>DN MADE - Graphisme - Spécialité : Design éditorial</t>
  </si>
  <si>
    <t>DN MADE - Graphisme - Spécialité : Design de message</t>
  </si>
  <si>
    <t>CUPGE - Cycle universitaire préparatoire aux grandes écoles</t>
  </si>
  <si>
    <t>Ecole Nationale Supérieure d'Architecture de Paris-Malaquais</t>
  </si>
  <si>
    <t>Ecole Nationale Supérieure d'Architecture de Paris-Belleville</t>
  </si>
  <si>
    <t>Classe préparatoire aux études supérieures - Scientifique</t>
  </si>
  <si>
    <t>Ecole Nationale Supérieure d'Architecture de Paris-Est</t>
  </si>
  <si>
    <t>Lycée Saint-Vincent-de-Paul</t>
  </si>
  <si>
    <t>Certificat de Spécialisation - Maintenance des installations oléohydrauliques et pneumatiques</t>
  </si>
  <si>
    <t>Formation des écoles de commerce et de management Bac + 3 - Bachelor Affaires et Relations Internationales</t>
  </si>
  <si>
    <t>DN MADE - Patrimoine - Spécialité : Marqueterie (Créateur-concepteur - décor et restauration en mobilier d’exception)</t>
  </si>
  <si>
    <t>DN MADE - Ornement - Spécialité : Art et technique du bijou (Créateur-concepteur - ornement et objet d’exception)</t>
  </si>
  <si>
    <t>DN MADE - Matériaux - Spécialité : Ciselure (Créateur-concepteur - volume et décor d’exception)</t>
  </si>
  <si>
    <t>Tables de référence utilisées par les formules de la feuille Données</t>
  </si>
  <si>
    <t>Seuil minimal (candidatures par place)</t>
  </si>
  <si>
    <t>Modérée</t>
  </si>
  <si>
    <t>Grande couronne</t>
  </si>
  <si>
    <t>Forte</t>
  </si>
  <si>
    <t>Très forte</t>
  </si>
  <si>
    <t>En dessous de 10 : « Faible ».</t>
  </si>
  <si>
    <t>Petite couronne</t>
  </si>
  <si>
    <t>Seuils choisis d'après la répartition des 2 691 formations : environ un quart des formations dans chaque niveau.</t>
  </si>
  <si>
    <t>Val-d'Oise</t>
  </si>
  <si>
    <t>Utilisation : =RECHERCHEV(code dép. ; $A$4:$C$11 ; 3 ; FAUX) renvoie la zone.</t>
  </si>
  <si>
    <t>Tableau de synthèse — candidatures par place selon la filière (Île-de-France, Parcoursup 2025)</t>
  </si>
  <si>
    <t>Calculé par formules (NB.SI, SOMME.SI) à partir de la feuille Données. Trié de la filière la plus demandée à la moins demandée.</t>
  </si>
  <si>
    <t>Formations</t>
  </si>
  <si>
    <t>Part des places</t>
  </si>
  <si>
    <t>Île-de-France</t>
  </si>
  <si>
    <t>Par zone géographique</t>
  </si>
  <si>
    <t>Repères : mon université</t>
  </si>
  <si>
    <t>Périmètre</t>
  </si>
  <si>
    <t>dont licence MIASHS</t>
  </si>
  <si>
    <t>Les formations de l'IUT de Ville-d'Avray sont répertoriées sous un autre libellé d'établissement et ne sont pas comptées ici.</t>
  </si>
  <si>
    <t>Total Autre formation</t>
  </si>
  <si>
    <t>Total BTS</t>
  </si>
  <si>
    <t>Total BUT</t>
  </si>
  <si>
    <t>Total CPGE</t>
  </si>
  <si>
    <t>Total École de commerce</t>
  </si>
  <si>
    <t>Total École d'ingénieur</t>
  </si>
  <si>
    <t>Total EFTS</t>
  </si>
  <si>
    <t>Total IFSI</t>
  </si>
  <si>
    <t>Total Licence</t>
  </si>
  <si>
    <t>Total Licence L.AS</t>
  </si>
  <si>
    <t>Total PASS</t>
  </si>
  <si>
    <t>Total général</t>
  </si>
  <si>
    <t>Zoom : les formations de l'Université Paris Nanterre, de la plus demandée à la moins demandée</t>
  </si>
  <si>
    <t>Obtenu par filtre avancé (Données &gt; Avancé &gt; Copier vers un autre emplacement) puis tri décroissant sur les candidatures par place.</t>
  </si>
  <si>
    <t>Zone de critères</t>
  </si>
  <si>
    <t>*Paris Nanterre*</t>
  </si>
  <si>
    <t>← l'astérisque remplace n'importe quel texte : « contient Paris Nanterre »</t>
  </si>
  <si>
    <t>Faible</t>
  </si>
  <si>
    <t>← ma formation (rang 41 sur 87)</t>
  </si>
  <si>
    <t>(Tous)</t>
  </si>
  <si>
    <t>Nb de formations</t>
  </si>
  <si>
    <t>Somme des places</t>
  </si>
  <si>
    <t>Somme des candidatures</t>
  </si>
  <si>
    <t>Cand. par place</t>
  </si>
  <si>
    <t xml:space="preserve">Candidatures par place </t>
  </si>
  <si>
    <t>Tableaux croisés dynamiques — source : feuille Données (2 691 formations)</t>
  </si>
  <si>
    <t>Champ calculé « Cand. par place » = Candidatures / Places (Analyse du tableau croisé dynamique &gt; Champs, éléments et jeux &gt; Champ calculé).</t>
  </si>
  <si>
    <t>TCD 1 — par filière, de la plus demandée à la moins demandée</t>
  </si>
  <si>
    <t>TCD 2 — filière × zone géographique</t>
  </si>
  <si>
    <t>En orange : la licence, qui offre à elle seule 4 places sur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</si>
</sst>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12284C"/>
      <name val="Calibri"/>
    </font>
    <font>
      <i/>
      <sz val="11"/>
      <color rgb="FF52514E"/>
      <name val="Calibri"/>
    </font>
    <font>
      <b/>
      <sz val="14"/>
      <color rgb="FF12284C"/>
      <name val="Calibri"/>
    </font>
    <font>
      <b/>
      <sz val="11"/>
      <name val="Calibri"/>
    </font>
    <font>
      <b/>
      <sz val="12"/>
      <color rgb="FF12284C"/>
      <name val="Calibri"/>
    </font>
    <font>
      <b/>
      <sz val="20"/>
      <color rgb="FF12284C"/>
      <name val="Calibri"/>
    </font>
    <font>
      <b/>
      <sz val="13"/>
      <color rgb="FFC8501E"/>
      <name val="Calibri"/>
    </font>
    <font>
      <b/>
      <sz val="11"/>
      <color rgb="FF12284C"/>
      <name val="Calibri"/>
    </font>
    <font>
      <sz val="11"/>
      <name val="Calibri"/>
    </font>
    <font>
      <b/>
      <sz val="12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0B0B0B"/>
      <name val="Calibri"/>
      <family val="2"/>
      <scheme val="minor"/>
    </font>
    <font>
      <b/>
      <sz val="11"/>
      <color rgb="FF0B0B0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2284C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11"/>
      <color rgb="FFC8501E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2284C"/>
      </patternFill>
    </fill>
    <fill>
      <patternFill patternType="solid">
        <fgColor rgb="FFC8501E"/>
      </patternFill>
    </fill>
    <fill>
      <patternFill patternType="solid">
        <fgColor rgb="FFEAF1FB"/>
      </patternFill>
    </fill>
    <fill>
      <patternFill patternType="solid">
        <fgColor rgb="FF12284C"/>
        <bgColor indexed="64"/>
      </patternFill>
    </fill>
    <fill>
      <patternFill patternType="solid">
        <fgColor rgb="FFEB6834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CEFE8"/>
        <bgColor indexed="64"/>
      </patternFill>
    </fill>
  </fills>
  <borders count="2">
    <border>
      <left/>
      <right/>
      <top/>
      <bottom/>
      <diagonal/>
    </border>
    <border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/>
    </xf>
    <xf numFmtId="0" fontId="11" fillId="2" borderId="0" xfId="0" applyFont="1" applyFill="1"/>
    <xf numFmtId="0" fontId="0" fillId="2" borderId="0" xfId="0" applyFill="1"/>
    <xf numFmtId="0" fontId="5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/>
    <xf numFmtId="3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9" fontId="5" fillId="4" borderId="1" xfId="0" applyNumberFormat="1" applyFont="1" applyFill="1" applyBorder="1"/>
    <xf numFmtId="165" fontId="5" fillId="4" borderId="1" xfId="0" applyNumberFormat="1" applyFont="1" applyFill="1" applyBorder="1"/>
    <xf numFmtId="0" fontId="6" fillId="0" borderId="0" xfId="0" applyFont="1"/>
    <xf numFmtId="0" fontId="10" fillId="0" borderId="0" xfId="0" applyFont="1" applyAlignment="1">
      <alignment vertical="top" wrapText="1"/>
    </xf>
    <xf numFmtId="0" fontId="0" fillId="0" borderId="0" xfId="0"/>
    <xf numFmtId="0" fontId="13" fillId="0" borderId="0" xfId="0" applyFont="1" applyFill="1"/>
    <xf numFmtId="3" fontId="13" fillId="0" borderId="0" xfId="0" applyNumberFormat="1" applyFont="1" applyFill="1"/>
    <xf numFmtId="0" fontId="12" fillId="0" borderId="0" xfId="0" applyFont="1"/>
    <xf numFmtId="0" fontId="15" fillId="5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4" fillId="7" borderId="0" xfId="0" applyFont="1" applyFill="1"/>
    <xf numFmtId="3" fontId="14" fillId="7" borderId="0" xfId="0" applyNumberFormat="1" applyFont="1" applyFill="1"/>
    <xf numFmtId="164" fontId="12" fillId="7" borderId="0" xfId="0" applyNumberFormat="1" applyFont="1" applyFill="1"/>
    <xf numFmtId="0" fontId="16" fillId="0" borderId="0" xfId="0" applyFont="1"/>
    <xf numFmtId="0" fontId="17" fillId="0" borderId="0" xfId="0" applyFont="1"/>
    <xf numFmtId="0" fontId="0" fillId="8" borderId="0" xfId="0" applyFill="1"/>
    <xf numFmtId="0" fontId="13" fillId="0" borderId="1" xfId="0" applyFont="1" applyFill="1" applyBorder="1"/>
    <xf numFmtId="3" fontId="13" fillId="0" borderId="1" xfId="0" applyNumberFormat="1" applyFont="1" applyFill="1" applyBorder="1"/>
    <xf numFmtId="164" fontId="13" fillId="0" borderId="1" xfId="0" applyNumberFormat="1" applyFont="1" applyFill="1" applyBorder="1"/>
    <xf numFmtId="9" fontId="13" fillId="0" borderId="1" xfId="0" applyNumberFormat="1" applyFont="1" applyFill="1" applyBorder="1"/>
    <xf numFmtId="0" fontId="13" fillId="0" borderId="1" xfId="0" applyFont="1" applyFill="1" applyBorder="1" applyAlignment="1">
      <alignment horizontal="center"/>
    </xf>
    <xf numFmtId="0" fontId="14" fillId="8" borderId="1" xfId="0" applyFont="1" applyFill="1" applyBorder="1"/>
    <xf numFmtId="3" fontId="14" fillId="8" borderId="1" xfId="0" applyNumberFormat="1" applyFont="1" applyFill="1" applyBorder="1"/>
    <xf numFmtId="164" fontId="14" fillId="8" borderId="1" xfId="0" applyNumberFormat="1" applyFont="1" applyFill="1" applyBorder="1"/>
    <xf numFmtId="9" fontId="14" fillId="8" borderId="1" xfId="0" applyNumberFormat="1" applyFont="1" applyFill="1" applyBorder="1"/>
    <xf numFmtId="0" fontId="14" fillId="8" borderId="1" xfId="0" applyFont="1" applyFill="1" applyBorder="1" applyAlignment="1">
      <alignment horizontal="center"/>
    </xf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color rgb="FFFFFFFF"/>
      </font>
      <fill>
        <patternFill>
          <bgColor rgb="FF2A78D6"/>
        </patternFill>
      </fill>
    </dxf>
    <dxf>
      <font>
        <color rgb="FF0B0B0B"/>
      </font>
      <fill>
        <patternFill>
          <bgColor rgb="FF6DA7EC"/>
        </patternFill>
      </fill>
    </dxf>
    <dxf>
      <font>
        <color rgb="FF0B0B0B"/>
      </font>
      <fill>
        <patternFill>
          <bgColor rgb="FFB7D3F6"/>
        </patternFill>
      </fill>
    </dxf>
    <dxf>
      <font>
        <color rgb="FF0B0B0B"/>
      </font>
      <fill>
        <patternFill>
          <bgColor rgb="FFEAF1F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0B0B0B"/>
                </a:solidFill>
              </a:defRPr>
            </a:pPr>
            <a:r>
              <a:rPr lang="fr-FR"/>
              <a:t>Candidatures par place selon la filière — Île-de-France, Parcoursup 2025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Candidatures par place</c:v>
          </c:tx>
          <c:spPr>
            <a:solidFill>
              <a:srgbClr val="2A78D6"/>
            </a:solidFill>
          </c:spPr>
          <c:invertIfNegative val="0"/>
          <c:dPt>
            <c:idx val="9"/>
            <c:invertIfNegative val="0"/>
            <c:bubble3D val="0"/>
            <c:spPr>
              <a:solidFill>
                <a:srgbClr val="EB6834"/>
              </a:solidFill>
            </c:spPr>
            <c:extLst>
              <c:ext xmlns:c16="http://schemas.microsoft.com/office/drawing/2014/chart" uri="{C3380CC4-5D6E-409C-BE32-E72D297353CC}">
                <c16:uniqueId val="{00000002-EDB6-478D-88F7-4FD7D5FB89AA}"/>
              </c:ext>
            </c:extLst>
          </c:dPt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rgbClr val="0B0B0B"/>
                    </a:solidFill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Synthèse!$A$5:$A$15</c:f>
              <c:strCache>
                <c:ptCount val="11"/>
                <c:pt idx="0">
                  <c:v>PASS</c:v>
                </c:pt>
                <c:pt idx="1">
                  <c:v>IFSI</c:v>
                </c:pt>
                <c:pt idx="2">
                  <c:v>BUT</c:v>
                </c:pt>
                <c:pt idx="3">
                  <c:v>Licence L.AS</c:v>
                </c:pt>
                <c:pt idx="4">
                  <c:v>CPGE</c:v>
                </c:pt>
                <c:pt idx="5">
                  <c:v>BTS</c:v>
                </c:pt>
                <c:pt idx="6">
                  <c:v>École d'ingénieur</c:v>
                </c:pt>
                <c:pt idx="7">
                  <c:v>École de commerce</c:v>
                </c:pt>
                <c:pt idx="8">
                  <c:v>Autre formation</c:v>
                </c:pt>
                <c:pt idx="9">
                  <c:v>Licence</c:v>
                </c:pt>
                <c:pt idx="10">
                  <c:v>EFTS</c:v>
                </c:pt>
              </c:strCache>
            </c:strRef>
          </c:cat>
          <c:val>
            <c:numRef>
              <c:f>Synthèse!$F$5:$F$15</c:f>
              <c:numCache>
                <c:formatCode>0.0</c:formatCode>
                <c:ptCount val="11"/>
                <c:pt idx="0">
                  <c:v>81.13719974031595</c:v>
                </c:pt>
                <c:pt idx="1">
                  <c:v>58.428983648605325</c:v>
                </c:pt>
                <c:pt idx="2">
                  <c:v>40.928538968416269</c:v>
                </c:pt>
                <c:pt idx="3">
                  <c:v>40.752480705622929</c:v>
                </c:pt>
                <c:pt idx="4">
                  <c:v>38.581749590718204</c:v>
                </c:pt>
                <c:pt idx="5">
                  <c:v>28.864576668799316</c:v>
                </c:pt>
                <c:pt idx="6">
                  <c:v>26.353128313891833</c:v>
                </c:pt>
                <c:pt idx="7">
                  <c:v>20.834907352062164</c:v>
                </c:pt>
                <c:pt idx="8">
                  <c:v>20.231296528340827</c:v>
                </c:pt>
                <c:pt idx="9">
                  <c:v>17.542194670316398</c:v>
                </c:pt>
                <c:pt idx="10">
                  <c:v>10.388274336283185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6-478D-88F7-4FD7D5FB8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74130496"/>
        <c:axId val="1937105168"/>
      </c:barChart>
      <c:catAx>
        <c:axId val="1674130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C3C2B7"/>
            </a:solidFill>
          </a:ln>
        </c:spPr>
        <c:txPr>
          <a:bodyPr/>
          <a:lstStyle/>
          <a:p>
            <a:pPr>
              <a:defRPr sz="1000">
                <a:solidFill>
                  <a:srgbClr val="0B0B0B"/>
                </a:solidFill>
              </a:defRPr>
            </a:pPr>
            <a:endParaRPr lang="fr-FR"/>
          </a:p>
        </c:txPr>
        <c:crossAx val="1937105168"/>
        <c:crosses val="autoZero"/>
        <c:auto val="1"/>
        <c:lblAlgn val="ctr"/>
        <c:lblOffset val="100"/>
        <c:noMultiLvlLbl val="0"/>
      </c:catAx>
      <c:valAx>
        <c:axId val="1937105168"/>
        <c:scaling>
          <c:orientation val="minMax"/>
        </c:scaling>
        <c:delete val="1"/>
        <c:axPos val="t"/>
        <c:numFmt formatCode="0.0" sourceLinked="1"/>
        <c:majorTickMark val="out"/>
        <c:minorTickMark val="none"/>
        <c:tickLblPos val="nextTo"/>
        <c:crossAx val="16741304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20</xdr:col>
      <xdr:colOff>406400</xdr:colOff>
      <xdr:row>24</xdr:row>
      <xdr:rowOff>142875</xdr:rowOff>
    </xdr:to>
    <xdr:graphicFrame macro="">
      <xdr:nvGraphicFramePr>
        <xdr:cNvPr id="2" name="Graphique_filieres">
          <a:extLst>
            <a:ext uri="{FF2B5EF4-FFF2-40B4-BE49-F238E27FC236}">
              <a16:creationId xmlns:a16="http://schemas.microsoft.com/office/drawing/2014/main" id="{FB0BFB5C-68E7-5686-56C0-6F0CA6D08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6307.947924884262" createdVersion="8" refreshedVersion="8" minRefreshableVersion="3" recordCount="2691" xr:uid="{AE3C34B8-7DB9-47C0-ABFE-8359E17F5BFD}">
  <cacheSource type="worksheet">
    <worksheetSource ref="A1:M2692" sheet="Données"/>
  </cacheSource>
  <cacheFields count="14">
    <cacheField name="Établissement" numFmtId="0">
      <sharedItems/>
    </cacheField>
    <cacheField name="Code dép." numFmtId="0">
      <sharedItems containsSemiMixedTypes="0" containsString="0" containsNumber="1" containsInteger="1" minValue="75" maxValue="95"/>
    </cacheField>
    <cacheField name="Département" numFmtId="0">
      <sharedItems/>
    </cacheField>
    <cacheField name="Filière" numFmtId="0">
      <sharedItems count="11">
        <s v="Autre formation"/>
        <s v="BTS"/>
        <s v="BUT"/>
        <s v="CPGE"/>
        <s v="École de commerce"/>
        <s v="École d'ingénieur"/>
        <s v="EFTS"/>
        <s v="IFSI"/>
        <s v="Licence"/>
        <s v="Licence L.AS"/>
        <s v="PASS"/>
      </sharedItems>
    </cacheField>
    <cacheField name="Formation" numFmtId="0">
      <sharedItems longText="1"/>
    </cacheField>
    <cacheField name="Sélectivité" numFmtId="0">
      <sharedItems count="2">
        <s v="Sélective"/>
        <s v="Non sélective"/>
      </sharedItems>
    </cacheField>
    <cacheField name="Places" numFmtId="3">
      <sharedItems containsSemiMixedTypes="0" containsString="0" containsNumber="1" containsInteger="1" minValue="1" maxValue="1500"/>
    </cacheField>
    <cacheField name="Candidatures" numFmtId="3">
      <sharedItems containsSemiMixedTypes="0" containsString="0" containsNumber="1" containsInteger="1" minValue="1" maxValue="19404"/>
    </cacheField>
    <cacheField name="Admis" numFmtId="3">
      <sharedItems containsSemiMixedTypes="0" containsString="0" containsNumber="1" containsInteger="1" minValue="0" maxValue="2187"/>
    </cacheField>
    <cacheField name="Zone" numFmtId="0">
      <sharedItems count="3">
        <s v="Paris"/>
        <s v="Grande couronne"/>
        <s v="Petite couronne"/>
      </sharedItems>
    </cacheField>
    <cacheField name="Candidatures par place" numFmtId="164">
      <sharedItems containsSemiMixedTypes="0" containsString="0" containsNumber="1" minValue="0.1" maxValue="767.9"/>
    </cacheField>
    <cacheField name="Taux de remplissage" numFmtId="9">
      <sharedItems containsSemiMixedTypes="0" containsString="0" containsNumber="1" minValue="0" maxValue="2"/>
    </cacheField>
    <cacheField name="Niveau de tension" numFmtId="0">
      <sharedItems/>
    </cacheField>
    <cacheField name="Ratio" numFmtId="0" formula="Candidatures/Plac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1">
  <r>
    <s v="ESAA Boulle"/>
    <n v="75"/>
    <s v="Paris"/>
    <x v="0"/>
    <s v="DN MADE - Espace - Spécialité : Architecture intérieure"/>
    <x v="0"/>
    <n v="15"/>
    <n v="3723"/>
    <n v="15"/>
    <x v="0"/>
    <n v="248.2"/>
    <n v="1"/>
    <s v="Très forte"/>
  </r>
  <r>
    <s v="ECOLE NATIONALE SUPERIEURE A.A-MET.D'ART."/>
    <n v="75"/>
    <s v="Paris"/>
    <x v="0"/>
    <s v="DN MADE - Espace - Spécialité : Architecture, habitat, mobilier et environnement"/>
    <x v="0"/>
    <n v="15"/>
    <n v="3201"/>
    <n v="16"/>
    <x v="0"/>
    <n v="213.4"/>
    <n v="1.0666666666666667"/>
    <s v="Très forte"/>
  </r>
  <r>
    <s v="Lycée Estienne Esaig"/>
    <n v="75"/>
    <s v="Paris"/>
    <x v="0"/>
    <s v="DN MADE - Animation - Spécialité : Cinéma d'Animation 2D"/>
    <x v="0"/>
    <n v="12"/>
    <n v="2487"/>
    <n v="12"/>
    <x v="0"/>
    <n v="207.25"/>
    <n v="1"/>
    <s v="Très forte"/>
  </r>
  <r>
    <s v="Lycée Estienne Esaig"/>
    <n v="75"/>
    <s v="Paris"/>
    <x v="0"/>
    <s v="DN MADE - Graphisme - Spécialité : Designer graphique"/>
    <x v="0"/>
    <n v="15"/>
    <n v="2696"/>
    <n v="15"/>
    <x v="0"/>
    <n v="179.73333333333332"/>
    <n v="1"/>
    <s v="Très forte"/>
  </r>
  <r>
    <s v="Esaa Duperré"/>
    <n v="75"/>
    <s v="Paris"/>
    <x v="0"/>
    <s v="DN MADE - Mode - Spécialité : Stylisme, image et médiatisation"/>
    <x v="0"/>
    <n v="12"/>
    <n v="2134"/>
    <n v="12"/>
    <x v="0"/>
    <n v="177.83333333333334"/>
    <n v="1"/>
    <s v="Très forte"/>
  </r>
  <r>
    <s v="ECOLE NATIONALE SUPERIEURE A.A-MET.D'ART."/>
    <n v="75"/>
    <s v="Paris"/>
    <x v="0"/>
    <s v="DN MADE - Graphisme - Spécialité : Identité visuelle et stratégie de communication"/>
    <x v="0"/>
    <n v="15"/>
    <n v="2277"/>
    <n v="16"/>
    <x v="0"/>
    <n v="151.80000000000001"/>
    <n v="1.0666666666666667"/>
    <s v="Très forte"/>
  </r>
  <r>
    <s v="ESAA Boulle"/>
    <n v="75"/>
    <s v="Paris"/>
    <x v="0"/>
    <s v="DN MADE - Ornement - Spécialité : Art et technique du bijou (Créateur-concepteur - ornement et objet d’exception)"/>
    <x v="0"/>
    <n v="5"/>
    <n v="742"/>
    <n v="5"/>
    <x v="0"/>
    <n v="148.4"/>
    <n v="1"/>
    <s v="Très forte"/>
  </r>
  <r>
    <s v="Lycée Estienne Esaig"/>
    <n v="75"/>
    <s v="Paris"/>
    <x v="0"/>
    <s v="DN MADE - Animation - Spécialité : Cinéma d'animation 3D"/>
    <x v="0"/>
    <n v="12"/>
    <n v="1731"/>
    <n v="12"/>
    <x v="0"/>
    <n v="144.25"/>
    <n v="1"/>
    <s v="Très forte"/>
  </r>
  <r>
    <s v="Lycée Auguste Renoir"/>
    <n v="75"/>
    <s v="Paris"/>
    <x v="0"/>
    <s v="DN MADE - Graphisme - Spécialité : Image et narration"/>
    <x v="0"/>
    <n v="12"/>
    <n v="1729"/>
    <n v="12"/>
    <x v="0"/>
    <n v="144.08333333333334"/>
    <n v="1"/>
    <s v="Très forte"/>
  </r>
  <r>
    <s v="Institut d'études politiques de Paris - Sciences Po"/>
    <n v="75"/>
    <s v="Paris"/>
    <x v="0"/>
    <s v="Sciences Po / Instituts d'études politiques - Sciences Humaines et Sociales - Grade Licence - Double diplôme Sciences Po-LUISS"/>
    <x v="0"/>
    <n v="1"/>
    <n v="143"/>
    <n v="1"/>
    <x v="0"/>
    <n v="143"/>
    <n v="1"/>
    <s v="Très forte"/>
  </r>
  <r>
    <s v="ECOLE NATIONALE SUPERIEURE A.A-MET.D'ART."/>
    <n v="75"/>
    <s v="Paris"/>
    <x v="0"/>
    <s v="DN MADE - Espace - Spécialité : ARCHITECTURE, ESPACES PUBLICS ET CONTEXTES URBAINS"/>
    <x v="0"/>
    <n v="15"/>
    <n v="2098"/>
    <n v="15"/>
    <x v="0"/>
    <n v="139.86666666666667"/>
    <n v="1"/>
    <s v="Très forte"/>
  </r>
  <r>
    <s v="Esaa Duperré"/>
    <n v="75"/>
    <s v="Paris"/>
    <x v="0"/>
    <s v="DN MADE - Mode - Spécialité : Textile, Mode, Recherche et Développement"/>
    <x v="0"/>
    <n v="12"/>
    <n v="1609"/>
    <n v="12"/>
    <x v="0"/>
    <n v="134.08333333333334"/>
    <n v="1"/>
    <s v="Très forte"/>
  </r>
  <r>
    <s v="Lycée Estienne Esaig"/>
    <n v="75"/>
    <s v="Paris"/>
    <x v="0"/>
    <s v="DN MADE - Graphisme - Spécialité : Design et stratégie de communication"/>
    <x v="0"/>
    <n v="15"/>
    <n v="1924"/>
    <n v="15"/>
    <x v="0"/>
    <n v="128.26666666666668"/>
    <n v="1"/>
    <s v="Très forte"/>
  </r>
  <r>
    <s v="Esaa Duperré"/>
    <n v="75"/>
    <s v="Paris"/>
    <x v="0"/>
    <s v="DN MADE - Mode - Spécialité : Savoir-faire, luxe et innovation – Tissage"/>
    <x v="0"/>
    <n v="7"/>
    <n v="868"/>
    <n v="6"/>
    <x v="0"/>
    <n v="124"/>
    <n v="0.8571428571428571"/>
    <s v="Très forte"/>
  </r>
  <r>
    <s v="Esaa Duperré"/>
    <n v="75"/>
    <s v="Paris"/>
    <x v="0"/>
    <s v="DN MADE - Mode - Spécialité : Savoir-faire, luxe et innovation – Broderie"/>
    <x v="0"/>
    <n v="9"/>
    <n v="1087"/>
    <n v="9"/>
    <x v="0"/>
    <n v="120.77777777777777"/>
    <n v="1"/>
    <s v="Très forte"/>
  </r>
  <r>
    <s v="Université Paris Cité"/>
    <n v="75"/>
    <s v="Paris"/>
    <x v="0"/>
    <s v="Certificat de capacité d'Orthoptiste"/>
    <x v="0"/>
    <n v="4"/>
    <n v="470"/>
    <n v="4"/>
    <x v="0"/>
    <n v="117.5"/>
    <n v="1"/>
    <s v="Très forte"/>
  </r>
  <r>
    <s v="ECOLE NATIONALE SUPERIEURE A.A-MET.D'ART."/>
    <n v="75"/>
    <s v="Paris"/>
    <x v="0"/>
    <s v="DN MADE - Espace - Spécialité : ARCHITECTURE, PATRIMOINE ET LIEUX CULTURELS"/>
    <x v="0"/>
    <n v="15"/>
    <n v="1678"/>
    <n v="16"/>
    <x v="0"/>
    <n v="111.86666666666666"/>
    <n v="1.0666666666666667"/>
    <s v="Très forte"/>
  </r>
  <r>
    <s v="Esaa Duperré"/>
    <n v="75"/>
    <s v="Paris"/>
    <x v="0"/>
    <s v="DN MADE - Graphisme - Spécialité : Image et Identité visuelle - Design Éditorial"/>
    <x v="0"/>
    <n v="24"/>
    <n v="2651"/>
    <n v="24"/>
    <x v="0"/>
    <n v="110.45833333333333"/>
    <n v="1"/>
    <s v="Très forte"/>
  </r>
  <r>
    <s v="Esaa Duperré"/>
    <n v="75"/>
    <s v="Paris"/>
    <x v="0"/>
    <s v="DN MADE - Mode - Spécialité : Collection, vêtements et accessoires"/>
    <x v="0"/>
    <n v="24"/>
    <n v="2651"/>
    <n v="23"/>
    <x v="0"/>
    <n v="110.45833333333333"/>
    <n v="0.95833333333333337"/>
    <s v="Très forte"/>
  </r>
  <r>
    <s v="Sciences Po Saint-Germain-en-Laye – Institut d'études politiques"/>
    <n v="78"/>
    <s v="Yvelines"/>
    <x v="0"/>
    <s v="Sciences Po / Instituts d'études politiques - Sciences Humaines et Sociales - Grade Master - Cursus général"/>
    <x v="0"/>
    <n v="100"/>
    <n v="10668"/>
    <n v="100"/>
    <x v="1"/>
    <n v="106.68"/>
    <n v="1"/>
    <s v="Très forte"/>
  </r>
  <r>
    <s v="ESAA Boulle"/>
    <n v="75"/>
    <s v="Paris"/>
    <x v="0"/>
    <s v="DN MADE - Espace - Spécialité Agencement"/>
    <x v="0"/>
    <n v="15"/>
    <n v="1562"/>
    <n v="15"/>
    <x v="0"/>
    <n v="104.13333333333334"/>
    <n v="1"/>
    <s v="Très forte"/>
  </r>
  <r>
    <s v="ESAA Boulle"/>
    <n v="75"/>
    <s v="Paris"/>
    <x v="0"/>
    <s v="DN MADE - Événement - Spécialité : Evénementiel, médiation, scénographie"/>
    <x v="0"/>
    <n v="15"/>
    <n v="1483"/>
    <n v="15"/>
    <x v="0"/>
    <n v="98.86666666666666"/>
    <n v="1"/>
    <s v="Très forte"/>
  </r>
  <r>
    <s v="Centre de Ressources, d'Expertise et de Performance Sportive d'Ile de France (CREPS)"/>
    <n v="92"/>
    <s v="Hauts-de-Seine"/>
    <x v="0"/>
    <s v="BPJEPS - Spécialité Educateur sportif - Mention Activités de la forme"/>
    <x v="0"/>
    <n v="4"/>
    <n v="393"/>
    <n v="4"/>
    <x v="2"/>
    <n v="98.25"/>
    <n v="1"/>
    <s v="Très forte"/>
  </r>
  <r>
    <s v="Lycée professionnel Hector Guimard"/>
    <n v="75"/>
    <s v="Paris"/>
    <x v="0"/>
    <s v="DN MADE - Espace - Spécialité : Décors"/>
    <x v="0"/>
    <n v="15"/>
    <n v="1369"/>
    <n v="16"/>
    <x v="0"/>
    <n v="91.266666666666666"/>
    <n v="1.0666666666666667"/>
    <s v="Très forte"/>
  </r>
  <r>
    <s v="Lycée Estienne Esaig"/>
    <n v="75"/>
    <s v="Paris"/>
    <x v="0"/>
    <s v="DN MADE - Livre - Spécialité : Images et narration"/>
    <x v="0"/>
    <n v="12"/>
    <n v="1073"/>
    <n v="12"/>
    <x v="0"/>
    <n v="89.416666666666671"/>
    <n v="1"/>
    <s v="Très forte"/>
  </r>
  <r>
    <s v="ESAA Boulle"/>
    <n v="75"/>
    <s v="Paris"/>
    <x v="0"/>
    <s v="DN MADE - Espace - Spécialité : Fabrique d'espace et d'environnement"/>
    <x v="0"/>
    <n v="15"/>
    <n v="1314"/>
    <n v="15"/>
    <x v="0"/>
    <n v="87.6"/>
    <n v="1"/>
    <s v="Très forte"/>
  </r>
  <r>
    <s v="Lycée Estienne Esaig"/>
    <n v="75"/>
    <s v="Paris"/>
    <x v="0"/>
    <s v="DN MADE - Numérique - Spécialité : Designer graphique numérique option interface"/>
    <x v="0"/>
    <n v="9"/>
    <n v="749"/>
    <n v="9"/>
    <x v="0"/>
    <n v="83.222222222222229"/>
    <n v="1"/>
    <s v="Très forte"/>
  </r>
  <r>
    <s v="Esaa Duperré"/>
    <n v="75"/>
    <s v="Paris"/>
    <x v="0"/>
    <s v="DN MADE - Espace - Spécialité : Espaces de vie : matériaux, contextes, expériences"/>
    <x v="0"/>
    <n v="12"/>
    <n v="979"/>
    <n v="12"/>
    <x v="0"/>
    <n v="81.583333333333329"/>
    <n v="1"/>
    <s v="Très forte"/>
  </r>
  <r>
    <s v="Lycée André Malraux"/>
    <n v="77"/>
    <s v="Seine-et-Marne"/>
    <x v="0"/>
    <s v="DN MADE - Graphisme"/>
    <x v="0"/>
    <n v="10"/>
    <n v="808"/>
    <n v="9"/>
    <x v="1"/>
    <n v="80.8"/>
    <n v="0.9"/>
    <s v="Très forte"/>
  </r>
  <r>
    <s v="Lycée Estienne Esaig"/>
    <n v="75"/>
    <s v="Paris"/>
    <x v="0"/>
    <s v="DN MADE - Numérique - Spécialité : Designer graphique numérique option motion"/>
    <x v="0"/>
    <n v="9"/>
    <n v="713"/>
    <n v="9"/>
    <x v="0"/>
    <n v="79.222222222222229"/>
    <n v="1"/>
    <s v="Très forte"/>
  </r>
  <r>
    <s v="ECOLE NATIONALE SUPERIEURE A.A-MET.D'ART."/>
    <n v="75"/>
    <s v="Paris"/>
    <x v="0"/>
    <s v="DN MADE - Événement - Spécialité : Evénement - Espaces et dispositifs de communication pour les marques : culturelles, commerciales et associatives"/>
    <x v="0"/>
    <n v="15"/>
    <n v="1154"/>
    <n v="16"/>
    <x v="0"/>
    <n v="76.933333333333337"/>
    <n v="1.0666666666666667"/>
    <s v="Très forte"/>
  </r>
  <r>
    <s v="Université Paris-Dauphine"/>
    <n v="75"/>
    <s v="Paris"/>
    <x v="0"/>
    <s v="Formation valant grade de licence - Double licence Intelligence Artificielle et Sciences des Organisations"/>
    <x v="0"/>
    <n v="45"/>
    <n v="3380"/>
    <n v="45"/>
    <x v="0"/>
    <n v="75.111111111111114"/>
    <n v="1"/>
    <s v="Très forte"/>
  </r>
  <r>
    <s v="Esaa Duperré"/>
    <n v="75"/>
    <s v="Paris"/>
    <x v="0"/>
    <s v="DN MADE - Espace - Spécialité : Scénographies : scènes, corps, récits"/>
    <x v="0"/>
    <n v="12"/>
    <n v="883"/>
    <n v="11"/>
    <x v="0"/>
    <n v="73.583333333333329"/>
    <n v="0.91666666666666663"/>
    <s v="Très forte"/>
  </r>
  <r>
    <s v="Lycée Turgot"/>
    <n v="75"/>
    <s v="Paris"/>
    <x v="0"/>
    <s v="Diplôme de Comptabilité et de Gestion"/>
    <x v="0"/>
    <n v="48"/>
    <n v="3474"/>
    <n v="47"/>
    <x v="0"/>
    <n v="72.375"/>
    <n v="0.97916666666666663"/>
    <s v="Très forte"/>
  </r>
  <r>
    <s v="CREPS d'Ile de France - Antenne de Vaires-sur-Marne"/>
    <n v="77"/>
    <s v="Seine-et-Marne"/>
    <x v="0"/>
    <s v="BPJEPS - Spécialité Educateur sportif - Mention Activités de la forme"/>
    <x v="0"/>
    <n v="5"/>
    <n v="337"/>
    <n v="5"/>
    <x v="1"/>
    <n v="67.400000000000006"/>
    <n v="1"/>
    <s v="Très forte"/>
  </r>
  <r>
    <s v="ESAA Boulle"/>
    <n v="75"/>
    <s v="Paris"/>
    <x v="0"/>
    <s v="DN MADE - Objet - Spécialité : Design d'objet, édition et production"/>
    <x v="0"/>
    <n v="15"/>
    <n v="1011"/>
    <n v="15"/>
    <x v="0"/>
    <n v="67.400000000000006"/>
    <n v="1"/>
    <s v="Très forte"/>
  </r>
  <r>
    <s v="Université Paris Nanterre - Ville-d'Avray"/>
    <n v="92"/>
    <s v="Hauts-de-Seine"/>
    <x v="0"/>
    <s v="C.M.I - Cursus Master en Ingénierie - Sciences pour l'ingénieur - Cursus Master en Ingénierie (CMI) : Ingénierie pour l'Aéronautique, les Transports et l'Energétique"/>
    <x v="0"/>
    <n v="24"/>
    <n v="1542"/>
    <n v="23"/>
    <x v="2"/>
    <n v="64.25"/>
    <n v="0.95833333333333337"/>
    <s v="Très forte"/>
  </r>
  <r>
    <s v="Lycée professionnel Corvisart-Arts Graphiques"/>
    <n v="75"/>
    <s v="Paris"/>
    <x v="0"/>
    <s v="FCIL - Illustration"/>
    <x v="0"/>
    <n v="9"/>
    <n v="564"/>
    <n v="9"/>
    <x v="0"/>
    <n v="62.666666666666664"/>
    <n v="1"/>
    <s v="Très forte"/>
  </r>
  <r>
    <s v="Lycée Maximilien Vox"/>
    <n v="75"/>
    <s v="Paris"/>
    <x v="0"/>
    <s v="DN MADE - Événement - Spécialité : Espaces de communication"/>
    <x v="0"/>
    <n v="12"/>
    <n v="750"/>
    <n v="12"/>
    <x v="0"/>
    <n v="62.5"/>
    <n v="1"/>
    <s v="Très forte"/>
  </r>
  <r>
    <s v="Lycée Auguste Renoir"/>
    <n v="75"/>
    <s v="Paris"/>
    <x v="0"/>
    <s v="DN MADE - Graphisme - Spécialité : Image de communication"/>
    <x v="0"/>
    <n v="24"/>
    <n v="1480"/>
    <n v="24"/>
    <x v="0"/>
    <n v="61.666666666666664"/>
    <n v="1"/>
    <s v="Très forte"/>
  </r>
  <r>
    <s v="Institut Sainte-Genevieve"/>
    <n v="75"/>
    <s v="Paris"/>
    <x v="0"/>
    <s v="DN MADE - Animation - Spécialité : Cinéma d'animation au service de la fiction"/>
    <x v="0"/>
    <n v="16"/>
    <n v="983"/>
    <n v="16"/>
    <x v="0"/>
    <n v="61.4375"/>
    <n v="1"/>
    <s v="Très forte"/>
  </r>
  <r>
    <s v="ECOLE NATIONALE SUPERIEURE A.A-MET.D'ART."/>
    <n v="75"/>
    <s v="Paris"/>
    <x v="0"/>
    <s v="DN MADE - Graphisme - Spécialité : Éditions et typographie imprimées et numériques"/>
    <x v="0"/>
    <n v="15"/>
    <n v="902"/>
    <n v="16"/>
    <x v="0"/>
    <n v="60.133333333333333"/>
    <n v="1.0666666666666667"/>
    <s v="Très forte"/>
  </r>
  <r>
    <s v="ECOLE NATIONALE SUPERIEURE A.A-MET.D'ART."/>
    <n v="75"/>
    <s v="Paris"/>
    <x v="0"/>
    <s v="DN MADE - Objet - Spécialité : DESIGN DE PRODUITS, OBJETS D'EXCEPTION ET PRATIQUES SINGULIERES"/>
    <x v="0"/>
    <n v="15"/>
    <n v="874"/>
    <n v="16"/>
    <x v="0"/>
    <n v="58.266666666666666"/>
    <n v="1.0666666666666667"/>
    <s v="Très forte"/>
  </r>
  <r>
    <s v="École nationale vétérinaire d’Alfort"/>
    <n v="94"/>
    <s v="Val-de-Marne"/>
    <x v="0"/>
    <s v="Formation Bac+6"/>
    <x v="0"/>
    <n v="70"/>
    <n v="4060"/>
    <n v="70"/>
    <x v="2"/>
    <n v="58"/>
    <n v="1"/>
    <s v="Très forte"/>
  </r>
  <r>
    <s v="ESAA Boulle"/>
    <n v="75"/>
    <s v="Paris"/>
    <x v="0"/>
    <s v="DN MADE - Espace - Spécialité : Menuiserie en siège (Créateur-concepteur - mobilier et décor d’exception)"/>
    <x v="0"/>
    <n v="4"/>
    <n v="232"/>
    <n v="4"/>
    <x v="0"/>
    <n v="58"/>
    <n v="1"/>
    <s v="Très forte"/>
  </r>
  <r>
    <s v="Ecole Nationale De Commerce"/>
    <n v="75"/>
    <s v="Paris"/>
    <x v="0"/>
    <s v="Diplôme de Comptabilité et de Gestion"/>
    <x v="0"/>
    <n v="96"/>
    <n v="5465"/>
    <n v="88"/>
    <x v="0"/>
    <n v="56.927083333333336"/>
    <n v="0.91666666666666663"/>
    <s v="Très forte"/>
  </r>
  <r>
    <s v="ECOLE NATIONALE SUPERIEURE A.A-MET.D'ART."/>
    <n v="75"/>
    <s v="Paris"/>
    <x v="0"/>
    <s v="DN MADE - Objet - Spécialité : Design produits, usages, innovation et production"/>
    <x v="0"/>
    <n v="15"/>
    <n v="841"/>
    <n v="16"/>
    <x v="0"/>
    <n v="56.06666666666667"/>
    <n v="1.0666666666666667"/>
    <s v="Très forte"/>
  </r>
  <r>
    <s v="Lycée professionnel Louis Bleriot"/>
    <n v="78"/>
    <s v="Yvelines"/>
    <x v="0"/>
    <s v="FCIL - Préparation aux concours de la sécurité civile et publique (police, gendarmerie, pénitentiaire, pompiers)"/>
    <x v="0"/>
    <n v="24"/>
    <n v="1341"/>
    <n v="20"/>
    <x v="1"/>
    <n v="55.875"/>
    <n v="0.83333333333333337"/>
    <s v="Très forte"/>
  </r>
  <r>
    <s v="Université Paris Panthéon Assas"/>
    <n v="75"/>
    <s v="Paris"/>
    <x v="0"/>
    <s v="Diplôme d'Université - Bachelor Relations internationales/International Affairs"/>
    <x v="0"/>
    <n v="40"/>
    <n v="2138"/>
    <n v="38"/>
    <x v="0"/>
    <n v="53.45"/>
    <n v="0.95"/>
    <s v="Très forte"/>
  </r>
  <r>
    <s v="Lycée Antoine de Saint Exupery"/>
    <n v="94"/>
    <s v="Val-de-Marne"/>
    <x v="0"/>
    <s v="DTS Imagerie médicale et radiologie thérapeutique"/>
    <x v="0"/>
    <n v="35"/>
    <n v="1863"/>
    <n v="35"/>
    <x v="2"/>
    <n v="53.228571428571428"/>
    <n v="1"/>
    <s v="Très forte"/>
  </r>
  <r>
    <s v="ESAA Boulle"/>
    <n v="75"/>
    <s v="Paris"/>
    <x v="0"/>
    <s v="DN MADE - Ornement - Spécialité : Gravure ornementale (Créateur-concepteur - ornement et objet d’exception)"/>
    <x v="0"/>
    <n v="4"/>
    <n v="210"/>
    <n v="4"/>
    <x v="0"/>
    <n v="52.5"/>
    <n v="1"/>
    <s v="Très forte"/>
  </r>
  <r>
    <s v="Centre de Ressources, d'Expertise et de Performance Sportive d'Ile de France (CREPS)"/>
    <n v="92"/>
    <s v="Hauts-de-Seine"/>
    <x v="0"/>
    <s v="BPJEPS - Spécialité Educateur sportif - Mention Activités aquatiques et de la natation"/>
    <x v="0"/>
    <n v="3"/>
    <n v="155"/>
    <n v="3"/>
    <x v="2"/>
    <n v="51.666666666666664"/>
    <n v="1"/>
    <s v="Très forte"/>
  </r>
  <r>
    <s v="Université Paris Panthéon Assas"/>
    <n v="75"/>
    <s v="Paris"/>
    <x v="0"/>
    <s v="C.M.I - Cursus Master en Ingénierie - Economie et gestion - CURSUS MASTER EN INGENIERIE Economie Finance Quantitative et Statistique (CMI EFiQuaS)"/>
    <x v="0"/>
    <n v="35"/>
    <n v="1788"/>
    <n v="35"/>
    <x v="0"/>
    <n v="51.085714285714289"/>
    <n v="1"/>
    <s v="Très forte"/>
  </r>
  <r>
    <s v="Lycée professionnel Leonard De Vinci"/>
    <n v="92"/>
    <s v="Hauts-de-Seine"/>
    <x v="0"/>
    <s v="Certificat de Spécialisation - Cybersécurité"/>
    <x v="0"/>
    <n v="12"/>
    <n v="611"/>
    <n v="10"/>
    <x v="2"/>
    <n v="50.916666666666664"/>
    <n v="0.83333333333333337"/>
    <s v="Très forte"/>
  </r>
  <r>
    <s v="Lycée Janson De Sailly"/>
    <n v="75"/>
    <s v="Paris"/>
    <x v="0"/>
    <s v="Cycle pluridisciplinaire d'Études Supérieures - Sciences"/>
    <x v="0"/>
    <n v="15"/>
    <n v="763"/>
    <n v="14"/>
    <x v="0"/>
    <n v="50.866666666666667"/>
    <n v="0.93333333333333335"/>
    <s v="Très forte"/>
  </r>
  <r>
    <s v="Lycée Jean-Pierre Vernant"/>
    <n v="92"/>
    <s v="Hauts-de-Seine"/>
    <x v="0"/>
    <s v="Diplôme de Comptabilité et de Gestion"/>
    <x v="0"/>
    <n v="35"/>
    <n v="1777"/>
    <n v="34"/>
    <x v="2"/>
    <n v="50.771428571428572"/>
    <n v="0.97142857142857142"/>
    <s v="Très forte"/>
  </r>
  <r>
    <s v="Lycée Adolphe Cherioux"/>
    <n v="94"/>
    <s v="Val-de-Marne"/>
    <x v="0"/>
    <s v="DN MADE - Espace - Spécialité : Design d'espace en pratiques collaboratives"/>
    <x v="0"/>
    <n v="12"/>
    <n v="601"/>
    <n v="12"/>
    <x v="2"/>
    <n v="50.083333333333336"/>
    <n v="1"/>
    <s v="Très forte"/>
  </r>
  <r>
    <s v="Lycée Paul Poiret"/>
    <n v="75"/>
    <s v="Paris"/>
    <x v="0"/>
    <s v="DN MADE - Spectacle - Spécialité : Étude, recherche et réalisation de costumes pour le spectacle vivant"/>
    <x v="0"/>
    <n v="14"/>
    <n v="679"/>
    <n v="14"/>
    <x v="0"/>
    <n v="48.5"/>
    <n v="1"/>
    <s v="Très forte"/>
  </r>
  <r>
    <s v="Lycée polyvalent de Cachan"/>
    <n v="94"/>
    <s v="Val-de-Marne"/>
    <x v="0"/>
    <s v="Diplôme de Comptabilité et de Gestion"/>
    <x v="0"/>
    <n v="42"/>
    <n v="2020"/>
    <n v="44"/>
    <x v="2"/>
    <n v="48.095238095238095"/>
    <n v="1.0476190476190477"/>
    <s v="Très forte"/>
  </r>
  <r>
    <s v="Lycée Claude Garamont"/>
    <n v="92"/>
    <s v="Hauts-de-Seine"/>
    <x v="0"/>
    <s v="DN MADE - Graphisme - Spécialité : Graphisme et image - création et diffusion"/>
    <x v="0"/>
    <n v="17"/>
    <n v="816"/>
    <n v="16"/>
    <x v="2"/>
    <n v="48"/>
    <n v="0.94117647058823528"/>
    <s v="Très forte"/>
  </r>
  <r>
    <s v="Lycée Eugenie Cotton"/>
    <n v="93"/>
    <s v="Seine-Saint-Denis"/>
    <x v="0"/>
    <s v="DN MADE - Graphisme - Spécialité : IDENTITÉS VISUELLES"/>
    <x v="0"/>
    <n v="16"/>
    <n v="752"/>
    <n v="16"/>
    <x v="2"/>
    <n v="47"/>
    <n v="1"/>
    <s v="Très forte"/>
  </r>
  <r>
    <s v="ESAA Boulle"/>
    <n v="75"/>
    <s v="Paris"/>
    <x v="0"/>
    <s v="DN MADE - Patrimoine - Spécialité : Restauration de mobilier (Créateur-concepteur - décor et restauration en mobilier d’exception)"/>
    <x v="0"/>
    <n v="4"/>
    <n v="187"/>
    <n v="4"/>
    <x v="0"/>
    <n v="46.75"/>
    <n v="1"/>
    <s v="Très forte"/>
  </r>
  <r>
    <s v="Université Paris-Dauphine"/>
    <n v="75"/>
    <s v="Paris"/>
    <x v="0"/>
    <s v="Formation valant grade de licence - Mathématique - Informatique - Paris - Talents"/>
    <x v="0"/>
    <n v="5"/>
    <n v="230"/>
    <n v="7"/>
    <x v="0"/>
    <n v="46"/>
    <n v="1.4"/>
    <s v="Très forte"/>
  </r>
  <r>
    <s v="Sorbonne université"/>
    <n v="75"/>
    <s v="Paris"/>
    <x v="0"/>
    <s v="Certificat de capacité d'Orthoptiste"/>
    <x v="0"/>
    <n v="6"/>
    <n v="269"/>
    <n v="6"/>
    <x v="0"/>
    <n v="44.833333333333336"/>
    <n v="1"/>
    <s v="Très forte"/>
  </r>
  <r>
    <s v="Lycée Maximilien Vox"/>
    <n v="75"/>
    <s v="Paris"/>
    <x v="0"/>
    <s v="DN MADE - Événement - Spécialité : Dispositifs de communication"/>
    <x v="0"/>
    <n v="12"/>
    <n v="532"/>
    <n v="12"/>
    <x v="0"/>
    <n v="44.333333333333336"/>
    <n v="1"/>
    <s v="Très forte"/>
  </r>
  <r>
    <s v="ECOLE NATIONALE SUPERIEURE A.A-MET.D'ART."/>
    <n v="75"/>
    <s v="Paris"/>
    <x v="0"/>
    <s v="DN MADE - Ornement - Spécialité : Vitrail"/>
    <x v="0"/>
    <n v="6"/>
    <n v="254"/>
    <n v="7"/>
    <x v="0"/>
    <n v="42.333333333333336"/>
    <n v="1.1666666666666667"/>
    <s v="Très forte"/>
  </r>
  <r>
    <s v="ESAA Boulle"/>
    <n v="75"/>
    <s v="Paris"/>
    <x v="0"/>
    <s v="DN MADE - Espace - Spécialité : Tapisserie décoration (Créateur-concepteur - mobilier et décor d’exception)"/>
    <x v="0"/>
    <n v="6"/>
    <n v="253"/>
    <n v="6"/>
    <x v="0"/>
    <n v="42.166666666666664"/>
    <n v="1"/>
    <s v="Très forte"/>
  </r>
  <r>
    <s v="ESAA Boulle"/>
    <n v="75"/>
    <s v="Paris"/>
    <x v="0"/>
    <s v="DN MADE - Matériaux - Spécialité : Tournage d’art (Créateur-concepteur métal - objet d’exception)"/>
    <x v="0"/>
    <n v="3"/>
    <n v="124"/>
    <n v="3"/>
    <x v="0"/>
    <n v="41.333333333333336"/>
    <n v="1"/>
    <s v="Très forte"/>
  </r>
  <r>
    <s v="Lycée Janson De Sailly"/>
    <n v="75"/>
    <s v="Paris"/>
    <x v="0"/>
    <s v="Cycle pluridisciplinaire d'Études Supérieures - Sciences"/>
    <x v="0"/>
    <n v="33"/>
    <n v="1361"/>
    <n v="33"/>
    <x v="0"/>
    <n v="41.242424242424242"/>
    <n v="1"/>
    <s v="Très forte"/>
  </r>
  <r>
    <s v="ECOLE NATIONALE SUPERIEURE A.A-MET.D'ART."/>
    <n v="75"/>
    <s v="Paris"/>
    <x v="0"/>
    <s v="DN MADE - Numérique - Spécialité : Expériences narratives et interactives"/>
    <x v="0"/>
    <n v="15"/>
    <n v="618"/>
    <n v="16"/>
    <x v="0"/>
    <n v="41.2"/>
    <n v="1.0666666666666667"/>
    <s v="Très forte"/>
  </r>
  <r>
    <s v="LP Lycée des métiers La Source"/>
    <n v="94"/>
    <s v="Val-de-Marne"/>
    <x v="0"/>
    <s v="DN MADE - Spectacle - Spécialité : Concepteur / réalisateur de costumes"/>
    <x v="0"/>
    <n v="14"/>
    <n v="574"/>
    <n v="14"/>
    <x v="2"/>
    <n v="41"/>
    <n v="1"/>
    <s v="Très forte"/>
  </r>
  <r>
    <s v="CY Cergy Paris Université"/>
    <n v="95"/>
    <s v="Val-d'oise"/>
    <x v="0"/>
    <s v="Licence professionnelle - Métiers des réseaux informatiques et télécommunications Parcours réseaux et cybersécurité"/>
    <x v="0"/>
    <n v="24"/>
    <n v="935"/>
    <n v="24"/>
    <x v="1"/>
    <n v="38.958333333333336"/>
    <n v="1"/>
    <s v="Forte"/>
  </r>
  <r>
    <s v="Ecole Nationale Supérieure d'Architecture de Paris-La Villette"/>
    <n v="75"/>
    <s v="Paris"/>
    <x v="0"/>
    <s v="Bicursus Architecture Ingénieur - EIVP"/>
    <x v="0"/>
    <n v="10"/>
    <n v="384"/>
    <n v="9"/>
    <x v="0"/>
    <n v="38.4"/>
    <n v="0.9"/>
    <s v="Forte"/>
  </r>
  <r>
    <s v="ECOLE NATIONALE SUPERIEURE A.A-MET.D'ART."/>
    <n v="75"/>
    <s v="Paris"/>
    <x v="0"/>
    <s v="DN MADE - Objet - Spécialité : Design produits et services"/>
    <x v="0"/>
    <n v="15"/>
    <n v="567"/>
    <n v="16"/>
    <x v="0"/>
    <n v="37.799999999999997"/>
    <n v="1.0666666666666667"/>
    <s v="Forte"/>
  </r>
  <r>
    <s v="Ecole Nationale Supérieure des Arts Décoratifs"/>
    <n v="75"/>
    <s v="Paris"/>
    <x v="0"/>
    <s v="Formation des écoles supérieure d'art Bac + 3 - Diplôme de premier cycle de l'ENSAD"/>
    <x v="0"/>
    <n v="72"/>
    <n v="2720"/>
    <n v="72"/>
    <x v="0"/>
    <n v="37.777777777777779"/>
    <n v="1"/>
    <s v="Forte"/>
  </r>
  <r>
    <s v="GOBELINS PARIS GAMBETTA"/>
    <n v="75"/>
    <s v="Paris"/>
    <x v="0"/>
    <s v="DN MADE - Graphisme - Spécialité : Design d'identité"/>
    <x v="0"/>
    <n v="16"/>
    <n v="604"/>
    <n v="17"/>
    <x v="0"/>
    <n v="37.75"/>
    <n v="1.0625"/>
    <s v="Forte"/>
  </r>
  <r>
    <s v="Lycée Adolphe Cherioux"/>
    <n v="94"/>
    <s v="Val-de-Marne"/>
    <x v="0"/>
    <s v="DN MADE - Événement - Spécialité : Scénographie des événements culturels"/>
    <x v="0"/>
    <n v="12"/>
    <n v="452"/>
    <n v="11"/>
    <x v="2"/>
    <n v="37.666666666666664"/>
    <n v="0.91666666666666663"/>
    <s v="Forte"/>
  </r>
  <r>
    <s v="ESAA Boulle"/>
    <n v="75"/>
    <s v="Paris"/>
    <x v="0"/>
    <s v="DN MADE - Matériaux - Spécialité : Gravure en modelé (Créateur-concepteur - volume et décor d’exception)"/>
    <x v="0"/>
    <n v="3"/>
    <n v="111"/>
    <n v="3"/>
    <x v="0"/>
    <n v="37"/>
    <n v="1"/>
    <s v="Forte"/>
  </r>
  <r>
    <s v="Institut Sainte-Genevieve"/>
    <n v="75"/>
    <s v="Paris"/>
    <x v="0"/>
    <s v="DN MADE - Animation - Spécialité : Cinéma d'animation au service du réel"/>
    <x v="0"/>
    <n v="16"/>
    <n v="590"/>
    <n v="17"/>
    <x v="0"/>
    <n v="36.875"/>
    <n v="1.0625"/>
    <s v="Forte"/>
  </r>
  <r>
    <s v="CREPS d'Ile de France - Antenne de Vaires-sur-Marne"/>
    <n v="77"/>
    <s v="Seine-et-Marne"/>
    <x v="0"/>
    <s v="BPJEPS - Spécialité Educateur sportif - Mention Activités physiques pour tous"/>
    <x v="0"/>
    <n v="12"/>
    <n v="442"/>
    <n v="12"/>
    <x v="1"/>
    <n v="36.833333333333336"/>
    <n v="1"/>
    <s v="Forte"/>
  </r>
  <r>
    <s v="Institut de formation de manipulateur d'électroradiologie médicale du Campus Picpus (AP-HP)"/>
    <n v="75"/>
    <s v="Paris"/>
    <x v="0"/>
    <s v="D.E manipulateur/trice en électroradiologie médicale"/>
    <x v="0"/>
    <n v="125"/>
    <n v="4601"/>
    <n v="120"/>
    <x v="0"/>
    <n v="36.808"/>
    <n v="0.96"/>
    <s v="Forte"/>
  </r>
  <r>
    <s v="Lycée Voillaume"/>
    <n v="93"/>
    <s v="Seine-Saint-Denis"/>
    <x v="0"/>
    <s v="Diplôme de Comptabilité et de Gestion"/>
    <x v="0"/>
    <n v="40"/>
    <n v="1462"/>
    <n v="40"/>
    <x v="2"/>
    <n v="36.549999999999997"/>
    <n v="1"/>
    <s v="Forte"/>
  </r>
  <r>
    <s v="LP Lycée des métiers La Source"/>
    <n v="94"/>
    <s v="Val-de-Marne"/>
    <x v="0"/>
    <s v="DN MADE - Matériaux - Spécialité : Créateur textile broderie"/>
    <x v="0"/>
    <n v="8"/>
    <n v="291"/>
    <n v="8"/>
    <x v="2"/>
    <n v="36.375"/>
    <n v="1"/>
    <s v="Forte"/>
  </r>
  <r>
    <s v="Lycée Pierre-Gilles de Gennes - ENCPB"/>
    <n v="75"/>
    <s v="Paris"/>
    <x v="0"/>
    <s v="DTS Imagerie médicale et radiologie thérapeutique"/>
    <x v="0"/>
    <n v="90"/>
    <n v="3233"/>
    <n v="88"/>
    <x v="0"/>
    <n v="35.922222222222224"/>
    <n v="0.97777777777777775"/>
    <s v="Forte"/>
  </r>
  <r>
    <s v="Lycée Jacques Prevert"/>
    <n v="92"/>
    <s v="Hauts-de-Seine"/>
    <x v="0"/>
    <s v="DN MADE - Numérique - Spécialité : Graphisme Augmenté"/>
    <x v="0"/>
    <n v="16"/>
    <n v="570"/>
    <n v="16"/>
    <x v="2"/>
    <n v="35.625"/>
    <n v="1"/>
    <s v="Forte"/>
  </r>
  <r>
    <s v="Lycée Jean Monnet"/>
    <n v="95"/>
    <s v="Val-d'oise"/>
    <x v="0"/>
    <s v="DTS Imagerie médicale et radiologie thérapeutique"/>
    <x v="0"/>
    <n v="40"/>
    <n v="1411"/>
    <n v="40"/>
    <x v="1"/>
    <n v="35.274999999999999"/>
    <n v="1"/>
    <s v="Forte"/>
  </r>
  <r>
    <s v="Lycée Colbert"/>
    <n v="75"/>
    <s v="Paris"/>
    <x v="0"/>
    <s v="Classe préparatoire aux études supérieures - Arts"/>
    <x v="0"/>
    <n v="24"/>
    <n v="839"/>
    <n v="23"/>
    <x v="0"/>
    <n v="34.958333333333336"/>
    <n v="0.95833333333333337"/>
    <s v="Forte"/>
  </r>
  <r>
    <s v="Lycée Henri IV"/>
    <n v="75"/>
    <s v="Paris"/>
    <x v="0"/>
    <s v="Cycle pluridisciplinaire d'Études Supérieures - Economie, société et droit"/>
    <x v="0"/>
    <n v="60"/>
    <n v="2083"/>
    <n v="60"/>
    <x v="0"/>
    <n v="34.716666666666669"/>
    <n v="1"/>
    <s v="Forte"/>
  </r>
  <r>
    <s v="Lycée Henri IV"/>
    <n v="75"/>
    <s v="Paris"/>
    <x v="0"/>
    <s v="Cycle pluridisciplinaire d'Études Supérieures - Sciences"/>
    <x v="0"/>
    <n v="66"/>
    <n v="2291"/>
    <n v="67"/>
    <x v="0"/>
    <n v="34.712121212121211"/>
    <n v="1.0151515151515151"/>
    <s v="Forte"/>
  </r>
  <r>
    <s v="Lycée Estienne Esaig"/>
    <n v="75"/>
    <s v="Paris"/>
    <x v="0"/>
    <s v="DN MADE - Graphisme - Spécialité : Designer typographe"/>
    <x v="0"/>
    <n v="15"/>
    <n v="519"/>
    <n v="15"/>
    <x v="0"/>
    <n v="34.6"/>
    <n v="1"/>
    <s v="Forte"/>
  </r>
  <r>
    <s v="Université Paris-Dauphine"/>
    <n v="75"/>
    <s v="Paris"/>
    <x v="0"/>
    <s v="Formation valant grade de licence - Mathématique - Informatique - Paris - Classique"/>
    <x v="0"/>
    <n v="160"/>
    <n v="5513"/>
    <n v="160"/>
    <x v="0"/>
    <n v="34.456249999999997"/>
    <n v="1"/>
    <s v="Forte"/>
  </r>
  <r>
    <s v="IFMEM DE L'IFPM SUD FRANCILIEN"/>
    <n v="91"/>
    <s v="Essonne"/>
    <x v="0"/>
    <s v="D.E manipulateur/trice en électroradiologie médicale"/>
    <x v="0"/>
    <n v="43"/>
    <n v="1478"/>
    <n v="41"/>
    <x v="1"/>
    <n v="34.372093023255815"/>
    <n v="0.95348837209302328"/>
    <s v="Forte"/>
  </r>
  <r>
    <s v="Institut de Formation de Manipulateur d'électroradiologie médicale (IFMEM)"/>
    <n v="78"/>
    <s v="Yvelines"/>
    <x v="0"/>
    <s v="D.E manipulateur/trice en électroradiologie médicale"/>
    <x v="0"/>
    <n v="37"/>
    <n v="1269"/>
    <n v="37"/>
    <x v="1"/>
    <n v="34.297297297297298"/>
    <n v="1"/>
    <s v="Forte"/>
  </r>
  <r>
    <s v="Lycée Jean-Pierre Vernant"/>
    <n v="92"/>
    <s v="Hauts-de-Seine"/>
    <x v="0"/>
    <s v="DN MADE - Graphisme - Spécialité : Médiation et narration scientifiques par le design graphique et l’illustration"/>
    <x v="0"/>
    <n v="15"/>
    <n v="508"/>
    <n v="17"/>
    <x v="2"/>
    <n v="33.866666666666667"/>
    <n v="1.1333333333333333"/>
    <s v="Forte"/>
  </r>
  <r>
    <s v="Lycée Jules Verne"/>
    <n v="78"/>
    <s v="Yvelines"/>
    <x v="0"/>
    <s v="DN MADE - Spectacle - Spécialité - Costume, costume accessoire"/>
    <x v="0"/>
    <n v="16"/>
    <n v="541"/>
    <n v="15"/>
    <x v="1"/>
    <n v="33.8125"/>
    <n v="0.9375"/>
    <s v="Forte"/>
  </r>
  <r>
    <s v="Lycée Jean-Pierre Vernant"/>
    <n v="92"/>
    <s v="Hauts-de-Seine"/>
    <x v="0"/>
    <s v="DN MADE - Graphisme - Spécialité : Design du livre et de l'édition"/>
    <x v="0"/>
    <n v="15"/>
    <n v="504"/>
    <n v="16"/>
    <x v="2"/>
    <n v="33.6"/>
    <n v="1.0666666666666667"/>
    <s v="Forte"/>
  </r>
  <r>
    <s v="Lycée Georges Brassens"/>
    <n v="91"/>
    <s v="Essonne"/>
    <x v="0"/>
    <s v="DN MADE - Événement - Spécialité : Design graphique événementiel de marques et d'institutions culturelles"/>
    <x v="0"/>
    <n v="15"/>
    <n v="502"/>
    <n v="14"/>
    <x v="1"/>
    <n v="33.466666666666669"/>
    <n v="0.93333333333333335"/>
    <s v="Forte"/>
  </r>
  <r>
    <s v="Lycée Estienne Esaig"/>
    <n v="75"/>
    <s v="Paris"/>
    <x v="0"/>
    <s v="DN MADE - Livre - Spécialité : Objet-livre - création éditoriale"/>
    <x v="0"/>
    <n v="12"/>
    <n v="393"/>
    <n v="12"/>
    <x v="0"/>
    <n v="32.75"/>
    <n v="1"/>
    <s v="Forte"/>
  </r>
  <r>
    <s v="Lycée Camille Claudel"/>
    <n v="95"/>
    <s v="Val-d'oise"/>
    <x v="0"/>
    <s v="DN MADE - Espace - Spécialité : Conception et Réhabilitation"/>
    <x v="0"/>
    <n v="15"/>
    <n v="489"/>
    <n v="15"/>
    <x v="1"/>
    <n v="32.6"/>
    <n v="1"/>
    <s v="Forte"/>
  </r>
  <r>
    <s v="Lycée Paul Doumer"/>
    <n v="94"/>
    <s v="Val-de-Marne"/>
    <x v="0"/>
    <s v="Diplôme de Comptabilité et de Gestion"/>
    <x v="0"/>
    <n v="35"/>
    <n v="1134"/>
    <n v="37"/>
    <x v="2"/>
    <n v="32.4"/>
    <n v="1.0571428571428572"/>
    <s v="Forte"/>
  </r>
  <r>
    <s v="Centre de préparation au diplôme d'état d'audioprothèsiste Conservatoire National des Arts et Métiers"/>
    <n v="75"/>
    <s v="Paris"/>
    <x v="0"/>
    <s v="D.E Audioprothésiste"/>
    <x v="0"/>
    <n v="35"/>
    <n v="1127"/>
    <n v="31"/>
    <x v="0"/>
    <n v="32.200000000000003"/>
    <n v="0.88571428571428568"/>
    <s v="Forte"/>
  </r>
  <r>
    <s v="Lycée Henri IV"/>
    <n v="75"/>
    <s v="Paris"/>
    <x v="0"/>
    <s v="Cycle pluridisciplinaire d'Études Supérieures - Humanités et société"/>
    <x v="0"/>
    <n v="35"/>
    <n v="1119"/>
    <n v="35"/>
    <x v="0"/>
    <n v="31.971428571428572"/>
    <n v="1"/>
    <s v="Forte"/>
  </r>
  <r>
    <s v="Esaa Duperré"/>
    <n v="75"/>
    <s v="Paris"/>
    <x v="0"/>
    <s v="DN MADE - Matériaux - Spécialité : Textile, Matériaux, Recherche et Développement"/>
    <x v="0"/>
    <n v="12"/>
    <n v="382"/>
    <n v="12"/>
    <x v="0"/>
    <n v="31.833333333333332"/>
    <n v="1"/>
    <s v="Forte"/>
  </r>
  <r>
    <s v="Université Paris Cité"/>
    <n v="75"/>
    <s v="Paris"/>
    <x v="0"/>
    <s v="CUPGE - Cycle universitaire préparatoire aux grandes écoles"/>
    <x v="0"/>
    <n v="66"/>
    <n v="2100"/>
    <n v="61"/>
    <x v="0"/>
    <n v="31.818181818181817"/>
    <n v="0.9242424242424242"/>
    <s v="Forte"/>
  </r>
  <r>
    <s v="ECOLE NATIONALE SUPERIEURE A.A-MET.D'ART."/>
    <n v="75"/>
    <s v="Paris"/>
    <x v="0"/>
    <s v="DN MADE - Matériaux - Spécialité : Création Métal"/>
    <x v="0"/>
    <n v="7"/>
    <n v="222"/>
    <n v="7"/>
    <x v="0"/>
    <n v="31.714285714285715"/>
    <n v="1"/>
    <s v="Forte"/>
  </r>
  <r>
    <s v="ECOLE NATIONALE SUPERIEURE A.A-MET.D'ART."/>
    <n v="75"/>
    <s v="Paris"/>
    <x v="0"/>
    <s v="DN MADE - Spectacle - Spécialité : Sculpture appliquée à l'espace scénique"/>
    <x v="0"/>
    <n v="12"/>
    <n v="379"/>
    <n v="12"/>
    <x v="0"/>
    <n v="31.583333333333332"/>
    <n v="1"/>
    <s v="Forte"/>
  </r>
  <r>
    <s v="Lycée Georges Braque"/>
    <n v="95"/>
    <s v="Val-d'oise"/>
    <x v="0"/>
    <s v="Diplôme de Comptabilité et de Gestion"/>
    <x v="0"/>
    <n v="35"/>
    <n v="1105"/>
    <n v="32"/>
    <x v="1"/>
    <n v="31.571428571428573"/>
    <n v="0.91428571428571426"/>
    <s v="Forte"/>
  </r>
  <r>
    <s v="Lycée des Métiers de l'Hôtellerie Guillaume TIREL"/>
    <n v="75"/>
    <s v="Paris"/>
    <x v="0"/>
    <s v="Mise à niveau - Hôtellerie restauration"/>
    <x v="0"/>
    <n v="24"/>
    <n v="745"/>
    <n v="24"/>
    <x v="0"/>
    <n v="31.041666666666668"/>
    <n v="1"/>
    <s v="Forte"/>
  </r>
  <r>
    <s v="ESAA Boulle"/>
    <n v="75"/>
    <s v="Paris"/>
    <x v="0"/>
    <s v="DN MADE - Patrimoine - Spécialité : Marqueterie (Créateur-concepteur - décor et restauration en mobilier d’exception)"/>
    <x v="0"/>
    <n v="4"/>
    <n v="124"/>
    <n v="4"/>
    <x v="0"/>
    <n v="31"/>
    <n v="1"/>
    <s v="Forte"/>
  </r>
  <r>
    <s v="EIVP - Ecole des ingénieurs de la ville de Paris"/>
    <n v="75"/>
    <s v="Paris"/>
    <x v="0"/>
    <s v="Licence professionnelle - Métiers de l'aménagement du territoire et de l'urbanisme parcours Architecture et Conception"/>
    <x v="0"/>
    <n v="25"/>
    <n v="774"/>
    <n v="25"/>
    <x v="0"/>
    <n v="30.96"/>
    <n v="1"/>
    <s v="Forte"/>
  </r>
  <r>
    <s v="ECOLE NATIONALE SUPERIEURE A.A-MET.D'ART."/>
    <n v="75"/>
    <s v="Paris"/>
    <x v="0"/>
    <s v="DN MADE - Matériaux - Spécialité : Textile, couleur, matière, surface"/>
    <x v="0"/>
    <n v="16"/>
    <n v="490"/>
    <n v="16"/>
    <x v="0"/>
    <n v="30.625"/>
    <n v="1"/>
    <s v="Forte"/>
  </r>
  <r>
    <s v="Centre de Ressources, d'Expertise et de Performance Sportive d'Ile de France (CREPS)"/>
    <n v="92"/>
    <s v="Hauts-de-Seine"/>
    <x v="0"/>
    <s v="BPJEPS - Spécialité Educateur sportif - Mention Activités aquatiques et de la natation"/>
    <x v="0"/>
    <n v="5"/>
    <n v="153"/>
    <n v="4"/>
    <x v="2"/>
    <n v="30.6"/>
    <n v="0.8"/>
    <s v="Forte"/>
  </r>
  <r>
    <s v="Sorbonne université"/>
    <n v="75"/>
    <s v="Paris"/>
    <x v="0"/>
    <s v="C.M.I - Cursus Master en Ingénierie - Mécanique - Cursus Master en Ingénierie (CMI) : Mécanique"/>
    <x v="0"/>
    <n v="32"/>
    <n v="958"/>
    <n v="32"/>
    <x v="0"/>
    <n v="29.9375"/>
    <n v="1"/>
    <s v="Forte"/>
  </r>
  <r>
    <s v="CNAM PARIS"/>
    <n v="93"/>
    <s v="Seine-Saint-Denis"/>
    <x v="0"/>
    <s v="Diplôme d'Etablissement - Bachelor Entrepreneuriat dans les métiers d'art et du design"/>
    <x v="0"/>
    <n v="15"/>
    <n v="448"/>
    <n v="15"/>
    <x v="2"/>
    <n v="29.866666666666667"/>
    <n v="1"/>
    <s v="Forte"/>
  </r>
  <r>
    <s v="Lycée Adolphe Cherioux"/>
    <n v="94"/>
    <s v="Val-de-Marne"/>
    <x v="0"/>
    <s v="DN MADE - Espace - Spécialité : Conception des paysages urbains partagés"/>
    <x v="0"/>
    <n v="12"/>
    <n v="357"/>
    <n v="12"/>
    <x v="2"/>
    <n v="29.75"/>
    <n v="1"/>
    <s v="Forte"/>
  </r>
  <r>
    <s v="Institut de formation en ergothérapie Université Paris 12"/>
    <n v="94"/>
    <s v="Val-de-Marne"/>
    <x v="0"/>
    <s v="D.E Ergothérapeute"/>
    <x v="0"/>
    <n v="63"/>
    <n v="1857"/>
    <n v="66"/>
    <x v="2"/>
    <n v="29.476190476190474"/>
    <n v="1.0476190476190477"/>
    <s v="Forte"/>
  </r>
  <r>
    <s v="Ecole Nationale Supérieure d'Architecture de Paris-Val de Seine"/>
    <n v="75"/>
    <s v="Paris"/>
    <x v="0"/>
    <s v="Bicursus Architecture Ingénieur"/>
    <x v="0"/>
    <n v="35"/>
    <n v="1014"/>
    <n v="35"/>
    <x v="0"/>
    <n v="28.971428571428572"/>
    <n v="1"/>
    <s v="Forte"/>
  </r>
  <r>
    <s v="Lycée Eugenie Cotton"/>
    <n v="93"/>
    <s v="Seine-Saint-Denis"/>
    <x v="0"/>
    <s v="DN MADE - Graphisme - Spécialité : Graphisme en mouvement"/>
    <x v="0"/>
    <n v="16"/>
    <n v="463"/>
    <n v="16"/>
    <x v="2"/>
    <n v="28.9375"/>
    <n v="1"/>
    <s v="Forte"/>
  </r>
  <r>
    <s v="ESAA Boulle"/>
    <n v="75"/>
    <s v="Paris"/>
    <x v="0"/>
    <s v="DN MADE - Objet - Spécialité : Ebénisterie (Créateur-concepteur - ameublement d’exception)"/>
    <x v="0"/>
    <n v="12"/>
    <n v="346"/>
    <n v="12"/>
    <x v="0"/>
    <n v="28.833333333333332"/>
    <n v="1"/>
    <s v="Forte"/>
  </r>
  <r>
    <s v="CY Cergy Paris Université"/>
    <n v="95"/>
    <s v="Val-d'oise"/>
    <x v="0"/>
    <s v="CUPGE - Cycle Universitaire Préparatoire aux Grandes Ecoles - CUPGE Scientifique - Cycle Universitaire Préparatoire aux Grandes Ecoles d'ingénieur"/>
    <x v="0"/>
    <n v="45"/>
    <n v="1282"/>
    <n v="42"/>
    <x v="1"/>
    <n v="28.488888888888887"/>
    <n v="0.93333333333333335"/>
    <s v="Forte"/>
  </r>
  <r>
    <s v="Institut de formation en Psychomotricité du Centre Hospitalier Intercommunal de Meulan-Les Mureaux"/>
    <n v="78"/>
    <s v="Yvelines"/>
    <x v="0"/>
    <s v="D.E Psychomotricien"/>
    <x v="0"/>
    <n v="23"/>
    <n v="642"/>
    <n v="24"/>
    <x v="1"/>
    <n v="27.913043478260871"/>
    <n v="1.0434782608695652"/>
    <s v="Forte"/>
  </r>
  <r>
    <s v="Lycée Etienne-Jules Marey"/>
    <n v="92"/>
    <s v="Hauts-de-Seine"/>
    <x v="0"/>
    <s v="FCIL - Formation graphisme et communication visuelle"/>
    <x v="0"/>
    <n v="12"/>
    <n v="330"/>
    <n v="11"/>
    <x v="2"/>
    <n v="27.5"/>
    <n v="0.91666666666666663"/>
    <s v="Forte"/>
  </r>
  <r>
    <s v="Ecole Nationale Supérieure d'Architecture de Paris-La Villette"/>
    <n v="75"/>
    <s v="Paris"/>
    <x v="0"/>
    <s v="Architecture"/>
    <x v="0"/>
    <n v="153"/>
    <n v="4180"/>
    <n v="154"/>
    <x v="0"/>
    <n v="27.320261437908496"/>
    <n v="1.0065359477124183"/>
    <s v="Forte"/>
  </r>
  <r>
    <s v="Ecole Nationale Supérieure d'Architecture de Paris-Malaquais"/>
    <n v="75"/>
    <s v="Paris"/>
    <x v="0"/>
    <s v="Architecture"/>
    <x v="0"/>
    <n v="120"/>
    <n v="3271"/>
    <n v="120"/>
    <x v="0"/>
    <n v="27.258333333333333"/>
    <n v="1"/>
    <s v="Forte"/>
  </r>
  <r>
    <s v="Esaa Duperré"/>
    <n v="75"/>
    <s v="Paris"/>
    <x v="0"/>
    <s v="DN MADE - Matériaux - Spécialité : Céramique"/>
    <x v="0"/>
    <n v="8"/>
    <n v="215"/>
    <n v="8"/>
    <x v="0"/>
    <n v="26.875"/>
    <n v="1"/>
    <s v="Forte"/>
  </r>
  <r>
    <s v="Ecole nationale supérieure d'arts de Paris-Cergy"/>
    <n v="95"/>
    <s v="Val-d'oise"/>
    <x v="0"/>
    <s v="Diplôme National d'Art"/>
    <x v="0"/>
    <n v="30"/>
    <n v="803"/>
    <n v="30"/>
    <x v="1"/>
    <n v="26.766666666666666"/>
    <n v="1"/>
    <s v="Forte"/>
  </r>
  <r>
    <s v="Université Sorbonne Paris Nord - Antenne de Bobigny"/>
    <n v="93"/>
    <s v="Seine-Saint-Denis"/>
    <x v="0"/>
    <s v="Année préparatoire aux Etudes de Santé (APES)"/>
    <x v="0"/>
    <n v="50"/>
    <n v="1331"/>
    <n v="49"/>
    <x v="2"/>
    <n v="26.62"/>
    <n v="0.98"/>
    <s v="Forte"/>
  </r>
  <r>
    <s v="Lycée Camille Claudel"/>
    <n v="95"/>
    <s v="Val-d'oise"/>
    <x v="0"/>
    <s v="DN MADE - Espace - Spécialité : Scénographie : théâtre, danse, exposition"/>
    <x v="0"/>
    <n v="15"/>
    <n v="399"/>
    <n v="14"/>
    <x v="1"/>
    <n v="26.6"/>
    <n v="0.93333333333333335"/>
    <s v="Forte"/>
  </r>
  <r>
    <s v="ECOLE NATIONALE SUPERIEURE A.A-MET.D'ART."/>
    <n v="75"/>
    <s v="Paris"/>
    <x v="0"/>
    <s v="DN MADE - Ornement - Spécialité : Mosaïque"/>
    <x v="0"/>
    <n v="6"/>
    <n v="153"/>
    <n v="7"/>
    <x v="0"/>
    <n v="25.5"/>
    <n v="1.1666666666666667"/>
    <s v="Forte"/>
  </r>
  <r>
    <s v="Ecole Nationale Supérieure d'Architecture de Paris-Belleville"/>
    <n v="75"/>
    <s v="Paris"/>
    <x v="0"/>
    <s v="Architecture"/>
    <x v="0"/>
    <n v="135"/>
    <n v="3405"/>
    <n v="135"/>
    <x v="0"/>
    <n v="25.222222222222221"/>
    <n v="1"/>
    <s v="Forte"/>
  </r>
  <r>
    <s v="ESAA Boulle"/>
    <n v="75"/>
    <s v="Paris"/>
    <x v="0"/>
    <s v="DN MADE - Matériaux - Spécialité : Ciselure (Créateur-concepteur - volume et décor d’exception)"/>
    <x v="0"/>
    <n v="4"/>
    <n v="100"/>
    <n v="4"/>
    <x v="0"/>
    <n v="25"/>
    <n v="1"/>
    <s v="Forte"/>
  </r>
  <r>
    <s v="Centre de Ressources, d'Expertise et de Performance Sportive d'Ile de France (CREPS)"/>
    <n v="92"/>
    <s v="Hauts-de-Seine"/>
    <x v="0"/>
    <s v="BPJEPS - Spécialité Educateur sportif - Mention Activités physiques pour tous"/>
    <x v="0"/>
    <n v="24"/>
    <n v="593"/>
    <n v="22"/>
    <x v="2"/>
    <n v="24.708333333333332"/>
    <n v="0.91666666666666663"/>
    <s v="Forte"/>
  </r>
  <r>
    <s v="Ecole Nationale Supérieure d'Architecture de Versailles"/>
    <n v="78"/>
    <s v="Yvelines"/>
    <x v="0"/>
    <s v="Architecture"/>
    <x v="0"/>
    <n v="130"/>
    <n v="3193"/>
    <n v="129"/>
    <x v="1"/>
    <n v="24.561538461538461"/>
    <n v="0.99230769230769234"/>
    <s v="Forte"/>
  </r>
  <r>
    <s v="Lycée Robert Doisneau"/>
    <n v="91"/>
    <s v="Essonne"/>
    <x v="0"/>
    <s v="Diplôme de Comptabilité et de Gestion"/>
    <x v="0"/>
    <n v="38"/>
    <n v="933"/>
    <n v="35"/>
    <x v="1"/>
    <n v="24.55263157894737"/>
    <n v="0.92105263157894735"/>
    <s v="Forte"/>
  </r>
  <r>
    <s v="Lycée André Malraux"/>
    <n v="77"/>
    <s v="Seine-et-Marne"/>
    <x v="0"/>
    <s v="DN MADE - Graphisme"/>
    <x v="0"/>
    <n v="10"/>
    <n v="245"/>
    <n v="8"/>
    <x v="1"/>
    <n v="24.5"/>
    <n v="0.8"/>
    <s v="Forte"/>
  </r>
  <r>
    <s v="Institut d'études politiques de Paris - Sciences Po"/>
    <n v="75"/>
    <s v="Paris"/>
    <x v="0"/>
    <s v="Sciences Po / Instituts d'études politiques - Sciences Humaines et Sociales - Grade Licence - Bachelor du Collège universitaire de Sciences Po"/>
    <x v="0"/>
    <n v="270"/>
    <n v="6531"/>
    <n v="264"/>
    <x v="0"/>
    <n v="24.18888888888889"/>
    <n v="0.97777777777777775"/>
    <s v="Forte"/>
  </r>
  <r>
    <s v="Lycée Estienne Esaig"/>
    <n v="75"/>
    <s v="Paris"/>
    <x v="0"/>
    <s v="DN MADE - Livre - Spécialité : Gravure- images imprimées"/>
    <x v="0"/>
    <n v="12"/>
    <n v="288"/>
    <n v="12"/>
    <x v="0"/>
    <n v="24"/>
    <n v="1"/>
    <s v="Forte"/>
  </r>
  <r>
    <s v="GOBELINS PARIS GAMBETTA"/>
    <n v="75"/>
    <s v="Paris"/>
    <x v="0"/>
    <s v="DN MADE - Graphisme - Spécialité : Design éditorial"/>
    <x v="0"/>
    <n v="16"/>
    <n v="377"/>
    <n v="16"/>
    <x v="0"/>
    <n v="23.5625"/>
    <n v="1"/>
    <s v="Forte"/>
  </r>
  <r>
    <s v="Lycée Leo Lagrange"/>
    <n v="93"/>
    <s v="Seine-Saint-Denis"/>
    <x v="0"/>
    <s v="FCIL - Conseiller de vente en produits et services de luxe"/>
    <x v="0"/>
    <n v="12"/>
    <n v="281"/>
    <n v="12"/>
    <x v="2"/>
    <n v="23.416666666666668"/>
    <n v="1"/>
    <s v="Forte"/>
  </r>
  <r>
    <s v="Sorbonne université"/>
    <n v="75"/>
    <s v="Paris"/>
    <x v="0"/>
    <s v="C.M.I - Cursus Master en Ingénierie - Physique - Cursus Master en Ingénierie (CMI) : Physique"/>
    <x v="0"/>
    <n v="32"/>
    <n v="747"/>
    <n v="29"/>
    <x v="0"/>
    <n v="23.34375"/>
    <n v="0.90625"/>
    <s v="Forte"/>
  </r>
  <r>
    <s v="CNAM INTEC"/>
    <n v="75"/>
    <s v="Paris"/>
    <x v="0"/>
    <s v="DGC (Diplôme de Gestion et de Comptabilité)"/>
    <x v="0"/>
    <n v="80"/>
    <n v="1862"/>
    <n v="86"/>
    <x v="0"/>
    <n v="23.274999999999999"/>
    <n v="1.075"/>
    <s v="Forte"/>
  </r>
  <r>
    <s v="ESAA Boulle"/>
    <n v="75"/>
    <s v="Paris"/>
    <x v="0"/>
    <s v="DN MADE - Matériaux - Spécialité : Sculpture sur bois (Créateur-concepteur - volume et décor d’exception)"/>
    <x v="0"/>
    <n v="8"/>
    <n v="186"/>
    <n v="8"/>
    <x v="0"/>
    <n v="23.25"/>
    <n v="1"/>
    <s v="Forte"/>
  </r>
  <r>
    <s v="ECOLE NATIONALE SUPERIEURE A.A-MET.D'ART."/>
    <n v="75"/>
    <s v="Paris"/>
    <x v="0"/>
    <s v="DN MADE - Ornement - Spécialité : Fresque et arts du mur"/>
    <x v="0"/>
    <n v="6"/>
    <n v="138"/>
    <n v="7"/>
    <x v="0"/>
    <n v="23"/>
    <n v="1.1666666666666667"/>
    <s v="Forte"/>
  </r>
  <r>
    <s v="LP Lycée des métiers La Source"/>
    <n v="94"/>
    <s v="Val-de-Marne"/>
    <x v="0"/>
    <s v="DN MADE - Matériaux - Spécialité : Créateur textile tissage"/>
    <x v="0"/>
    <n v="8"/>
    <n v="183"/>
    <n v="7"/>
    <x v="2"/>
    <n v="22.875"/>
    <n v="0.875"/>
    <s v="Forte"/>
  </r>
  <r>
    <s v="Lycée Paul Poiret"/>
    <n v="75"/>
    <s v="Paris"/>
    <x v="0"/>
    <s v="DN MADE - Spectacle - Spécialité : Mise en lumière pour le spectacle et l'événement"/>
    <x v="0"/>
    <n v="8"/>
    <n v="182"/>
    <n v="8"/>
    <x v="0"/>
    <n v="22.75"/>
    <n v="1"/>
    <s v="Forte"/>
  </r>
  <r>
    <s v="IPC-Facultés Libres de Philosophie et de Psycholog"/>
    <n v="75"/>
    <s v="Paris"/>
    <x v="0"/>
    <s v="Diplôme d'Université - PAREO"/>
    <x v="0"/>
    <n v="20"/>
    <n v="453"/>
    <n v="20"/>
    <x v="0"/>
    <n v="22.65"/>
    <n v="1"/>
    <s v="Forte"/>
  </r>
  <r>
    <s v="Lycée professionnel Andre-Marie Ampere"/>
    <n v="91"/>
    <s v="Essonne"/>
    <x v="0"/>
    <s v="Certificat de Spécialisation - Cybersécurité"/>
    <x v="0"/>
    <n v="12"/>
    <n v="271"/>
    <n v="4"/>
    <x v="1"/>
    <n v="22.583333333333332"/>
    <n v="0.33333333333333331"/>
    <s v="Forte"/>
  </r>
  <r>
    <s v="Lycée Langevin-Wallon"/>
    <n v="94"/>
    <s v="Val-de-Marne"/>
    <x v="0"/>
    <s v="FCIL - E-Commerce"/>
    <x v="0"/>
    <n v="24"/>
    <n v="542"/>
    <n v="19"/>
    <x v="2"/>
    <n v="22.583333333333332"/>
    <n v="0.79166666666666663"/>
    <s v="Forte"/>
  </r>
  <r>
    <s v="Lycée Jean-Baptiste Poquelin"/>
    <n v="78"/>
    <s v="Yvelines"/>
    <x v="0"/>
    <s v="Diplôme de Comptabilité et de Gestion"/>
    <x v="0"/>
    <n v="38"/>
    <n v="858"/>
    <n v="36"/>
    <x v="1"/>
    <n v="22.578947368421051"/>
    <n v="0.94736842105263153"/>
    <s v="Forte"/>
  </r>
  <r>
    <s v="Lycée professionnel Jean Moulin"/>
    <n v="94"/>
    <s v="Val-de-Marne"/>
    <x v="0"/>
    <s v="Certificat de Spécialisation - Services numériques aux organisations"/>
    <x v="0"/>
    <n v="15"/>
    <n v="337"/>
    <n v="10"/>
    <x v="2"/>
    <n v="22.466666666666665"/>
    <n v="0.66666666666666663"/>
    <s v="Forte"/>
  </r>
  <r>
    <s v="Université Paris-Saclay"/>
    <n v="91"/>
    <s v="Essonne"/>
    <x v="0"/>
    <s v="Cycle pluridisciplinaire d'Études Supérieures - Sciences Des Données, Société et Santé"/>
    <x v="0"/>
    <n v="48"/>
    <n v="1077"/>
    <n v="46"/>
    <x v="1"/>
    <n v="22.4375"/>
    <n v="0.95833333333333337"/>
    <s v="Forte"/>
  </r>
  <r>
    <s v="Lycée Paul Poiret"/>
    <n v="75"/>
    <s v="Paris"/>
    <x v="0"/>
    <s v="DN MADE - Spectacle - Spécialité : Sonorisation et création sonore"/>
    <x v="0"/>
    <n v="8"/>
    <n v="178"/>
    <n v="8"/>
    <x v="0"/>
    <n v="22.25"/>
    <n v="1"/>
    <s v="Forte"/>
  </r>
  <r>
    <s v="Lycée Des métiers Jean DROUANT"/>
    <n v="75"/>
    <s v="Paris"/>
    <x v="0"/>
    <s v="Mise à niveau - Hôtellerie restauration"/>
    <x v="0"/>
    <n v="42"/>
    <n v="927"/>
    <n v="32"/>
    <x v="0"/>
    <n v="22.071428571428573"/>
    <n v="0.76190476190476186"/>
    <s v="Forte"/>
  </r>
  <r>
    <s v="Ecole nationale supérieure des Beaux-Arts de Paris"/>
    <n v="75"/>
    <s v="Paris"/>
    <x v="0"/>
    <s v="Formation des écoles supérieure d'art Bac + 3 - Diplôme 1er Cycle ENSBA"/>
    <x v="0"/>
    <n v="80"/>
    <n v="1761"/>
    <n v="80"/>
    <x v="0"/>
    <n v="22.012499999999999"/>
    <n v="1"/>
    <s v="Forte"/>
  </r>
  <r>
    <s v="Ecole nationale supérieure de création industrielle - Les ateliers"/>
    <n v="75"/>
    <s v="Paris"/>
    <x v="0"/>
    <s v="Formation des écoles supérieure d'art Bac + 5 - Designer textile"/>
    <x v="0"/>
    <n v="3"/>
    <n v="66"/>
    <n v="3"/>
    <x v="0"/>
    <n v="22"/>
    <n v="1"/>
    <s v="Forte"/>
  </r>
  <r>
    <s v="ESAA Boulle"/>
    <n v="75"/>
    <s v="Paris"/>
    <x v="0"/>
    <s v="DN MADE - Patrimoine - Spécialité : Décor et traitement de surfaces (Créateur-concepteur - décor et restauration en mobilier d’exception)"/>
    <x v="0"/>
    <n v="6"/>
    <n v="131"/>
    <n v="6"/>
    <x v="0"/>
    <n v="21.833333333333332"/>
    <n v="1"/>
    <s v="Forte"/>
  </r>
  <r>
    <s v="LP Lycée des métiers La Source"/>
    <n v="94"/>
    <s v="Val-de-Marne"/>
    <x v="0"/>
    <s v="DN MADE - Matériaux - Spécialité - Objets, décors et mobiliers"/>
    <x v="0"/>
    <n v="8"/>
    <n v="173"/>
    <n v="8"/>
    <x v="2"/>
    <n v="21.625"/>
    <n v="1"/>
    <s v="Forte"/>
  </r>
  <r>
    <s v="Lycée Eugenie Cotton"/>
    <n v="93"/>
    <s v="Seine-Saint-Denis"/>
    <x v="0"/>
    <s v="DN MADE - Graphisme - Spécialité : OBJET ÉDITORIAL"/>
    <x v="0"/>
    <n v="16"/>
    <n v="344"/>
    <n v="16"/>
    <x v="2"/>
    <n v="21.5"/>
    <n v="1"/>
    <s v="Forte"/>
  </r>
  <r>
    <s v="Ecole Nationale Supérieure d'Architecture de Paris-Est"/>
    <n v="77"/>
    <s v="Seine-et-Marne"/>
    <x v="0"/>
    <s v="Architecture"/>
    <x v="0"/>
    <n v="120"/>
    <n v="2543"/>
    <n v="119"/>
    <x v="1"/>
    <n v="21.191666666666666"/>
    <n v="0.9916666666666667"/>
    <s v="Forte"/>
  </r>
  <r>
    <s v="Lycée Georges Brassens"/>
    <n v="91"/>
    <s v="Essonne"/>
    <x v="0"/>
    <s v="DN MADE - Événement - Spécialité : Espaces éphémères de marques et d'institutions culturelles"/>
    <x v="0"/>
    <n v="15"/>
    <n v="314"/>
    <n v="12"/>
    <x v="1"/>
    <n v="20.933333333333334"/>
    <n v="0.8"/>
    <s v="Forte"/>
  </r>
  <r>
    <s v="Lycée professionnel Gustave Ferrie"/>
    <n v="75"/>
    <s v="Paris"/>
    <x v="0"/>
    <s v="Certificat de Spécialisation - Cybersécurité"/>
    <x v="0"/>
    <n v="15"/>
    <n v="312"/>
    <n v="10"/>
    <x v="0"/>
    <n v="20.8"/>
    <n v="0.66666666666666663"/>
    <s v="Forte"/>
  </r>
  <r>
    <s v="Lycée Albert de Mun"/>
    <n v="75"/>
    <s v="Paris"/>
    <x v="0"/>
    <s v="Diplôme de Comptabilité et de Gestion"/>
    <x v="0"/>
    <n v="35"/>
    <n v="720"/>
    <n v="30"/>
    <x v="0"/>
    <n v="20.571428571428573"/>
    <n v="0.8571428571428571"/>
    <s v="Forte"/>
  </r>
  <r>
    <s v="CY Cergy Paris Université"/>
    <n v="95"/>
    <s v="Val-d'oise"/>
    <x v="0"/>
    <s v="Licence professionnelle - Métier du commerce international - Parcours Trilingue Tourisme international"/>
    <x v="0"/>
    <n v="30"/>
    <n v="617"/>
    <n v="30"/>
    <x v="1"/>
    <n v="20.566666666666666"/>
    <n v="1"/>
    <s v="Forte"/>
  </r>
  <r>
    <s v="Lycée Francois Rabelais"/>
    <n v="93"/>
    <s v="Seine-Saint-Denis"/>
    <x v="0"/>
    <s v="Mise à niveau - Hôtellerie restauration"/>
    <x v="0"/>
    <n v="12"/>
    <n v="246"/>
    <n v="11"/>
    <x v="2"/>
    <n v="20.5"/>
    <n v="0.91666666666666663"/>
    <s v="Forte"/>
  </r>
  <r>
    <s v="Lycée Robert Doisneau"/>
    <n v="91"/>
    <s v="Essonne"/>
    <x v="0"/>
    <s v="Classe de mise à niveau Cinéma-Audiovisuel"/>
    <x v="0"/>
    <n v="23"/>
    <n v="469"/>
    <n v="22"/>
    <x v="1"/>
    <n v="20.391304347826086"/>
    <n v="0.95652173913043481"/>
    <s v="Forte"/>
  </r>
  <r>
    <s v="Lycée Leonard De Vinci"/>
    <n v="77"/>
    <s v="Seine-et-Marne"/>
    <x v="0"/>
    <s v="Diplôme de Comptabilité et de Gestion"/>
    <x v="0"/>
    <n v="35"/>
    <n v="704"/>
    <n v="34"/>
    <x v="1"/>
    <n v="20.114285714285714"/>
    <n v="0.97142857142857142"/>
    <s v="Forte"/>
  </r>
  <r>
    <s v="Sorbonne université"/>
    <n v="75"/>
    <s v="Paris"/>
    <x v="0"/>
    <s v="Certificat de capacité d'Orthophoniste"/>
    <x v="0"/>
    <n v="136"/>
    <n v="2732"/>
    <n v="135"/>
    <x v="0"/>
    <n v="20.088235294117649"/>
    <n v="0.99264705882352944"/>
    <s v="Forte"/>
  </r>
  <r>
    <s v="Lycée Pablo Picasso"/>
    <n v="94"/>
    <s v="Val-de-Marne"/>
    <x v="0"/>
    <s v="Classe préparatoire aux études supérieures - Arts"/>
    <x v="0"/>
    <n v="24"/>
    <n v="472"/>
    <n v="24"/>
    <x v="2"/>
    <n v="19.666666666666668"/>
    <n v="1"/>
    <s v="Modérée"/>
  </r>
  <r>
    <s v="Université Paris Cité"/>
    <n v="75"/>
    <s v="Paris"/>
    <x v="0"/>
    <s v="Certificat de capacité d'Orthoptiste"/>
    <x v="0"/>
    <n v="60"/>
    <n v="1178"/>
    <n v="60"/>
    <x v="0"/>
    <n v="19.633333333333333"/>
    <n v="1"/>
    <s v="Modérée"/>
  </r>
  <r>
    <s v="Université Paris-Dauphine"/>
    <n v="75"/>
    <s v="Paris"/>
    <x v="0"/>
    <s v="Formation valant grade de licence - Sciences des Organisations - Paris - Classique"/>
    <x v="0"/>
    <n v="600"/>
    <n v="11731"/>
    <n v="608"/>
    <x v="0"/>
    <n v="19.551666666666666"/>
    <n v="1.0133333333333334"/>
    <s v="Modérée"/>
  </r>
  <r>
    <s v="Lycée professionnel Jean Mace"/>
    <n v="94"/>
    <s v="Val-de-Marne"/>
    <x v="0"/>
    <s v="FCIL - E-Commerce"/>
    <x v="0"/>
    <n v="12"/>
    <n v="231"/>
    <n v="10"/>
    <x v="2"/>
    <n v="19.25"/>
    <n v="0.83333333333333337"/>
    <s v="Modérée"/>
  </r>
  <r>
    <s v="Sorbonne université"/>
    <n v="75"/>
    <s v="Paris"/>
    <x v="0"/>
    <s v="C.M.I - Cursus Master en Ingénierie - Electronique, énergie électrique, automatique - Cursus Master en Ingénierie (CMI) : Electronique, Energie électrique, Automatique"/>
    <x v="0"/>
    <n v="16"/>
    <n v="307"/>
    <n v="16"/>
    <x v="0"/>
    <n v="19.1875"/>
    <n v="1"/>
    <s v="Modérée"/>
  </r>
  <r>
    <s v="CREPS d'Ile de France - Antenne de Vaires-sur-Marne"/>
    <n v="77"/>
    <s v="Seine-et-Marne"/>
    <x v="0"/>
    <s v="BPJEPS - Spécialité Educateur sportif - Mention Activités aquatiques et de la natation"/>
    <x v="0"/>
    <n v="6"/>
    <n v="113"/>
    <n v="6"/>
    <x v="1"/>
    <n v="18.833333333333332"/>
    <n v="1"/>
    <s v="Modérée"/>
  </r>
  <r>
    <s v="Ecole nationale supérieure de création industrielle - Les ateliers"/>
    <n v="75"/>
    <s v="Paris"/>
    <x v="0"/>
    <s v="Formation des écoles supérieure d'art Bac + 5 - Créateur industriel"/>
    <x v="0"/>
    <n v="17"/>
    <n v="313"/>
    <n v="20"/>
    <x v="0"/>
    <n v="18.411764705882351"/>
    <n v="1.1764705882352942"/>
    <s v="Modérée"/>
  </r>
  <r>
    <s v="Lycée André Malraux"/>
    <n v="77"/>
    <s v="Seine-et-Marne"/>
    <x v="0"/>
    <s v="DN MADE - Graphisme"/>
    <x v="0"/>
    <n v="10"/>
    <n v="184"/>
    <n v="5"/>
    <x v="1"/>
    <n v="18.399999999999999"/>
    <n v="0.5"/>
    <s v="Modérée"/>
  </r>
  <r>
    <s v="Lycée Jean Moulin"/>
    <n v="77"/>
    <s v="Seine-et-Marne"/>
    <x v="0"/>
    <s v="Classe préparatoire aux études supérieures - Scientifique"/>
    <x v="0"/>
    <n v="30"/>
    <n v="551"/>
    <n v="27"/>
    <x v="1"/>
    <n v="18.366666666666667"/>
    <n v="0.9"/>
    <s v="Modérée"/>
  </r>
  <r>
    <s v="Université Paris Cité"/>
    <n v="75"/>
    <s v="Paris"/>
    <x v="0"/>
    <s v="Certificat de capacité d'Orthoptiste"/>
    <x v="0"/>
    <n v="6"/>
    <n v="110"/>
    <n v="2"/>
    <x v="0"/>
    <n v="18.333333333333332"/>
    <n v="0.33333333333333331"/>
    <s v="Modérée"/>
  </r>
  <r>
    <s v="Ecole Nationale Supérieure d'Architecture de Paris-Val de Seine"/>
    <n v="75"/>
    <s v="Paris"/>
    <x v="0"/>
    <s v="Architecture"/>
    <x v="0"/>
    <n v="250"/>
    <n v="4445"/>
    <n v="250"/>
    <x v="0"/>
    <n v="17.78"/>
    <n v="1"/>
    <s v="Modérée"/>
  </r>
  <r>
    <s v="GOBELINS PARIS GAMBETTA"/>
    <n v="75"/>
    <s v="Paris"/>
    <x v="0"/>
    <s v="DN MADE - Graphisme - Spécialité : Design de message"/>
    <x v="0"/>
    <n v="16"/>
    <n v="283"/>
    <n v="17"/>
    <x v="0"/>
    <n v="17.6875"/>
    <n v="1.0625"/>
    <s v="Modérée"/>
  </r>
  <r>
    <s v="Lycée Diderot"/>
    <n v="75"/>
    <s v="Paris"/>
    <x v="0"/>
    <s v="DN MADE - Objet - Spécialité : Horlogerie, mention objet numérique et patrimoine"/>
    <x v="0"/>
    <n v="15"/>
    <n v="261"/>
    <n v="11"/>
    <x v="0"/>
    <n v="17.399999999999999"/>
    <n v="0.73333333333333328"/>
    <s v="Modérée"/>
  </r>
  <r>
    <s v="Université Sorbonne Paris Nord - Antenne de Bobigny"/>
    <n v="93"/>
    <s v="Seine-Saint-Denis"/>
    <x v="0"/>
    <s v="DEUST - Animation et gestion des activités physiques, sportives ou culturelles"/>
    <x v="0"/>
    <n v="25"/>
    <n v="433"/>
    <n v="20"/>
    <x v="2"/>
    <n v="17.32"/>
    <n v="0.8"/>
    <s v="Modérée"/>
  </r>
  <r>
    <s v="Institut de Formation en Ergothérapie ADERE"/>
    <n v="75"/>
    <s v="Paris"/>
    <x v="0"/>
    <s v="D.E Ergothérapeute"/>
    <x v="0"/>
    <n v="53"/>
    <n v="911"/>
    <n v="49"/>
    <x v="0"/>
    <n v="17.188679245283019"/>
    <n v="0.92452830188679247"/>
    <s v="Modérée"/>
  </r>
  <r>
    <s v="Université de Cergy-Pontoise - CY SUP"/>
    <n v="95"/>
    <s v="Val-d'oise"/>
    <x v="0"/>
    <s v="Licence professionnelle - Assurance, banque, finance : chargé de clientèle - Parcours chargé de clientèle banque- assurance"/>
    <x v="0"/>
    <n v="36"/>
    <n v="616"/>
    <n v="35"/>
    <x v="1"/>
    <n v="17.111111111111111"/>
    <n v="0.97222222222222221"/>
    <s v="Modérée"/>
  </r>
  <r>
    <s v="Lycée Le Rebours"/>
    <n v="75"/>
    <s v="Paris"/>
    <x v="0"/>
    <s v="Diplôme de Comptabilité et de Gestion"/>
    <x v="0"/>
    <n v="36"/>
    <n v="615"/>
    <n v="36"/>
    <x v="0"/>
    <n v="17.083333333333332"/>
    <n v="1"/>
    <s v="Modérée"/>
  </r>
  <r>
    <s v="Ecole Nationale Supérieure d'Architecture de Paris-La Villette"/>
    <n v="75"/>
    <s v="Paris"/>
    <x v="0"/>
    <s v="Bicursus Architecture Ingénieur - ESTP"/>
    <x v="0"/>
    <n v="37"/>
    <n v="621"/>
    <n v="37"/>
    <x v="0"/>
    <n v="16.783783783783782"/>
    <n v="1"/>
    <s v="Modérée"/>
  </r>
  <r>
    <s v="Lycée Louis Armand"/>
    <n v="75"/>
    <s v="Paris"/>
    <x v="0"/>
    <s v="Certificat de Spécialisation - Cybersécurité"/>
    <x v="0"/>
    <n v="15"/>
    <n v="248"/>
    <n v="14"/>
    <x v="0"/>
    <n v="16.533333333333335"/>
    <n v="0.93333333333333335"/>
    <s v="Modérée"/>
  </r>
  <r>
    <s v="Université de Cergy-Pontoise - CY SUP"/>
    <n v="95"/>
    <s v="Val-d'oise"/>
    <x v="0"/>
    <s v="C.M.I - Cursus Master en Ingénierie - Electronique, énergie électrique, automatique - Cursus Master en Ingénierie (CMI) : EEA (Traitement de l'information et gestion de l'énergie)"/>
    <x v="0"/>
    <n v="20"/>
    <n v="327"/>
    <n v="20"/>
    <x v="1"/>
    <n v="16.350000000000001"/>
    <n v="1"/>
    <s v="Modérée"/>
  </r>
  <r>
    <s v="ESAA Boulle"/>
    <n v="75"/>
    <s v="Paris"/>
    <x v="0"/>
    <s v="DN MADE - Matériaux - Spécialité : Monture en bronze (Créateur-concepteur métal - objet d’exception)"/>
    <x v="0"/>
    <n v="6"/>
    <n v="97"/>
    <n v="6"/>
    <x v="0"/>
    <n v="16.166666666666668"/>
    <n v="1"/>
    <s v="Modérée"/>
  </r>
  <r>
    <s v="Institut National du Patrimoine (département des restaurateurs)"/>
    <n v="93"/>
    <s v="Seine-Saint-Denis"/>
    <x v="0"/>
    <s v="Conservation-restauration des biens culturels - spécialité Peinture"/>
    <x v="0"/>
    <n v="3"/>
    <n v="48"/>
    <n v="3"/>
    <x v="2"/>
    <n v="16"/>
    <n v="1"/>
    <s v="Modérée"/>
  </r>
  <r>
    <s v="Lycée professionnel Corvisart-Arts Graphiques"/>
    <n v="75"/>
    <s v="Paris"/>
    <x v="0"/>
    <s v="FCIL - Multimédia"/>
    <x v="0"/>
    <n v="10"/>
    <n v="160"/>
    <n v="9"/>
    <x v="0"/>
    <n v="16"/>
    <n v="0.9"/>
    <s v="Modérée"/>
  </r>
  <r>
    <s v="GOBELINS PARIS GAMBETTA"/>
    <n v="75"/>
    <s v="Paris"/>
    <x v="0"/>
    <s v="DN MADE - Graphisme - Spécialité : Designer UI/UX - Interface et narration interactives"/>
    <x v="0"/>
    <n v="20"/>
    <n v="319"/>
    <n v="20"/>
    <x v="0"/>
    <n v="15.95"/>
    <n v="1"/>
    <s v="Modérée"/>
  </r>
  <r>
    <s v="Lycée professionnel Gustave Eiffel"/>
    <n v="75"/>
    <s v="Paris"/>
    <x v="0"/>
    <s v="Certificat de Spécialisation - Accueil-réception"/>
    <x v="0"/>
    <n v="12"/>
    <n v="191"/>
    <n v="12"/>
    <x v="0"/>
    <n v="15.916666666666666"/>
    <n v="1"/>
    <s v="Modérée"/>
  </r>
  <r>
    <s v="Lycée Auguste Renoir"/>
    <n v="75"/>
    <s v="Paris"/>
    <x v="0"/>
    <s v="DN MADE - Objet - Spécialité : Objets et systèmes d'objets céramique"/>
    <x v="0"/>
    <n v="10"/>
    <n v="157"/>
    <n v="10"/>
    <x v="0"/>
    <n v="15.7"/>
    <n v="1"/>
    <s v="Modérée"/>
  </r>
  <r>
    <s v="Paris Sciences Lettres PSL"/>
    <n v="75"/>
    <s v="Paris"/>
    <x v="0"/>
    <s v="Formation valant grade de licence - International Bachelor of Science in Artificial Intelligence (AI)"/>
    <x v="0"/>
    <n v="30"/>
    <n v="468"/>
    <n v="30"/>
    <x v="0"/>
    <n v="15.6"/>
    <n v="1"/>
    <s v="Modérée"/>
  </r>
  <r>
    <s v="Lycée Notre Dame du Grandchamp"/>
    <n v="78"/>
    <s v="Yvelines"/>
    <x v="0"/>
    <s v="Diplôme de Comptabilité et de Gestion"/>
    <x v="0"/>
    <n v="68"/>
    <n v="1052"/>
    <n v="69"/>
    <x v="1"/>
    <n v="15.470588235294118"/>
    <n v="1.0147058823529411"/>
    <s v="Modérée"/>
  </r>
  <r>
    <s v="Université de Cergy-Pontoise - CY SUP"/>
    <n v="95"/>
    <s v="Val-d'oise"/>
    <x v="0"/>
    <s v="C.M.I - Cursus Master en Ingénierie - Sciences de la terre - Cursus Master en Ingénierie (CMI) : Géosciences pour l'énergie"/>
    <x v="0"/>
    <n v="20"/>
    <n v="308"/>
    <n v="7"/>
    <x v="1"/>
    <n v="15.4"/>
    <n v="0.35"/>
    <s v="Modérée"/>
  </r>
  <r>
    <s v="Lycée Leon Blum"/>
    <n v="94"/>
    <s v="Val-de-Marne"/>
    <x v="0"/>
    <s v="Certificat de Spécialisation - Accueil-réception"/>
    <x v="0"/>
    <n v="12"/>
    <n v="182"/>
    <n v="12"/>
    <x v="2"/>
    <n v="15.166666666666666"/>
    <n v="1"/>
    <s v="Modérée"/>
  </r>
  <r>
    <s v="Lycée Auffray"/>
    <n v="92"/>
    <s v="Hauts-de-Seine"/>
    <x v="0"/>
    <s v="Mise à niveau - Hôtellerie restauration"/>
    <x v="0"/>
    <n v="30"/>
    <n v="455"/>
    <n v="28"/>
    <x v="2"/>
    <n v="15.166666666666666"/>
    <n v="0.93333333333333335"/>
    <s v="Modérée"/>
  </r>
  <r>
    <s v="Lycée ROSA PARKS"/>
    <n v="91"/>
    <s v="Essonne"/>
    <x v="0"/>
    <s v="Classe préparatoire aux études supérieures - Arts"/>
    <x v="0"/>
    <n v="30"/>
    <n v="451"/>
    <n v="29"/>
    <x v="1"/>
    <n v="15.033333333333333"/>
    <n v="0.96666666666666667"/>
    <s v="Modérée"/>
  </r>
  <r>
    <s v="CNAM PARIS"/>
    <n v="93"/>
    <s v="Seine-Saint-Denis"/>
    <x v="0"/>
    <s v="DSP - Assistant intégrateur web"/>
    <x v="0"/>
    <n v="25"/>
    <n v="374"/>
    <n v="23"/>
    <x v="2"/>
    <n v="14.96"/>
    <n v="0.92"/>
    <s v="Modérée"/>
  </r>
  <r>
    <s v="Lycée Vallee De Chevreuse"/>
    <n v="91"/>
    <s v="Essonne"/>
    <x v="0"/>
    <s v="FCIL - Métiers de Laboratoire"/>
    <x v="0"/>
    <n v="12"/>
    <n v="179"/>
    <n v="10"/>
    <x v="1"/>
    <n v="14.916666666666666"/>
    <n v="0.83333333333333337"/>
    <s v="Modérée"/>
  </r>
  <r>
    <s v="Lycée Estienne Esaig"/>
    <n v="75"/>
    <s v="Paris"/>
    <x v="0"/>
    <s v="DN MADE - Livre - Spécialité : Reliure-création et patrimoine"/>
    <x v="0"/>
    <n v="12"/>
    <n v="179"/>
    <n v="12"/>
    <x v="0"/>
    <n v="14.916666666666666"/>
    <n v="1"/>
    <s v="Modérée"/>
  </r>
  <r>
    <s v="Ecole polytechnique"/>
    <n v="91"/>
    <s v="Essonne"/>
    <x v="0"/>
    <s v="Formation valant grade de licence - Bachelor of Science"/>
    <x v="0"/>
    <n v="25"/>
    <n v="371"/>
    <n v="26"/>
    <x v="1"/>
    <n v="14.84"/>
    <n v="1.04"/>
    <s v="Modérée"/>
  </r>
  <r>
    <s v="Ecole nationale supérieure de paysage Versailles"/>
    <n v="78"/>
    <s v="Yvelines"/>
    <x v="0"/>
    <s v="Paysage - Première année commune, Arts, Paysage, Architecture"/>
    <x v="0"/>
    <n v="25"/>
    <n v="371"/>
    <n v="25"/>
    <x v="1"/>
    <n v="14.84"/>
    <n v="1"/>
    <s v="Modérée"/>
  </r>
  <r>
    <s v="Université Paris-Dauphine"/>
    <n v="75"/>
    <s v="Paris"/>
    <x v="0"/>
    <s v="Formation valant grade de licence - Sciences des Organisations - Paris - Talents"/>
    <x v="0"/>
    <n v="30"/>
    <n v="445"/>
    <n v="28"/>
    <x v="0"/>
    <n v="14.833333333333334"/>
    <n v="0.93333333333333335"/>
    <s v="Modérée"/>
  </r>
  <r>
    <s v="Lycée Montalembert"/>
    <n v="92"/>
    <s v="Hauts-de-Seine"/>
    <x v="0"/>
    <s v="Diplôme de Comptabilité et de Gestion"/>
    <x v="0"/>
    <n v="30"/>
    <n v="445"/>
    <n v="28"/>
    <x v="2"/>
    <n v="14.833333333333334"/>
    <n v="0.93333333333333335"/>
    <s v="Modérée"/>
  </r>
  <r>
    <s v="Lycée Jean-Pierre Vernant"/>
    <n v="92"/>
    <s v="Hauts-de-Seine"/>
    <x v="0"/>
    <s v="DN MADE - Matériaux - Spécialité Textile mineure numérique, parcours Volume textile : Techniques, Savoir-faire et Innovations"/>
    <x v="0"/>
    <n v="8"/>
    <n v="116"/>
    <n v="8"/>
    <x v="2"/>
    <n v="14.5"/>
    <n v="1"/>
    <s v="Modérée"/>
  </r>
  <r>
    <s v="Lycée professionnel Marie Laurencin"/>
    <n v="75"/>
    <s v="Paris"/>
    <x v="0"/>
    <s v="FCIL - Lingerie - Homewear"/>
    <x v="0"/>
    <n v="7"/>
    <n v="99"/>
    <n v="7"/>
    <x v="0"/>
    <n v="14.142857142857142"/>
    <n v="1"/>
    <s v="Modérée"/>
  </r>
  <r>
    <s v="Lycée Teilhard De Chardin"/>
    <n v="94"/>
    <s v="Val-de-Marne"/>
    <x v="0"/>
    <s v="Diplôme de Comptabilité et de Gestion"/>
    <x v="0"/>
    <n v="36"/>
    <n v="508"/>
    <n v="31"/>
    <x v="2"/>
    <n v="14.111111111111111"/>
    <n v="0.86111111111111116"/>
    <s v="Modérée"/>
  </r>
  <r>
    <s v="Université Sorbonne Paris Nord"/>
    <n v="93"/>
    <s v="Seine-Saint-Denis"/>
    <x v="0"/>
    <s v="Diplôme d'Université - PAREO - PAREO"/>
    <x v="0"/>
    <n v="78"/>
    <n v="1098"/>
    <n v="54"/>
    <x v="2"/>
    <n v="14.076923076923077"/>
    <n v="0.69230769230769229"/>
    <s v="Modérée"/>
  </r>
  <r>
    <s v="INALCO"/>
    <n v="75"/>
    <s v="Paris"/>
    <x v="0"/>
    <s v="Diplôme d'Université - Diplôme intensif de Russe"/>
    <x v="0"/>
    <n v="9"/>
    <n v="126"/>
    <n v="8"/>
    <x v="0"/>
    <n v="14"/>
    <n v="0.88888888888888884"/>
    <s v="Modérée"/>
  </r>
  <r>
    <s v="Institut Catholique de Paris (ICP)- Campus de Paris"/>
    <n v="75"/>
    <s v="Paris"/>
    <x v="0"/>
    <s v="Année préparatoire - Année de préparation aux études supérieures (A.P.E.S.) - Option santé"/>
    <x v="0"/>
    <n v="25"/>
    <n v="345"/>
    <n v="28"/>
    <x v="0"/>
    <n v="13.8"/>
    <n v="1.1200000000000001"/>
    <s v="Modérée"/>
  </r>
  <r>
    <s v="Ecole Universitaire de premier cycle - Campus d'Orsay Université Paris-Saclay"/>
    <n v="91"/>
    <s v="Essonne"/>
    <x v="0"/>
    <s v="Licence professionnelle - Bio-industries et biotechnologies"/>
    <x v="0"/>
    <n v="20"/>
    <n v="272"/>
    <n v="21"/>
    <x v="1"/>
    <n v="13.6"/>
    <n v="1.05"/>
    <s v="Modérée"/>
  </r>
  <r>
    <s v="Lycée professionnel Turquetil"/>
    <n v="75"/>
    <s v="Paris"/>
    <x v="0"/>
    <s v="FCIL - Maroquinerie / Gainerie / Sellerie de luxe"/>
    <x v="0"/>
    <n v="12"/>
    <n v="161"/>
    <n v="12"/>
    <x v="0"/>
    <n v="13.416666666666666"/>
    <n v="1"/>
    <s v="Modérée"/>
  </r>
  <r>
    <s v="Lycée Des métiers Jean DROUANT"/>
    <n v="75"/>
    <s v="Paris"/>
    <x v="0"/>
    <s v="Certificat de Spécialisation - Accueil-réception"/>
    <x v="0"/>
    <n v="12"/>
    <n v="161"/>
    <n v="6"/>
    <x v="0"/>
    <n v="13.416666666666666"/>
    <n v="0.5"/>
    <s v="Modérée"/>
  </r>
  <r>
    <s v="Lycée GUSTAVE EIFFEL"/>
    <n v="93"/>
    <s v="Seine-Saint-Denis"/>
    <x v="0"/>
    <s v="Classe préparatoire aux études supérieures - Arts"/>
    <x v="0"/>
    <n v="24"/>
    <n v="322"/>
    <n v="24"/>
    <x v="2"/>
    <n v="13.416666666666666"/>
    <n v="1"/>
    <s v="Modérée"/>
  </r>
  <r>
    <s v="Lycée ORT DANIEL MAYER"/>
    <n v="93"/>
    <s v="Seine-Saint-Denis"/>
    <x v="0"/>
    <s v="Diplôme de Comptabilité et de Gestion"/>
    <x v="0"/>
    <n v="36"/>
    <n v="467"/>
    <n v="28"/>
    <x v="2"/>
    <n v="12.972222222222221"/>
    <n v="0.77777777777777779"/>
    <s v="Modérée"/>
  </r>
  <r>
    <s v="Lycée Hotellerie Et Tourisme"/>
    <n v="78"/>
    <s v="Yvelines"/>
    <x v="0"/>
    <s v="Mise à niveau - Hôtellerie restauration"/>
    <x v="0"/>
    <n v="28"/>
    <n v="362"/>
    <n v="25"/>
    <x v="1"/>
    <n v="12.928571428571429"/>
    <n v="0.8928571428571429"/>
    <s v="Modérée"/>
  </r>
  <r>
    <s v="Sorbonne université"/>
    <n v="75"/>
    <s v="Paris"/>
    <x v="0"/>
    <s v="D.E Psychomotricien"/>
    <x v="0"/>
    <n v="120"/>
    <n v="1500"/>
    <n v="120"/>
    <x v="0"/>
    <n v="12.5"/>
    <n v="1"/>
    <s v="Modérée"/>
  </r>
  <r>
    <s v="Lycée Paul-Emile Victor"/>
    <n v="95"/>
    <s v="Val-d'oise"/>
    <x v="0"/>
    <s v="FCIL - secrétariat médical"/>
    <x v="0"/>
    <n v="20"/>
    <n v="245"/>
    <n v="15"/>
    <x v="1"/>
    <n v="12.25"/>
    <n v="0.75"/>
    <s v="Modérée"/>
  </r>
  <r>
    <s v="Université Paris-Dauphine"/>
    <n v="75"/>
    <s v="Paris"/>
    <x v="0"/>
    <s v="Formation valant grade de licence - Sciences des Organisations - Programme franco-allemand"/>
    <x v="0"/>
    <n v="30"/>
    <n v="365"/>
    <n v="32"/>
    <x v="0"/>
    <n v="12.166666666666666"/>
    <n v="1.0666666666666667"/>
    <s v="Modérée"/>
  </r>
  <r>
    <s v="Lycée Lucas De Nehou"/>
    <n v="75"/>
    <s v="Paris"/>
    <x v="0"/>
    <s v="DN MADE - Matériaux - Spécialité : Verre, espace, objet"/>
    <x v="0"/>
    <n v="15"/>
    <n v="181"/>
    <n v="14"/>
    <x v="0"/>
    <n v="12.066666666666666"/>
    <n v="0.93333333333333335"/>
    <s v="Modérée"/>
  </r>
  <r>
    <s v="Lycée L'Initiative"/>
    <n v="75"/>
    <s v="Paris"/>
    <x v="0"/>
    <s v="DN MADE - Graphisme - Spécialité : Design collaboratif social et solidaire"/>
    <x v="0"/>
    <n v="17"/>
    <n v="205"/>
    <n v="16"/>
    <x v="0"/>
    <n v="12.058823529411764"/>
    <n v="0.94117647058823528"/>
    <s v="Modérée"/>
  </r>
  <r>
    <s v="CNAM PARIS"/>
    <n v="93"/>
    <s v="Seine-Saint-Denis"/>
    <x v="0"/>
    <s v="DSP - Développement et exploitation de parcs informatiques"/>
    <x v="0"/>
    <n v="25"/>
    <n v="300"/>
    <n v="24"/>
    <x v="2"/>
    <n v="12"/>
    <n v="0.96"/>
    <s v="Modérée"/>
  </r>
  <r>
    <s v="Lycée Jean-Pierre Vernant"/>
    <n v="92"/>
    <s v="Hauts-de-Seine"/>
    <x v="0"/>
    <s v="DN MADE - Matériaux - Spécialité Céramique mineure numérique, parcours Volume céramique : Techniques, Savoir-faire et Innovations"/>
    <x v="0"/>
    <n v="8"/>
    <n v="95"/>
    <n v="8"/>
    <x v="2"/>
    <n v="11.875"/>
    <n v="1"/>
    <s v="Modérée"/>
  </r>
  <r>
    <s v="Institut de formation en Ergothérapie du Centre Hospitalier Intercommunal de Meulan-Les Mureaux"/>
    <n v="78"/>
    <s v="Yvelines"/>
    <x v="0"/>
    <s v="D.E Ergothérapeute"/>
    <x v="0"/>
    <n v="37"/>
    <n v="436"/>
    <n v="39"/>
    <x v="1"/>
    <n v="11.783783783783784"/>
    <n v="1.0540540540540539"/>
    <s v="Modérée"/>
  </r>
  <r>
    <s v="Assas Formations Santé"/>
    <n v="78"/>
    <s v="Yvelines"/>
    <x v="0"/>
    <s v="D.E Ergothérapeute"/>
    <x v="0"/>
    <n v="34"/>
    <n v="397"/>
    <n v="34"/>
    <x v="1"/>
    <n v="11.676470588235293"/>
    <n v="1"/>
    <s v="Modérée"/>
  </r>
  <r>
    <s v="I.U.T. d'Evry Val d'Essonne - Site Brétigny S/Orge"/>
    <n v="91"/>
    <s v="Essonne"/>
    <x v="0"/>
    <s v="Diplôme d'Université - Préparation à la conduite Ferroviaire"/>
    <x v="0"/>
    <n v="6"/>
    <n v="70"/>
    <n v="6"/>
    <x v="1"/>
    <n v="11.666666666666666"/>
    <n v="1"/>
    <s v="Modérée"/>
  </r>
  <r>
    <s v="Lycée Claude-Nicolas LEDOUX / EBTP"/>
    <n v="94"/>
    <s v="Val-de-Marne"/>
    <x v="0"/>
    <s v="DN MADE - Événement - Spécialité : Conception de dispositifs et d'espaces éphémères pour les marques, les associations et les organisations culturelles"/>
    <x v="0"/>
    <n v="23"/>
    <n v="267"/>
    <n v="22"/>
    <x v="2"/>
    <n v="11.608695652173912"/>
    <n v="0.95652173913043481"/>
    <s v="Modérée"/>
  </r>
  <r>
    <s v="Lycée des Métiers de l'Hôtellerie Guillaume TIREL"/>
    <n v="75"/>
    <s v="Paris"/>
    <x v="0"/>
    <s v="Certificat de Spécialisation - Accueil-réception"/>
    <x v="0"/>
    <n v="15"/>
    <n v="174"/>
    <n v="14"/>
    <x v="0"/>
    <n v="11.6"/>
    <n v="0.93333333333333335"/>
    <s v="Modérée"/>
  </r>
  <r>
    <s v="Lycée L'Initiative"/>
    <n v="75"/>
    <s v="Paris"/>
    <x v="0"/>
    <s v="DN MADE - Graphisme - Spécialité : Dispositifs d'interaction"/>
    <x v="0"/>
    <n v="14"/>
    <n v="162"/>
    <n v="12"/>
    <x v="0"/>
    <n v="11.571428571428571"/>
    <n v="0.8571428571428571"/>
    <s v="Modérée"/>
  </r>
  <r>
    <s v="Lycée Louis Le Grand"/>
    <n v="75"/>
    <s v="Paris"/>
    <x v="0"/>
    <s v="Cycle pluridisciplinaire d'Études Supérieures - Sciences des données, arts et cultures"/>
    <x v="0"/>
    <n v="40"/>
    <n v="461"/>
    <n v="39"/>
    <x v="0"/>
    <n v="11.525"/>
    <n v="0.97499999999999998"/>
    <s v="Modérée"/>
  </r>
  <r>
    <s v="Lycée Le Corbusier"/>
    <n v="78"/>
    <s v="Yvelines"/>
    <x v="0"/>
    <s v="DN MADE - Matériaux - Spécialité : Objet, Mobilier et Marqueterie"/>
    <x v="0"/>
    <n v="12"/>
    <n v="138"/>
    <n v="9"/>
    <x v="1"/>
    <n v="11.5"/>
    <n v="0.75"/>
    <s v="Modérée"/>
  </r>
  <r>
    <s v="Lycée professionnel Theophile Gautier"/>
    <n v="75"/>
    <s v="Paris"/>
    <x v="0"/>
    <s v="FCIL - Préparation aux concours de la sécurité publique et civile"/>
    <x v="0"/>
    <n v="16"/>
    <n v="182"/>
    <n v="12"/>
    <x v="0"/>
    <n v="11.375"/>
    <n v="0.75"/>
    <s v="Modérée"/>
  </r>
  <r>
    <s v="Lycée Antoine de Saint Exupery"/>
    <n v="94"/>
    <s v="Val-de-Marne"/>
    <x v="0"/>
    <s v="Certificat de Spécialisation - Animation-gestion de projets dans le secteur sportif"/>
    <x v="0"/>
    <n v="24"/>
    <n v="268"/>
    <n v="14"/>
    <x v="2"/>
    <n v="11.166666666666666"/>
    <n v="0.58333333333333337"/>
    <s v="Modérée"/>
  </r>
  <r>
    <s v="Université Paris- Est-Créteil Val de Marne - UPEC (Paris 12)"/>
    <n v="94"/>
    <s v="Val-de-Marne"/>
    <x v="0"/>
    <s v="DEUST - Métiers de la forme"/>
    <x v="0"/>
    <n v="25"/>
    <n v="278"/>
    <n v="18"/>
    <x v="2"/>
    <n v="11.12"/>
    <n v="0.72"/>
    <s v="Modérée"/>
  </r>
  <r>
    <s v="Lycée professionnel Helene Boucher"/>
    <n v="93"/>
    <s v="Seine-Saint-Denis"/>
    <x v="0"/>
    <s v="FCIL - Aide déclarant en douane"/>
    <x v="0"/>
    <n v="12"/>
    <n v="132"/>
    <n v="9"/>
    <x v="2"/>
    <n v="11"/>
    <n v="0.75"/>
    <s v="Modérée"/>
  </r>
  <r>
    <s v="Ecole nationale des sciences géographiques - ENSG GEOMATIQUE"/>
    <n v="77"/>
    <s v="Seine-et-Marne"/>
    <x v="0"/>
    <s v="Licence professionnelle - Cartographie, topographie, systèmes d'information géographique Parcours Géomètre-Géomaticien - Statut Fonctionnaire"/>
    <x v="0"/>
    <n v="4"/>
    <n v="44"/>
    <n v="4"/>
    <x v="1"/>
    <n v="11"/>
    <n v="1"/>
    <s v="Modérée"/>
  </r>
  <r>
    <s v="CNAM PARIS"/>
    <n v="93"/>
    <s v="Seine-Saint-Denis"/>
    <x v="0"/>
    <s v="DSP - Assistant communication digitale"/>
    <x v="0"/>
    <n v="35"/>
    <n v="384"/>
    <n v="34"/>
    <x v="2"/>
    <n v="10.971428571428572"/>
    <n v="0.97142857142857142"/>
    <s v="Modérée"/>
  </r>
  <r>
    <s v="Lycée Claude Garamont"/>
    <n v="92"/>
    <s v="Hauts-de-Seine"/>
    <x v="0"/>
    <s v="DN MADE - Graphisme - Spécialité : Graphisme en action - Territoires d'Innovation Sociale"/>
    <x v="0"/>
    <n v="17"/>
    <n v="186"/>
    <n v="17"/>
    <x v="2"/>
    <n v="10.941176470588236"/>
    <n v="1"/>
    <s v="Modérée"/>
  </r>
  <r>
    <s v="Lycée du Gué-à-Tresmes"/>
    <n v="77"/>
    <s v="Seine-et-Marne"/>
    <x v="0"/>
    <s v="DN MADE - Espace - Spécialité : Environnements pérennes et éphémères"/>
    <x v="0"/>
    <n v="15"/>
    <n v="164"/>
    <n v="14"/>
    <x v="1"/>
    <n v="10.933333333333334"/>
    <n v="0.93333333333333335"/>
    <s v="Modérée"/>
  </r>
  <r>
    <s v="Ecole Universitaire de premier cycle - Campus d'Evry Université Paris-Saclay"/>
    <n v="91"/>
    <s v="Essonne"/>
    <x v="0"/>
    <s v="DEUST - Animation et gestion des activités physiques, sportives ou culturelles"/>
    <x v="0"/>
    <n v="50"/>
    <n v="544"/>
    <n v="46"/>
    <x v="1"/>
    <n v="10.88"/>
    <n v="0.92"/>
    <s v="Modérée"/>
  </r>
  <r>
    <s v="Lycée Camille Claudel"/>
    <n v="95"/>
    <s v="Val-d'oise"/>
    <x v="0"/>
    <s v="DN MADE - Objet - Spécialité : Matériaux"/>
    <x v="0"/>
    <n v="15"/>
    <n v="161"/>
    <n v="15"/>
    <x v="1"/>
    <n v="10.733333333333333"/>
    <n v="1"/>
    <s v="Modérée"/>
  </r>
  <r>
    <s v="Lycée professionnel Daniel Balavoine"/>
    <n v="92"/>
    <s v="Hauts-de-Seine"/>
    <x v="0"/>
    <s v="Certificat de Spécialisation - Animation-gestion de projets dans le secteur sportif"/>
    <x v="0"/>
    <n v="15"/>
    <n v="161"/>
    <n v="12"/>
    <x v="2"/>
    <n v="10.733333333333333"/>
    <n v="0.8"/>
    <s v="Modérée"/>
  </r>
  <r>
    <s v="Lycée Champlain"/>
    <n v="94"/>
    <s v="Val-de-Marne"/>
    <x v="0"/>
    <s v="Certificat de Spécialisation - Services numériques aux organisations"/>
    <x v="0"/>
    <n v="24"/>
    <n v="250"/>
    <n v="6"/>
    <x v="2"/>
    <n v="10.416666666666666"/>
    <n v="0.25"/>
    <s v="Modérée"/>
  </r>
  <r>
    <s v="Lycée professionnel Jean Moulin"/>
    <n v="94"/>
    <s v="Val-de-Marne"/>
    <x v="0"/>
    <s v="Certificat de Spécialisation - Accueil dans les transports"/>
    <x v="0"/>
    <n v="15"/>
    <n v="156"/>
    <n v="7"/>
    <x v="2"/>
    <n v="10.4"/>
    <n v="0.46666666666666667"/>
    <s v="Modérée"/>
  </r>
  <r>
    <s v="Lycée Eugenie Cotton"/>
    <n v="93"/>
    <s v="Seine-Saint-Denis"/>
    <x v="0"/>
    <s v="Certificat de Spécialisation - Accueil-réception"/>
    <x v="0"/>
    <n v="12"/>
    <n v="123"/>
    <n v="11"/>
    <x v="2"/>
    <n v="10.25"/>
    <n v="0.91666666666666663"/>
    <s v="Modérée"/>
  </r>
  <r>
    <s v="Ecole nationale des sciences géographiques - ENSG GEOMATIQUE"/>
    <n v="77"/>
    <s v="Seine-et-Marne"/>
    <x v="0"/>
    <s v="Licence professionnelle - Cartographie, topographie, systèmes d'information géographique Parcours Géomètre-Géomaticien"/>
    <x v="0"/>
    <n v="14"/>
    <n v="143"/>
    <n v="12"/>
    <x v="1"/>
    <n v="10.214285714285714"/>
    <n v="0.8571428571428571"/>
    <s v="Modérée"/>
  </r>
  <r>
    <s v="Université Paris- Est-Créteil Val de Marne - UPEC (Paris 12)"/>
    <n v="94"/>
    <s v="Val-de-Marne"/>
    <x v="0"/>
    <s v="DEUST - Assistant juridique"/>
    <x v="0"/>
    <n v="35"/>
    <n v="351"/>
    <n v="33"/>
    <x v="2"/>
    <n v="10.028571428571428"/>
    <n v="0.94285714285714284"/>
    <s v="Modérée"/>
  </r>
  <r>
    <s v="CNAM PARIS"/>
    <n v="93"/>
    <s v="Seine-Saint-Denis"/>
    <x v="0"/>
    <s v="Diplôme d'Etablissement - Assitant juridique et comptable - Bac +1"/>
    <x v="0"/>
    <n v="25"/>
    <n v="246"/>
    <n v="11"/>
    <x v="2"/>
    <n v="9.84"/>
    <n v="0.44"/>
    <s v="Faible"/>
  </r>
  <r>
    <s v="Institut d'études politiques de Fontainebleau - UPEC"/>
    <n v="77"/>
    <s v="Seine-et-Marne"/>
    <x v="0"/>
    <s v="Diplôme d'Université - Institut d’études politiques – Sciences Humaines et Sociales - Grade Master – Cursus général"/>
    <x v="0"/>
    <n v="70"/>
    <n v="684"/>
    <n v="70"/>
    <x v="1"/>
    <n v="9.7714285714285722"/>
    <n v="1"/>
    <s v="Faible"/>
  </r>
  <r>
    <s v="Paris Sciences Lettres PSL"/>
    <n v="75"/>
    <s v="Paris"/>
    <x v="0"/>
    <s v="Formation valant grade de licence - Sciences pour un monde durable"/>
    <x v="0"/>
    <n v="30"/>
    <n v="293"/>
    <n v="31"/>
    <x v="0"/>
    <n v="9.7666666666666675"/>
    <n v="1.0333333333333334"/>
    <s v="Faible"/>
  </r>
  <r>
    <s v="Lycée Notre-Dame De Bury"/>
    <n v="95"/>
    <s v="Val-d'oise"/>
    <x v="0"/>
    <s v="Diplôme de Comptabilité et de Gestion"/>
    <x v="0"/>
    <n v="36"/>
    <n v="351"/>
    <n v="29"/>
    <x v="1"/>
    <n v="9.75"/>
    <n v="0.80555555555555558"/>
    <s v="Faible"/>
  </r>
  <r>
    <s v="CNAM PARIS"/>
    <n v="93"/>
    <s v="Seine-Saint-Denis"/>
    <x v="0"/>
    <s v="Diplôme d'Etablissement - Assistant de gestion - Bac +1"/>
    <x v="0"/>
    <n v="15"/>
    <n v="145"/>
    <n v="8"/>
    <x v="2"/>
    <n v="9.6666666666666661"/>
    <n v="0.53333333333333333"/>
    <s v="Faible"/>
  </r>
  <r>
    <s v="Lycée professionnel Madeleine Vionnet"/>
    <n v="93"/>
    <s v="Seine-Saint-Denis"/>
    <x v="0"/>
    <s v="FCIL - Secrétariat Médico Social"/>
    <x v="0"/>
    <n v="24"/>
    <n v="232"/>
    <n v="17"/>
    <x v="2"/>
    <n v="9.6666666666666661"/>
    <n v="0.70833333333333337"/>
    <s v="Faible"/>
  </r>
  <r>
    <s v="ECOLE NATIONALE SUPERIEURE A.A-MET.D'ART."/>
    <n v="75"/>
    <s v="Paris"/>
    <x v="0"/>
    <s v="DN MADE - Matériaux - Spécialité :  Laque"/>
    <x v="0"/>
    <n v="7"/>
    <n v="67"/>
    <n v="8"/>
    <x v="0"/>
    <n v="9.5714285714285712"/>
    <n v="1.1428571428571428"/>
    <s v="Faible"/>
  </r>
  <r>
    <s v="Sorbonne université"/>
    <n v="75"/>
    <s v="Paris"/>
    <x v="0"/>
    <s v="Certificat de capacité d'Orthoptiste"/>
    <x v="0"/>
    <n v="115"/>
    <n v="1096"/>
    <n v="115"/>
    <x v="0"/>
    <n v="9.5304347826086957"/>
    <n v="1"/>
    <s v="Faible"/>
  </r>
  <r>
    <s v="Lycée Albert de Mun"/>
    <n v="75"/>
    <s v="Paris"/>
    <x v="0"/>
    <s v="Mise à niveau - Hôtellerie restauration"/>
    <x v="0"/>
    <n v="30"/>
    <n v="283"/>
    <n v="35"/>
    <x v="0"/>
    <n v="9.4333333333333336"/>
    <n v="1.1666666666666667"/>
    <s v="Faible"/>
  </r>
  <r>
    <s v="Ecole Universitaire de premier cycle - Université Paris-Saclay"/>
    <n v="91"/>
    <s v="Essonne"/>
    <x v="0"/>
    <s v="Diplôme d'Université - PAREO - DU Rebondir, Réagir, Réussir"/>
    <x v="0"/>
    <n v="25"/>
    <n v="234"/>
    <n v="24"/>
    <x v="1"/>
    <n v="9.36"/>
    <n v="0.96"/>
    <s v="Faible"/>
  </r>
  <r>
    <s v="Lycée professionnel Louis Bleriot"/>
    <n v="78"/>
    <s v="Yvelines"/>
    <x v="0"/>
    <s v="Certificat de Spécialisation - Cybersécurité"/>
    <x v="0"/>
    <n v="12"/>
    <n v="112"/>
    <n v="8"/>
    <x v="1"/>
    <n v="9.3333333333333339"/>
    <n v="0.66666666666666663"/>
    <s v="Faible"/>
  </r>
  <r>
    <s v="ESTP Campus de Cachan"/>
    <n v="94"/>
    <s v="Val-de-Marne"/>
    <x v="0"/>
    <s v="Diplôme d'Etablissement - Admission commune Bachelors"/>
    <x v="0"/>
    <n v="30"/>
    <n v="280"/>
    <n v="19"/>
    <x v="2"/>
    <n v="9.3333333333333339"/>
    <n v="0.6333333333333333"/>
    <s v="Faible"/>
  </r>
  <r>
    <s v="Institut Francais de la Mode (IFM)"/>
    <n v="75"/>
    <s v="Paris"/>
    <x v="0"/>
    <s v="Formation des écoles supérieure d'art Bac + 3 - Bachelor of Arts in Fashion Design  - Cursus francophone ou anglophone"/>
    <x v="0"/>
    <n v="52"/>
    <n v="477"/>
    <n v="53"/>
    <x v="0"/>
    <n v="9.1730769230769234"/>
    <n v="1.0192307692307692"/>
    <s v="Faible"/>
  </r>
  <r>
    <s v="AFREP - Institut de formation en pédicurie-podologie"/>
    <n v="75"/>
    <s v="Paris"/>
    <x v="0"/>
    <s v="D.E Pédicure-Podologue"/>
    <x v="0"/>
    <n v="42"/>
    <n v="383"/>
    <n v="41"/>
    <x v="0"/>
    <n v="9.1190476190476186"/>
    <n v="0.97619047619047616"/>
    <s v="Faible"/>
  </r>
  <r>
    <s v="Lycée Francois Mansart"/>
    <n v="94"/>
    <s v="Val-de-Marne"/>
    <x v="0"/>
    <s v="DN MADE - Objet - Spécialité : Design éco-responsable"/>
    <x v="0"/>
    <n v="17"/>
    <n v="155"/>
    <n v="17"/>
    <x v="2"/>
    <n v="9.117647058823529"/>
    <n v="1"/>
    <s v="Faible"/>
  </r>
  <r>
    <s v="Lycée Marcel Cachin"/>
    <n v="93"/>
    <s v="Seine-Saint-Denis"/>
    <x v="0"/>
    <s v="Certificat de Spécialisation - Animation-gestion de projets dans le secteur sportif"/>
    <x v="0"/>
    <n v="15"/>
    <n v="135"/>
    <n v="11"/>
    <x v="2"/>
    <n v="9"/>
    <n v="0.73333333333333328"/>
    <s v="Faible"/>
  </r>
  <r>
    <s v="Lycée professionnel Alfred Costes"/>
    <n v="93"/>
    <s v="Seine-Saint-Denis"/>
    <x v="0"/>
    <s v="FCIL - Graphisme et médiation culturelle"/>
    <x v="0"/>
    <n v="12"/>
    <n v="107"/>
    <n v="11"/>
    <x v="2"/>
    <n v="8.9166666666666661"/>
    <n v="0.91666666666666663"/>
    <s v="Faible"/>
  </r>
  <r>
    <s v="CY Cergy Paris Université"/>
    <n v="95"/>
    <s v="Val-d'oise"/>
    <x v="0"/>
    <s v="Licence professionnelle - Métier du commerce international - Parcours Trilingue Métiers du Commerce Bio et Développement Durable"/>
    <x v="0"/>
    <n v="20"/>
    <n v="178"/>
    <n v="21"/>
    <x v="1"/>
    <n v="8.9"/>
    <n v="1.05"/>
    <s v="Faible"/>
  </r>
  <r>
    <s v="Lycée du Gué-à-Tresmes"/>
    <n v="77"/>
    <s v="Seine-et-Marne"/>
    <x v="0"/>
    <s v="DN MADE - Objet - Spécialité : Céramique"/>
    <x v="0"/>
    <n v="16"/>
    <n v="141"/>
    <n v="10"/>
    <x v="1"/>
    <n v="8.8125"/>
    <n v="0.625"/>
    <s v="Faible"/>
  </r>
  <r>
    <s v="Lycée Claude-Nicolas LEDOUX / EBTP"/>
    <n v="94"/>
    <s v="Val-de-Marne"/>
    <x v="0"/>
    <s v="DN MADE - Espace - Spécialité : Design Éco Social, territoires et transitions"/>
    <x v="0"/>
    <n v="23"/>
    <n v="200"/>
    <n v="21"/>
    <x v="2"/>
    <n v="8.695652173913043"/>
    <n v="0.91304347826086951"/>
    <s v="Faible"/>
  </r>
  <r>
    <s v="Lycée professionnel Paul Painleve"/>
    <n v="92"/>
    <s v="Hauts-de-Seine"/>
    <x v="0"/>
    <s v="Certificat de Spécialisation - Accueil-réception"/>
    <x v="0"/>
    <n v="12"/>
    <n v="104"/>
    <n v="12"/>
    <x v="2"/>
    <n v="8.6666666666666661"/>
    <n v="1"/>
    <s v="Faible"/>
  </r>
  <r>
    <s v="Lycée Auffray"/>
    <n v="92"/>
    <s v="Hauts-de-Seine"/>
    <x v="0"/>
    <s v="Certificat de Spécialisation - Accueil-réception"/>
    <x v="0"/>
    <n v="18"/>
    <n v="155"/>
    <n v="16"/>
    <x v="2"/>
    <n v="8.6111111111111107"/>
    <n v="0.88888888888888884"/>
    <s v="Faible"/>
  </r>
  <r>
    <s v="Institut Catholique de Paris (ICP)- Campus de Paris"/>
    <n v="75"/>
    <s v="Paris"/>
    <x v="0"/>
    <s v="Année préparatoire - Année de préparation aux études supérieures (A.P.E.S.)- Option Sciences politiques"/>
    <x v="0"/>
    <n v="25"/>
    <n v="215"/>
    <n v="28"/>
    <x v="0"/>
    <n v="8.6"/>
    <n v="1.1200000000000001"/>
    <s v="Faible"/>
  </r>
  <r>
    <s v="Institut Sainte-Genevieve"/>
    <n v="75"/>
    <s v="Paris"/>
    <x v="0"/>
    <s v="DN MADE - Objet - Spécialité : Concevoir l’unique et la série"/>
    <x v="0"/>
    <n v="18"/>
    <n v="152"/>
    <n v="18"/>
    <x v="0"/>
    <n v="8.4444444444444446"/>
    <n v="1"/>
    <s v="Faible"/>
  </r>
  <r>
    <s v="Lycée professionnel Gustave Eiffel"/>
    <n v="95"/>
    <s v="Val-d'oise"/>
    <x v="0"/>
    <s v="FCIL - Technicien de systèmes de sécurité et d'incendie"/>
    <x v="0"/>
    <n v="12"/>
    <n v="98"/>
    <n v="8"/>
    <x v="1"/>
    <n v="8.1666666666666661"/>
    <n v="0.66666666666666663"/>
    <s v="Faible"/>
  </r>
  <r>
    <s v="Lycée professionnel Turquetil"/>
    <n v="75"/>
    <s v="Paris"/>
    <x v="0"/>
    <s v="FCIL - Prototypiste Mécanicien(ne) Modèle"/>
    <x v="0"/>
    <n v="12"/>
    <n v="98"/>
    <n v="10"/>
    <x v="0"/>
    <n v="8.1666666666666661"/>
    <n v="0.83333333333333337"/>
    <s v="Faible"/>
  </r>
  <r>
    <s v="Lycée Emilie du Châtelet"/>
    <n v="77"/>
    <s v="Seine-et-Marne"/>
    <x v="0"/>
    <s v="Mise à niveau - Hôtellerie restauration"/>
    <x v="0"/>
    <n v="26"/>
    <n v="212"/>
    <n v="19"/>
    <x v="1"/>
    <n v="8.1538461538461533"/>
    <n v="0.73076923076923073"/>
    <s v="Faible"/>
  </r>
  <r>
    <s v="ESTP Campus de Cachan"/>
    <n v="94"/>
    <s v="Val-de-Marne"/>
    <x v="0"/>
    <s v="Diplôme d'Etablissement - Admission commune Bachelors"/>
    <x v="0"/>
    <n v="35"/>
    <n v="280"/>
    <n v="21"/>
    <x v="2"/>
    <n v="8"/>
    <n v="0.6"/>
    <s v="Faible"/>
  </r>
  <r>
    <s v="Lycée professionnel Hôtelier Belliard"/>
    <n v="75"/>
    <s v="Paris"/>
    <x v="0"/>
    <s v="Certificat de Spécialisation - Métiers du bar"/>
    <x v="0"/>
    <n v="12"/>
    <n v="95"/>
    <n v="8"/>
    <x v="0"/>
    <n v="7.916666666666667"/>
    <n v="0.66666666666666663"/>
    <s v="Faible"/>
  </r>
  <r>
    <s v="Ecole Spéciale d'Architecture"/>
    <n v="75"/>
    <s v="Paris"/>
    <x v="0"/>
    <s v="Architecture - Diplôme de l’ESA"/>
    <x v="0"/>
    <n v="90"/>
    <n v="706"/>
    <n v="92"/>
    <x v="0"/>
    <n v="7.8444444444444441"/>
    <n v="1.0222222222222221"/>
    <s v="Faible"/>
  </r>
  <r>
    <s v="Ecole Spéciale d'Architecture"/>
    <n v="75"/>
    <s v="Paris"/>
    <x v="0"/>
    <s v="Bicursus Architecture Ingénieur - ESTP"/>
    <x v="0"/>
    <n v="25"/>
    <n v="191"/>
    <n v="28"/>
    <x v="0"/>
    <n v="7.64"/>
    <n v="1.1200000000000001"/>
    <s v="Faible"/>
  </r>
  <r>
    <s v="CY Cergy Paris Université - INSPÉ de l’académie de Versailles"/>
    <n v="78"/>
    <s v="Yvelines"/>
    <x v="0"/>
    <s v="DSP - Design et métiers du bois (de la forêt au salon)"/>
    <x v="0"/>
    <n v="16"/>
    <n v="122"/>
    <n v="17"/>
    <x v="1"/>
    <n v="7.625"/>
    <n v="1.0625"/>
    <s v="Faible"/>
  </r>
  <r>
    <s v="Lycée professionnel Jean Perrin"/>
    <n v="91"/>
    <s v="Essonne"/>
    <x v="0"/>
    <s v="Certificat de Spécialisation - Technicien(ne) ascensoriste (service et modernisation)"/>
    <x v="0"/>
    <n v="8"/>
    <n v="61"/>
    <n v="6"/>
    <x v="1"/>
    <n v="7.625"/>
    <n v="0.75"/>
    <s v="Faible"/>
  </r>
  <r>
    <s v="Lycée professionnel Charles Baudelaire"/>
    <n v="77"/>
    <s v="Seine-et-Marne"/>
    <x v="0"/>
    <s v="Certificat de Spécialisation - Accueil dans les transports"/>
    <x v="0"/>
    <n v="20"/>
    <n v="152"/>
    <n v="11"/>
    <x v="1"/>
    <n v="7.6"/>
    <n v="0.55000000000000004"/>
    <s v="Faible"/>
  </r>
  <r>
    <s v="FERRANDI Paris - L'école Française de Gastronomie et de Management Hôtelier"/>
    <n v="75"/>
    <s v="Paris"/>
    <x v="0"/>
    <s v="Formations aux métiers de l'hôtellerie restauration Bac +3 - Bachelor Arts culinaires et entrepreneuriat / Option Pâtisserie"/>
    <x v="0"/>
    <n v="27"/>
    <n v="204"/>
    <n v="32"/>
    <x v="0"/>
    <n v="7.5555555555555554"/>
    <n v="1.1851851851851851"/>
    <s v="Faible"/>
  </r>
  <r>
    <s v="Lycée polyvalent Alexandre Denis, lycée des métiers de l'aéronautique, du transport et de la logistique"/>
    <n v="91"/>
    <s v="Essonne"/>
    <x v="0"/>
    <s v="Certificat de Spécialisation - Aéronautique option avions à moteurs à turbines"/>
    <x v="0"/>
    <n v="12"/>
    <n v="88"/>
    <n v="12"/>
    <x v="1"/>
    <n v="7.333333333333333"/>
    <n v="1"/>
    <s v="Faible"/>
  </r>
  <r>
    <s v="GOBELINS PARIS GAMBETTA"/>
    <n v="75"/>
    <s v="Paris"/>
    <x v="0"/>
    <s v="DN MADE - Numérique - Spécialité : Coder sa créativité - Interface et narration interactives"/>
    <x v="0"/>
    <n v="20"/>
    <n v="146"/>
    <n v="17"/>
    <x v="0"/>
    <n v="7.3"/>
    <n v="0.85"/>
    <s v="Faible"/>
  </r>
  <r>
    <s v="Lycée Campus de Coulommiers"/>
    <n v="77"/>
    <s v="Seine-et-Marne"/>
    <x v="0"/>
    <s v="FCIL - Mécanicien circuit auto"/>
    <x v="0"/>
    <n v="15"/>
    <n v="109"/>
    <n v="15"/>
    <x v="1"/>
    <n v="7.2666666666666666"/>
    <n v="1"/>
    <s v="Faible"/>
  </r>
  <r>
    <s v="CY Cergy Paris Université"/>
    <n v="95"/>
    <s v="Val-d'oise"/>
    <x v="0"/>
    <s v="Licence professionnelle - Protection et valorisation du patrimoine historique et culturel Parcours  protection et mise en valeur du patrimoine bâti"/>
    <x v="0"/>
    <n v="20"/>
    <n v="142"/>
    <n v="23"/>
    <x v="1"/>
    <n v="7.1"/>
    <n v="1.1499999999999999"/>
    <s v="Faible"/>
  </r>
  <r>
    <s v="Université de Cergy-Pontoise - CY SUP"/>
    <n v="95"/>
    <s v="Val-d'oise"/>
    <x v="0"/>
    <s v="Diplôme d'Université - Chimie-Physique entièrement enseigné en anglais"/>
    <x v="0"/>
    <n v="15"/>
    <n v="106"/>
    <n v="5"/>
    <x v="1"/>
    <n v="7.0666666666666664"/>
    <n v="0.33333333333333331"/>
    <s v="Faible"/>
  </r>
  <r>
    <s v="Lycée du Gué-à-Tresmes"/>
    <n v="77"/>
    <s v="Seine-et-Marne"/>
    <x v="0"/>
    <s v="Mise à niveau - Hôtellerie restauration"/>
    <x v="0"/>
    <n v="24"/>
    <n v="169"/>
    <n v="11"/>
    <x v="1"/>
    <n v="7.041666666666667"/>
    <n v="0.45833333333333331"/>
    <s v="Faible"/>
  </r>
  <r>
    <s v="Université Paris- Est-Créteil Val de Marne - UPEC (Paris 12)"/>
    <n v="94"/>
    <s v="Val-de-Marne"/>
    <x v="0"/>
    <s v="DEUST - Bureautique et Communication Multimédia"/>
    <x v="0"/>
    <n v="50"/>
    <n v="351"/>
    <n v="49"/>
    <x v="2"/>
    <n v="7.02"/>
    <n v="0.98"/>
    <s v="Faible"/>
  </r>
  <r>
    <s v="Lycée Louis Armand"/>
    <n v="95"/>
    <s v="Val-d'oise"/>
    <x v="0"/>
    <s v="Certificat de Spécialisation - Technicien(ne) ascensoriste (service et modernisation)"/>
    <x v="0"/>
    <n v="9"/>
    <n v="63"/>
    <n v="7"/>
    <x v="1"/>
    <n v="7"/>
    <n v="0.77777777777777779"/>
    <s v="Faible"/>
  </r>
  <r>
    <s v="CY Cergy Paris Université - INSPÉ de l’académie de Versailles"/>
    <n v="78"/>
    <s v="Yvelines"/>
    <x v="0"/>
    <s v="DSP - Patrimoine bâti : métiers de la construction et du patrimoine"/>
    <x v="0"/>
    <n v="16"/>
    <n v="111"/>
    <n v="15"/>
    <x v="1"/>
    <n v="6.9375"/>
    <n v="0.9375"/>
    <s v="Faible"/>
  </r>
  <r>
    <s v="Lycée Francois Arago"/>
    <n v="94"/>
    <s v="Val-de-Marne"/>
    <x v="0"/>
    <s v="Certificat de Spécialisation - Technicien(ne) ascensoriste (service et modernisation)"/>
    <x v="0"/>
    <n v="12"/>
    <n v="83"/>
    <n v="12"/>
    <x v="2"/>
    <n v="6.916666666666667"/>
    <n v="1"/>
    <s v="Faible"/>
  </r>
  <r>
    <s v="Lycée professionnel Rene Cassin"/>
    <n v="75"/>
    <s v="Paris"/>
    <x v="0"/>
    <s v="Certificat de Spécialisation - Services numériques aux organisations"/>
    <x v="0"/>
    <n v="16"/>
    <n v="110"/>
    <n v="16"/>
    <x v="0"/>
    <n v="6.875"/>
    <n v="1"/>
    <s v="Faible"/>
  </r>
  <r>
    <s v="ESTP Campus de Cachan"/>
    <n v="94"/>
    <s v="Val-de-Marne"/>
    <x v="0"/>
    <s v="Diplôme d'Etablissement - Admission commune Bachelors"/>
    <x v="0"/>
    <n v="50"/>
    <n v="343"/>
    <n v="38"/>
    <x v="2"/>
    <n v="6.86"/>
    <n v="0.76"/>
    <s v="Faible"/>
  </r>
  <r>
    <s v="INSTITUT NATIONAL DE PODOLOGIE"/>
    <n v="75"/>
    <s v="Paris"/>
    <x v="0"/>
    <s v="D.E Pédicure-Podologue"/>
    <x v="0"/>
    <n v="95"/>
    <n v="648"/>
    <n v="89"/>
    <x v="0"/>
    <n v="6.8210526315789473"/>
    <n v="0.93684210526315792"/>
    <s v="Faible"/>
  </r>
  <r>
    <s v="INALCO"/>
    <n v="75"/>
    <s v="Paris"/>
    <x v="0"/>
    <s v="Diplôme d'Université - Diplôme d'Initiation à l'Arabe"/>
    <x v="0"/>
    <n v="150"/>
    <n v="1022"/>
    <n v="147"/>
    <x v="0"/>
    <n v="6.8133333333333335"/>
    <n v="0.98"/>
    <s v="Faible"/>
  </r>
  <r>
    <s v="Lycée polyvalent Alexandre Denis, lycée des métiers de l'aéronautique, du transport et de la logistique"/>
    <n v="91"/>
    <s v="Essonne"/>
    <x v="0"/>
    <s v="Certificat de Spécialisation - Aéronautique option avionique"/>
    <x v="0"/>
    <n v="6"/>
    <n v="40"/>
    <n v="6"/>
    <x v="1"/>
    <n v="6.666666666666667"/>
    <n v="1"/>
    <s v="Faible"/>
  </r>
  <r>
    <s v="Lycée professionnel Mixte THEODORE MONOD"/>
    <n v="93"/>
    <s v="Seine-Saint-Denis"/>
    <x v="0"/>
    <s v="Certificat de Spécialisation - Technicien(ne) ascensoriste (service et modernisation)"/>
    <x v="0"/>
    <n v="15"/>
    <n v="100"/>
    <n v="12"/>
    <x v="2"/>
    <n v="6.666666666666667"/>
    <n v="0.8"/>
    <s v="Faible"/>
  </r>
  <r>
    <s v="Lycée professionnel Galilee"/>
    <n v="75"/>
    <s v="Paris"/>
    <x v="0"/>
    <s v="Certificat de Spécialisation - Production et réparation de produits électroniques"/>
    <x v="0"/>
    <n v="15"/>
    <n v="98"/>
    <n v="12"/>
    <x v="0"/>
    <n v="6.5333333333333332"/>
    <n v="0.8"/>
    <s v="Faible"/>
  </r>
  <r>
    <s v="CY Cergy Paris Université"/>
    <n v="95"/>
    <s v="Val-d'oise"/>
    <x v="0"/>
    <s v="Diplôme d'Université - PAREO"/>
    <x v="0"/>
    <n v="100"/>
    <n v="647"/>
    <n v="67"/>
    <x v="1"/>
    <n v="6.47"/>
    <n v="0.67"/>
    <s v="Faible"/>
  </r>
  <r>
    <s v="Ecole d'Assas"/>
    <n v="75"/>
    <s v="Paris"/>
    <x v="0"/>
    <s v="D.E Pédicure-Podologue"/>
    <x v="0"/>
    <n v="66"/>
    <n v="427"/>
    <n v="57"/>
    <x v="0"/>
    <n v="6.4696969696969697"/>
    <n v="0.86363636363636365"/>
    <s v="Faible"/>
  </r>
  <r>
    <s v="Lycée Assomption"/>
    <n v="93"/>
    <s v="Seine-Saint-Denis"/>
    <x v="0"/>
    <s v="DN MADE - Innovation sociale - parcours événements"/>
    <x v="0"/>
    <n v="15"/>
    <n v="93"/>
    <n v="15"/>
    <x v="2"/>
    <n v="6.2"/>
    <n v="1"/>
    <s v="Faible"/>
  </r>
  <r>
    <s v="Lycée professionnel Etienne Dolet"/>
    <n v="75"/>
    <s v="Paris"/>
    <x v="0"/>
    <s v="Certificat de Spécialisation - Animation-gestion de projets dans le secteur sportif"/>
    <x v="0"/>
    <n v="24"/>
    <n v="148"/>
    <n v="17"/>
    <x v="0"/>
    <n v="6.166666666666667"/>
    <n v="0.70833333333333337"/>
    <s v="Faible"/>
  </r>
  <r>
    <s v="Lycée professionnel Régional Abbe Gregoire"/>
    <n v="75"/>
    <s v="Paris"/>
    <x v="0"/>
    <s v="Certificat de Spécialisation - Animation-gestion de projets dans le secteur sportif"/>
    <x v="0"/>
    <n v="24"/>
    <n v="148"/>
    <n v="22"/>
    <x v="0"/>
    <n v="6.166666666666667"/>
    <n v="0.91666666666666663"/>
    <s v="Faible"/>
  </r>
  <r>
    <s v="Institut National du Patrimoine (département des restaurateurs)"/>
    <n v="93"/>
    <s v="Seine-Saint-Denis"/>
    <x v="0"/>
    <s v="Conservation-restauration des biens culturels - spécialité Arts textiles"/>
    <x v="0"/>
    <n v="3"/>
    <n v="18"/>
    <n v="3"/>
    <x v="2"/>
    <n v="6"/>
    <n v="1"/>
    <s v="Faible"/>
  </r>
  <r>
    <s v="Lycée professionnel Louis Girard"/>
    <n v="92"/>
    <s v="Hauts-de-Seine"/>
    <x v="0"/>
    <s v="Certificat de Spécialisation - Maquettes et prototypes"/>
    <x v="0"/>
    <n v="12"/>
    <n v="72"/>
    <n v="11"/>
    <x v="2"/>
    <n v="6"/>
    <n v="0.91666666666666663"/>
    <s v="Faible"/>
  </r>
  <r>
    <s v="Lycée Emilie du Châtelet"/>
    <n v="77"/>
    <s v="Seine-et-Marne"/>
    <x v="0"/>
    <s v="Certificat de Spécialisation - Accueil-réception"/>
    <x v="0"/>
    <n v="12"/>
    <n v="71"/>
    <n v="10"/>
    <x v="1"/>
    <n v="5.916666666666667"/>
    <n v="0.83333333333333337"/>
    <s v="Faible"/>
  </r>
  <r>
    <s v="Lycée Auguste Blanqui"/>
    <n v="93"/>
    <s v="Seine-Saint-Denis"/>
    <x v="0"/>
    <s v="Certificat de Spécialisation - Services numériques aux organisations"/>
    <x v="0"/>
    <n v="12"/>
    <n v="69"/>
    <n v="6"/>
    <x v="2"/>
    <n v="5.75"/>
    <n v="0.5"/>
    <s v="Faible"/>
  </r>
  <r>
    <s v="EFOM- Boris DOLTO"/>
    <n v="75"/>
    <s v="Paris"/>
    <x v="0"/>
    <s v="D.E Pédicure-Podologue"/>
    <x v="0"/>
    <n v="98"/>
    <n v="561"/>
    <n v="87"/>
    <x v="0"/>
    <n v="5.7244897959183669"/>
    <n v="0.88775510204081631"/>
    <s v="Faible"/>
  </r>
  <r>
    <s v="Lycée des Métiers de l'horticulture et du paysage"/>
    <n v="93"/>
    <s v="Seine-Saint-Denis"/>
    <x v="0"/>
    <s v="Classe préparatoire aux études supérieures - Arts - Paysage"/>
    <x v="0"/>
    <n v="16"/>
    <n v="91"/>
    <n v="13"/>
    <x v="2"/>
    <n v="5.6875"/>
    <n v="0.8125"/>
    <s v="Faible"/>
  </r>
  <r>
    <s v="Institut National du Patrimoine (département des restaurateurs)"/>
    <n v="93"/>
    <s v="Seine-Saint-Denis"/>
    <x v="0"/>
    <s v="Conservation-restauration des biens culturels - spécialité Sculpture"/>
    <x v="0"/>
    <n v="3"/>
    <n v="17"/>
    <n v="2"/>
    <x v="2"/>
    <n v="5.666666666666667"/>
    <n v="0.66666666666666663"/>
    <s v="Faible"/>
  </r>
  <r>
    <s v="Lycée professionnel Claude Chappe"/>
    <n v="92"/>
    <s v="Hauts-de-Seine"/>
    <x v="0"/>
    <s v="FCIL - Mobilités Urbaines, maintenances des véhicules électriques légers (Vélos électriques, trottinettes, hoverboards, ...)"/>
    <x v="0"/>
    <n v="12"/>
    <n v="68"/>
    <n v="6"/>
    <x v="2"/>
    <n v="5.666666666666667"/>
    <n v="0.5"/>
    <s v="Faible"/>
  </r>
  <r>
    <s v="Lycée Antoine de Saint Exupery"/>
    <n v="94"/>
    <s v="Val-de-Marne"/>
    <x v="0"/>
    <s v="FCIL - Organisation de transport de marchandises"/>
    <x v="0"/>
    <n v="24"/>
    <n v="135"/>
    <n v="7"/>
    <x v="2"/>
    <n v="5.625"/>
    <n v="0.29166666666666669"/>
    <s v="Faible"/>
  </r>
  <r>
    <s v="Institut Catholique de Paris (ICP)- Campus de Paris"/>
    <n v="75"/>
    <s v="Paris"/>
    <x v="0"/>
    <s v="Année préparatoire - Année de préparation aux études supérieures (A.P.E.S.)- Option Sciences humaines"/>
    <x v="0"/>
    <n v="25"/>
    <n v="137"/>
    <n v="19"/>
    <x v="0"/>
    <n v="5.48"/>
    <n v="0.76"/>
    <s v="Faible"/>
  </r>
  <r>
    <s v="Lycée Jean Perrin"/>
    <n v="95"/>
    <s v="Val-d'oise"/>
    <x v="0"/>
    <s v="Certificat de Spécialisation - Production et réparation de produits électroniques"/>
    <x v="0"/>
    <n v="15"/>
    <n v="81"/>
    <n v="6"/>
    <x v="1"/>
    <n v="5.4"/>
    <n v="0.4"/>
    <s v="Faible"/>
  </r>
  <r>
    <s v="Ecole danhier de pédicurie-podologie"/>
    <n v="93"/>
    <s v="Seine-Saint-Denis"/>
    <x v="0"/>
    <s v="D.E Pédicure-Podologue"/>
    <x v="0"/>
    <n v="58"/>
    <n v="313"/>
    <n v="53"/>
    <x v="2"/>
    <n v="5.3965517241379306"/>
    <n v="0.91379310344827591"/>
    <s v="Faible"/>
  </r>
  <r>
    <s v="Lycée Santos Dumont"/>
    <n v="92"/>
    <s v="Hauts-de-Seine"/>
    <x v="0"/>
    <s v="Certificat de Spécialisation - Métiers du bar"/>
    <x v="0"/>
    <n v="8"/>
    <n v="43"/>
    <n v="5"/>
    <x v="2"/>
    <n v="5.375"/>
    <n v="0.625"/>
    <s v="Faible"/>
  </r>
  <r>
    <s v="Lycée Camille Claudel"/>
    <n v="95"/>
    <s v="Val-d'oise"/>
    <x v="0"/>
    <s v="Certificat de Spécialisation - Maquettes et prototypes"/>
    <x v="0"/>
    <n v="14"/>
    <n v="75"/>
    <n v="8"/>
    <x v="1"/>
    <n v="5.3571428571428568"/>
    <n v="0.5714285714285714"/>
    <s v="Faible"/>
  </r>
  <r>
    <s v="Lycée professionnel Gustave Eiffel"/>
    <n v="95"/>
    <s v="Val-d'oise"/>
    <x v="0"/>
    <s v="FCIL - SVDI (Sureté vidéo détection Intrusion)"/>
    <x v="0"/>
    <n v="12"/>
    <n v="64"/>
    <n v="7"/>
    <x v="1"/>
    <n v="5.333333333333333"/>
    <n v="0.58333333333333337"/>
    <s v="Faible"/>
  </r>
  <r>
    <s v="CY Cergy Paris Université - Antenne de l'IEG de Gennevilliers"/>
    <n v="92"/>
    <s v="Hauts-de-Seine"/>
    <x v="0"/>
    <s v="Licence professionnelle - Métiers des arts culinaires et des arts de la table"/>
    <x v="0"/>
    <n v="34"/>
    <n v="181"/>
    <n v="32"/>
    <x v="2"/>
    <n v="5.3235294117647056"/>
    <n v="0.94117647058823528"/>
    <s v="Faible"/>
  </r>
  <r>
    <s v="Ecole Camondo"/>
    <n v="75"/>
    <s v="Paris"/>
    <x v="0"/>
    <s v="Formation des écoles supérieure d'art Bac + 5 - Architecte d’intérieur – designer"/>
    <x v="0"/>
    <n v="70"/>
    <n v="367"/>
    <n v="70"/>
    <x v="0"/>
    <n v="5.2428571428571429"/>
    <n v="1"/>
    <s v="Faible"/>
  </r>
  <r>
    <s v="Lycée professionnel Marcel Deprez"/>
    <n v="75"/>
    <s v="Paris"/>
    <x v="0"/>
    <s v="Certificat de Spécialisation - Techn. en énergies renouvelables opt. a énergie électrique"/>
    <x v="0"/>
    <n v="15"/>
    <n v="78"/>
    <n v="14"/>
    <x v="0"/>
    <n v="5.2"/>
    <n v="0.93333333333333335"/>
    <s v="Faible"/>
  </r>
  <r>
    <s v="Lycée Camille Claudel"/>
    <n v="95"/>
    <s v="Val-d'oise"/>
    <x v="0"/>
    <s v="DN MADE - Objet - Spécialité : Innovation sociale"/>
    <x v="0"/>
    <n v="15"/>
    <n v="77"/>
    <n v="7"/>
    <x v="1"/>
    <n v="5.1333333333333337"/>
    <n v="0.46666666666666667"/>
    <s v="Faible"/>
  </r>
  <r>
    <s v="Lycée professionnel Benjamin Franklin"/>
    <n v="77"/>
    <s v="Seine-et-Marne"/>
    <x v="0"/>
    <s v="FCIL - Encadrement de travaux du BTP Bio sourcé et numérique"/>
    <x v="0"/>
    <n v="12"/>
    <n v="61"/>
    <n v="2"/>
    <x v="1"/>
    <n v="5.083333333333333"/>
    <n v="0.16666666666666666"/>
    <s v="Faible"/>
  </r>
  <r>
    <s v="LYCEE POLYVALENT GUSTAVE MONOD"/>
    <n v="95"/>
    <s v="Val-d'oise"/>
    <x v="0"/>
    <s v="Certificat de Spécialisation - Animation-gestion de projets dans le secteur sportif"/>
    <x v="0"/>
    <n v="12"/>
    <n v="59"/>
    <n v="12"/>
    <x v="1"/>
    <n v="4.916666666666667"/>
    <n v="1"/>
    <s v="Faible"/>
  </r>
  <r>
    <s v="Institut Catholique de Paris (ICP)- Campus de Paris"/>
    <n v="75"/>
    <s v="Paris"/>
    <x v="0"/>
    <s v="Année préparatoire - Année de préparation aux études supérieures (A.P.E.S.)- Option Etudes européennes"/>
    <x v="0"/>
    <n v="25"/>
    <n v="120"/>
    <n v="12"/>
    <x v="0"/>
    <n v="4.8"/>
    <n v="0.48"/>
    <s v="Faible"/>
  </r>
  <r>
    <s v="Lycée professionnel Régional Abbe Gregoire"/>
    <n v="75"/>
    <s v="Paris"/>
    <x v="0"/>
    <s v="FCIL - Visual Merchandising"/>
    <x v="0"/>
    <n v="15"/>
    <n v="72"/>
    <n v="17"/>
    <x v="0"/>
    <n v="4.8"/>
    <n v="1.1333333333333333"/>
    <s v="Faible"/>
  </r>
  <r>
    <s v="Institut supérieur de rééducation psychomotrice"/>
    <n v="75"/>
    <s v="Paris"/>
    <x v="0"/>
    <s v="D.E Psychomotricien"/>
    <x v="0"/>
    <n v="220"/>
    <n v="1042"/>
    <n v="230"/>
    <x v="0"/>
    <n v="4.7363636363636363"/>
    <n v="1.0454545454545454"/>
    <s v="Faible"/>
  </r>
  <r>
    <s v="ECOLE DU LOUVRE"/>
    <n v="75"/>
    <s v="Paris"/>
    <x v="0"/>
    <s v="Archéologie, histoire de l'art, anthropologie"/>
    <x v="0"/>
    <n v="300"/>
    <n v="1397"/>
    <n v="299"/>
    <x v="0"/>
    <n v="4.6566666666666663"/>
    <n v="0.9966666666666667"/>
    <s v="Faible"/>
  </r>
  <r>
    <s v="Ecole Universitaire de premier cycle - Campus d'Orsay Université Paris-Saclay"/>
    <n v="91"/>
    <s v="Essonne"/>
    <x v="0"/>
    <s v="PCSO : Préparation aux cursus scientifiques d'Orsay"/>
    <x v="0"/>
    <n v="120"/>
    <n v="550"/>
    <n v="119"/>
    <x v="1"/>
    <n v="4.583333333333333"/>
    <n v="0.9916666666666667"/>
    <s v="Faible"/>
  </r>
  <r>
    <s v="Institut National du Patrimoine (département des restaurateurs)"/>
    <n v="93"/>
    <s v="Seine-Saint-Denis"/>
    <x v="0"/>
    <s v="Conservation-restauration des biens culturels - spécialité  Arts du feu (céramique, émail, verre)"/>
    <x v="0"/>
    <n v="2"/>
    <n v="9"/>
    <n v="3"/>
    <x v="2"/>
    <n v="4.5"/>
    <n v="1.5"/>
    <s v="Faible"/>
  </r>
  <r>
    <s v="Lycée polyvalent Alexandre Denis, lycée des métiers de l'aéronautique, du transport et de la logistique"/>
    <n v="91"/>
    <s v="Essonne"/>
    <x v="0"/>
    <s v="Certificat de Spécialisation - Aéronautique option avions à moteurs à pistons"/>
    <x v="0"/>
    <n v="6"/>
    <n v="27"/>
    <n v="6"/>
    <x v="1"/>
    <n v="4.5"/>
    <n v="1"/>
    <s v="Faible"/>
  </r>
  <r>
    <s v="FERRANDI Paris - L'école Française de Gastronomie et de Management Hôtelier"/>
    <n v="75"/>
    <s v="Paris"/>
    <x v="0"/>
    <s v="Formations aux métiers de l'hôtellerie restauration Bac +3 - Bachelor Arts culinaires et entrepreneuriat / Option Cuisine"/>
    <x v="0"/>
    <n v="55"/>
    <n v="246"/>
    <n v="64"/>
    <x v="0"/>
    <n v="4.4727272727272727"/>
    <n v="1.1636363636363636"/>
    <s v="Faible"/>
  </r>
  <r>
    <s v="Lycée André Malraux"/>
    <n v="77"/>
    <s v="Seine-et-Marne"/>
    <x v="0"/>
    <s v="FCIL - Maintenance Milieu Nucléaire"/>
    <x v="0"/>
    <n v="24"/>
    <n v="106"/>
    <n v="19"/>
    <x v="1"/>
    <n v="4.416666666666667"/>
    <n v="0.79166666666666663"/>
    <s v="Faible"/>
  </r>
  <r>
    <s v="Lycée Léonard de Vinci"/>
    <n v="75"/>
    <s v="Paris"/>
    <x v="0"/>
    <s v="FCIL - Menuisier Valoriste"/>
    <x v="0"/>
    <n v="9"/>
    <n v="39"/>
    <n v="7"/>
    <x v="0"/>
    <n v="4.333333333333333"/>
    <n v="0.77777777777777779"/>
    <s v="Faible"/>
  </r>
  <r>
    <s v="Lycée professionnel Leonard De Vinci"/>
    <n v="92"/>
    <s v="Hauts-de-Seine"/>
    <x v="0"/>
    <s v="Certificat de Spécialisation - Techn. en énergies renouvelables opt. a énergie électrique"/>
    <x v="0"/>
    <n v="12"/>
    <n v="52"/>
    <n v="7"/>
    <x v="2"/>
    <n v="4.333333333333333"/>
    <n v="0.58333333333333337"/>
    <s v="Faible"/>
  </r>
  <r>
    <s v="Strate - Ecole de design"/>
    <n v="92"/>
    <s v="Hauts-de-Seine"/>
    <x v="0"/>
    <s v="Formation des écoles supérieure d'art Bac + 5 - Designer"/>
    <x v="0"/>
    <n v="135"/>
    <n v="583"/>
    <n v="113"/>
    <x v="2"/>
    <n v="4.3185185185185189"/>
    <n v="0.83703703703703702"/>
    <s v="Faible"/>
  </r>
  <r>
    <s v="Lycée Dumont D'Urville"/>
    <n v="78"/>
    <s v="Yvelines"/>
    <x v="0"/>
    <s v="Certificat de Spécialisation - Animation-gestion de projets dans le secteur sportif"/>
    <x v="0"/>
    <n v="16"/>
    <n v="67"/>
    <n v="10"/>
    <x v="1"/>
    <n v="4.1875"/>
    <n v="0.625"/>
    <s v="Faible"/>
  </r>
  <r>
    <s v="Université Paris Cité"/>
    <n v="75"/>
    <s v="Paris"/>
    <x v="0"/>
    <s v="Diplôme d'Université - PAREO - PAREO"/>
    <x v="0"/>
    <n v="360"/>
    <n v="1499"/>
    <n v="291"/>
    <x v="0"/>
    <n v="4.1638888888888888"/>
    <n v="0.80833333333333335"/>
    <s v="Faible"/>
  </r>
  <r>
    <s v="Lycée professionnel Chateau Des Coudraies"/>
    <n v="91"/>
    <s v="Essonne"/>
    <x v="0"/>
    <s v="Certificat de Spécialisation - Accueil-réception"/>
    <x v="0"/>
    <n v="12"/>
    <n v="49"/>
    <n v="0"/>
    <x v="1"/>
    <n v="4.083333333333333"/>
    <n v="0"/>
    <s v="Faible"/>
  </r>
  <r>
    <s v="INALCO"/>
    <n v="75"/>
    <s v="Paris"/>
    <x v="0"/>
    <s v="Diplôme d'Université - Diplôme d'Initiation au Chinois"/>
    <x v="0"/>
    <n v="200"/>
    <n v="805"/>
    <n v="209"/>
    <x v="0"/>
    <n v="4.0250000000000004"/>
    <n v="1.0449999999999999"/>
    <s v="Faible"/>
  </r>
  <r>
    <s v="Lycée Assomption"/>
    <n v="93"/>
    <s v="Seine-Saint-Denis"/>
    <x v="0"/>
    <s v="DN MADE - Innovation sociale - parcours matériaux"/>
    <x v="0"/>
    <n v="15"/>
    <n v="60"/>
    <n v="9"/>
    <x v="2"/>
    <n v="4"/>
    <n v="0.6"/>
    <s v="Faible"/>
  </r>
  <r>
    <s v="Institut National du Patrimoine (département des restaurateurs)"/>
    <n v="93"/>
    <s v="Seine-Saint-Denis"/>
    <x v="0"/>
    <s v="Conservation-restauration des biens culturels - spécialité Arts graphiques"/>
    <x v="0"/>
    <n v="2"/>
    <n v="8"/>
    <n v="2"/>
    <x v="2"/>
    <n v="4"/>
    <n v="1"/>
    <s v="Faible"/>
  </r>
  <r>
    <s v="Lycée Francois Rabelais"/>
    <n v="93"/>
    <s v="Seine-Saint-Denis"/>
    <x v="0"/>
    <s v="Certificat de Spécialisation - Métiers du bar"/>
    <x v="0"/>
    <n v="12"/>
    <n v="48"/>
    <n v="9"/>
    <x v="2"/>
    <n v="4"/>
    <n v="0.75"/>
    <s v="Faible"/>
  </r>
  <r>
    <s v="CY ILEPS"/>
    <n v="95"/>
    <s v="Val-d'oise"/>
    <x v="0"/>
    <s v="Licence professionnelle - Commercialisation des produits et services sportifs"/>
    <x v="0"/>
    <n v="55"/>
    <n v="217"/>
    <n v="54"/>
    <x v="1"/>
    <n v="3.9454545454545453"/>
    <n v="0.98181818181818181"/>
    <s v="Faible"/>
  </r>
  <r>
    <s v="Lycée Jean Mace"/>
    <n v="94"/>
    <s v="Val-de-Marne"/>
    <x v="0"/>
    <s v="Certificat de Spécialisation - Technicien(ne) en soudage"/>
    <x v="0"/>
    <n v="7"/>
    <n v="27"/>
    <n v="4"/>
    <x v="2"/>
    <n v="3.8571428571428572"/>
    <n v="0.5714285714285714"/>
    <s v="Faible"/>
  </r>
  <r>
    <s v="Lycée professionnel Le Corbusier"/>
    <n v="95"/>
    <s v="Val-d'oise"/>
    <x v="0"/>
    <s v="FCIL - Technicien sur centre d'usinage bois 3 et 5 axes - Concepteur sur modeleur 3D"/>
    <x v="0"/>
    <n v="12"/>
    <n v="46"/>
    <n v="10"/>
    <x v="1"/>
    <n v="3.8333333333333335"/>
    <n v="0.83333333333333337"/>
    <s v="Faible"/>
  </r>
  <r>
    <s v="Ecole Supérieure d'Architecture des Jardins (E.S.A.J.)"/>
    <n v="75"/>
    <s v="Paris"/>
    <x v="0"/>
    <s v="Paysagiste concepteur"/>
    <x v="0"/>
    <n v="30"/>
    <n v="113"/>
    <n v="29"/>
    <x v="0"/>
    <n v="3.7666666666666666"/>
    <n v="0.96666666666666667"/>
    <s v="Faible"/>
  </r>
  <r>
    <s v="Lycée professionnel Gustave Eiffel"/>
    <n v="77"/>
    <s v="Seine-et-Marne"/>
    <x v="0"/>
    <s v="Certificat de Spécialisation - Technicien(ne) ascensoriste (service et modernisation)"/>
    <x v="0"/>
    <n v="12"/>
    <n v="45"/>
    <n v="7"/>
    <x v="1"/>
    <n v="3.75"/>
    <n v="0.58333333333333337"/>
    <s v="Faible"/>
  </r>
  <r>
    <s v="Lycée Polyvalent Institut Saint Pierre"/>
    <n v="91"/>
    <s v="Essonne"/>
    <x v="0"/>
    <s v="Mise à niveau - Hôtellerie restauration"/>
    <x v="0"/>
    <n v="36"/>
    <n v="133"/>
    <n v="10"/>
    <x v="1"/>
    <n v="3.6944444444444446"/>
    <n v="0.27777777777777779"/>
    <s v="Faible"/>
  </r>
  <r>
    <s v="Lycée professionnel Auguste Escoffier"/>
    <n v="95"/>
    <s v="Val-d'oise"/>
    <x v="0"/>
    <s v="Certificat de Spécialisation - Métiers du bar"/>
    <x v="0"/>
    <n v="12"/>
    <n v="44"/>
    <n v="6"/>
    <x v="1"/>
    <n v="3.6666666666666665"/>
    <n v="0.5"/>
    <s v="Faible"/>
  </r>
  <r>
    <s v="Institut National du Patrimoine (département des restaurateurs)"/>
    <n v="93"/>
    <s v="Seine-Saint-Denis"/>
    <x v="0"/>
    <s v="Conservation-restauration des biens culturels - spécialité Livre"/>
    <x v="0"/>
    <n v="2"/>
    <n v="7"/>
    <n v="2"/>
    <x v="2"/>
    <n v="3.5"/>
    <n v="1"/>
    <s v="Faible"/>
  </r>
  <r>
    <s v="EPITECH - Campus de Paris - Kremlin-Bicêtre"/>
    <n v="94"/>
    <s v="Val-de-Marne"/>
    <x v="0"/>
    <s v="Diplôme d'Etablissement - Expert(e) en Technologies de l’information - Formation Bac + 5"/>
    <x v="0"/>
    <n v="200"/>
    <n v="693"/>
    <n v="96"/>
    <x v="2"/>
    <n v="3.4649999999999999"/>
    <n v="0.48"/>
    <s v="Faible"/>
  </r>
  <r>
    <s v="INALCO"/>
    <n v="75"/>
    <s v="Paris"/>
    <x v="0"/>
    <s v="Diplôme d'Université - Diplôme d'Initiation au Russe"/>
    <x v="0"/>
    <n v="100"/>
    <n v="344"/>
    <n v="105"/>
    <x v="0"/>
    <n v="3.44"/>
    <n v="1.05"/>
    <s v="Faible"/>
  </r>
  <r>
    <s v="3IS Institut International de l'Image et du Son"/>
    <n v="78"/>
    <s v="Yvelines"/>
    <x v="0"/>
    <s v="Formation des écoles supérieure d'art Bac + 3 - Cinéma Audiovisuel/Son - Option Cinéma Audiovisuel"/>
    <x v="0"/>
    <n v="50"/>
    <n v="171"/>
    <n v="20"/>
    <x v="1"/>
    <n v="3.42"/>
    <n v="0.4"/>
    <s v="Faible"/>
  </r>
  <r>
    <s v="Lycée professionnel Jacques Brel"/>
    <n v="94"/>
    <s v="Val-de-Marne"/>
    <x v="0"/>
    <s v="FCIL - Restauration Meubles Anciens"/>
    <x v="0"/>
    <n v="12"/>
    <n v="41"/>
    <n v="5"/>
    <x v="2"/>
    <n v="3.4166666666666665"/>
    <n v="0.41666666666666669"/>
    <s v="Faible"/>
  </r>
  <r>
    <s v="FERRANDI Paris - L'école Française de Gastronomie et de Management Hôtelier"/>
    <n v="75"/>
    <s v="Paris"/>
    <x v="0"/>
    <s v="Formations aux métiers de l'hôtellerie restauration Bac +3 - Bachelor Manager dans l’hôtellerie restauration"/>
    <x v="0"/>
    <n v="115"/>
    <n v="390"/>
    <n v="113"/>
    <x v="0"/>
    <n v="3.3913043478260869"/>
    <n v="0.9826086956521739"/>
    <s v="Faible"/>
  </r>
  <r>
    <s v="Lycée Uruguay France"/>
    <n v="77"/>
    <s v="Seine-et-Marne"/>
    <x v="0"/>
    <s v="Certificat de Spécialisation - Animation-gestion de projets dans le secteur sportif"/>
    <x v="0"/>
    <n v="12"/>
    <n v="40"/>
    <n v="7"/>
    <x v="1"/>
    <n v="3.3333333333333335"/>
    <n v="0.58333333333333337"/>
    <s v="Faible"/>
  </r>
  <r>
    <s v="Lycée professionnel Gustave Eiffel"/>
    <n v="95"/>
    <s v="Val-d'oise"/>
    <x v="0"/>
    <s v="Certificat de Spécialisation - Techn. en énergies renouvelables opt. a énergie électrique"/>
    <x v="0"/>
    <n v="12"/>
    <n v="40"/>
    <n v="4"/>
    <x v="1"/>
    <n v="3.3333333333333335"/>
    <n v="0.33333333333333331"/>
    <s v="Faible"/>
  </r>
  <r>
    <s v="Lycée Le Corbusier"/>
    <n v="78"/>
    <s v="Yvelines"/>
    <x v="0"/>
    <s v="DN MADE - Matériaux - Spécialité : Recherche Matière et croisement des savoir-faire"/>
    <x v="0"/>
    <n v="24"/>
    <n v="79"/>
    <n v="13"/>
    <x v="1"/>
    <n v="3.2916666666666665"/>
    <n v="0.54166666666666663"/>
    <s v="Faible"/>
  </r>
  <r>
    <s v="CY Ecole de Design"/>
    <n v="78"/>
    <s v="Yvelines"/>
    <x v="0"/>
    <s v="Diplôme d'Université - Designer Global - Bac+5"/>
    <x v="0"/>
    <n v="84"/>
    <n v="275"/>
    <n v="85"/>
    <x v="1"/>
    <n v="3.2738095238095237"/>
    <n v="1.0119047619047619"/>
    <s v="Faible"/>
  </r>
  <r>
    <s v="Lycée Montaleau"/>
    <n v="94"/>
    <s v="Val-de-Marne"/>
    <x v="0"/>
    <s v="Certificat de Spécialisation - Métiers du bar"/>
    <x v="0"/>
    <n v="12"/>
    <n v="39"/>
    <n v="4"/>
    <x v="2"/>
    <n v="3.25"/>
    <n v="0.33333333333333331"/>
    <s v="Faible"/>
  </r>
  <r>
    <s v="Lycée professionnel Gustave Eiffel"/>
    <n v="77"/>
    <s v="Seine-et-Marne"/>
    <x v="0"/>
    <s v="Certificat de Spécialisation - Maintenance des installations oléohydrauliques et pneumatiques"/>
    <x v="0"/>
    <n v="12"/>
    <n v="37"/>
    <n v="2"/>
    <x v="1"/>
    <n v="3.0833333333333335"/>
    <n v="0.16666666666666666"/>
    <s v="Faible"/>
  </r>
  <r>
    <s v="aivancity School of AI &amp; Data for Business &amp; Society"/>
    <n v="94"/>
    <s v="Val-de-Marne"/>
    <x v="0"/>
    <s v="Diplôme d'Etablissement - Programme Grande Ecole - Intelligence Artificielle et Sciences de données"/>
    <x v="0"/>
    <n v="70"/>
    <n v="214"/>
    <n v="43"/>
    <x v="2"/>
    <n v="3.0571428571428569"/>
    <n v="0.61428571428571432"/>
    <s v="Faible"/>
  </r>
  <r>
    <s v="Institut National du Patrimoine (département des restaurateurs)"/>
    <n v="93"/>
    <s v="Seine-Saint-Denis"/>
    <x v="0"/>
    <s v="Conservation-restauration des biens culturels - spécialité Mobilier"/>
    <x v="0"/>
    <n v="3"/>
    <n v="9"/>
    <n v="2"/>
    <x v="2"/>
    <n v="3"/>
    <n v="0.66666666666666663"/>
    <s v="Faible"/>
  </r>
  <r>
    <s v="Lycée Pierre de Coubertin"/>
    <n v="77"/>
    <s v="Seine-et-Marne"/>
    <x v="0"/>
    <s v="Certificat de Spécialisation - Aéronautique option avionique"/>
    <x v="0"/>
    <n v="12"/>
    <n v="36"/>
    <n v="4"/>
    <x v="1"/>
    <n v="3"/>
    <n v="0.33333333333333331"/>
    <s v="Faible"/>
  </r>
  <r>
    <s v="CY ILEPS"/>
    <n v="95"/>
    <s v="Val-d'oise"/>
    <x v="0"/>
    <s v="Licence professionnelle - Commercialisation des produits et services sportifs"/>
    <x v="0"/>
    <n v="40"/>
    <n v="119"/>
    <n v="28"/>
    <x v="1"/>
    <n v="2.9750000000000001"/>
    <n v="0.7"/>
    <s v="Faible"/>
  </r>
  <r>
    <s v="Lycée DES METIERS LA SALLE ST NICOLAS"/>
    <n v="92"/>
    <s v="Hauts-de-Seine"/>
    <x v="0"/>
    <s v="Certificat de Spécialisation - Cybersécurité"/>
    <x v="0"/>
    <n v="20"/>
    <n v="59"/>
    <n v="12"/>
    <x v="2"/>
    <n v="2.95"/>
    <n v="0.6"/>
    <s v="Faible"/>
  </r>
  <r>
    <s v="Lycée Francois Rabelais"/>
    <n v="93"/>
    <s v="Seine-Saint-Denis"/>
    <x v="0"/>
    <s v="Certificat de Spécialisation - Organisateur de réception"/>
    <x v="0"/>
    <n v="12"/>
    <n v="35"/>
    <n v="9"/>
    <x v="2"/>
    <n v="2.9166666666666665"/>
    <n v="0.75"/>
    <s v="Faible"/>
  </r>
  <r>
    <s v="Lycée Léonard de Vinci"/>
    <n v="75"/>
    <s v="Paris"/>
    <x v="0"/>
    <s v="FCIL - Agent de maitrise de &quot;métré bois&quot;"/>
    <x v="0"/>
    <n v="9"/>
    <n v="26"/>
    <n v="10"/>
    <x v="0"/>
    <n v="2.8888888888888888"/>
    <n v="1.1111111111111112"/>
    <s v="Faible"/>
  </r>
  <r>
    <s v="Lycée professionnel Saint-Jean De Montmartre"/>
    <n v="75"/>
    <s v="Paris"/>
    <x v="0"/>
    <s v="Certificat de Spécialisation - Services numériques aux organisations"/>
    <x v="0"/>
    <n v="20"/>
    <n v="57"/>
    <n v="10"/>
    <x v="0"/>
    <n v="2.85"/>
    <n v="0.5"/>
    <s v="Faible"/>
  </r>
  <r>
    <s v="Lycée Saint-Nicolas"/>
    <n v="75"/>
    <s v="Paris"/>
    <x v="0"/>
    <s v="Certificat de Spécialisation - Services numériques aux organisations"/>
    <x v="0"/>
    <n v="15"/>
    <n v="41"/>
    <n v="12"/>
    <x v="0"/>
    <n v="2.7333333333333334"/>
    <n v="0.8"/>
    <s v="Faible"/>
  </r>
  <r>
    <s v="Lycée Saint-Vincent-de-Paul"/>
    <n v="75"/>
    <s v="Paris"/>
    <x v="0"/>
    <s v="Certificat de Spécialisation - Animation-gestion de projets dans le secteur sportif"/>
    <x v="0"/>
    <n v="25"/>
    <n v="68"/>
    <n v="11"/>
    <x v="0"/>
    <n v="2.72"/>
    <n v="0.44"/>
    <s v="Faible"/>
  </r>
  <r>
    <s v="Lycée polyvalent La Fayette"/>
    <n v="77"/>
    <s v="Seine-et-Marne"/>
    <x v="0"/>
    <s v="FCIL - Perruquier cheveux synthétiques &quot;Perruques en Scène&quot;"/>
    <x v="0"/>
    <n v="12"/>
    <n v="32"/>
    <n v="6"/>
    <x v="1"/>
    <n v="2.6666666666666665"/>
    <n v="0.5"/>
    <s v="Faible"/>
  </r>
  <r>
    <s v="CY ILEPS"/>
    <n v="95"/>
    <s v="Val-d'oise"/>
    <x v="0"/>
    <s v="Licence professionnelle - Commercialisation des produits et services sportifs"/>
    <x v="0"/>
    <n v="20"/>
    <n v="53"/>
    <n v="7"/>
    <x v="1"/>
    <n v="2.65"/>
    <n v="0.35"/>
    <s v="Faible"/>
  </r>
  <r>
    <s v="ESRA - Paris"/>
    <n v="75"/>
    <s v="Paris"/>
    <x v="0"/>
    <s v="Formation des écoles supérieure d'art Bac + 3 - Etudes Supérieures en Film d'Animation"/>
    <x v="0"/>
    <n v="30"/>
    <n v="76"/>
    <n v="10"/>
    <x v="0"/>
    <n v="2.5333333333333332"/>
    <n v="0.33333333333333331"/>
    <s v="Faible"/>
  </r>
  <r>
    <s v="Lycée professionnel Chateau Des Coudraies"/>
    <n v="91"/>
    <s v="Essonne"/>
    <x v="0"/>
    <s v="Certificat de Spécialisation - Sommellerie"/>
    <x v="0"/>
    <n v="12"/>
    <n v="29"/>
    <n v="1"/>
    <x v="1"/>
    <n v="2.4166666666666665"/>
    <n v="8.3333333333333329E-2"/>
    <s v="Faible"/>
  </r>
  <r>
    <s v="CNAM PARIS"/>
    <n v="93"/>
    <s v="Seine-Saint-Denis"/>
    <x v="0"/>
    <s v="Diplôme d'Etablissement - Bachelor des transitions"/>
    <x v="0"/>
    <n v="60"/>
    <n v="141"/>
    <n v="0"/>
    <x v="2"/>
    <n v="2.35"/>
    <n v="0"/>
    <s v="Faible"/>
  </r>
  <r>
    <s v="Lycée Leonard De Vinci"/>
    <n v="77"/>
    <s v="Seine-et-Marne"/>
    <x v="0"/>
    <s v="Certificat de Spécialisation - Techn. en énergies renouvelables opt. a énergie électrique"/>
    <x v="0"/>
    <n v="12"/>
    <n v="27"/>
    <n v="3"/>
    <x v="1"/>
    <n v="2.25"/>
    <n v="0.25"/>
    <s v="Faible"/>
  </r>
  <r>
    <s v="Lycée Sabatier"/>
    <n v="93"/>
    <s v="Seine-Saint-Denis"/>
    <x v="0"/>
    <s v="FCIL - Cheveux texturés"/>
    <x v="0"/>
    <n v="12"/>
    <n v="25"/>
    <n v="2"/>
    <x v="2"/>
    <n v="2.0833333333333335"/>
    <n v="0.16666666666666666"/>
    <s v="Faible"/>
  </r>
  <r>
    <s v="3IS Institut International de l'Image et du Son"/>
    <n v="78"/>
    <s v="Yvelines"/>
    <x v="0"/>
    <s v="Formation des écoles supérieure d'art Bac + 3 - Cinéma Audiovisuel/Son - Option Son"/>
    <x v="0"/>
    <n v="100"/>
    <n v="205"/>
    <n v="25"/>
    <x v="1"/>
    <n v="2.0499999999999998"/>
    <n v="0.25"/>
    <s v="Faible"/>
  </r>
  <r>
    <s v="3IS Institut International de l'Image et du Son"/>
    <n v="78"/>
    <s v="Yvelines"/>
    <x v="0"/>
    <s v="Formation des écoles supérieure d'art Bac + 3 - Cinéma Audiovisuel/Son - Option Cinéma Audiovisuel"/>
    <x v="0"/>
    <n v="200"/>
    <n v="408"/>
    <n v="75"/>
    <x v="1"/>
    <n v="2.04"/>
    <n v="0.375"/>
    <s v="Faible"/>
  </r>
  <r>
    <s v="Institut National du Patrimoine (département des restaurateurs)"/>
    <n v="93"/>
    <s v="Seine-Saint-Denis"/>
    <x v="0"/>
    <s v="Conservation-restauration des biens culturels - spécialité  Arts du feu (vitrail)"/>
    <x v="0"/>
    <n v="2"/>
    <n v="4"/>
    <n v="1"/>
    <x v="2"/>
    <n v="2"/>
    <n v="0.5"/>
    <s v="Faible"/>
  </r>
  <r>
    <s v="Lycée professionnel Gustave Eiffel"/>
    <n v="77"/>
    <s v="Seine-et-Marne"/>
    <x v="0"/>
    <s v="Certificat de Spécialisation - Technicien(ne) en tuyauterie"/>
    <x v="0"/>
    <n v="12"/>
    <n v="24"/>
    <n v="11"/>
    <x v="1"/>
    <n v="2"/>
    <n v="0.91666666666666663"/>
    <s v="Faible"/>
  </r>
  <r>
    <s v="Université d'Evry Val d'Essonne"/>
    <n v="91"/>
    <s v="Essonne"/>
    <x v="0"/>
    <s v="Diplôme d'Université - PAREO - Prép'Avenir"/>
    <x v="0"/>
    <n v="60"/>
    <n v="107"/>
    <n v="0"/>
    <x v="1"/>
    <n v="1.7833333333333334"/>
    <n v="0"/>
    <s v="Faible"/>
  </r>
  <r>
    <s v="Lycée ESTBA"/>
    <n v="75"/>
    <s v="Paris"/>
    <x v="0"/>
    <s v="Diplôme d'Etablissement - Chargé(e) d'expériences en recherche scientifique"/>
    <x v="0"/>
    <n v="32"/>
    <n v="54"/>
    <n v="6"/>
    <x v="0"/>
    <n v="1.6875"/>
    <n v="0.1875"/>
    <s v="Faible"/>
  </r>
  <r>
    <s v="Institut National du Patrimoine (département des restaurateurs)"/>
    <n v="93"/>
    <s v="Seine-Saint-Denis"/>
    <x v="0"/>
    <s v="Conservation-restauration des biens culturels - spécialité - Photographie et image numérique"/>
    <x v="0"/>
    <n v="3"/>
    <n v="5"/>
    <n v="2"/>
    <x v="2"/>
    <n v="1.6666666666666667"/>
    <n v="0.66666666666666663"/>
    <s v="Faible"/>
  </r>
  <r>
    <s v="Lycée Albert de Mun"/>
    <n v="75"/>
    <s v="Paris"/>
    <x v="0"/>
    <s v="Certificat de Spécialisation - Sommellerie"/>
    <x v="0"/>
    <n v="15"/>
    <n v="25"/>
    <n v="3"/>
    <x v="0"/>
    <n v="1.6666666666666667"/>
    <n v="0.2"/>
    <s v="Faible"/>
  </r>
  <r>
    <s v="Lycée Les Pannevelles"/>
    <n v="77"/>
    <s v="Seine-et-Marne"/>
    <x v="0"/>
    <s v="Certificat de Spécialisation - Encadrement secteur sportif opt. activités de la forme-cours collectifs"/>
    <x v="0"/>
    <n v="12"/>
    <n v="19"/>
    <n v="3"/>
    <x v="1"/>
    <n v="1.5833333333333333"/>
    <n v="0.25"/>
    <s v="Faible"/>
  </r>
  <r>
    <s v="Lycée Auffray"/>
    <n v="92"/>
    <s v="Hauts-de-Seine"/>
    <x v="0"/>
    <s v="Certificat de Spécialisation - Organisateur de réception"/>
    <x v="0"/>
    <n v="16"/>
    <n v="25"/>
    <n v="7"/>
    <x v="2"/>
    <n v="1.5625"/>
    <n v="0.4375"/>
    <s v="Faible"/>
  </r>
  <r>
    <s v="ESRA - Paris"/>
    <n v="75"/>
    <s v="Paris"/>
    <x v="0"/>
    <s v="Formation des écoles supérieure d'art Bac + 3 - Etudes Supérieures en Réalisation Audiovisuelle"/>
    <x v="0"/>
    <n v="300"/>
    <n v="404"/>
    <n v="133"/>
    <x v="0"/>
    <n v="1.3466666666666667"/>
    <n v="0.44333333333333336"/>
    <s v="Faible"/>
  </r>
  <r>
    <s v="Lycée Raspail"/>
    <n v="75"/>
    <s v="Paris"/>
    <x v="0"/>
    <s v="Certificat de Spécialisation - Techn. en énergies renouvelables opt. b énergie thermique"/>
    <x v="0"/>
    <n v="15"/>
    <n v="20"/>
    <n v="10"/>
    <x v="0"/>
    <n v="1.3333333333333333"/>
    <n v="0.66666666666666663"/>
    <s v="Faible"/>
  </r>
  <r>
    <s v="Lycée professionnel Gustave Eiffel"/>
    <n v="77"/>
    <s v="Seine-et-Marne"/>
    <x v="0"/>
    <s v="FCIL - Mobilités urbaines"/>
    <x v="0"/>
    <n v="12"/>
    <n v="16"/>
    <n v="3"/>
    <x v="1"/>
    <n v="1.3333333333333333"/>
    <n v="0.25"/>
    <s v="Faible"/>
  </r>
  <r>
    <s v="Lycée professionnel Antonin Careme"/>
    <n v="77"/>
    <s v="Seine-et-Marne"/>
    <x v="0"/>
    <s v="Certificat de Spécialisation - Organisateur de réception"/>
    <x v="0"/>
    <n v="12"/>
    <n v="10"/>
    <n v="3"/>
    <x v="1"/>
    <n v="0.83333333333333337"/>
    <n v="0.25"/>
    <s v="Faible"/>
  </r>
  <r>
    <s v="ESRA - Paris"/>
    <n v="75"/>
    <s v="Paris"/>
    <x v="0"/>
    <s v="Formation des écoles supérieure d'art Bac + 3 - Etudes Supérieures des Techniques du Son"/>
    <x v="0"/>
    <n v="250"/>
    <n v="208"/>
    <n v="87"/>
    <x v="0"/>
    <n v="0.83199999999999996"/>
    <n v="0.34799999999999998"/>
    <s v="Faible"/>
  </r>
  <r>
    <s v="Institut National du Patrimoine (département des restaurateurs)"/>
    <n v="93"/>
    <s v="Seine-Saint-Denis"/>
    <x v="0"/>
    <s v="Conservation-restauration des biens culturels - spécialité Arts du feu (métal)"/>
    <x v="0"/>
    <n v="2"/>
    <n v="1"/>
    <n v="0"/>
    <x v="2"/>
    <n v="0.5"/>
    <n v="0"/>
    <s v="Faible"/>
  </r>
  <r>
    <s v="Lycée Saint-Nicolas"/>
    <n v="75"/>
    <s v="Paris"/>
    <x v="0"/>
    <s v="Certificat de Spécialisation - Production et réparation de produits électroniques"/>
    <x v="0"/>
    <n v="15"/>
    <n v="7"/>
    <n v="2"/>
    <x v="0"/>
    <n v="0.46666666666666667"/>
    <n v="0.13333333333333333"/>
    <s v="Faible"/>
  </r>
  <r>
    <s v="Lycée professionnel Corvisart-Arts Graphiques"/>
    <n v="75"/>
    <s v="Paris"/>
    <x v="0"/>
    <s v="Certificat de Spécialisation - Art de la dorure à chaud"/>
    <x v="0"/>
    <n v="7"/>
    <n v="3"/>
    <n v="3"/>
    <x v="0"/>
    <n v="0.42857142857142855"/>
    <n v="0.42857142857142855"/>
    <s v="Faible"/>
  </r>
  <r>
    <s v="Forward College"/>
    <n v="75"/>
    <s v="Paris"/>
    <x v="0"/>
    <s v="Diplôme d'Etablissement - Diplôme en sciences sociales et technologie"/>
    <x v="0"/>
    <n v="30"/>
    <n v="7"/>
    <n v="1"/>
    <x v="0"/>
    <n v="0.23333333333333334"/>
    <n v="3.3333333333333333E-2"/>
    <s v="Faible"/>
  </r>
  <r>
    <s v="Lycée LAVOISIER"/>
    <n v="78"/>
    <s v="Yvelines"/>
    <x v="0"/>
    <s v="Certificat de Spécialisation - Techn. en énergies renouvelables opt. b énergie thermique"/>
    <x v="0"/>
    <n v="6"/>
    <n v="1"/>
    <n v="0"/>
    <x v="1"/>
    <n v="0.16666666666666666"/>
    <n v="0"/>
    <s v="Faible"/>
  </r>
  <r>
    <s v="Lycée Edgar Quinet"/>
    <n v="75"/>
    <s v="Paris"/>
    <x v="1"/>
    <s v="BTS - Services - Commerce International"/>
    <x v="0"/>
    <n v="24"/>
    <n v="4955"/>
    <n v="23"/>
    <x v="0"/>
    <n v="206.45833333333334"/>
    <n v="0.95833333333333337"/>
    <s v="Très forte"/>
  </r>
  <r>
    <s v="Lycée Jules SIEGFRIED"/>
    <n v="75"/>
    <s v="Paris"/>
    <x v="1"/>
    <s v="BTS - Services - Commerce International"/>
    <x v="0"/>
    <n v="24"/>
    <n v="4689"/>
    <n v="24"/>
    <x v="0"/>
    <n v="195.375"/>
    <n v="1"/>
    <s v="Très forte"/>
  </r>
  <r>
    <s v="Ecole Nationale De Commerce"/>
    <n v="75"/>
    <s v="Paris"/>
    <x v="1"/>
    <s v="BTS - Services - Commerce International"/>
    <x v="0"/>
    <n v="70"/>
    <n v="11222"/>
    <n v="69"/>
    <x v="0"/>
    <n v="160.31428571428572"/>
    <n v="0.98571428571428577"/>
    <s v="Très forte"/>
  </r>
  <r>
    <s v="Lycée Jean Lurcat"/>
    <n v="75"/>
    <s v="Paris"/>
    <x v="1"/>
    <s v="BTS - Services - Négociation et digitalisation de la Relation Client"/>
    <x v="0"/>
    <n v="35"/>
    <n v="5519"/>
    <n v="35"/>
    <x v="0"/>
    <n v="157.68571428571428"/>
    <n v="1"/>
    <s v="Très forte"/>
  </r>
  <r>
    <s v="Lycée Emile Dubois"/>
    <n v="75"/>
    <s v="Paris"/>
    <x v="1"/>
    <s v="BTS - Services - Commerce International"/>
    <x v="0"/>
    <n v="35"/>
    <n v="5326"/>
    <n v="39"/>
    <x v="0"/>
    <n v="152.17142857142858"/>
    <n v="1.1142857142857143"/>
    <s v="Très forte"/>
  </r>
  <r>
    <s v="Lycée Jacques Prevert"/>
    <n v="92"/>
    <s v="Hauts-de-Seine"/>
    <x v="1"/>
    <s v="BTS - Services - Métiers de l'audio-visuel opt : montage et post-production"/>
    <x v="0"/>
    <n v="12"/>
    <n v="1725"/>
    <n v="11"/>
    <x v="2"/>
    <n v="143.75"/>
    <n v="0.91666666666666663"/>
    <s v="Très forte"/>
  </r>
  <r>
    <s v="Lycée Jacques Prevert"/>
    <n v="92"/>
    <s v="Hauts-de-Seine"/>
    <x v="1"/>
    <s v="BTS - Services - Métiers de l'audio-visuel opt : métiers de l'image"/>
    <x v="0"/>
    <n v="12"/>
    <n v="1697"/>
    <n v="12"/>
    <x v="2"/>
    <n v="141.41666666666666"/>
    <n v="1"/>
    <s v="Très forte"/>
  </r>
  <r>
    <s v="Lycée Sophie Germain"/>
    <n v="75"/>
    <s v="Paris"/>
    <x v="1"/>
    <s v="BTS - Services - Communication"/>
    <x v="0"/>
    <n v="24"/>
    <n v="3293"/>
    <n v="20"/>
    <x v="0"/>
    <n v="137.20833333333334"/>
    <n v="0.83333333333333337"/>
    <s v="Très forte"/>
  </r>
  <r>
    <s v="Lycée Suger"/>
    <n v="93"/>
    <s v="Seine-Saint-Denis"/>
    <x v="1"/>
    <s v="BTS - Services - Métiers de l'audio-visuel opt : métiers de l'image"/>
    <x v="0"/>
    <n v="13"/>
    <n v="1743"/>
    <n v="13"/>
    <x v="2"/>
    <n v="134.07692307692307"/>
    <n v="1"/>
    <s v="Très forte"/>
  </r>
  <r>
    <s v="Lycée professionnel Galilee"/>
    <n v="75"/>
    <s v="Paris"/>
    <x v="1"/>
    <s v="BTS - Services - Prothésiste dentaire"/>
    <x v="0"/>
    <n v="15"/>
    <n v="1977"/>
    <n v="13"/>
    <x v="0"/>
    <n v="131.80000000000001"/>
    <n v="0.8666666666666667"/>
    <s v="Très forte"/>
  </r>
  <r>
    <s v="Lycée Diderot"/>
    <n v="75"/>
    <s v="Paris"/>
    <x v="1"/>
    <s v="BTS - Production - Cybersécurité, Informatique et réseaux, ELectronique - Option A : Informatique et réseaux"/>
    <x v="0"/>
    <n v="30"/>
    <n v="3914"/>
    <n v="30"/>
    <x v="0"/>
    <n v="130.46666666666667"/>
    <n v="1"/>
    <s v="Très forte"/>
  </r>
  <r>
    <s v="Lycée Maurice Ravel"/>
    <n v="75"/>
    <s v="Paris"/>
    <x v="1"/>
    <s v="BTS - Services - Commerce International"/>
    <x v="0"/>
    <n v="35"/>
    <n v="4513"/>
    <n v="33"/>
    <x v="0"/>
    <n v="128.94285714285715"/>
    <n v="0.94285714285714284"/>
    <s v="Très forte"/>
  </r>
  <r>
    <s v="Lycée Honoré De Balzac"/>
    <n v="75"/>
    <s v="Paris"/>
    <x v="1"/>
    <s v="BTS - Services - Commerce International"/>
    <x v="0"/>
    <n v="35"/>
    <n v="4328"/>
    <n v="34"/>
    <x v="0"/>
    <n v="123.65714285714286"/>
    <n v="0.97142857142857142"/>
    <s v="Très forte"/>
  </r>
  <r>
    <s v="Lycée Suger"/>
    <n v="93"/>
    <s v="Seine-Saint-Denis"/>
    <x v="1"/>
    <s v="BTS - Services - Métiers de l'audio-visuel opt : montage et post-production"/>
    <x v="0"/>
    <n v="12"/>
    <n v="1433"/>
    <n v="12"/>
    <x v="2"/>
    <n v="119.41666666666667"/>
    <n v="1"/>
    <s v="Très forte"/>
  </r>
  <r>
    <s v="Lycée polyvalent de Cachan"/>
    <n v="94"/>
    <s v="Val-de-Marne"/>
    <x v="1"/>
    <s v="BTS - Services - Commerce International"/>
    <x v="0"/>
    <n v="35"/>
    <n v="4044"/>
    <n v="31"/>
    <x v="2"/>
    <n v="115.54285714285714"/>
    <n v="0.88571428571428568"/>
    <s v="Très forte"/>
  </r>
  <r>
    <s v="Lycée Paul Eluard"/>
    <n v="93"/>
    <s v="Seine-Saint-Denis"/>
    <x v="1"/>
    <s v="BTS - Production - Cybersécurité, Informatique et réseaux, ELectronique - Option A : Informatique et réseaux"/>
    <x v="0"/>
    <n v="12"/>
    <n v="1385"/>
    <n v="12"/>
    <x v="2"/>
    <n v="115.41666666666667"/>
    <n v="1"/>
    <s v="Très forte"/>
  </r>
  <r>
    <s v="Lycée Jean Lurcat"/>
    <n v="75"/>
    <s v="Paris"/>
    <x v="1"/>
    <s v="BTS - Services - Commerce International"/>
    <x v="0"/>
    <n v="35"/>
    <n v="4011"/>
    <n v="35"/>
    <x v="0"/>
    <n v="114.6"/>
    <n v="1"/>
    <s v="Très forte"/>
  </r>
  <r>
    <s v="Lycée Roger Verlomme"/>
    <n v="75"/>
    <s v="Paris"/>
    <x v="1"/>
    <s v="BTS - Services - Négociation et digitalisation de la Relation Client"/>
    <x v="0"/>
    <n v="24"/>
    <n v="2718"/>
    <n v="18"/>
    <x v="0"/>
    <n v="113.25"/>
    <n v="0.75"/>
    <s v="Très forte"/>
  </r>
  <r>
    <s v="Lycée Henri Bergson-Jacquard"/>
    <n v="75"/>
    <s v="Paris"/>
    <x v="1"/>
    <s v="BTS - Production - Cybersécurité, Informatique et réseaux, ELectronique - Option A : Informatique et réseaux"/>
    <x v="0"/>
    <n v="24"/>
    <n v="2694"/>
    <n v="26"/>
    <x v="0"/>
    <n v="112.25"/>
    <n v="1.0833333333333333"/>
    <s v="Très forte"/>
  </r>
  <r>
    <s v="Ecole Nationale De Commerce"/>
    <n v="75"/>
    <s v="Paris"/>
    <x v="1"/>
    <s v="BTS - Services - Services informatiques aux organisations"/>
    <x v="0"/>
    <n v="32"/>
    <n v="3567"/>
    <n v="33"/>
    <x v="0"/>
    <n v="111.46875"/>
    <n v="1.03125"/>
    <s v="Très forte"/>
  </r>
  <r>
    <s v="Lycée Elisa Lemonnier"/>
    <n v="75"/>
    <s v="Paris"/>
    <x v="1"/>
    <s v="BTS - Services - Négociation et digitalisation de la Relation Client"/>
    <x v="0"/>
    <n v="35"/>
    <n v="3869"/>
    <n v="29"/>
    <x v="0"/>
    <n v="110.54285714285714"/>
    <n v="0.82857142857142863"/>
    <s v="Très forte"/>
  </r>
  <r>
    <s v="Lycée Louis Armand"/>
    <n v="75"/>
    <s v="Paris"/>
    <x v="1"/>
    <s v="BTS - Services - Gestion de la PME"/>
    <x v="0"/>
    <n v="35"/>
    <n v="3721"/>
    <n v="34"/>
    <x v="0"/>
    <n v="106.31428571428572"/>
    <n v="0.97142857142857142"/>
    <s v="Très forte"/>
  </r>
  <r>
    <s v="Lycée des Métiers Dorian"/>
    <n v="75"/>
    <s v="Paris"/>
    <x v="1"/>
    <s v="BTS - Production - Cybersécurité, Informatique et réseaux, ELectronique - Option A : Informatique et réseaux"/>
    <x v="0"/>
    <n v="24"/>
    <n v="2493"/>
    <n v="25"/>
    <x v="0"/>
    <n v="103.875"/>
    <n v="1.0416666666666667"/>
    <s v="Très forte"/>
  </r>
  <r>
    <s v="Lycée Jacques Feyder"/>
    <n v="93"/>
    <s v="Seine-Saint-Denis"/>
    <x v="1"/>
    <s v="BTS - Services - Négociation et digitalisation de la Relation Client"/>
    <x v="0"/>
    <n v="24"/>
    <n v="2358"/>
    <n v="20"/>
    <x v="2"/>
    <n v="98.25"/>
    <n v="0.83333333333333337"/>
    <s v="Très forte"/>
  </r>
  <r>
    <s v="Lycée Simone Weil"/>
    <n v="75"/>
    <s v="Paris"/>
    <x v="1"/>
    <s v="BTS - Services - Comptabilité et gestion"/>
    <x v="0"/>
    <n v="24"/>
    <n v="2304"/>
    <n v="23"/>
    <x v="0"/>
    <n v="96"/>
    <n v="0.95833333333333337"/>
    <s v="Très forte"/>
  </r>
  <r>
    <s v="Lycée RACINE"/>
    <n v="75"/>
    <s v="Paris"/>
    <x v="1"/>
    <s v="BTS - Services - Banque"/>
    <x v="0"/>
    <n v="24"/>
    <n v="2279"/>
    <n v="27"/>
    <x v="0"/>
    <n v="94.958333333333329"/>
    <n v="1.125"/>
    <s v="Très forte"/>
  </r>
  <r>
    <s v="Lycée Louise Michel"/>
    <n v="93"/>
    <s v="Seine-Saint-Denis"/>
    <x v="1"/>
    <s v="BTS - Services - Négociation et digitalisation de la Relation Client"/>
    <x v="0"/>
    <n v="24"/>
    <n v="2274"/>
    <n v="19"/>
    <x v="2"/>
    <n v="94.75"/>
    <n v="0.79166666666666663"/>
    <s v="Très forte"/>
  </r>
  <r>
    <s v="Lycée Jacques Prevert"/>
    <n v="92"/>
    <s v="Hauts-de-Seine"/>
    <x v="1"/>
    <s v="BTS - Services - Métiers de l'audio-visuel opt : métiers du son"/>
    <x v="0"/>
    <n v="12"/>
    <n v="1115"/>
    <n v="8"/>
    <x v="2"/>
    <n v="92.916666666666671"/>
    <n v="0.66666666666666663"/>
    <s v="Très forte"/>
  </r>
  <r>
    <s v="Lycée GUSTAVE EIFFEL"/>
    <n v="93"/>
    <s v="Seine-Saint-Denis"/>
    <x v="1"/>
    <s v="BTS - Production - Cybersécurité, Informatique et réseaux, ELectronique - Option A : Informatique et réseaux"/>
    <x v="0"/>
    <n v="12"/>
    <n v="1085"/>
    <n v="11"/>
    <x v="2"/>
    <n v="90.416666666666671"/>
    <n v="0.91666666666666663"/>
    <s v="Très forte"/>
  </r>
  <r>
    <s v="Lycée Emile Dubois"/>
    <n v="75"/>
    <s v="Paris"/>
    <x v="1"/>
    <s v="BTS - Services - Gestion de la PME"/>
    <x v="0"/>
    <n v="37"/>
    <n v="3303"/>
    <n v="40"/>
    <x v="0"/>
    <n v="89.270270270270274"/>
    <n v="1.0810810810810811"/>
    <s v="Très forte"/>
  </r>
  <r>
    <s v="Lycée Newton-Enrea"/>
    <n v="92"/>
    <s v="Hauts-de-Seine"/>
    <x v="1"/>
    <s v="BTS - Production - Cybersécurité, Informatique et réseaux, ELectronique - Option A : Informatique et réseaux"/>
    <x v="0"/>
    <n v="30"/>
    <n v="2649"/>
    <n v="30"/>
    <x v="2"/>
    <n v="88.3"/>
    <n v="1"/>
    <s v="Très forte"/>
  </r>
  <r>
    <s v="Lycée Emile Dubois"/>
    <n v="75"/>
    <s v="Paris"/>
    <x v="1"/>
    <s v="BTS - Services - Négociation et digitalisation de la Relation Client"/>
    <x v="0"/>
    <n v="35"/>
    <n v="3077"/>
    <n v="34"/>
    <x v="0"/>
    <n v="87.914285714285711"/>
    <n v="0.97142857142857142"/>
    <s v="Très forte"/>
  </r>
  <r>
    <s v="Lycée Jules SIEGFRIED"/>
    <n v="75"/>
    <s v="Paris"/>
    <x v="1"/>
    <s v="BTS - Services - Négociation et digitalisation de la Relation Client"/>
    <x v="0"/>
    <n v="35"/>
    <n v="3068"/>
    <n v="29"/>
    <x v="0"/>
    <n v="87.657142857142858"/>
    <n v="0.82857142857142863"/>
    <s v="Très forte"/>
  </r>
  <r>
    <s v="Lycée Léonard de Vinci"/>
    <n v="75"/>
    <s v="Paris"/>
    <x v="1"/>
    <s v="BTS - Production - Etude et réalisation d'agencement"/>
    <x v="0"/>
    <n v="15"/>
    <n v="1311"/>
    <n v="17"/>
    <x v="0"/>
    <n v="87.4"/>
    <n v="1.1333333333333333"/>
    <s v="Très forte"/>
  </r>
  <r>
    <s v="Ecole Nationale De Commerce"/>
    <n v="75"/>
    <s v="Paris"/>
    <x v="1"/>
    <s v="BTS - Services - Professions immobilières"/>
    <x v="0"/>
    <n v="35"/>
    <n v="3013"/>
    <n v="34"/>
    <x v="0"/>
    <n v="86.085714285714289"/>
    <n v="0.97142857142857142"/>
    <s v="Très forte"/>
  </r>
  <r>
    <s v="Lycée Jules SIEGFRIED"/>
    <n v="75"/>
    <s v="Paris"/>
    <x v="1"/>
    <s v="BTS - Services - Management Commercial Opérationnel"/>
    <x v="0"/>
    <n v="35"/>
    <n v="2997"/>
    <n v="34"/>
    <x v="0"/>
    <n v="85.628571428571433"/>
    <n v="0.97142857142857142"/>
    <s v="Très forte"/>
  </r>
  <r>
    <s v="Lycée Joliot-Curie"/>
    <n v="92"/>
    <s v="Hauts-de-Seine"/>
    <x v="1"/>
    <s v="BTS - Services - Négociation et digitalisation de la Relation Client"/>
    <x v="0"/>
    <n v="30"/>
    <n v="2563"/>
    <n v="30"/>
    <x v="2"/>
    <n v="85.433333333333337"/>
    <n v="1"/>
    <s v="Très forte"/>
  </r>
  <r>
    <s v="Lycée Suger"/>
    <n v="93"/>
    <s v="Seine-Saint-Denis"/>
    <x v="1"/>
    <s v="BTS - Services - Métiers de l'audio-visuel opt : métiers du son"/>
    <x v="0"/>
    <n v="13"/>
    <n v="1075"/>
    <n v="13"/>
    <x v="2"/>
    <n v="82.692307692307693"/>
    <n v="1"/>
    <s v="Très forte"/>
  </r>
  <r>
    <s v="Lycée Sophie Germain"/>
    <n v="75"/>
    <s v="Paris"/>
    <x v="1"/>
    <s v="BTS - Services - Banque"/>
    <x v="0"/>
    <n v="24"/>
    <n v="1980"/>
    <n v="21"/>
    <x v="0"/>
    <n v="82.5"/>
    <n v="0.875"/>
    <s v="Très forte"/>
  </r>
  <r>
    <s v="Lycée Henri Bergson-Jacquard"/>
    <n v="75"/>
    <s v="Paris"/>
    <x v="1"/>
    <s v="BTS - Services - Management Commercial Opérationnel"/>
    <x v="0"/>
    <n v="35"/>
    <n v="2840"/>
    <n v="31"/>
    <x v="0"/>
    <n v="81.142857142857139"/>
    <n v="0.88571428571428568"/>
    <s v="Très forte"/>
  </r>
  <r>
    <s v="Lycée Le Corbusier"/>
    <n v="93"/>
    <s v="Seine-Saint-Denis"/>
    <x v="1"/>
    <s v="BTS - Production - Cybersécurité, Informatique et réseaux, ELectronique - Option A : Informatique et réseaux"/>
    <x v="0"/>
    <n v="24"/>
    <n v="1924"/>
    <n v="23"/>
    <x v="2"/>
    <n v="80.166666666666671"/>
    <n v="0.95833333333333337"/>
    <s v="Très forte"/>
  </r>
  <r>
    <s v="Lycée Jean Lurcat"/>
    <n v="75"/>
    <s v="Paris"/>
    <x v="1"/>
    <s v="BTS - Services - Communication"/>
    <x v="0"/>
    <n v="35"/>
    <n v="2797"/>
    <n v="34"/>
    <x v="0"/>
    <n v="79.914285714285711"/>
    <n v="0.97142857142857142"/>
    <s v="Très forte"/>
  </r>
  <r>
    <s v="Lycée Louis Armand"/>
    <n v="75"/>
    <s v="Paris"/>
    <x v="1"/>
    <s v="BTS - Services - Services informatiques aux organisations"/>
    <x v="0"/>
    <n v="48"/>
    <n v="3790"/>
    <n v="50"/>
    <x v="0"/>
    <n v="78.958333333333329"/>
    <n v="1.0416666666666667"/>
    <s v="Très forte"/>
  </r>
  <r>
    <s v="Lycée Auguste Blanqui"/>
    <n v="93"/>
    <s v="Seine-Saint-Denis"/>
    <x v="1"/>
    <s v="BTS - Services - Services informatiques aux organisations"/>
    <x v="0"/>
    <n v="24"/>
    <n v="1894"/>
    <n v="22"/>
    <x v="2"/>
    <n v="78.916666666666671"/>
    <n v="0.91666666666666663"/>
    <s v="Très forte"/>
  </r>
  <r>
    <s v="Lycée Jules SIEGFRIED"/>
    <n v="75"/>
    <s v="Paris"/>
    <x v="1"/>
    <s v="BTS - Services - Banque"/>
    <x v="0"/>
    <n v="35"/>
    <n v="2759"/>
    <n v="35"/>
    <x v="0"/>
    <n v="78.828571428571422"/>
    <n v="1"/>
    <s v="Très forte"/>
  </r>
  <r>
    <s v="Lycée Jean Lurcat"/>
    <n v="75"/>
    <s v="Paris"/>
    <x v="1"/>
    <s v="BTS - Services - Professions immobilières"/>
    <x v="0"/>
    <n v="35"/>
    <n v="2750"/>
    <n v="36"/>
    <x v="0"/>
    <n v="78.571428571428569"/>
    <n v="1.0285714285714285"/>
    <s v="Très forte"/>
  </r>
  <r>
    <s v="Lycée Maurice Ravel"/>
    <n v="75"/>
    <s v="Paris"/>
    <x v="1"/>
    <s v="BTS - Services - Professions immobilières"/>
    <x v="0"/>
    <n v="35"/>
    <n v="2718"/>
    <n v="30"/>
    <x v="0"/>
    <n v="77.657142857142858"/>
    <n v="0.8571428571428571"/>
    <s v="Très forte"/>
  </r>
  <r>
    <s v="Lycée Jules SIEGFRIED"/>
    <n v="75"/>
    <s v="Paris"/>
    <x v="1"/>
    <s v="BTS - Services - Gestion de la PME"/>
    <x v="0"/>
    <n v="24"/>
    <n v="1848"/>
    <n v="23"/>
    <x v="0"/>
    <n v="77"/>
    <n v="0.95833333333333337"/>
    <s v="Très forte"/>
  </r>
  <r>
    <s v="Lycée Arago"/>
    <n v="75"/>
    <s v="Paris"/>
    <x v="1"/>
    <s v="BTS - Services - Management Commercial Opérationnel"/>
    <x v="0"/>
    <n v="35"/>
    <n v="2645"/>
    <n v="35"/>
    <x v="0"/>
    <n v="75.571428571428569"/>
    <n v="1"/>
    <s v="Très forte"/>
  </r>
  <r>
    <s v="Lycée Honoré De Balzac"/>
    <n v="75"/>
    <s v="Paris"/>
    <x v="1"/>
    <s v="BTS - Services - Comptabilité et gestion"/>
    <x v="0"/>
    <n v="24"/>
    <n v="1768"/>
    <n v="22"/>
    <x v="0"/>
    <n v="73.666666666666671"/>
    <n v="0.91666666666666663"/>
    <s v="Très forte"/>
  </r>
  <r>
    <s v="Lycée professionnel Erik Satie"/>
    <n v="75"/>
    <s v="Paris"/>
    <x v="1"/>
    <s v="BTS - Services - Professions immobilières"/>
    <x v="0"/>
    <n v="24"/>
    <n v="1756"/>
    <n v="22"/>
    <x v="0"/>
    <n v="73.166666666666671"/>
    <n v="0.91666666666666663"/>
    <s v="Très forte"/>
  </r>
  <r>
    <s v="Lycée Louis Armand"/>
    <n v="75"/>
    <s v="Paris"/>
    <x v="1"/>
    <s v="BTS - Services - Management Commercial Opérationnel"/>
    <x v="0"/>
    <n v="35"/>
    <n v="2550"/>
    <n v="37"/>
    <x v="0"/>
    <n v="72.857142857142861"/>
    <n v="1.0571428571428572"/>
    <s v="Très forte"/>
  </r>
  <r>
    <s v="Lycée Louise Michel"/>
    <n v="93"/>
    <s v="Seine-Saint-Denis"/>
    <x v="1"/>
    <s v="BTS - Services - Services informatiques aux organisations"/>
    <x v="0"/>
    <n v="24"/>
    <n v="1735"/>
    <n v="24"/>
    <x v="2"/>
    <n v="72.291666666666671"/>
    <n v="1"/>
    <s v="Très forte"/>
  </r>
  <r>
    <s v="Lycée professionnel Charles Baudelaire"/>
    <n v="91"/>
    <s v="Essonne"/>
    <x v="1"/>
    <s v="BTS - Services - Management Commercial Opérationnel"/>
    <x v="0"/>
    <n v="18"/>
    <n v="1298"/>
    <n v="19"/>
    <x v="1"/>
    <n v="72.111111111111114"/>
    <n v="1.0555555555555556"/>
    <s v="Très forte"/>
  </r>
  <r>
    <s v="Lycée Edgar Quinet"/>
    <n v="75"/>
    <s v="Paris"/>
    <x v="1"/>
    <s v="BTS - Services - Comptabilité et gestion"/>
    <x v="0"/>
    <n v="24"/>
    <n v="1728"/>
    <n v="24"/>
    <x v="0"/>
    <n v="72"/>
    <n v="1"/>
    <s v="Très forte"/>
  </r>
  <r>
    <s v="Lycée Jean Zay"/>
    <n v="93"/>
    <s v="Seine-Saint-Denis"/>
    <x v="1"/>
    <s v="BTS - Services - Commerce International"/>
    <x v="0"/>
    <n v="35"/>
    <n v="2500"/>
    <n v="35"/>
    <x v="2"/>
    <n v="71.428571428571431"/>
    <n v="1"/>
    <s v="Très forte"/>
  </r>
  <r>
    <s v="Ecole Nationale De Commerce"/>
    <n v="75"/>
    <s v="Paris"/>
    <x v="1"/>
    <s v="BTS - Services - Négociation et digitalisation de la Relation Client"/>
    <x v="0"/>
    <n v="70"/>
    <n v="4990"/>
    <n v="70"/>
    <x v="0"/>
    <n v="71.285714285714292"/>
    <n v="1"/>
    <s v="Très forte"/>
  </r>
  <r>
    <s v="Lycée Turgot"/>
    <n v="75"/>
    <s v="Paris"/>
    <x v="1"/>
    <s v="BTS - Services - Services informatiques aux organisations"/>
    <x v="0"/>
    <n v="48"/>
    <n v="3383"/>
    <n v="50"/>
    <x v="0"/>
    <n v="70.479166666666671"/>
    <n v="1.0416666666666667"/>
    <s v="Très forte"/>
  </r>
  <r>
    <s v="Lycée Agora"/>
    <n v="92"/>
    <s v="Hauts-de-Seine"/>
    <x v="1"/>
    <s v="BTS - Production - Cybersécurité, Informatique et réseaux, ELectronique - Option A : Informatique et réseaux"/>
    <x v="0"/>
    <n v="30"/>
    <n v="2107"/>
    <n v="30"/>
    <x v="2"/>
    <n v="70.233333333333334"/>
    <n v="1"/>
    <s v="Très forte"/>
  </r>
  <r>
    <s v="Lycée Jean Lurcat"/>
    <n v="75"/>
    <s v="Paris"/>
    <x v="1"/>
    <s v="BTS - Services - Management Commercial Opérationnel"/>
    <x v="0"/>
    <n v="35"/>
    <n v="2452"/>
    <n v="33"/>
    <x v="0"/>
    <n v="70.057142857142864"/>
    <n v="0.94285714285714284"/>
    <s v="Très forte"/>
  </r>
  <r>
    <s v="Lycée Jacques Prevert"/>
    <n v="92"/>
    <s v="Hauts-de-Seine"/>
    <x v="1"/>
    <s v="BTS - Services - Métiers de l'audio-visuel opt : gestion de la production"/>
    <x v="0"/>
    <n v="12"/>
    <n v="828"/>
    <n v="11"/>
    <x v="2"/>
    <n v="69"/>
    <n v="0.91666666666666663"/>
    <s v="Très forte"/>
  </r>
  <r>
    <s v="Ecole Nationale De Commerce"/>
    <n v="75"/>
    <s v="Paris"/>
    <x v="1"/>
    <s v="BTS - Services - Management Commercial Opérationnel"/>
    <x v="0"/>
    <n v="70"/>
    <n v="4789"/>
    <n v="69"/>
    <x v="0"/>
    <n v="68.414285714285711"/>
    <n v="0.98571428571428577"/>
    <s v="Très forte"/>
  </r>
  <r>
    <s v="Lycée Leonard De Vinci"/>
    <n v="92"/>
    <s v="Hauts-de-Seine"/>
    <x v="1"/>
    <s v="BTS - Services - Opticien-Lunetier"/>
    <x v="0"/>
    <n v="15"/>
    <n v="1011"/>
    <n v="13"/>
    <x v="2"/>
    <n v="67.400000000000006"/>
    <n v="0.8666666666666667"/>
    <s v="Très forte"/>
  </r>
  <r>
    <s v="Ecole Nationale De Commerce"/>
    <n v="75"/>
    <s v="Paris"/>
    <x v="1"/>
    <s v="BTS - Services - Communication"/>
    <x v="0"/>
    <n v="70"/>
    <n v="4690"/>
    <n v="69"/>
    <x v="0"/>
    <n v="67"/>
    <n v="0.98571428571428577"/>
    <s v="Très forte"/>
  </r>
  <r>
    <s v="Lycée Emile Dubois"/>
    <n v="75"/>
    <s v="Paris"/>
    <x v="1"/>
    <s v="BTS - Services - Management Commercial Opérationnel"/>
    <x v="0"/>
    <n v="35"/>
    <n v="2321"/>
    <n v="31"/>
    <x v="0"/>
    <n v="66.314285714285717"/>
    <n v="0.88571428571428568"/>
    <s v="Très forte"/>
  </r>
  <r>
    <s v="Lycée Henri Bergson-Jacquard"/>
    <n v="75"/>
    <s v="Paris"/>
    <x v="1"/>
    <s v="BTS - Services - Assurance"/>
    <x v="0"/>
    <n v="24"/>
    <n v="1586"/>
    <n v="24"/>
    <x v="0"/>
    <n v="66.083333333333329"/>
    <n v="1"/>
    <s v="Très forte"/>
  </r>
  <r>
    <s v="Ecole Nationale De Commerce"/>
    <n v="75"/>
    <s v="Paris"/>
    <x v="1"/>
    <s v="BTS - Services - Gestion de la PME"/>
    <x v="0"/>
    <n v="35"/>
    <n v="2311"/>
    <n v="35"/>
    <x v="0"/>
    <n v="66.028571428571425"/>
    <n v="1"/>
    <s v="Très forte"/>
  </r>
  <r>
    <s v="Lycée Jean Jaurès"/>
    <n v="93"/>
    <s v="Seine-Saint-Denis"/>
    <x v="1"/>
    <s v="BTS - Services - Négociation et digitalisation de la Relation Client"/>
    <x v="0"/>
    <n v="24"/>
    <n v="1558"/>
    <n v="23"/>
    <x v="2"/>
    <n v="64.916666666666671"/>
    <n v="0.95833333333333337"/>
    <s v="Très forte"/>
  </r>
  <r>
    <s v="Lycée Louis Armand"/>
    <n v="75"/>
    <s v="Paris"/>
    <x v="1"/>
    <s v="BTS - Production - Cybersécurité, Informatique et réseaux, ELectronique - Option B : Electronique et réseaux"/>
    <x v="0"/>
    <n v="24"/>
    <n v="1555"/>
    <n v="27"/>
    <x v="0"/>
    <n v="64.791666666666671"/>
    <n v="1.125"/>
    <s v="Très forte"/>
  </r>
  <r>
    <s v="Lycée Jacques Feyder"/>
    <n v="93"/>
    <s v="Seine-Saint-Denis"/>
    <x v="1"/>
    <s v="BTS - Services - Tourisme"/>
    <x v="0"/>
    <n v="35"/>
    <n v="2231"/>
    <n v="34"/>
    <x v="2"/>
    <n v="63.74285714285714"/>
    <n v="0.97142857142857142"/>
    <s v="Très forte"/>
  </r>
  <r>
    <s v="Lycée Jules Ferry"/>
    <n v="78"/>
    <s v="Yvelines"/>
    <x v="1"/>
    <s v="BTS - Production - Cybersécurité, Informatique et réseaux, ELectronique - Option A : Informatique et réseaux"/>
    <x v="0"/>
    <n v="29"/>
    <n v="1840"/>
    <n v="29"/>
    <x v="1"/>
    <n v="63.448275862068968"/>
    <n v="1"/>
    <s v="Très forte"/>
  </r>
  <r>
    <s v="Lycée Martin-Nadaud"/>
    <n v="75"/>
    <s v="Paris"/>
    <x v="1"/>
    <s v="BTS - Services - Gestion de la PME"/>
    <x v="0"/>
    <n v="24"/>
    <n v="1502"/>
    <n v="22"/>
    <x v="0"/>
    <n v="62.583333333333336"/>
    <n v="0.91666666666666663"/>
    <s v="Très forte"/>
  </r>
  <r>
    <s v="Lycée Paul Langevin"/>
    <n v="92"/>
    <s v="Hauts-de-Seine"/>
    <x v="1"/>
    <s v="BTS - Services - Commerce International"/>
    <x v="0"/>
    <n v="35"/>
    <n v="2182"/>
    <n v="29"/>
    <x v="2"/>
    <n v="62.342857142857142"/>
    <n v="0.82857142857142863"/>
    <s v="Très forte"/>
  </r>
  <r>
    <s v="Lycée Albert Schweitzer"/>
    <n v="93"/>
    <s v="Seine-Saint-Denis"/>
    <x v="1"/>
    <s v="BTS - Services - Commerce International"/>
    <x v="0"/>
    <n v="35"/>
    <n v="2164"/>
    <n v="35"/>
    <x v="2"/>
    <n v="61.828571428571429"/>
    <n v="1"/>
    <s v="Très forte"/>
  </r>
  <r>
    <s v="Lycée Emile Dubois"/>
    <n v="75"/>
    <s v="Paris"/>
    <x v="1"/>
    <s v="BTS - Services - Comptabilité et gestion"/>
    <x v="0"/>
    <n v="35"/>
    <n v="2160"/>
    <n v="35"/>
    <x v="0"/>
    <n v="61.714285714285715"/>
    <n v="1"/>
    <s v="Très forte"/>
  </r>
  <r>
    <s v="Lycée professionnel La Tournelle"/>
    <n v="92"/>
    <s v="Hauts-de-Seine"/>
    <x v="1"/>
    <s v="BTS - Services - Services informatiques aux organisations"/>
    <x v="0"/>
    <n v="30"/>
    <n v="1806"/>
    <n v="29"/>
    <x v="2"/>
    <n v="60.2"/>
    <n v="0.96666666666666667"/>
    <s v="Très forte"/>
  </r>
  <r>
    <s v="Lycée Jean Lurcat"/>
    <n v="75"/>
    <s v="Paris"/>
    <x v="1"/>
    <s v="BTS - Services - Gestion de la PME"/>
    <x v="0"/>
    <n v="35"/>
    <n v="2089"/>
    <n v="31"/>
    <x v="0"/>
    <n v="59.685714285714283"/>
    <n v="0.88571428571428568"/>
    <s v="Très forte"/>
  </r>
  <r>
    <s v="Lycée Jean Renoir"/>
    <n v="93"/>
    <s v="Seine-Saint-Denis"/>
    <x v="1"/>
    <s v="BTS - Services - Management Commercial Opérationnel"/>
    <x v="0"/>
    <n v="35"/>
    <n v="2066"/>
    <n v="37"/>
    <x v="2"/>
    <n v="59.028571428571432"/>
    <n v="1.0571428571428572"/>
    <s v="Très forte"/>
  </r>
  <r>
    <s v="Lycée Charles De Gaulle"/>
    <n v="93"/>
    <s v="Seine-Saint-Denis"/>
    <x v="1"/>
    <s v="BTS - Services - Management Commercial Opérationnel"/>
    <x v="0"/>
    <n v="35"/>
    <n v="2027"/>
    <n v="28"/>
    <x v="2"/>
    <n v="57.914285714285711"/>
    <n v="0.8"/>
    <s v="Très forte"/>
  </r>
  <r>
    <s v="Ecole Nationale De Commerce"/>
    <n v="75"/>
    <s v="Paris"/>
    <x v="1"/>
    <s v="BTS - Services - Tourisme"/>
    <x v="0"/>
    <n v="105"/>
    <n v="6074"/>
    <n v="96"/>
    <x v="0"/>
    <n v="57.847619047619048"/>
    <n v="0.91428571428571426"/>
    <s v="Très forte"/>
  </r>
  <r>
    <s v="Lycée Simone Weil"/>
    <n v="75"/>
    <s v="Paris"/>
    <x v="1"/>
    <s v="BTS - Services - Gestion de la PME"/>
    <x v="0"/>
    <n v="24"/>
    <n v="1380"/>
    <n v="23"/>
    <x v="0"/>
    <n v="57.5"/>
    <n v="0.95833333333333337"/>
    <s v="Très forte"/>
  </r>
  <r>
    <s v="Lycée RACINE"/>
    <n v="75"/>
    <s v="Paris"/>
    <x v="1"/>
    <s v="BTS - Services - Support à l'action managériale"/>
    <x v="0"/>
    <n v="24"/>
    <n v="1380"/>
    <n v="25"/>
    <x v="0"/>
    <n v="57.5"/>
    <n v="1.0416666666666667"/>
    <s v="Très forte"/>
  </r>
  <r>
    <s v="Lycée Evariste Galois"/>
    <n v="93"/>
    <s v="Seine-Saint-Denis"/>
    <x v="1"/>
    <s v="BTS - Services - Métiers de l'audio-visuel opt : gestion de la production"/>
    <x v="0"/>
    <n v="12"/>
    <n v="689"/>
    <n v="10"/>
    <x v="2"/>
    <n v="57.416666666666664"/>
    <n v="0.83333333333333337"/>
    <s v="Très forte"/>
  </r>
  <r>
    <s v="Lycée Pierre-Gilles de Gennes - ENCPB"/>
    <n v="75"/>
    <s v="Paris"/>
    <x v="1"/>
    <s v="BTS - Services - Biologie médicale"/>
    <x v="0"/>
    <n v="60"/>
    <n v="3429"/>
    <n v="54"/>
    <x v="0"/>
    <n v="57.15"/>
    <n v="0.9"/>
    <s v="Très forte"/>
  </r>
  <r>
    <s v="Lycée Jean-Baptiste Poquelin"/>
    <n v="78"/>
    <s v="Yvelines"/>
    <x v="1"/>
    <s v="BTS - Services - Commerce International"/>
    <x v="0"/>
    <n v="35"/>
    <n v="1983"/>
    <n v="30"/>
    <x v="1"/>
    <n v="56.657142857142858"/>
    <n v="0.8571428571428571"/>
    <s v="Très forte"/>
  </r>
  <r>
    <s v="Lycée Polyvalent Maryse Condé"/>
    <n v="95"/>
    <s v="Val-d'oise"/>
    <x v="1"/>
    <s v="BTS - Production - Cybersécurité, Informatique et réseaux, ELectronique - Option A : Informatique et réseaux"/>
    <x v="0"/>
    <n v="23"/>
    <n v="1297"/>
    <n v="18"/>
    <x v="1"/>
    <n v="56.391304347826086"/>
    <n v="0.78260869565217395"/>
    <s v="Très forte"/>
  </r>
  <r>
    <s v="Lycée Henri Bergson-Jacquard"/>
    <n v="75"/>
    <s v="Paris"/>
    <x v="1"/>
    <s v="BTS - Production - Cybersécurité, Informatique et réseaux, ELectronique - Option B : Electronique et réseaux"/>
    <x v="0"/>
    <n v="24"/>
    <n v="1350"/>
    <n v="23"/>
    <x v="0"/>
    <n v="56.25"/>
    <n v="0.95833333333333337"/>
    <s v="Très forte"/>
  </r>
  <r>
    <s v="Lycée Fustel De Coulanges"/>
    <n v="91"/>
    <s v="Essonne"/>
    <x v="1"/>
    <s v="BTS - Services - Négociation et digitalisation de la Relation Client"/>
    <x v="0"/>
    <n v="32"/>
    <n v="1794"/>
    <n v="33"/>
    <x v="1"/>
    <n v="56.0625"/>
    <n v="1.03125"/>
    <s v="Très forte"/>
  </r>
  <r>
    <s v="Lycée Gustave Eiffel"/>
    <n v="92"/>
    <s v="Hauts-de-Seine"/>
    <x v="1"/>
    <s v="BTS - Services - Communication"/>
    <x v="0"/>
    <n v="34"/>
    <n v="1906"/>
    <n v="25"/>
    <x v="2"/>
    <n v="56.058823529411768"/>
    <n v="0.73529411764705888"/>
    <s v="Très forte"/>
  </r>
  <r>
    <s v="Lycée Alfred Kastler"/>
    <n v="95"/>
    <s v="Val-d'oise"/>
    <x v="1"/>
    <s v="BTS - Services - Négociation et digitalisation de la Relation Client"/>
    <x v="0"/>
    <n v="30"/>
    <n v="1680"/>
    <n v="30"/>
    <x v="1"/>
    <n v="56"/>
    <n v="1"/>
    <s v="Très forte"/>
  </r>
  <r>
    <s v="Lycée Albert Einstein"/>
    <n v="91"/>
    <s v="Essonne"/>
    <x v="1"/>
    <s v="BTS - Services - Commerce International"/>
    <x v="0"/>
    <n v="35"/>
    <n v="1958"/>
    <n v="34"/>
    <x v="1"/>
    <n v="55.942857142857143"/>
    <n v="0.97142857142857142"/>
    <s v="Très forte"/>
  </r>
  <r>
    <s v="Lycée Alfred Nobel"/>
    <n v="93"/>
    <s v="Seine-Saint-Denis"/>
    <x v="1"/>
    <s v="BTS - Services - Négociation et digitalisation de la Relation Client"/>
    <x v="0"/>
    <n v="30"/>
    <n v="1646"/>
    <n v="23"/>
    <x v="2"/>
    <n v="54.866666666666667"/>
    <n v="0.76666666666666672"/>
    <s v="Très forte"/>
  </r>
  <r>
    <s v="Lycée Paul Lapie"/>
    <n v="92"/>
    <s v="Hauts-de-Seine"/>
    <x v="1"/>
    <s v="BTS - Services - Services informatiques aux organisations"/>
    <x v="0"/>
    <n v="35"/>
    <n v="1914"/>
    <n v="32"/>
    <x v="2"/>
    <n v="54.685714285714283"/>
    <n v="0.91428571428571426"/>
    <s v="Très forte"/>
  </r>
  <r>
    <s v="Lycée des Métiers Dorian"/>
    <n v="75"/>
    <s v="Paris"/>
    <x v="1"/>
    <s v="BTS - Production - Cybersécurité, Informatique et réseaux, ELectronique - Option B : Electronique et réseaux"/>
    <x v="0"/>
    <n v="24"/>
    <n v="1296"/>
    <n v="25"/>
    <x v="0"/>
    <n v="54"/>
    <n v="1.0416666666666667"/>
    <s v="Très forte"/>
  </r>
  <r>
    <s v="Lycée Robert Doisneau"/>
    <n v="91"/>
    <s v="Essonne"/>
    <x v="1"/>
    <s v="BTS - Production - Cybersécurité, Informatique et réseaux, ELectronique - Option A : Informatique et réseaux"/>
    <x v="0"/>
    <n v="27"/>
    <n v="1445"/>
    <n v="25"/>
    <x v="1"/>
    <n v="53.518518518518519"/>
    <n v="0.92592592592592593"/>
    <s v="Très forte"/>
  </r>
  <r>
    <s v="Lycée Louis Armand"/>
    <n v="94"/>
    <s v="Val-de-Marne"/>
    <x v="1"/>
    <s v="BTS - Services - Services informatiques aux organisations"/>
    <x v="0"/>
    <n v="35"/>
    <n v="1866"/>
    <n v="35"/>
    <x v="2"/>
    <n v="53.314285714285717"/>
    <n v="1"/>
    <s v="Très forte"/>
  </r>
  <r>
    <s v="Lycée Georges Braque"/>
    <n v="95"/>
    <s v="Val-d'oise"/>
    <x v="1"/>
    <s v="BTS - Services - Management Commercial Opérationnel"/>
    <x v="0"/>
    <n v="35"/>
    <n v="1852"/>
    <n v="31"/>
    <x v="1"/>
    <n v="52.914285714285711"/>
    <n v="0.88571428571428568"/>
    <s v="Très forte"/>
  </r>
  <r>
    <s v="Lycée Maurice Ravel"/>
    <n v="75"/>
    <s v="Paris"/>
    <x v="1"/>
    <s v="BTS - Services - Collaborateur juriste notarial"/>
    <x v="0"/>
    <n v="35"/>
    <n v="1848"/>
    <n v="32"/>
    <x v="0"/>
    <n v="52.8"/>
    <n v="0.91428571428571426"/>
    <s v="Très forte"/>
  </r>
  <r>
    <s v="Lycée des Métiers de l'Hôtellerie Guillaume TIREL"/>
    <n v="75"/>
    <s v="Paris"/>
    <x v="1"/>
    <s v="BTS - Services - Diététique et nutrition"/>
    <x v="0"/>
    <n v="24"/>
    <n v="1267"/>
    <n v="26"/>
    <x v="0"/>
    <n v="52.791666666666664"/>
    <n v="1.0833333333333333"/>
    <s v="Très forte"/>
  </r>
  <r>
    <s v="Lycée Marcel Pagnol"/>
    <n v="91"/>
    <s v="Essonne"/>
    <x v="1"/>
    <s v="BTS - Services - Management Commercial Opérationnel"/>
    <x v="0"/>
    <n v="32"/>
    <n v="1679"/>
    <n v="32"/>
    <x v="1"/>
    <n v="52.46875"/>
    <n v="1"/>
    <s v="Très forte"/>
  </r>
  <r>
    <s v="Lycée Jean Jaures"/>
    <n v="95"/>
    <s v="Val-d'oise"/>
    <x v="1"/>
    <s v="BTS - Production - Cybersécurité, Informatique et réseaux, ELectronique - Option A : Informatique et réseaux"/>
    <x v="0"/>
    <n v="30"/>
    <n v="1567"/>
    <n v="30"/>
    <x v="1"/>
    <n v="52.233333333333334"/>
    <n v="1"/>
    <s v="Très forte"/>
  </r>
  <r>
    <s v="Lycée Camille Claudel"/>
    <n v="95"/>
    <s v="Val-d'oise"/>
    <x v="1"/>
    <s v="BTS - Services - Commerce International"/>
    <x v="0"/>
    <n v="35"/>
    <n v="1823"/>
    <n v="35"/>
    <x v="1"/>
    <n v="52.085714285714289"/>
    <n v="1"/>
    <s v="Très forte"/>
  </r>
  <r>
    <s v="Lycée Robert Doisneau"/>
    <n v="91"/>
    <s v="Essonne"/>
    <x v="1"/>
    <s v="BTS - Services - Négociation et digitalisation de la Relation Client"/>
    <x v="0"/>
    <n v="34"/>
    <n v="1762"/>
    <n v="32"/>
    <x v="1"/>
    <n v="51.823529411764703"/>
    <n v="0.94117647058823528"/>
    <s v="Très forte"/>
  </r>
  <r>
    <s v="Lycée professionnel Simone Weil"/>
    <n v="93"/>
    <s v="Seine-Saint-Denis"/>
    <x v="1"/>
    <s v="BTS - Services - Négociation et digitalisation de la Relation Client"/>
    <x v="0"/>
    <n v="30"/>
    <n v="1553"/>
    <n v="29"/>
    <x v="2"/>
    <n v="51.766666666666666"/>
    <n v="0.96666666666666667"/>
    <s v="Très forte"/>
  </r>
  <r>
    <s v="Lycée Darius Milhaud"/>
    <n v="94"/>
    <s v="Val-de-Marne"/>
    <x v="1"/>
    <s v="BTS - Services - Négociation et digitalisation de la Relation Client"/>
    <x v="0"/>
    <n v="35"/>
    <n v="1794"/>
    <n v="33"/>
    <x v="2"/>
    <n v="51.25714285714286"/>
    <n v="0.94285714285714284"/>
    <s v="Très forte"/>
  </r>
  <r>
    <s v="Lycée Jacques Brel"/>
    <n v="93"/>
    <s v="Seine-Saint-Denis"/>
    <x v="1"/>
    <s v="BTS - Services - Comptabilité et gestion"/>
    <x v="0"/>
    <n v="35"/>
    <n v="1782"/>
    <n v="34"/>
    <x v="2"/>
    <n v="50.914285714285711"/>
    <n v="0.97142857142857142"/>
    <s v="Très forte"/>
  </r>
  <r>
    <s v="Lycée Diderot"/>
    <n v="75"/>
    <s v="Paris"/>
    <x v="1"/>
    <s v="BTS - Production - Cybersécurité, Informatique et réseaux, ELectronique - Option B : Electronique et réseaux"/>
    <x v="0"/>
    <n v="24"/>
    <n v="1219"/>
    <n v="21"/>
    <x v="0"/>
    <n v="50.791666666666664"/>
    <n v="0.875"/>
    <s v="Très forte"/>
  </r>
  <r>
    <s v="Lycée Suger"/>
    <n v="93"/>
    <s v="Seine-Saint-Denis"/>
    <x v="1"/>
    <s v="BTS - Services - Métiers de l'audio-visuel opt : gestion de la production"/>
    <x v="0"/>
    <n v="13"/>
    <n v="659"/>
    <n v="13"/>
    <x v="2"/>
    <n v="50.692307692307693"/>
    <n v="1"/>
    <s v="Très forte"/>
  </r>
  <r>
    <s v="Lycée Guillaume Apollinaire"/>
    <n v="94"/>
    <s v="Val-de-Marne"/>
    <x v="1"/>
    <s v="BTS - Services - Négociation et digitalisation de la Relation Client"/>
    <x v="0"/>
    <n v="35"/>
    <n v="1773"/>
    <n v="35"/>
    <x v="2"/>
    <n v="50.657142857142858"/>
    <n v="1"/>
    <s v="Très forte"/>
  </r>
  <r>
    <s v="Lycée Jean Rostand"/>
    <n v="93"/>
    <s v="Seine-Saint-Denis"/>
    <x v="1"/>
    <s v="BTS - Production - Cybersécurité, Informatique et réseaux, ELectronique - Option A : Informatique et réseaux"/>
    <x v="0"/>
    <n v="24"/>
    <n v="1171"/>
    <n v="24"/>
    <x v="2"/>
    <n v="48.791666666666664"/>
    <n v="1"/>
    <s v="Très forte"/>
  </r>
  <r>
    <s v="Lycée Olympe De Gouges"/>
    <n v="93"/>
    <s v="Seine-Saint-Denis"/>
    <x v="1"/>
    <s v="BTS - Services - Professions immobilières"/>
    <x v="0"/>
    <n v="30"/>
    <n v="1463"/>
    <n v="22"/>
    <x v="2"/>
    <n v="48.766666666666666"/>
    <n v="0.73333333333333328"/>
    <s v="Très forte"/>
  </r>
  <r>
    <s v="Lycée Jean Jaurès"/>
    <n v="93"/>
    <s v="Seine-Saint-Denis"/>
    <x v="1"/>
    <s v="BTS - Services - Management Commercial Opérationnel"/>
    <x v="0"/>
    <n v="35"/>
    <n v="1701"/>
    <n v="32"/>
    <x v="2"/>
    <n v="48.6"/>
    <n v="0.91428571428571426"/>
    <s v="Très forte"/>
  </r>
  <r>
    <s v="Lycée polyvalent de Cachan"/>
    <n v="94"/>
    <s v="Val-de-Marne"/>
    <x v="1"/>
    <s v="BTS - Services - Biologie médicale"/>
    <x v="0"/>
    <n v="30"/>
    <n v="1448"/>
    <n v="29"/>
    <x v="2"/>
    <n v="48.266666666666666"/>
    <n v="0.96666666666666667"/>
    <s v="Très forte"/>
  </r>
  <r>
    <s v="Lycée Adolphe Cherioux"/>
    <n v="94"/>
    <s v="Val-de-Marne"/>
    <x v="1"/>
    <s v="BTS - Production - Bâtiment"/>
    <x v="0"/>
    <n v="12"/>
    <n v="579"/>
    <n v="8"/>
    <x v="2"/>
    <n v="48.25"/>
    <n v="0.66666666666666663"/>
    <s v="Très forte"/>
  </r>
  <r>
    <s v="Lycée Descartes"/>
    <n v="92"/>
    <s v="Hauts-de-Seine"/>
    <x v="1"/>
    <s v="BTS - Services - Comptabilité et gestion"/>
    <x v="0"/>
    <n v="35"/>
    <n v="1658"/>
    <n v="33"/>
    <x v="2"/>
    <n v="47.371428571428574"/>
    <n v="0.94285714285714284"/>
    <s v="Très forte"/>
  </r>
  <r>
    <s v="Lycée Maurice Ravel"/>
    <n v="75"/>
    <s v="Paris"/>
    <x v="1"/>
    <s v="BTS - Services - Support à l'action managériale"/>
    <x v="0"/>
    <n v="24"/>
    <n v="1136"/>
    <n v="23"/>
    <x v="0"/>
    <n v="47.333333333333336"/>
    <n v="0.95833333333333337"/>
    <s v="Très forte"/>
  </r>
  <r>
    <s v="Lycée D'Alembert-Cuir"/>
    <n v="75"/>
    <s v="Paris"/>
    <x v="1"/>
    <s v="BTS - Services - Economie sociale familiale"/>
    <x v="0"/>
    <n v="24"/>
    <n v="1135"/>
    <n v="17"/>
    <x v="0"/>
    <n v="47.291666666666664"/>
    <n v="0.70833333333333337"/>
    <s v="Très forte"/>
  </r>
  <r>
    <s v="Lycée Fustel De Coulanges"/>
    <n v="91"/>
    <s v="Essonne"/>
    <x v="1"/>
    <s v="BTS - Services - Commerce International"/>
    <x v="0"/>
    <n v="36"/>
    <n v="1701"/>
    <n v="36"/>
    <x v="1"/>
    <n v="47.25"/>
    <n v="1"/>
    <s v="Très forte"/>
  </r>
  <r>
    <s v="Lycée Louis Armand"/>
    <n v="94"/>
    <s v="Val-de-Marne"/>
    <x v="1"/>
    <s v="BTS - Production - Cybersécurité, Informatique et réseaux, ELectronique - Option A : Informatique et réseaux"/>
    <x v="0"/>
    <n v="24"/>
    <n v="1128"/>
    <n v="23"/>
    <x v="2"/>
    <n v="47"/>
    <n v="0.95833333333333337"/>
    <s v="Très forte"/>
  </r>
  <r>
    <s v="Lycée Paul Eluard"/>
    <n v="93"/>
    <s v="Seine-Saint-Denis"/>
    <x v="1"/>
    <s v="BTS - Production - Cybersécurité, Informatique et réseaux, ELectronique - Option B : Electronique et réseaux"/>
    <x v="0"/>
    <n v="12"/>
    <n v="559"/>
    <n v="12"/>
    <x v="2"/>
    <n v="46.583333333333336"/>
    <n v="1"/>
    <s v="Très forte"/>
  </r>
  <r>
    <s v="Lycée Jean-Pierre Vernant"/>
    <n v="92"/>
    <s v="Hauts-de-Seine"/>
    <x v="1"/>
    <s v="BTS - Services - Commerce International"/>
    <x v="0"/>
    <n v="35"/>
    <n v="1612"/>
    <n v="36"/>
    <x v="2"/>
    <n v="46.057142857142857"/>
    <n v="1.0285714285714285"/>
    <s v="Très forte"/>
  </r>
  <r>
    <s v="Lycée Turgot"/>
    <n v="75"/>
    <s v="Paris"/>
    <x v="1"/>
    <s v="BTS - Services - Comptabilité et gestion"/>
    <x v="0"/>
    <n v="59"/>
    <n v="2715"/>
    <n v="55"/>
    <x v="0"/>
    <n v="46.016949152542374"/>
    <n v="0.93220338983050843"/>
    <s v="Très forte"/>
  </r>
  <r>
    <s v="Lycée Andre Boulloche"/>
    <n v="93"/>
    <s v="Seine-Saint-Denis"/>
    <x v="1"/>
    <s v="BTS - Services - Management Commercial Opérationnel"/>
    <x v="0"/>
    <n v="37"/>
    <n v="1697"/>
    <n v="33"/>
    <x v="2"/>
    <n v="45.864864864864863"/>
    <n v="0.89189189189189189"/>
    <s v="Très forte"/>
  </r>
  <r>
    <s v="Lycée Van Gogh"/>
    <n v="95"/>
    <s v="Val-d'oise"/>
    <x v="1"/>
    <s v="BTS - Services - Management Commercial Opérationnel"/>
    <x v="0"/>
    <n v="34"/>
    <n v="1557"/>
    <n v="32"/>
    <x v="1"/>
    <n v="45.794117647058826"/>
    <n v="0.94117647058823528"/>
    <s v="Très forte"/>
  </r>
  <r>
    <s v="Lycée du Parc des Loges"/>
    <n v="91"/>
    <s v="Essonne"/>
    <x v="1"/>
    <s v="BTS - Services - Services informatiques aux organisations"/>
    <x v="0"/>
    <n v="30"/>
    <n v="1371"/>
    <n v="42"/>
    <x v="1"/>
    <n v="45.7"/>
    <n v="1.4"/>
    <s v="Très forte"/>
  </r>
  <r>
    <s v="Lycée polyvalent Alexandre Denis, lycée des métiers de l'aéronautique, du transport et de la logistique"/>
    <n v="91"/>
    <s v="Essonne"/>
    <x v="1"/>
    <s v="BTS - Production - Aéronautique"/>
    <x v="0"/>
    <n v="24"/>
    <n v="1092"/>
    <n v="25"/>
    <x v="1"/>
    <n v="45.5"/>
    <n v="1.0416666666666667"/>
    <s v="Très forte"/>
  </r>
  <r>
    <s v="Lycée Jean Jaurès"/>
    <n v="93"/>
    <s v="Seine-Saint-Denis"/>
    <x v="1"/>
    <s v="BTS - Services - Services et prestations des secteurs sanitaire et social"/>
    <x v="0"/>
    <n v="32"/>
    <n v="1451"/>
    <n v="30"/>
    <x v="2"/>
    <n v="45.34375"/>
    <n v="0.9375"/>
    <s v="Très forte"/>
  </r>
  <r>
    <s v="Lycée Francois Arago"/>
    <n v="94"/>
    <s v="Val-de-Marne"/>
    <x v="1"/>
    <s v="BTS - Services - Négociation et digitalisation de la Relation Client"/>
    <x v="0"/>
    <n v="35"/>
    <n v="1581"/>
    <n v="36"/>
    <x v="2"/>
    <n v="45.171428571428571"/>
    <n v="1.0285714285714285"/>
    <s v="Très forte"/>
  </r>
  <r>
    <s v="Lycée Roger Verlomme"/>
    <n v="75"/>
    <s v="Paris"/>
    <x v="1"/>
    <s v="BTS - Services - Gestion de la PME"/>
    <x v="0"/>
    <n v="24"/>
    <n v="1080"/>
    <n v="21"/>
    <x v="0"/>
    <n v="45"/>
    <n v="0.875"/>
    <s v="Très forte"/>
  </r>
  <r>
    <s v="Lycée Jean-Jacques Rousseau"/>
    <n v="95"/>
    <s v="Val-d'oise"/>
    <x v="1"/>
    <s v="BTS - Services - Commerce International"/>
    <x v="0"/>
    <n v="35"/>
    <n v="1569"/>
    <n v="34"/>
    <x v="1"/>
    <n v="44.828571428571429"/>
    <n v="0.97142857142857142"/>
    <s v="Très forte"/>
  </r>
  <r>
    <s v="Lycée Roger Verlomme"/>
    <n v="75"/>
    <s v="Paris"/>
    <x v="1"/>
    <s v="BTS - Services - Comptabilité et gestion"/>
    <x v="0"/>
    <n v="24"/>
    <n v="1072"/>
    <n v="21"/>
    <x v="0"/>
    <n v="44.666666666666664"/>
    <n v="0.875"/>
    <s v="Très forte"/>
  </r>
  <r>
    <s v="Lycée polyvalent de Cachan"/>
    <n v="94"/>
    <s v="Val-de-Marne"/>
    <x v="1"/>
    <s v="BTS - Production - Cybersécurité, Informatique et réseaux, ELectronique - Option B : Electronique et réseaux"/>
    <x v="0"/>
    <n v="24"/>
    <n v="1072"/>
    <n v="24"/>
    <x v="2"/>
    <n v="44.666666666666664"/>
    <n v="1"/>
    <s v="Très forte"/>
  </r>
  <r>
    <s v="Lycée Batiment-Saint-Lambert"/>
    <n v="75"/>
    <s v="Paris"/>
    <x v="1"/>
    <s v="BTS - Production - Bâtiment"/>
    <x v="0"/>
    <n v="30"/>
    <n v="1336"/>
    <n v="31"/>
    <x v="0"/>
    <n v="44.533333333333331"/>
    <n v="1.0333333333333334"/>
    <s v="Très forte"/>
  </r>
  <r>
    <s v="Lycée polyvalent de Cachan"/>
    <n v="94"/>
    <s v="Val-de-Marne"/>
    <x v="1"/>
    <s v="BTS - Services - Services informatiques aux organisations"/>
    <x v="0"/>
    <n v="60"/>
    <n v="2658"/>
    <n v="58"/>
    <x v="2"/>
    <n v="44.3"/>
    <n v="0.96666666666666667"/>
    <s v="Très forte"/>
  </r>
  <r>
    <s v="Lycée Eugène Delacroix"/>
    <n v="93"/>
    <s v="Seine-Saint-Denis"/>
    <x v="1"/>
    <s v="BTS - Services - Comptabilité et gestion"/>
    <x v="0"/>
    <n v="35"/>
    <n v="1531"/>
    <n v="34"/>
    <x v="2"/>
    <n v="43.74285714285714"/>
    <n v="0.97142857142857142"/>
    <s v="Très forte"/>
  </r>
  <r>
    <s v="Lycée F. Et N. Leger"/>
    <n v="95"/>
    <s v="Val-d'oise"/>
    <x v="1"/>
    <s v="BTS - Services - Services et prestations des secteurs sanitaire et social"/>
    <x v="0"/>
    <n v="30"/>
    <n v="1311"/>
    <n v="21"/>
    <x v="1"/>
    <n v="43.7"/>
    <n v="0.7"/>
    <s v="Très forte"/>
  </r>
  <r>
    <s v="Lycée Antoine de Saint Exupery"/>
    <n v="94"/>
    <s v="Val-de-Marne"/>
    <x v="1"/>
    <s v="BTS - Services - Management Commercial Opérationnel"/>
    <x v="0"/>
    <n v="37"/>
    <n v="1616"/>
    <n v="29"/>
    <x v="2"/>
    <n v="43.675675675675677"/>
    <n v="0.78378378378378377"/>
    <s v="Très forte"/>
  </r>
  <r>
    <s v="Ecole Nationale De Commerce"/>
    <n v="75"/>
    <s v="Paris"/>
    <x v="1"/>
    <s v="BTS - Services - Assurance"/>
    <x v="0"/>
    <n v="35"/>
    <n v="1520"/>
    <n v="34"/>
    <x v="0"/>
    <n v="43.428571428571431"/>
    <n v="0.97142857142857142"/>
    <s v="Très forte"/>
  </r>
  <r>
    <s v="Lycée Jacques Brel"/>
    <n v="93"/>
    <s v="Seine-Saint-Denis"/>
    <x v="1"/>
    <s v="BTS - Services - Communication"/>
    <x v="0"/>
    <n v="35"/>
    <n v="1517"/>
    <n v="23"/>
    <x v="2"/>
    <n v="43.342857142857142"/>
    <n v="0.65714285714285714"/>
    <s v="Très forte"/>
  </r>
  <r>
    <s v="Lycée Paul Eluard"/>
    <n v="93"/>
    <s v="Seine-Saint-Denis"/>
    <x v="1"/>
    <s v="BTS - Services - Management Commercial Opérationnel"/>
    <x v="0"/>
    <n v="35"/>
    <n v="1512"/>
    <n v="29"/>
    <x v="2"/>
    <n v="43.2"/>
    <n v="0.82857142857142863"/>
    <s v="Très forte"/>
  </r>
  <r>
    <s v="Lycée GUSTAVE EIFFEL"/>
    <n v="93"/>
    <s v="Seine-Saint-Denis"/>
    <x v="1"/>
    <s v="BTS - Production - Cybersécurité, Informatique et réseaux, ELectronique - Option B : Electronique et réseaux"/>
    <x v="0"/>
    <n v="12"/>
    <n v="518"/>
    <n v="11"/>
    <x v="2"/>
    <n v="43.166666666666664"/>
    <n v="0.91666666666666663"/>
    <s v="Très forte"/>
  </r>
  <r>
    <s v="Lycée Jean Lurcat"/>
    <n v="75"/>
    <s v="Paris"/>
    <x v="1"/>
    <s v="BTS - Services - Gestion des transports et logistique associée"/>
    <x v="0"/>
    <n v="35"/>
    <n v="1485"/>
    <n v="31"/>
    <x v="0"/>
    <n v="42.428571428571431"/>
    <n v="0.88571428571428568"/>
    <s v="Très forte"/>
  </r>
  <r>
    <s v="Lycée Paul Eluard"/>
    <n v="93"/>
    <s v="Seine-Saint-Denis"/>
    <x v="1"/>
    <s v="BTS - Services - Biologie médicale"/>
    <x v="0"/>
    <n v="45"/>
    <n v="1906"/>
    <n v="44"/>
    <x v="2"/>
    <n v="42.355555555555554"/>
    <n v="0.97777777777777775"/>
    <s v="Très forte"/>
  </r>
  <r>
    <s v="Lycée Parc de Vilgenis"/>
    <n v="91"/>
    <s v="Essonne"/>
    <x v="1"/>
    <s v="BTS - Services - Services informatiques aux organisations"/>
    <x v="0"/>
    <n v="70"/>
    <n v="2958"/>
    <n v="65"/>
    <x v="1"/>
    <n v="42.25714285714286"/>
    <n v="0.9285714285714286"/>
    <s v="Très forte"/>
  </r>
  <r>
    <s v="Lycée Condorcet"/>
    <n v="94"/>
    <s v="Val-de-Marne"/>
    <x v="1"/>
    <s v="BTS - Services - Management Commercial Opérationnel"/>
    <x v="0"/>
    <n v="35"/>
    <n v="1477"/>
    <n v="31"/>
    <x v="2"/>
    <n v="42.2"/>
    <n v="0.88571428571428568"/>
    <s v="Très forte"/>
  </r>
  <r>
    <s v="Lycée Jean-Pierre Vernant"/>
    <n v="92"/>
    <s v="Hauts-de-Seine"/>
    <x v="1"/>
    <s v="BTS - Services - Comptabilité et gestion"/>
    <x v="0"/>
    <n v="35"/>
    <n v="1470"/>
    <n v="28"/>
    <x v="2"/>
    <n v="42"/>
    <n v="0.8"/>
    <s v="Très forte"/>
  </r>
  <r>
    <s v="Lycée polyvalent Simone Veil"/>
    <n v="77"/>
    <s v="Seine-et-Marne"/>
    <x v="1"/>
    <s v="BTS - Services - Commerce International"/>
    <x v="0"/>
    <n v="35"/>
    <n v="1468"/>
    <n v="28"/>
    <x v="1"/>
    <n v="41.942857142857143"/>
    <n v="0.8"/>
    <s v="Très forte"/>
  </r>
  <r>
    <s v="Lycée Evariste Galois"/>
    <n v="93"/>
    <s v="Seine-Saint-Denis"/>
    <x v="1"/>
    <s v="BTS - Services - Métiers de l'audio-visuel opt : techn. d'ingeniérie et exploit. équipements"/>
    <x v="0"/>
    <n v="12"/>
    <n v="503"/>
    <n v="12"/>
    <x v="2"/>
    <n v="41.916666666666664"/>
    <n v="1"/>
    <s v="Très forte"/>
  </r>
  <r>
    <s v="Lycée Roger Verlomme"/>
    <n v="75"/>
    <s v="Paris"/>
    <x v="1"/>
    <s v="BTS - Services - Comptabilité et gestion"/>
    <x v="0"/>
    <n v="24"/>
    <n v="998"/>
    <n v="23"/>
    <x v="0"/>
    <n v="41.583333333333336"/>
    <n v="0.95833333333333337"/>
    <s v="Très forte"/>
  </r>
  <r>
    <s v="Lycée Eugène Delacroix"/>
    <n v="93"/>
    <s v="Seine-Saint-Denis"/>
    <x v="1"/>
    <s v="BTS - Services - Support à l'action managériale"/>
    <x v="0"/>
    <n v="35"/>
    <n v="1454"/>
    <n v="27"/>
    <x v="2"/>
    <n v="41.542857142857144"/>
    <n v="0.77142857142857146"/>
    <s v="Très forte"/>
  </r>
  <r>
    <s v="Lycée Marcelin Berthelot"/>
    <n v="94"/>
    <s v="Val-de-Marne"/>
    <x v="1"/>
    <s v="BTS - Services - Commerce International"/>
    <x v="0"/>
    <n v="70"/>
    <n v="2900"/>
    <n v="67"/>
    <x v="2"/>
    <n v="41.428571428571431"/>
    <n v="0.95714285714285718"/>
    <s v="Très forte"/>
  </r>
  <r>
    <s v="Lycée Paul Doumer"/>
    <n v="94"/>
    <s v="Val-de-Marne"/>
    <x v="1"/>
    <s v="BTS - Services - Management Commercial Opérationnel"/>
    <x v="0"/>
    <n v="35"/>
    <n v="1444"/>
    <n v="35"/>
    <x v="2"/>
    <n v="41.25714285714286"/>
    <n v="1"/>
    <s v="Très forte"/>
  </r>
  <r>
    <s v="Lycée Georges Pompidou/Michel Ange"/>
    <n v="92"/>
    <s v="Hauts-de-Seine"/>
    <x v="1"/>
    <s v="BTS - Services - Négociation et digitalisation de la Relation Client"/>
    <x v="0"/>
    <n v="38"/>
    <n v="1556"/>
    <n v="38"/>
    <x v="2"/>
    <n v="40.94736842105263"/>
    <n v="1"/>
    <s v="Très forte"/>
  </r>
  <r>
    <s v="Lycée Francois Villon"/>
    <n v="75"/>
    <s v="Paris"/>
    <x v="1"/>
    <s v="BTS - Services - Services et prestations des secteurs sanitaire et social"/>
    <x v="0"/>
    <n v="34"/>
    <n v="1390"/>
    <n v="33"/>
    <x v="0"/>
    <n v="40.882352941176471"/>
    <n v="0.97058823529411764"/>
    <s v="Très forte"/>
  </r>
  <r>
    <s v="Lycée Jean Baptiste Corot"/>
    <n v="91"/>
    <s v="Essonne"/>
    <x v="1"/>
    <s v="BTS - Services - Négociation et digitalisation de la Relation Client"/>
    <x v="0"/>
    <n v="36"/>
    <n v="1463"/>
    <n v="36"/>
    <x v="1"/>
    <n v="40.638888888888886"/>
    <n v="1"/>
    <s v="Très forte"/>
  </r>
  <r>
    <s v="Lycée Paul Langevin"/>
    <n v="92"/>
    <s v="Hauts-de-Seine"/>
    <x v="1"/>
    <s v="BTS - Services - Comptabilité et gestion"/>
    <x v="0"/>
    <n v="35"/>
    <n v="1418"/>
    <n v="26"/>
    <x v="2"/>
    <n v="40.514285714285712"/>
    <n v="0.74285714285714288"/>
    <s v="Très forte"/>
  </r>
  <r>
    <s v="Lycée Jean Renoir"/>
    <n v="93"/>
    <s v="Seine-Saint-Denis"/>
    <x v="1"/>
    <s v="BTS - Services - Comptabilité et gestion"/>
    <x v="0"/>
    <n v="35"/>
    <n v="1418"/>
    <n v="33"/>
    <x v="2"/>
    <n v="40.514285714285712"/>
    <n v="0.94285714285714284"/>
    <s v="Très forte"/>
  </r>
  <r>
    <s v="Lycée Leonard De Vinci"/>
    <n v="92"/>
    <s v="Hauts-de-Seine"/>
    <x v="1"/>
    <s v="BTS - Services - Gestion de la PME"/>
    <x v="0"/>
    <n v="32"/>
    <n v="1293"/>
    <n v="30"/>
    <x v="2"/>
    <n v="40.40625"/>
    <n v="0.9375"/>
    <s v="Très forte"/>
  </r>
  <r>
    <s v="Lycée Evariste Galois"/>
    <n v="78"/>
    <s v="Yvelines"/>
    <x v="1"/>
    <s v="BTS - Services - Négociation et digitalisation de la Relation Client"/>
    <x v="0"/>
    <n v="35"/>
    <n v="1412"/>
    <n v="36"/>
    <x v="1"/>
    <n v="40.342857142857142"/>
    <n v="1.0285714285714285"/>
    <s v="Très forte"/>
  </r>
  <r>
    <s v="Lycée Martin-Nadaud"/>
    <n v="75"/>
    <s v="Paris"/>
    <x v="1"/>
    <s v="BTS - Services - Gestion des transports et logistique associée"/>
    <x v="0"/>
    <n v="35"/>
    <n v="1407"/>
    <n v="33"/>
    <x v="0"/>
    <n v="40.200000000000003"/>
    <n v="0.94285714285714284"/>
    <s v="Très forte"/>
  </r>
  <r>
    <s v="Lycée Parc de Vilgenis"/>
    <n v="91"/>
    <s v="Essonne"/>
    <x v="1"/>
    <s v="BTS - Production - Cybersécurité, Informatique et réseaux, ELectronique - Option A : Informatique et réseaux"/>
    <x v="0"/>
    <n v="30"/>
    <n v="1200"/>
    <n v="33"/>
    <x v="1"/>
    <n v="40"/>
    <n v="1.1000000000000001"/>
    <s v="Très forte"/>
  </r>
  <r>
    <s v="Lycée Langevin-Wallon"/>
    <n v="94"/>
    <s v="Val-de-Marne"/>
    <x v="1"/>
    <s v="BTS - Services - Négociation et digitalisation de la Relation Client"/>
    <x v="0"/>
    <n v="35"/>
    <n v="1399"/>
    <n v="32"/>
    <x v="2"/>
    <n v="39.971428571428568"/>
    <n v="0.91428571428571426"/>
    <s v="Forte"/>
  </r>
  <r>
    <s v="Lycée Pablo Picasso"/>
    <n v="94"/>
    <s v="Val-de-Marne"/>
    <x v="1"/>
    <s v="BTS - Services - Comptabilité et gestion"/>
    <x v="0"/>
    <n v="35"/>
    <n v="1396"/>
    <n v="35"/>
    <x v="2"/>
    <n v="39.885714285714286"/>
    <n v="1"/>
    <s v="Forte"/>
  </r>
  <r>
    <s v="Lycée Jean Monnet"/>
    <n v="95"/>
    <s v="Val-d'oise"/>
    <x v="1"/>
    <s v="BTS - Services - Biologie médicale"/>
    <x v="0"/>
    <n v="30"/>
    <n v="1196"/>
    <n v="30"/>
    <x v="1"/>
    <n v="39.866666666666667"/>
    <n v="1"/>
    <s v="Forte"/>
  </r>
  <r>
    <s v="Lycée Hector Berlioz"/>
    <n v="94"/>
    <s v="Val-de-Marne"/>
    <x v="1"/>
    <s v="BTS - Services - Management Commercial Opérationnel"/>
    <x v="0"/>
    <n v="35"/>
    <n v="1395"/>
    <n v="34"/>
    <x v="2"/>
    <n v="39.857142857142854"/>
    <n v="0.97142857142857142"/>
    <s v="Forte"/>
  </r>
  <r>
    <s v="Lycée Edgar Quinet"/>
    <n v="75"/>
    <s v="Paris"/>
    <x v="1"/>
    <s v="BTS - Services - Support à l'action managériale"/>
    <x v="0"/>
    <n v="24"/>
    <n v="955"/>
    <n v="25"/>
    <x v="0"/>
    <n v="39.791666666666664"/>
    <n v="1.0416666666666667"/>
    <s v="Forte"/>
  </r>
  <r>
    <s v="Lycée Darius Milhaud"/>
    <n v="94"/>
    <s v="Val-de-Marne"/>
    <x v="1"/>
    <s v="BTS - Services - Management Commercial Opérationnel"/>
    <x v="0"/>
    <n v="35"/>
    <n v="1392"/>
    <n v="28"/>
    <x v="2"/>
    <n v="39.771428571428572"/>
    <n v="0.8"/>
    <s v="Forte"/>
  </r>
  <r>
    <s v="Lycée Marie Curie"/>
    <n v="78"/>
    <s v="Yvelines"/>
    <x v="1"/>
    <s v="BTS - Services - Comptabilité et gestion"/>
    <x v="0"/>
    <n v="35"/>
    <n v="1392"/>
    <n v="34"/>
    <x v="1"/>
    <n v="39.771428571428572"/>
    <n v="0.97142857142857142"/>
    <s v="Forte"/>
  </r>
  <r>
    <s v="Lycée Suger"/>
    <n v="93"/>
    <s v="Seine-Saint-Denis"/>
    <x v="1"/>
    <s v="BTS - Services - Métiers de l'audio-visuel opt : techn. d'ingeniérie et exploit. équipements"/>
    <x v="0"/>
    <n v="13"/>
    <n v="517"/>
    <n v="13"/>
    <x v="2"/>
    <n v="39.769230769230766"/>
    <n v="1"/>
    <s v="Forte"/>
  </r>
  <r>
    <s v="Ecole Nationale De Commerce"/>
    <n v="75"/>
    <s v="Paris"/>
    <x v="1"/>
    <s v="BTS - Services - Comptabilité et gestion"/>
    <x v="0"/>
    <n v="70"/>
    <n v="2783"/>
    <n v="70"/>
    <x v="0"/>
    <n v="39.75714285714286"/>
    <n v="1"/>
    <s v="Forte"/>
  </r>
  <r>
    <s v="Lycée Jean Lurcat"/>
    <n v="75"/>
    <s v="Paris"/>
    <x v="1"/>
    <s v="BTS - Services - Comptabilité et gestion"/>
    <x v="0"/>
    <n v="35"/>
    <n v="1387"/>
    <n v="35"/>
    <x v="0"/>
    <n v="39.628571428571426"/>
    <n v="1"/>
    <s v="Forte"/>
  </r>
  <r>
    <s v="Lycée Leonard De Vinci"/>
    <n v="77"/>
    <s v="Seine-et-Marne"/>
    <x v="1"/>
    <s v="BTS - Services - Négociation et digitalisation de la Relation Client"/>
    <x v="0"/>
    <n v="35"/>
    <n v="1386"/>
    <n v="33"/>
    <x v="1"/>
    <n v="39.6"/>
    <n v="0.94285714285714284"/>
    <s v="Forte"/>
  </r>
  <r>
    <s v="Lycée Van Gogh"/>
    <n v="95"/>
    <s v="Val-d'oise"/>
    <x v="1"/>
    <s v="BTS - Services - Négociation et digitalisation de la Relation Client"/>
    <x v="0"/>
    <n v="34"/>
    <n v="1346"/>
    <n v="31"/>
    <x v="1"/>
    <n v="39.588235294117645"/>
    <n v="0.91176470588235292"/>
    <s v="Forte"/>
  </r>
  <r>
    <s v="Lycée Langevin-Wallon"/>
    <n v="94"/>
    <s v="Val-de-Marne"/>
    <x v="1"/>
    <s v="BTS - Production - Cybersécurité, Informatique et réseaux, ELectronique - Option A : Informatique et réseaux"/>
    <x v="0"/>
    <n v="30"/>
    <n v="1185"/>
    <n v="26"/>
    <x v="2"/>
    <n v="39.5"/>
    <n v="0.8666666666666667"/>
    <s v="Forte"/>
  </r>
  <r>
    <s v="Lycée Galilée"/>
    <n v="95"/>
    <s v="Val-d'oise"/>
    <x v="1"/>
    <s v="BTS - Services - Communication"/>
    <x v="0"/>
    <n v="35"/>
    <n v="1379"/>
    <n v="32"/>
    <x v="1"/>
    <n v="39.4"/>
    <n v="0.91428571428571426"/>
    <s v="Forte"/>
  </r>
  <r>
    <s v="Lycée Pablo Picasso"/>
    <n v="94"/>
    <s v="Val-de-Marne"/>
    <x v="1"/>
    <s v="BTS - Services - Collaborateur juriste notarial"/>
    <x v="0"/>
    <n v="24"/>
    <n v="933"/>
    <n v="18"/>
    <x v="2"/>
    <n v="38.875"/>
    <n v="0.75"/>
    <s v="Forte"/>
  </r>
  <r>
    <s v="Lycée Santos Dumont"/>
    <n v="92"/>
    <s v="Hauts-de-Seine"/>
    <x v="1"/>
    <s v="BTS - Services - Négociation et digitalisation de la Relation Client"/>
    <x v="0"/>
    <n v="55"/>
    <n v="2136"/>
    <n v="51"/>
    <x v="2"/>
    <n v="38.836363636363636"/>
    <n v="0.92727272727272725"/>
    <s v="Forte"/>
  </r>
  <r>
    <s v="Lycée Jean-Baptiste Poquelin"/>
    <n v="78"/>
    <s v="Yvelines"/>
    <x v="1"/>
    <s v="BTS - Services - Comptabilité et gestion"/>
    <x v="0"/>
    <n v="35"/>
    <n v="1355"/>
    <n v="31"/>
    <x v="1"/>
    <n v="38.714285714285715"/>
    <n v="0.88571428571428568"/>
    <s v="Forte"/>
  </r>
  <r>
    <s v="Lycée Jean Zay"/>
    <n v="93"/>
    <s v="Seine-Saint-Denis"/>
    <x v="1"/>
    <s v="BTS - Services - Communication"/>
    <x v="0"/>
    <n v="35"/>
    <n v="1352"/>
    <n v="32"/>
    <x v="2"/>
    <n v="38.628571428571426"/>
    <n v="0.91428571428571426"/>
    <s v="Forte"/>
  </r>
  <r>
    <s v="IPAG Business School - Campus de Paris"/>
    <n v="75"/>
    <s v="Paris"/>
    <x v="1"/>
    <s v="BTS - Services - Commerce International"/>
    <x v="0"/>
    <n v="30"/>
    <n v="1158"/>
    <n v="30"/>
    <x v="0"/>
    <n v="38.6"/>
    <n v="1"/>
    <s v="Forte"/>
  </r>
  <r>
    <s v="Lycée professionnel Florian"/>
    <n v="92"/>
    <s v="Hauts-de-Seine"/>
    <x v="1"/>
    <s v="BTS - Services - Métiers de l'esthétique-cosmétique-parfumerie"/>
    <x v="0"/>
    <n v="16"/>
    <n v="615"/>
    <n v="17"/>
    <x v="2"/>
    <n v="38.4375"/>
    <n v="1.0625"/>
    <s v="Forte"/>
  </r>
  <r>
    <s v="Lycée Jean Baptiste Corot"/>
    <n v="91"/>
    <s v="Essonne"/>
    <x v="1"/>
    <s v="BTS - Services - Management Commercial Opérationnel"/>
    <x v="0"/>
    <n v="36"/>
    <n v="1368"/>
    <n v="36"/>
    <x v="1"/>
    <n v="38"/>
    <n v="1"/>
    <s v="Forte"/>
  </r>
  <r>
    <s v="Lycée Jacques Prevert"/>
    <n v="92"/>
    <s v="Hauts-de-Seine"/>
    <x v="1"/>
    <s v="BTS - Services - Métiers de l'audio-visuel opt : techn. d'ingeniérie et exploit. équipements"/>
    <x v="0"/>
    <n v="12"/>
    <n v="454"/>
    <n v="11"/>
    <x v="2"/>
    <n v="37.833333333333336"/>
    <n v="0.91666666666666663"/>
    <s v="Forte"/>
  </r>
  <r>
    <s v="Lycée Louis Jouvet"/>
    <n v="95"/>
    <s v="Val-d'oise"/>
    <x v="1"/>
    <s v="BTS - Production - Cybersécurité, Informatique et réseaux, ELectronique - Option A : Informatique et réseaux"/>
    <x v="0"/>
    <n v="30"/>
    <n v="1134"/>
    <n v="30"/>
    <x v="1"/>
    <n v="37.799999999999997"/>
    <n v="1"/>
    <s v="Forte"/>
  </r>
  <r>
    <s v="Lycée Jules SIEGFRIED"/>
    <n v="75"/>
    <s v="Paris"/>
    <x v="1"/>
    <s v="BTS - Services - Comptabilité et gestion"/>
    <x v="0"/>
    <n v="35"/>
    <n v="1318"/>
    <n v="36"/>
    <x v="0"/>
    <n v="37.657142857142858"/>
    <n v="1.0285714285714285"/>
    <s v="Forte"/>
  </r>
  <r>
    <s v="Lycée polyvalent De Prony"/>
    <n v="92"/>
    <s v="Hauts-de-Seine"/>
    <x v="1"/>
    <s v="BTS - Production - Etude et réalisation d'agencement"/>
    <x v="0"/>
    <n v="30"/>
    <n v="1128"/>
    <n v="29"/>
    <x v="2"/>
    <n v="37.6"/>
    <n v="0.96666666666666667"/>
    <s v="Forte"/>
  </r>
  <r>
    <s v="Lycée Paul Langevin"/>
    <n v="91"/>
    <s v="Essonne"/>
    <x v="1"/>
    <s v="BTS - Services - Négociation et digitalisation de la Relation Client"/>
    <x v="0"/>
    <n v="33"/>
    <n v="1236"/>
    <n v="33"/>
    <x v="1"/>
    <n v="37.454545454545453"/>
    <n v="1"/>
    <s v="Forte"/>
  </r>
  <r>
    <s v="Lycée Pierre-Gilles de Gennes - ENCPB"/>
    <n v="75"/>
    <s v="Paris"/>
    <x v="1"/>
    <s v="BTS - Production - Biotechnologie en recherche et en production"/>
    <x v="0"/>
    <n v="30"/>
    <n v="1119"/>
    <n v="31"/>
    <x v="0"/>
    <n v="37.299999999999997"/>
    <n v="1.0333333333333334"/>
    <s v="Forte"/>
  </r>
  <r>
    <s v="Lycée Albert Schweitzer"/>
    <n v="93"/>
    <s v="Seine-Saint-Denis"/>
    <x v="1"/>
    <s v="BTS - Services - Banque"/>
    <x v="0"/>
    <n v="35"/>
    <n v="1305"/>
    <n v="34"/>
    <x v="2"/>
    <n v="37.285714285714285"/>
    <n v="0.97142857142857142"/>
    <s v="Forte"/>
  </r>
  <r>
    <s v="Lycée Voillaume"/>
    <n v="93"/>
    <s v="Seine-Saint-Denis"/>
    <x v="1"/>
    <s v="BTS - Services - Gestion de la PME"/>
    <x v="0"/>
    <n v="35"/>
    <n v="1303"/>
    <n v="33"/>
    <x v="2"/>
    <n v="37.228571428571428"/>
    <n v="0.94285714285714284"/>
    <s v="Forte"/>
  </r>
  <r>
    <s v="Lycée Joliot-Curie"/>
    <n v="92"/>
    <s v="Hauts-de-Seine"/>
    <x v="1"/>
    <s v="BTS - Services - Support à l'action managériale"/>
    <x v="0"/>
    <n v="24"/>
    <n v="887"/>
    <n v="24"/>
    <x v="2"/>
    <n v="36.958333333333336"/>
    <n v="1"/>
    <s v="Forte"/>
  </r>
  <r>
    <s v="Lycée Elisa Lemonnier"/>
    <n v="75"/>
    <s v="Paris"/>
    <x v="1"/>
    <s v="BTS - Production - Métiers de la mode-vêtements"/>
    <x v="0"/>
    <n v="60"/>
    <n v="2184"/>
    <n v="56"/>
    <x v="0"/>
    <n v="36.4"/>
    <n v="0.93333333333333335"/>
    <s v="Forte"/>
  </r>
  <r>
    <s v="Lycée Fragonard"/>
    <n v="95"/>
    <s v="Val-d'oise"/>
    <x v="1"/>
    <s v="BTS - Services - Commerce International"/>
    <x v="0"/>
    <n v="35"/>
    <n v="1272"/>
    <n v="33"/>
    <x v="1"/>
    <n v="36.342857142857142"/>
    <n v="0.94285714285714284"/>
    <s v="Forte"/>
  </r>
  <r>
    <s v="Lycée Galilee"/>
    <n v="77"/>
    <s v="Seine-et-Marne"/>
    <x v="1"/>
    <s v="BTS - Services - Commerce International"/>
    <x v="0"/>
    <n v="35"/>
    <n v="1258"/>
    <n v="30"/>
    <x v="1"/>
    <n v="35.942857142857143"/>
    <n v="0.8571428571428571"/>
    <s v="Forte"/>
  </r>
  <r>
    <s v="Lycée Gaston BACHELARD"/>
    <n v="77"/>
    <s v="Seine-et-Marne"/>
    <x v="1"/>
    <s v="BTS - Production - Cybersécurité, Informatique et réseaux, ELectronique - Option A : Informatique et réseaux"/>
    <x v="0"/>
    <n v="24"/>
    <n v="852"/>
    <n v="22"/>
    <x v="1"/>
    <n v="35.5"/>
    <n v="0.91666666666666663"/>
    <s v="Forte"/>
  </r>
  <r>
    <s v="Lycée Maurice Utrillo"/>
    <n v="93"/>
    <s v="Seine-Saint-Denis"/>
    <x v="1"/>
    <s v="BTS - Services - Management Commercial Opérationnel"/>
    <x v="0"/>
    <n v="35"/>
    <n v="1241"/>
    <n v="27"/>
    <x v="2"/>
    <n v="35.457142857142856"/>
    <n v="0.77142857142857146"/>
    <s v="Forte"/>
  </r>
  <r>
    <s v="Lycée Guy De Maupassant"/>
    <n v="92"/>
    <s v="Hauts-de-Seine"/>
    <x v="1"/>
    <s v="BTS - Services - Management Commercial Opérationnel"/>
    <x v="0"/>
    <n v="36"/>
    <n v="1276"/>
    <n v="36"/>
    <x v="2"/>
    <n v="35.444444444444443"/>
    <n v="1"/>
    <s v="Forte"/>
  </r>
  <r>
    <s v="Lycée Champlain"/>
    <n v="94"/>
    <s v="Val-de-Marne"/>
    <x v="1"/>
    <s v="BTS - Services - Gestion de la PME"/>
    <x v="0"/>
    <n v="35"/>
    <n v="1239"/>
    <n v="35"/>
    <x v="2"/>
    <n v="35.4"/>
    <n v="1"/>
    <s v="Forte"/>
  </r>
  <r>
    <s v="Lycée Diderot"/>
    <n v="75"/>
    <s v="Paris"/>
    <x v="1"/>
    <s v="BTS - Production - Conception et Réalisation de Systèmes Automatiques"/>
    <x v="0"/>
    <n v="15"/>
    <n v="531"/>
    <n v="14"/>
    <x v="0"/>
    <n v="35.4"/>
    <n v="0.93333333333333335"/>
    <s v="Forte"/>
  </r>
  <r>
    <s v="Ecole Française Hôtesses Tourisme"/>
    <n v="75"/>
    <s v="Paris"/>
    <x v="1"/>
    <s v="BTS - Services - Tourisme"/>
    <x v="0"/>
    <n v="15"/>
    <n v="529"/>
    <n v="7"/>
    <x v="0"/>
    <n v="35.266666666666666"/>
    <n v="0.46666666666666667"/>
    <s v="Forte"/>
  </r>
  <r>
    <s v="Lycée Paul Langevin"/>
    <n v="92"/>
    <s v="Hauts-de-Seine"/>
    <x v="1"/>
    <s v="BTS - Services - Banque"/>
    <x v="0"/>
    <n v="35"/>
    <n v="1230"/>
    <n v="25"/>
    <x v="2"/>
    <n v="35.142857142857146"/>
    <n v="0.7142857142857143"/>
    <s v="Forte"/>
  </r>
  <r>
    <s v="Lycée polyvalent Louise Michel"/>
    <n v="92"/>
    <s v="Hauts-de-Seine"/>
    <x v="1"/>
    <s v="BTS - Production - Métiers de la mode-vêtements"/>
    <x v="0"/>
    <n v="28"/>
    <n v="967"/>
    <n v="27"/>
    <x v="2"/>
    <n v="34.535714285714285"/>
    <n v="0.9642857142857143"/>
    <s v="Forte"/>
  </r>
  <r>
    <s v="Lycée Jean-Jacques Rousseau"/>
    <n v="95"/>
    <s v="Val-d'oise"/>
    <x v="1"/>
    <s v="BTS - Services - Services informatiques aux organisations"/>
    <x v="0"/>
    <n v="35"/>
    <n v="1203"/>
    <n v="33"/>
    <x v="1"/>
    <n v="34.371428571428574"/>
    <n v="0.94285714285714284"/>
    <s v="Forte"/>
  </r>
  <r>
    <s v="Lycée Olympe De Gouges"/>
    <n v="93"/>
    <s v="Seine-Saint-Denis"/>
    <x v="1"/>
    <s v="BTS - Services - Gestion de la PME"/>
    <x v="0"/>
    <n v="35"/>
    <n v="1197"/>
    <n v="29"/>
    <x v="2"/>
    <n v="34.200000000000003"/>
    <n v="0.82857142857142863"/>
    <s v="Forte"/>
  </r>
  <r>
    <s v="Lycée Julie-Victoire Daubié"/>
    <n v="95"/>
    <s v="Val-d'oise"/>
    <x v="1"/>
    <s v="BTS - Services - Gestion de la PME"/>
    <x v="0"/>
    <n v="33"/>
    <n v="1128"/>
    <n v="32"/>
    <x v="1"/>
    <n v="34.18181818181818"/>
    <n v="0.96969696969696972"/>
    <s v="Forte"/>
  </r>
  <r>
    <s v="Lycée Maurice Genevoix"/>
    <n v="92"/>
    <s v="Hauts-de-Seine"/>
    <x v="1"/>
    <s v="BTS - Services - Professions immobilières"/>
    <x v="0"/>
    <n v="32"/>
    <n v="1090"/>
    <n v="29"/>
    <x v="2"/>
    <n v="34.0625"/>
    <n v="0.90625"/>
    <s v="Forte"/>
  </r>
  <r>
    <s v="Lycée Camille Saint-Saens"/>
    <n v="95"/>
    <s v="Val-d'oise"/>
    <x v="1"/>
    <s v="BTS - Services - Négociation et digitalisation de la Relation Client"/>
    <x v="0"/>
    <n v="35"/>
    <n v="1192"/>
    <n v="24"/>
    <x v="1"/>
    <n v="34.057142857142857"/>
    <n v="0.68571428571428572"/>
    <s v="Forte"/>
  </r>
  <r>
    <s v="Lycée Henri Wallon"/>
    <n v="93"/>
    <s v="Seine-Saint-Denis"/>
    <x v="1"/>
    <s v="BTS - Services - Management Commercial Opérationnel"/>
    <x v="0"/>
    <n v="35"/>
    <n v="1191"/>
    <n v="31"/>
    <x v="2"/>
    <n v="34.028571428571432"/>
    <n v="0.88571428571428568"/>
    <s v="Forte"/>
  </r>
  <r>
    <s v="Lycée Guillaume Apollinaire"/>
    <n v="94"/>
    <s v="Val-de-Marne"/>
    <x v="1"/>
    <s v="BTS - Services - Gestion de la PME"/>
    <x v="0"/>
    <n v="35"/>
    <n v="1183"/>
    <n v="35"/>
    <x v="2"/>
    <n v="33.799999999999997"/>
    <n v="1"/>
    <s v="Forte"/>
  </r>
  <r>
    <s v="Lycée Jean Jaures"/>
    <n v="95"/>
    <s v="Val-d'oise"/>
    <x v="1"/>
    <s v="BTS - Production - Cybersécurité, Informatique et réseaux, ELectronique - Option B : Electronique et réseaux"/>
    <x v="0"/>
    <n v="30"/>
    <n v="1014"/>
    <n v="30"/>
    <x v="1"/>
    <n v="33.799999999999997"/>
    <n v="1"/>
    <s v="Forte"/>
  </r>
  <r>
    <s v="Lycée Joliot-Curie"/>
    <n v="92"/>
    <s v="Hauts-de-Seine"/>
    <x v="1"/>
    <s v="BTS - Services - Economie sociale familiale"/>
    <x v="0"/>
    <n v="30"/>
    <n v="1012"/>
    <n v="29"/>
    <x v="2"/>
    <n v="33.733333333333334"/>
    <n v="0.96666666666666667"/>
    <s v="Forte"/>
  </r>
  <r>
    <s v="Lycée Darius Milhaud"/>
    <n v="94"/>
    <s v="Val-de-Marne"/>
    <x v="1"/>
    <s v="BTS - Services - Services et prestations des secteurs sanitaire et social"/>
    <x v="0"/>
    <n v="30"/>
    <n v="1009"/>
    <n v="22"/>
    <x v="2"/>
    <n v="33.633333333333333"/>
    <n v="0.73333333333333328"/>
    <s v="Forte"/>
  </r>
  <r>
    <s v="Lycée professionnel Paul Bert"/>
    <n v="94"/>
    <s v="Val-de-Marne"/>
    <x v="1"/>
    <s v="BTS - Services - Gestion de la PME"/>
    <x v="0"/>
    <n v="30"/>
    <n v="1003"/>
    <n v="26"/>
    <x v="2"/>
    <n v="33.43333333333333"/>
    <n v="0.8666666666666667"/>
    <s v="Forte"/>
  </r>
  <r>
    <s v="Lycée Parc de Vilgenis"/>
    <n v="91"/>
    <s v="Essonne"/>
    <x v="1"/>
    <s v="BTS - Services - Banque"/>
    <x v="0"/>
    <n v="35"/>
    <n v="1170"/>
    <n v="35"/>
    <x v="1"/>
    <n v="33.428571428571431"/>
    <n v="1"/>
    <s v="Forte"/>
  </r>
  <r>
    <s v="Lycée Hector Berlioz"/>
    <n v="94"/>
    <s v="Val-de-Marne"/>
    <x v="1"/>
    <s v="BTS - Services - Assurance"/>
    <x v="0"/>
    <n v="24"/>
    <n v="798"/>
    <n v="26"/>
    <x v="2"/>
    <n v="33.25"/>
    <n v="1.0833333333333333"/>
    <s v="Forte"/>
  </r>
  <r>
    <s v="Lycée Francois Villon"/>
    <n v="75"/>
    <s v="Paris"/>
    <x v="1"/>
    <s v="BTS - Services - Economie sociale familiale"/>
    <x v="0"/>
    <n v="34"/>
    <n v="1129"/>
    <n v="32"/>
    <x v="0"/>
    <n v="33.205882352941174"/>
    <n v="0.94117647058823528"/>
    <s v="Forte"/>
  </r>
  <r>
    <s v="Lycée Langevin-Wallon"/>
    <n v="94"/>
    <s v="Val-de-Marne"/>
    <x v="1"/>
    <s v="BTS - Services - Comptabilité et gestion"/>
    <x v="0"/>
    <n v="35"/>
    <n v="1160"/>
    <n v="30"/>
    <x v="2"/>
    <n v="33.142857142857146"/>
    <n v="0.8571428571428571"/>
    <s v="Forte"/>
  </r>
  <r>
    <s v="Lycée Leonard De Vinci"/>
    <n v="77"/>
    <s v="Seine-et-Marne"/>
    <x v="1"/>
    <s v="BTS - Services - Comptabilité et gestion"/>
    <x v="0"/>
    <n v="24"/>
    <n v="794"/>
    <n v="24"/>
    <x v="1"/>
    <n v="33.083333333333336"/>
    <n v="1"/>
    <s v="Forte"/>
  </r>
  <r>
    <s v="Ecole Nationale De Commerce"/>
    <n v="75"/>
    <s v="Paris"/>
    <x v="1"/>
    <s v="BTS - Services - Support à l'action managériale"/>
    <x v="0"/>
    <n v="70"/>
    <n v="2313"/>
    <n v="69"/>
    <x v="0"/>
    <n v="33.042857142857144"/>
    <n v="0.98571428571428577"/>
    <s v="Forte"/>
  </r>
  <r>
    <s v="Lycée Christophe Colomb"/>
    <n v="94"/>
    <s v="Val-de-Marne"/>
    <x v="1"/>
    <s v="BTS - Production - Cybersécurité, Informatique et réseaux, ELectronique - Option A : Informatique et réseaux"/>
    <x v="0"/>
    <n v="24"/>
    <n v="787"/>
    <n v="22"/>
    <x v="2"/>
    <n v="32.791666666666664"/>
    <n v="0.91666666666666663"/>
    <s v="Forte"/>
  </r>
  <r>
    <s v="Lycée Antoine de Saint Exupery"/>
    <n v="94"/>
    <s v="Val-de-Marne"/>
    <x v="1"/>
    <s v="BTS - Services - Gestion de la PME"/>
    <x v="0"/>
    <n v="35"/>
    <n v="1146"/>
    <n v="26"/>
    <x v="2"/>
    <n v="32.74285714285714"/>
    <n v="0.74285714285714288"/>
    <s v="Forte"/>
  </r>
  <r>
    <s v="Lycée Jean Lurcat"/>
    <n v="75"/>
    <s v="Paris"/>
    <x v="1"/>
    <s v="BTS - Services - Assurance"/>
    <x v="0"/>
    <n v="35"/>
    <n v="1145"/>
    <n v="34"/>
    <x v="0"/>
    <n v="32.714285714285715"/>
    <n v="0.97142857142857142"/>
    <s v="Forte"/>
  </r>
  <r>
    <s v="Lycée Jean Mace"/>
    <n v="94"/>
    <s v="Val-de-Marne"/>
    <x v="1"/>
    <s v="BTS - Services - Management Commercial Opérationnel"/>
    <x v="0"/>
    <n v="35"/>
    <n v="1143"/>
    <n v="32"/>
    <x v="2"/>
    <n v="32.657142857142858"/>
    <n v="0.91428571428571426"/>
    <s v="Forte"/>
  </r>
  <r>
    <s v="Lycée Honore De Balzac"/>
    <n v="77"/>
    <s v="Seine-et-Marne"/>
    <x v="1"/>
    <s v="BTS - Services - Commerce International"/>
    <x v="0"/>
    <n v="24"/>
    <n v="781"/>
    <n v="24"/>
    <x v="1"/>
    <n v="32.541666666666664"/>
    <n v="1"/>
    <s v="Forte"/>
  </r>
  <r>
    <s v="Lycée Jean Moulin"/>
    <n v="77"/>
    <s v="Seine-et-Marne"/>
    <x v="1"/>
    <s v="BTS - Services - Management Commercial Opérationnel"/>
    <x v="0"/>
    <n v="35"/>
    <n v="1136"/>
    <n v="35"/>
    <x v="1"/>
    <n v="32.457142857142856"/>
    <n v="1"/>
    <s v="Forte"/>
  </r>
  <r>
    <s v="Lycée Marie Curie"/>
    <n v="78"/>
    <s v="Yvelines"/>
    <x v="1"/>
    <s v="BTS - Services - Négociation et digitalisation de la Relation Client"/>
    <x v="0"/>
    <n v="35"/>
    <n v="1130"/>
    <n v="26"/>
    <x v="1"/>
    <n v="32.285714285714285"/>
    <n v="0.74285714285714288"/>
    <s v="Forte"/>
  </r>
  <r>
    <s v="Lycée Clemenceau"/>
    <n v="93"/>
    <s v="Seine-Saint-Denis"/>
    <x v="1"/>
    <s v="BTS - Services - Management Commercial Opérationnel"/>
    <x v="0"/>
    <n v="35"/>
    <n v="1127"/>
    <n v="35"/>
    <x v="2"/>
    <n v="32.200000000000003"/>
    <n v="1"/>
    <s v="Forte"/>
  </r>
  <r>
    <s v="Lycée Auffray"/>
    <n v="92"/>
    <s v="Hauts-de-Seine"/>
    <x v="1"/>
    <s v="BTS - Services - Tourisme"/>
    <x v="0"/>
    <n v="90"/>
    <n v="2892"/>
    <n v="88"/>
    <x v="2"/>
    <n v="32.133333333333333"/>
    <n v="0.97777777777777775"/>
    <s v="Forte"/>
  </r>
  <r>
    <s v="Lycée Leonard De Vinci"/>
    <n v="77"/>
    <s v="Seine-et-Marne"/>
    <x v="1"/>
    <s v="BTS - Services - Gestion de la PME"/>
    <x v="0"/>
    <n v="24"/>
    <n v="770"/>
    <n v="24"/>
    <x v="1"/>
    <n v="32.083333333333336"/>
    <n v="1"/>
    <s v="Forte"/>
  </r>
  <r>
    <s v="Lycée polyvalent Rosa Parks"/>
    <n v="93"/>
    <s v="Seine-Saint-Denis"/>
    <x v="1"/>
    <s v="BTS - Services - Economie sociale familiale"/>
    <x v="0"/>
    <n v="35"/>
    <n v="1121"/>
    <n v="29"/>
    <x v="2"/>
    <n v="32.028571428571432"/>
    <n v="0.82857142857142863"/>
    <s v="Forte"/>
  </r>
  <r>
    <s v="Lycée Champlain"/>
    <n v="94"/>
    <s v="Val-de-Marne"/>
    <x v="1"/>
    <s v="BTS - Services - Communication"/>
    <x v="0"/>
    <n v="40"/>
    <n v="1271"/>
    <n v="36"/>
    <x v="2"/>
    <n v="31.774999999999999"/>
    <n v="0.9"/>
    <s v="Forte"/>
  </r>
  <r>
    <s v="Lycée Robert Doisneau"/>
    <n v="91"/>
    <s v="Essonne"/>
    <x v="1"/>
    <s v="BTS - Services - Professions immobilières"/>
    <x v="0"/>
    <n v="34"/>
    <n v="1079"/>
    <n v="31"/>
    <x v="1"/>
    <n v="31.735294117647058"/>
    <n v="0.91176470588235292"/>
    <s v="Forte"/>
  </r>
  <r>
    <s v="Lycée Gaston BACHELARD"/>
    <n v="77"/>
    <s v="Seine-et-Marne"/>
    <x v="1"/>
    <s v="BTS - Services - Comptabilité et gestion"/>
    <x v="0"/>
    <n v="35"/>
    <n v="1110"/>
    <n v="27"/>
    <x v="1"/>
    <n v="31.714285714285715"/>
    <n v="0.77142857142857146"/>
    <s v="Forte"/>
  </r>
  <r>
    <s v="Lycée Henri Bergson-Jacquard"/>
    <n v="75"/>
    <s v="Paris"/>
    <x v="1"/>
    <s v="BTS - Production - Electrotechnique"/>
    <x v="0"/>
    <n v="24"/>
    <n v="761"/>
    <n v="25"/>
    <x v="0"/>
    <n v="31.708333333333332"/>
    <n v="1.0416666666666667"/>
    <s v="Forte"/>
  </r>
  <r>
    <s v="Lycée Edouard Branly"/>
    <n v="94"/>
    <s v="Val-de-Marne"/>
    <x v="1"/>
    <s v="BTS - Production - Electrotechnique"/>
    <x v="0"/>
    <n v="24"/>
    <n v="760"/>
    <n v="25"/>
    <x v="2"/>
    <n v="31.666666666666668"/>
    <n v="1.0416666666666667"/>
    <s v="Forte"/>
  </r>
  <r>
    <s v="Lycée Eugène Delacroix"/>
    <n v="93"/>
    <s v="Seine-Saint-Denis"/>
    <x v="1"/>
    <s v="BTS - Services - Management Commercial Opérationnel"/>
    <x v="0"/>
    <n v="35"/>
    <n v="1106"/>
    <n v="34"/>
    <x v="2"/>
    <n v="31.6"/>
    <n v="0.97142857142857142"/>
    <s v="Forte"/>
  </r>
  <r>
    <s v="Lycée Guillaume Apollinaire"/>
    <n v="94"/>
    <s v="Val-de-Marne"/>
    <x v="1"/>
    <s v="BTS - Services - Management Commercial Opérationnel"/>
    <x v="0"/>
    <n v="35"/>
    <n v="1106"/>
    <n v="35"/>
    <x v="2"/>
    <n v="31.6"/>
    <n v="1"/>
    <s v="Forte"/>
  </r>
  <r>
    <s v="Lycée Joliot Curie"/>
    <n v="77"/>
    <s v="Seine-et-Marne"/>
    <x v="1"/>
    <s v="BTS - Services - Commerce International"/>
    <x v="0"/>
    <n v="35"/>
    <n v="1105"/>
    <n v="33"/>
    <x v="1"/>
    <n v="31.571428571428573"/>
    <n v="0.94285714285714284"/>
    <s v="Forte"/>
  </r>
  <r>
    <s v="Lycée GUSTAVE EIFFEL"/>
    <n v="93"/>
    <s v="Seine-Saint-Denis"/>
    <x v="1"/>
    <s v="BTS - Production - Etude et réalisation d'agencement"/>
    <x v="0"/>
    <n v="30"/>
    <n v="946"/>
    <n v="30"/>
    <x v="2"/>
    <n v="31.533333333333335"/>
    <n v="1"/>
    <s v="Forte"/>
  </r>
  <r>
    <s v="Lycée Parc de Vilgenis"/>
    <n v="91"/>
    <s v="Essonne"/>
    <x v="1"/>
    <s v="BTS - Services - Comptabilité et gestion"/>
    <x v="0"/>
    <n v="35"/>
    <n v="1103"/>
    <n v="34"/>
    <x v="1"/>
    <n v="31.514285714285716"/>
    <n v="0.97142857142857142"/>
    <s v="Forte"/>
  </r>
  <r>
    <s v="Lycée Diderot"/>
    <n v="75"/>
    <s v="Paris"/>
    <x v="1"/>
    <s v="BTS - Production - Electrotechnique"/>
    <x v="0"/>
    <n v="24"/>
    <n v="756"/>
    <n v="20"/>
    <x v="0"/>
    <n v="31.5"/>
    <n v="0.83333333333333337"/>
    <s v="Forte"/>
  </r>
  <r>
    <s v="Lycée polyvalent de Cachan"/>
    <n v="94"/>
    <s v="Val-de-Marne"/>
    <x v="1"/>
    <s v="BTS - Services - Banque"/>
    <x v="0"/>
    <n v="35"/>
    <n v="1101"/>
    <n v="35"/>
    <x v="2"/>
    <n v="31.457142857142856"/>
    <n v="1"/>
    <s v="Forte"/>
  </r>
  <r>
    <s v="Lycée Marie Curie"/>
    <n v="78"/>
    <s v="Yvelines"/>
    <x v="1"/>
    <s v="BTS - Services - Biologie médicale"/>
    <x v="0"/>
    <n v="60"/>
    <n v="1867"/>
    <n v="59"/>
    <x v="1"/>
    <n v="31.116666666666667"/>
    <n v="0.98333333333333328"/>
    <s v="Forte"/>
  </r>
  <r>
    <s v="Lycée Elisa Lemonnier"/>
    <n v="75"/>
    <s v="Paris"/>
    <x v="1"/>
    <s v="BTS - Services - Métiers de l'esthétique-cosmétique-parfumerie"/>
    <x v="0"/>
    <n v="48"/>
    <n v="1488"/>
    <n v="47"/>
    <x v="0"/>
    <n v="31"/>
    <n v="0.97916666666666663"/>
    <s v="Forte"/>
  </r>
  <r>
    <s v="Lycée Camille Saint-Saens"/>
    <n v="95"/>
    <s v="Val-d'oise"/>
    <x v="1"/>
    <s v="BTS - Services - Banque"/>
    <x v="0"/>
    <n v="35"/>
    <n v="1084"/>
    <n v="35"/>
    <x v="1"/>
    <n v="30.971428571428572"/>
    <n v="1"/>
    <s v="Forte"/>
  </r>
  <r>
    <s v="Lycée Pierre-Gilles de Gennes - ENCPB"/>
    <n v="75"/>
    <s v="Paris"/>
    <x v="1"/>
    <s v="BTS - Production - Bioanalyses en laboratoire de contrôle"/>
    <x v="0"/>
    <n v="60"/>
    <n v="1847"/>
    <n v="63"/>
    <x v="0"/>
    <n v="30.783333333333335"/>
    <n v="1.05"/>
    <s v="Forte"/>
  </r>
  <r>
    <s v="Lycée ROSA PARKS"/>
    <n v="91"/>
    <s v="Essonne"/>
    <x v="1"/>
    <s v="BTS - Services - Gestion de la PME"/>
    <x v="0"/>
    <n v="35"/>
    <n v="1077"/>
    <n v="33"/>
    <x v="1"/>
    <n v="30.771428571428572"/>
    <n v="0.94285714285714284"/>
    <s v="Forte"/>
  </r>
  <r>
    <s v="EREA Toulouse Lautrec"/>
    <n v="92"/>
    <s v="Hauts-de-Seine"/>
    <x v="1"/>
    <s v="BTS - Services - Collaborateur juriste notarial"/>
    <x v="0"/>
    <n v="16"/>
    <n v="492"/>
    <n v="10"/>
    <x v="2"/>
    <n v="30.75"/>
    <n v="0.625"/>
    <s v="Forte"/>
  </r>
  <r>
    <s v="Lycée Leonard De Vinci"/>
    <n v="77"/>
    <s v="Seine-et-Marne"/>
    <x v="1"/>
    <s v="BTS - Services - Management Commercial Opérationnel"/>
    <x v="0"/>
    <n v="35"/>
    <n v="1075"/>
    <n v="33"/>
    <x v="1"/>
    <n v="30.714285714285715"/>
    <n v="0.94285714285714284"/>
    <s v="Forte"/>
  </r>
  <r>
    <s v="Lycée Jacques Feyder"/>
    <n v="93"/>
    <s v="Seine-Saint-Denis"/>
    <x v="1"/>
    <s v="BTS - Services - Support à l'action managériale"/>
    <x v="0"/>
    <n v="24"/>
    <n v="733"/>
    <n v="24"/>
    <x v="2"/>
    <n v="30.541666666666668"/>
    <n v="1"/>
    <s v="Forte"/>
  </r>
  <r>
    <s v="Lycée Le Corbusier"/>
    <n v="78"/>
    <s v="Yvelines"/>
    <x v="1"/>
    <s v="BTS - Services - Management Commercial Opérationnel"/>
    <x v="0"/>
    <n v="35"/>
    <n v="1067"/>
    <n v="35"/>
    <x v="1"/>
    <n v="30.485714285714284"/>
    <n v="1"/>
    <s v="Forte"/>
  </r>
  <r>
    <s v="Lycée Antoine de Saint Exupery"/>
    <n v="94"/>
    <s v="Val-de-Marne"/>
    <x v="1"/>
    <s v="BTS - Services - Comptabilité et gestion"/>
    <x v="0"/>
    <n v="35"/>
    <n v="1065"/>
    <n v="28"/>
    <x v="2"/>
    <n v="30.428571428571427"/>
    <n v="0.8"/>
    <s v="Forte"/>
  </r>
  <r>
    <s v="Lycée Paul Doumer"/>
    <n v="94"/>
    <s v="Val-de-Marne"/>
    <x v="1"/>
    <s v="BTS - Services - Support à l'action managériale"/>
    <x v="0"/>
    <n v="35"/>
    <n v="1064"/>
    <n v="31"/>
    <x v="2"/>
    <n v="30.4"/>
    <n v="0.88571428571428568"/>
    <s v="Forte"/>
  </r>
  <r>
    <s v="Lycée Jean Mace"/>
    <n v="94"/>
    <s v="Val-de-Marne"/>
    <x v="1"/>
    <s v="BTS - Production - Maintenance des systèmes - option A Systèmes de production"/>
    <x v="0"/>
    <n v="15"/>
    <n v="456"/>
    <n v="14"/>
    <x v="2"/>
    <n v="30.4"/>
    <n v="0.93333333333333335"/>
    <s v="Forte"/>
  </r>
  <r>
    <s v="Lycée Pierre Corneille"/>
    <n v="78"/>
    <s v="Yvelines"/>
    <x v="1"/>
    <s v="BTS - Services - Négociation et digitalisation de la Relation Client"/>
    <x v="0"/>
    <n v="28"/>
    <n v="848"/>
    <n v="29"/>
    <x v="1"/>
    <n v="30.285714285714285"/>
    <n v="1.0357142857142858"/>
    <s v="Forte"/>
  </r>
  <r>
    <s v="Lycée professionnel Madeleine Vionnet"/>
    <n v="93"/>
    <s v="Seine-Saint-Denis"/>
    <x v="1"/>
    <s v="BTS - Production - Métiers de la mode-vêtements"/>
    <x v="0"/>
    <n v="30"/>
    <n v="902"/>
    <n v="26"/>
    <x v="2"/>
    <n v="30.066666666666666"/>
    <n v="0.8666666666666667"/>
    <s v="Forte"/>
  </r>
  <r>
    <s v="Lycée Marcel Pagnol"/>
    <n v="91"/>
    <s v="Essonne"/>
    <x v="1"/>
    <s v="BTS - Services - Gestion de la PME"/>
    <x v="0"/>
    <n v="32"/>
    <n v="961"/>
    <n v="34"/>
    <x v="1"/>
    <n v="30.03125"/>
    <n v="1.0625"/>
    <s v="Forte"/>
  </r>
  <r>
    <s v="Lycée Francois Villon"/>
    <n v="75"/>
    <s v="Paris"/>
    <x v="1"/>
    <s v="BTS - Services - Diététique et nutrition"/>
    <x v="0"/>
    <n v="68"/>
    <n v="2041"/>
    <n v="65"/>
    <x v="0"/>
    <n v="30.014705882352942"/>
    <n v="0.95588235294117652"/>
    <s v="Forte"/>
  </r>
  <r>
    <s v="Lycée Marie Curie"/>
    <n v="78"/>
    <s v="Yvelines"/>
    <x v="1"/>
    <s v="BTS - Services - Management Commercial Opérationnel"/>
    <x v="0"/>
    <n v="35"/>
    <n v="1046"/>
    <n v="36"/>
    <x v="1"/>
    <n v="29.885714285714286"/>
    <n v="1.0285714285714285"/>
    <s v="Forte"/>
  </r>
  <r>
    <s v="Lycée Adolphe Cherioux"/>
    <n v="94"/>
    <s v="Val-de-Marne"/>
    <x v="1"/>
    <s v="BTS - Production - Travaux publics"/>
    <x v="0"/>
    <n v="12"/>
    <n v="358"/>
    <n v="10"/>
    <x v="2"/>
    <n v="29.833333333333332"/>
    <n v="0.83333333333333337"/>
    <s v="Forte"/>
  </r>
  <r>
    <s v="Lycée Guy De Maupassant"/>
    <n v="92"/>
    <s v="Hauts-de-Seine"/>
    <x v="1"/>
    <s v="BTS - Services - Comptabilité et gestion"/>
    <x v="0"/>
    <n v="36"/>
    <n v="1068"/>
    <n v="36"/>
    <x v="2"/>
    <n v="29.666666666666668"/>
    <n v="1"/>
    <s v="Forte"/>
  </r>
  <r>
    <s v="Lycée Marcel Cachin"/>
    <n v="93"/>
    <s v="Seine-Saint-Denis"/>
    <x v="1"/>
    <s v="BTS - Services - Management Commercial Opérationnel"/>
    <x v="0"/>
    <n v="30"/>
    <n v="889"/>
    <n v="25"/>
    <x v="2"/>
    <n v="29.633333333333333"/>
    <n v="0.83333333333333337"/>
    <s v="Forte"/>
  </r>
  <r>
    <s v="Lycée Leonard De Vinci"/>
    <n v="93"/>
    <s v="Seine-Saint-Denis"/>
    <x v="1"/>
    <s v="BTS - Services - Gestion des transports et logistique associée"/>
    <x v="0"/>
    <n v="35"/>
    <n v="1033"/>
    <n v="34"/>
    <x v="2"/>
    <n v="29.514285714285716"/>
    <n v="0.97142857142857142"/>
    <s v="Forte"/>
  </r>
  <r>
    <s v="Lycée Notre Dame du Grandchamp"/>
    <n v="78"/>
    <s v="Yvelines"/>
    <x v="1"/>
    <s v="BTS - Services - Commerce International"/>
    <x v="0"/>
    <n v="35"/>
    <n v="1018"/>
    <n v="33"/>
    <x v="1"/>
    <n v="29.085714285714285"/>
    <n v="0.94285714285714284"/>
    <s v="Forte"/>
  </r>
  <r>
    <s v="Lycée Van Dongen"/>
    <n v="77"/>
    <s v="Seine-et-Marne"/>
    <x v="1"/>
    <s v="BTS - Services - Gestion de la PME"/>
    <x v="0"/>
    <n v="24"/>
    <n v="697"/>
    <n v="23"/>
    <x v="1"/>
    <n v="29.041666666666668"/>
    <n v="0.95833333333333337"/>
    <s v="Forte"/>
  </r>
  <r>
    <s v="Lycée Jean Moulin"/>
    <n v="77"/>
    <s v="Seine-et-Marne"/>
    <x v="1"/>
    <s v="BTS - Services - Tourisme"/>
    <x v="0"/>
    <n v="52"/>
    <n v="1509"/>
    <n v="42"/>
    <x v="1"/>
    <n v="29.01923076923077"/>
    <n v="0.80769230769230771"/>
    <s v="Forte"/>
  </r>
  <r>
    <s v="Lycée Léonard de Vinci"/>
    <n v="75"/>
    <s v="Paris"/>
    <x v="1"/>
    <s v="BTS - Services - Conseil et commercialisation de solutions techniques"/>
    <x v="0"/>
    <n v="24"/>
    <n v="688"/>
    <n v="20"/>
    <x v="0"/>
    <n v="28.666666666666668"/>
    <n v="0.83333333333333337"/>
    <s v="Forte"/>
  </r>
  <r>
    <s v="Lycée Francois Villon"/>
    <n v="78"/>
    <s v="Yvelines"/>
    <x v="1"/>
    <s v="BTS - Services - Négociation et digitalisation de la Relation Client"/>
    <x v="0"/>
    <n v="18"/>
    <n v="514"/>
    <n v="14"/>
    <x v="1"/>
    <n v="28.555555555555557"/>
    <n v="0.77777777777777779"/>
    <s v="Forte"/>
  </r>
  <r>
    <s v="Lycée Marie Curie"/>
    <n v="78"/>
    <s v="Yvelines"/>
    <x v="1"/>
    <s v="BTS - Services - Collaborateur juriste notarial"/>
    <x v="0"/>
    <n v="35"/>
    <n v="997"/>
    <n v="39"/>
    <x v="1"/>
    <n v="28.485714285714284"/>
    <n v="1.1142857142857143"/>
    <s v="Forte"/>
  </r>
  <r>
    <s v="Lycée polyvalent Marianne (Ex-Lycée Georges Brassens)"/>
    <n v="94"/>
    <s v="Val-de-Marne"/>
    <x v="1"/>
    <s v="BTS - Services - Management Commercial Opérationnel"/>
    <x v="0"/>
    <n v="35"/>
    <n v="992"/>
    <n v="29"/>
    <x v="2"/>
    <n v="28.342857142857142"/>
    <n v="0.82857142857142863"/>
    <s v="Forte"/>
  </r>
  <r>
    <s v="Lycée polyvalent de Cachan"/>
    <n v="94"/>
    <s v="Val-de-Marne"/>
    <x v="1"/>
    <s v="BTS - Services - Support à l'action managériale"/>
    <x v="0"/>
    <n v="35"/>
    <n v="986"/>
    <n v="34"/>
    <x v="2"/>
    <n v="28.171428571428571"/>
    <n v="0.97142857142857142"/>
    <s v="Forte"/>
  </r>
  <r>
    <s v="Lycée Antoine de Saint Exupery"/>
    <n v="94"/>
    <s v="Val-de-Marne"/>
    <x v="1"/>
    <s v="BTS - Services - Support à l'action managériale"/>
    <x v="0"/>
    <n v="37"/>
    <n v="1041"/>
    <n v="37"/>
    <x v="2"/>
    <n v="28.135135135135137"/>
    <n v="1"/>
    <s v="Forte"/>
  </r>
  <r>
    <s v="Lycée Galilée"/>
    <n v="95"/>
    <s v="Val-d'oise"/>
    <x v="1"/>
    <s v="BTS - Services - Comptabilité et gestion"/>
    <x v="0"/>
    <n v="35"/>
    <n v="975"/>
    <n v="35"/>
    <x v="1"/>
    <n v="27.857142857142858"/>
    <n v="1"/>
    <s v="Forte"/>
  </r>
  <r>
    <s v="Lycée Flora Tristan"/>
    <n v="93"/>
    <s v="Seine-Saint-Denis"/>
    <x v="1"/>
    <s v="BTS - Services - Comptabilité et gestion"/>
    <x v="0"/>
    <n v="35"/>
    <n v="974"/>
    <n v="34"/>
    <x v="2"/>
    <n v="27.828571428571429"/>
    <n v="0.97142857142857142"/>
    <s v="Forte"/>
  </r>
  <r>
    <s v="Lycée Camille Pissarro"/>
    <n v="95"/>
    <s v="Val-d'oise"/>
    <x v="1"/>
    <s v="BTS - Services - Gestion de la PME"/>
    <x v="0"/>
    <n v="35"/>
    <n v="972"/>
    <n v="28"/>
    <x v="1"/>
    <n v="27.771428571428572"/>
    <n v="0.8"/>
    <s v="Forte"/>
  </r>
  <r>
    <s v="Lycée Hotellerie Et Tourisme"/>
    <n v="78"/>
    <s v="Yvelines"/>
    <x v="1"/>
    <s v="BTS - Services - Tourisme"/>
    <x v="0"/>
    <n v="70"/>
    <n v="1940"/>
    <n v="67"/>
    <x v="1"/>
    <n v="27.714285714285715"/>
    <n v="0.95714285714285718"/>
    <s v="Forte"/>
  </r>
  <r>
    <s v="Lycée Jean Jaurès"/>
    <n v="93"/>
    <s v="Seine-Saint-Denis"/>
    <x v="1"/>
    <s v="BTS - Services - Support à l'action managériale"/>
    <x v="0"/>
    <n v="30"/>
    <n v="828"/>
    <n v="29"/>
    <x v="2"/>
    <n v="27.6"/>
    <n v="0.96666666666666667"/>
    <s v="Forte"/>
  </r>
  <r>
    <s v="Lycée professionnel Louis Lumiere"/>
    <n v="77"/>
    <s v="Seine-et-Marne"/>
    <x v="1"/>
    <s v="BTS - Services - Négociation et digitalisation de la Relation Client"/>
    <x v="0"/>
    <n v="35"/>
    <n v="963"/>
    <n v="31"/>
    <x v="1"/>
    <n v="27.514285714285716"/>
    <n v="0.88571428571428568"/>
    <s v="Forte"/>
  </r>
  <r>
    <s v="Lycée Robert Doisneau"/>
    <n v="91"/>
    <s v="Essonne"/>
    <x v="1"/>
    <s v="BTS - Services - Comptabilité et gestion"/>
    <x v="0"/>
    <n v="34"/>
    <n v="924"/>
    <n v="34"/>
    <x v="1"/>
    <n v="27.176470588235293"/>
    <n v="1"/>
    <s v="Forte"/>
  </r>
  <r>
    <s v="Lycée Léonard de Vinci"/>
    <n v="78"/>
    <s v="Yvelines"/>
    <x v="1"/>
    <s v="BTS - Production - Bioanalyses en laboratoire de contrôle"/>
    <x v="0"/>
    <n v="29"/>
    <n v="788"/>
    <n v="25"/>
    <x v="1"/>
    <n v="27.172413793103448"/>
    <n v="0.86206896551724133"/>
    <s v="Forte"/>
  </r>
  <r>
    <s v="Lycée professionnel Les Cotes De Villebon"/>
    <n v="92"/>
    <s v="Hauts-de-Seine"/>
    <x v="1"/>
    <s v="BTS - Services - Management Commercial Opérationnel"/>
    <x v="0"/>
    <n v="20"/>
    <n v="540"/>
    <n v="17"/>
    <x v="2"/>
    <n v="27"/>
    <n v="0.85"/>
    <s v="Forte"/>
  </r>
  <r>
    <s v="Lycée D'Alembert-Cuir"/>
    <n v="75"/>
    <s v="Paris"/>
    <x v="1"/>
    <s v="BTS - Services - Orthoprothésiste"/>
    <x v="0"/>
    <n v="24"/>
    <n v="644"/>
    <n v="20"/>
    <x v="0"/>
    <n v="26.833333333333332"/>
    <n v="0.83333333333333337"/>
    <s v="Forte"/>
  </r>
  <r>
    <s v="Lycée professionnel Armand Guillaumin"/>
    <n v="94"/>
    <s v="Val-de-Marne"/>
    <x v="1"/>
    <s v="BTS - Services - Métiers de l'esthétique-cosmétique-parfumerie"/>
    <x v="0"/>
    <n v="24"/>
    <n v="644"/>
    <n v="16"/>
    <x v="2"/>
    <n v="26.833333333333332"/>
    <n v="0.66666666666666663"/>
    <s v="Forte"/>
  </r>
  <r>
    <s v="Lycée Eugene Delacroix"/>
    <n v="94"/>
    <s v="Val-de-Marne"/>
    <x v="1"/>
    <s v="BTS - Services - Support à l'action managériale"/>
    <x v="0"/>
    <n v="35"/>
    <n v="938"/>
    <n v="29"/>
    <x v="2"/>
    <n v="26.8"/>
    <n v="0.82857142857142863"/>
    <s v="Forte"/>
  </r>
  <r>
    <s v="Lycée Auffray"/>
    <n v="92"/>
    <s v="Hauts-de-Seine"/>
    <x v="1"/>
    <s v="BTS - Services - Diététique et nutrition"/>
    <x v="0"/>
    <n v="38"/>
    <n v="1011"/>
    <n v="32"/>
    <x v="2"/>
    <n v="26.605263157894736"/>
    <n v="0.84210526315789469"/>
    <s v="Forte"/>
  </r>
  <r>
    <s v="Lycée Eugene Delacroix"/>
    <n v="94"/>
    <s v="Val-de-Marne"/>
    <x v="1"/>
    <s v="BTS - Services - Comptabilité et gestion"/>
    <x v="0"/>
    <n v="48"/>
    <n v="1275"/>
    <n v="43"/>
    <x v="2"/>
    <n v="26.5625"/>
    <n v="0.89583333333333337"/>
    <s v="Forte"/>
  </r>
  <r>
    <s v="Lycée Henri Poincare"/>
    <n v="91"/>
    <s v="Essonne"/>
    <x v="1"/>
    <s v="BTS - Services - Services et prestations des secteurs sanitaire et social"/>
    <x v="0"/>
    <n v="32"/>
    <n v="849"/>
    <n v="28"/>
    <x v="1"/>
    <n v="26.53125"/>
    <n v="0.875"/>
    <s v="Forte"/>
  </r>
  <r>
    <s v="Lycée De Villaroy"/>
    <n v="78"/>
    <s v="Yvelines"/>
    <x v="1"/>
    <s v="BTS - Services - Négociation et digitalisation de la Relation Client"/>
    <x v="0"/>
    <n v="30"/>
    <n v="794"/>
    <n v="29"/>
    <x v="1"/>
    <n v="26.466666666666665"/>
    <n v="0.96666666666666667"/>
    <s v="Forte"/>
  </r>
  <r>
    <s v="Lycée Le Corbusier"/>
    <n v="93"/>
    <s v="Seine-Saint-Denis"/>
    <x v="1"/>
    <s v="BTS - Services - Support à l'action managériale"/>
    <x v="0"/>
    <n v="30"/>
    <n v="792"/>
    <n v="30"/>
    <x v="2"/>
    <n v="26.4"/>
    <n v="1"/>
    <s v="Forte"/>
  </r>
  <r>
    <s v="Lycée Batiment-Saint-Lambert"/>
    <n v="75"/>
    <s v="Paris"/>
    <x v="1"/>
    <s v="BTS - Production - Travaux publics"/>
    <x v="0"/>
    <n v="30"/>
    <n v="785"/>
    <n v="32"/>
    <x v="0"/>
    <n v="26.166666666666668"/>
    <n v="1.0666666666666667"/>
    <s v="Forte"/>
  </r>
  <r>
    <s v="Lycée Raspail"/>
    <n v="75"/>
    <s v="Paris"/>
    <x v="1"/>
    <s v="BTS - Production - Electrotechnique"/>
    <x v="0"/>
    <n v="30"/>
    <n v="780"/>
    <n v="32"/>
    <x v="0"/>
    <n v="26"/>
    <n v="1.0666666666666667"/>
    <s v="Forte"/>
  </r>
  <r>
    <s v="Lycée Paul Eluard"/>
    <n v="93"/>
    <s v="Seine-Saint-Denis"/>
    <x v="1"/>
    <s v="BTS - Services - Gestion de la PME"/>
    <x v="0"/>
    <n v="70"/>
    <n v="1819"/>
    <n v="66"/>
    <x v="2"/>
    <n v="25.985714285714284"/>
    <n v="0.94285714285714284"/>
    <s v="Forte"/>
  </r>
  <r>
    <s v="Lycée Rene Descartes"/>
    <n v="77"/>
    <s v="Seine-et-Marne"/>
    <x v="1"/>
    <s v="BTS - Services - Services informatiques aux organisations"/>
    <x v="0"/>
    <n v="48"/>
    <n v="1228"/>
    <n v="47"/>
    <x v="1"/>
    <n v="25.583333333333332"/>
    <n v="0.97916666666666663"/>
    <s v="Forte"/>
  </r>
  <r>
    <s v="Lycée polyvalent de Cachan"/>
    <n v="94"/>
    <s v="Val-de-Marne"/>
    <x v="1"/>
    <s v="BTS - Services - Economie sociale familiale"/>
    <x v="0"/>
    <n v="35"/>
    <n v="894"/>
    <n v="29"/>
    <x v="2"/>
    <n v="25.542857142857144"/>
    <n v="0.82857142857142863"/>
    <s v="Forte"/>
  </r>
  <r>
    <s v="Lycée Francois Truffaut"/>
    <n v="91"/>
    <s v="Essonne"/>
    <x v="1"/>
    <s v="BTS - Services - Gestion de la PME"/>
    <x v="0"/>
    <n v="34"/>
    <n v="859"/>
    <n v="30"/>
    <x v="1"/>
    <n v="25.264705882352942"/>
    <n v="0.88235294117647056"/>
    <s v="Forte"/>
  </r>
  <r>
    <s v="Lycée Flora Tristan"/>
    <n v="93"/>
    <s v="Seine-Saint-Denis"/>
    <x v="1"/>
    <s v="BTS - Services - Support à l'action managériale"/>
    <x v="0"/>
    <n v="24"/>
    <n v="606"/>
    <n v="16"/>
    <x v="2"/>
    <n v="25.25"/>
    <n v="0.66666666666666663"/>
    <s v="Forte"/>
  </r>
  <r>
    <s v="Lycée polyvalent de Cachan"/>
    <n v="94"/>
    <s v="Val-de-Marne"/>
    <x v="1"/>
    <s v="BTS - Services - Comptabilité et gestion"/>
    <x v="0"/>
    <n v="35"/>
    <n v="881"/>
    <n v="36"/>
    <x v="2"/>
    <n v="25.171428571428571"/>
    <n v="1.0285714285714285"/>
    <s v="Forte"/>
  </r>
  <r>
    <s v="Lycée Romain Rolland"/>
    <n v="95"/>
    <s v="Val-d'oise"/>
    <x v="1"/>
    <s v="BTS - Services - Gestion de la PME"/>
    <x v="0"/>
    <n v="30"/>
    <n v="755"/>
    <n v="27"/>
    <x v="1"/>
    <n v="25.166666666666668"/>
    <n v="0.9"/>
    <s v="Forte"/>
  </r>
  <r>
    <s v="Lycée Van Gogh"/>
    <n v="95"/>
    <s v="Val-d'oise"/>
    <x v="1"/>
    <s v="BTS - Services - Collaborateur juriste notarial"/>
    <x v="0"/>
    <n v="34"/>
    <n v="854"/>
    <n v="33"/>
    <x v="1"/>
    <n v="25.117647058823529"/>
    <n v="0.97058823529411764"/>
    <s v="Forte"/>
  </r>
  <r>
    <s v="Lycée Jean Perrin"/>
    <n v="95"/>
    <s v="Val-d'oise"/>
    <x v="1"/>
    <s v="BTS - Production - Cybersécurité, Informatique et réseaux, ELectronique - Option B : Electronique et réseaux"/>
    <x v="0"/>
    <n v="28"/>
    <n v="699"/>
    <n v="28"/>
    <x v="1"/>
    <n v="24.964285714285715"/>
    <n v="1"/>
    <s v="Forte"/>
  </r>
  <r>
    <s v="Lycée Charles BAUDELAIRE"/>
    <n v="95"/>
    <s v="Val-d'oise"/>
    <x v="1"/>
    <s v="BTS - Services - Négociation et digitalisation de la Relation Client"/>
    <x v="0"/>
    <n v="35"/>
    <n v="873"/>
    <n v="32"/>
    <x v="1"/>
    <n v="24.942857142857143"/>
    <n v="0.91428571428571426"/>
    <s v="Forte"/>
  </r>
  <r>
    <s v="Lycée Marie Curie"/>
    <n v="78"/>
    <s v="Yvelines"/>
    <x v="1"/>
    <s v="BTS - Services - Support à l'action managériale"/>
    <x v="0"/>
    <n v="35"/>
    <n v="868"/>
    <n v="37"/>
    <x v="1"/>
    <n v="24.8"/>
    <n v="1.0571428571428572"/>
    <s v="Forte"/>
  </r>
  <r>
    <s v="Lycée Emily Brontë"/>
    <n v="77"/>
    <s v="Seine-et-Marne"/>
    <x v="1"/>
    <s v="BTS - Services - Professions immobilières"/>
    <x v="0"/>
    <n v="24"/>
    <n v="590"/>
    <n v="24"/>
    <x v="1"/>
    <n v="24.583333333333332"/>
    <n v="1"/>
    <s v="Forte"/>
  </r>
  <r>
    <s v="Lycée Frederic Mistral"/>
    <n v="94"/>
    <s v="Val-de-Marne"/>
    <x v="1"/>
    <s v="BTS - Services - Gestion de la PME"/>
    <x v="0"/>
    <n v="30"/>
    <n v="735"/>
    <n v="27"/>
    <x v="2"/>
    <n v="24.5"/>
    <n v="0.9"/>
    <s v="Forte"/>
  </r>
  <r>
    <s v="Lycée Edmond Rostand"/>
    <n v="95"/>
    <s v="Val-d'oise"/>
    <x v="1"/>
    <s v="BTS - Services - Management Commercial Opérationnel"/>
    <x v="0"/>
    <n v="53"/>
    <n v="1298"/>
    <n v="53"/>
    <x v="1"/>
    <n v="24.490566037735849"/>
    <n v="1"/>
    <s v="Forte"/>
  </r>
  <r>
    <s v="Lycée Edmond Michelet"/>
    <n v="91"/>
    <s v="Essonne"/>
    <x v="1"/>
    <s v="BTS - Production - Cybersécurité, Informatique et réseaux, ELectronique - Option A : Informatique et réseaux"/>
    <x v="0"/>
    <n v="30"/>
    <n v="734"/>
    <n v="30"/>
    <x v="1"/>
    <n v="24.466666666666665"/>
    <n v="1"/>
    <s v="Forte"/>
  </r>
  <r>
    <s v="Pauline Roland"/>
    <n v="94"/>
    <s v="Val-de-Marne"/>
    <x v="1"/>
    <s v="BTS - Services - Gestion des transports et logistique associée"/>
    <x v="0"/>
    <n v="35"/>
    <n v="854"/>
    <n v="31"/>
    <x v="2"/>
    <n v="24.4"/>
    <n v="0.88571428571428568"/>
    <s v="Forte"/>
  </r>
  <r>
    <s v="Lycée Georges Brassens"/>
    <n v="91"/>
    <s v="Essonne"/>
    <x v="1"/>
    <s v="BTS - Production - Cybersécurité, Informatique et réseaux, ELectronique - Option B : Electronique et réseaux"/>
    <x v="0"/>
    <n v="30"/>
    <n v="725"/>
    <n v="26"/>
    <x v="1"/>
    <n v="24.166666666666668"/>
    <n v="0.8666666666666667"/>
    <s v="Forte"/>
  </r>
  <r>
    <s v="Lycée Clemenceau"/>
    <n v="93"/>
    <s v="Seine-Saint-Denis"/>
    <x v="1"/>
    <s v="BTS - Services - Comptabilité et gestion"/>
    <x v="0"/>
    <n v="35"/>
    <n v="842"/>
    <n v="35"/>
    <x v="2"/>
    <n v="24.057142857142857"/>
    <n v="1"/>
    <s v="Forte"/>
  </r>
  <r>
    <s v="Lycée Henri Moissan"/>
    <n v="77"/>
    <s v="Seine-et-Marne"/>
    <x v="1"/>
    <s v="BTS - Services - Professions immobilières"/>
    <x v="0"/>
    <n v="35"/>
    <n v="839"/>
    <n v="28"/>
    <x v="1"/>
    <n v="23.971428571428572"/>
    <n v="0.8"/>
    <s v="Forte"/>
  </r>
  <r>
    <s v="Lycée Georges Braque"/>
    <n v="95"/>
    <s v="Val-d'oise"/>
    <x v="1"/>
    <s v="BTS - Services - Comptabilité et gestion"/>
    <x v="0"/>
    <n v="35"/>
    <n v="836"/>
    <n v="35"/>
    <x v="1"/>
    <n v="23.885714285714286"/>
    <n v="1"/>
    <s v="Forte"/>
  </r>
  <r>
    <s v="Lycée Jules Ferry"/>
    <n v="78"/>
    <s v="Yvelines"/>
    <x v="1"/>
    <s v="BTS - Services - Services informatiques aux organisations"/>
    <x v="0"/>
    <n v="32"/>
    <n v="761"/>
    <n v="34"/>
    <x v="1"/>
    <n v="23.78125"/>
    <n v="1.0625"/>
    <s v="Forte"/>
  </r>
  <r>
    <s v="Lycée Henri Bergson-Jacquard"/>
    <n v="75"/>
    <s v="Paris"/>
    <x v="1"/>
    <s v="BTS - Production - Maintenance des systèmes - option A Systèmes de production"/>
    <x v="0"/>
    <n v="24"/>
    <n v="568"/>
    <n v="23"/>
    <x v="0"/>
    <n v="23.666666666666668"/>
    <n v="0.95833333333333337"/>
    <s v="Forte"/>
  </r>
  <r>
    <s v="Lycée Camille Claudel"/>
    <n v="77"/>
    <s v="Seine-et-Marne"/>
    <x v="1"/>
    <s v="BTS - Services - Comptabilité et gestion"/>
    <x v="0"/>
    <n v="35"/>
    <n v="822"/>
    <n v="24"/>
    <x v="1"/>
    <n v="23.485714285714284"/>
    <n v="0.68571428571428572"/>
    <s v="Forte"/>
  </r>
  <r>
    <s v="Lycée Blaise Pascal"/>
    <n v="93"/>
    <s v="Seine-Saint-Denis"/>
    <x v="1"/>
    <s v="BTS - Services - Economie sociale familiale"/>
    <x v="0"/>
    <n v="24"/>
    <n v="563"/>
    <n v="18"/>
    <x v="2"/>
    <n v="23.458333333333332"/>
    <n v="0.75"/>
    <s v="Forte"/>
  </r>
  <r>
    <s v="Lycée Fresnel"/>
    <n v="75"/>
    <s v="Paris"/>
    <x v="1"/>
    <s v="BTS - Services - Opticien-Lunetier"/>
    <x v="0"/>
    <n v="72"/>
    <n v="1682"/>
    <n v="63"/>
    <x v="0"/>
    <n v="23.361111111111111"/>
    <n v="0.875"/>
    <s v="Forte"/>
  </r>
  <r>
    <s v="Lycée Voillaume"/>
    <n v="93"/>
    <s v="Seine-Saint-Denis"/>
    <x v="1"/>
    <s v="BTS - Services - Comptabilité et gestion"/>
    <x v="0"/>
    <n v="59"/>
    <n v="1374"/>
    <n v="59"/>
    <x v="2"/>
    <n v="23.288135593220339"/>
    <n v="1"/>
    <s v="Forte"/>
  </r>
  <r>
    <s v="Lycée Blaise Pascal"/>
    <n v="77"/>
    <s v="Seine-et-Marne"/>
    <x v="1"/>
    <s v="BTS - Services - Management Commercial Opérationnel"/>
    <x v="0"/>
    <n v="35"/>
    <n v="812"/>
    <n v="33"/>
    <x v="1"/>
    <n v="23.2"/>
    <n v="0.94285714285714284"/>
    <s v="Forte"/>
  </r>
  <r>
    <s v="Lycée Henri Sellier"/>
    <n v="93"/>
    <s v="Seine-Saint-Denis"/>
    <x v="1"/>
    <s v="BTS - Services - Economie sociale familiale"/>
    <x v="0"/>
    <n v="30"/>
    <n v="694"/>
    <n v="23"/>
    <x v="2"/>
    <n v="23.133333333333333"/>
    <n v="0.76666666666666672"/>
    <s v="Forte"/>
  </r>
  <r>
    <s v="Lycée René Cassin"/>
    <n v="95"/>
    <s v="Val-d'oise"/>
    <x v="1"/>
    <s v="BTS - Services - Gestion des transports et logistique associée"/>
    <x v="0"/>
    <n v="34"/>
    <n v="786"/>
    <n v="33"/>
    <x v="1"/>
    <n v="23.117647058823529"/>
    <n v="0.97058823529411764"/>
    <s v="Forte"/>
  </r>
  <r>
    <s v="Lycée Marcel Pagnol"/>
    <n v="91"/>
    <s v="Essonne"/>
    <x v="1"/>
    <s v="BTS - Services - Comptabilité et gestion"/>
    <x v="0"/>
    <n v="32"/>
    <n v="738"/>
    <n v="33"/>
    <x v="1"/>
    <n v="23.0625"/>
    <n v="1.03125"/>
    <s v="Forte"/>
  </r>
  <r>
    <s v="Lycée Evariste Galois"/>
    <n v="78"/>
    <s v="Yvelines"/>
    <x v="1"/>
    <s v="BTS - Services - Banque"/>
    <x v="0"/>
    <n v="35"/>
    <n v="807"/>
    <n v="34"/>
    <x v="1"/>
    <n v="23.057142857142857"/>
    <n v="0.97142857142857142"/>
    <s v="Forte"/>
  </r>
  <r>
    <s v="Lycée Plaine De Neauphle"/>
    <n v="78"/>
    <s v="Yvelines"/>
    <x v="1"/>
    <s v="BTS - Services - Management Commercial Opérationnel"/>
    <x v="0"/>
    <n v="33"/>
    <n v="757"/>
    <n v="36"/>
    <x v="1"/>
    <n v="22.939393939393938"/>
    <n v="1.0909090909090908"/>
    <s v="Forte"/>
  </r>
  <r>
    <s v="Lycée Simone Signoret"/>
    <n v="77"/>
    <s v="Seine-et-Marne"/>
    <x v="1"/>
    <s v="BTS - Services - Professions immobilières"/>
    <x v="0"/>
    <n v="24"/>
    <n v="550"/>
    <n v="23"/>
    <x v="1"/>
    <n v="22.916666666666668"/>
    <n v="0.95833333333333337"/>
    <s v="Forte"/>
  </r>
  <r>
    <s v="Lycée Camille Pissarro"/>
    <n v="95"/>
    <s v="Val-d'oise"/>
    <x v="1"/>
    <s v="BTS - Services - Support à l'action managériale"/>
    <x v="0"/>
    <n v="35"/>
    <n v="798"/>
    <n v="30"/>
    <x v="1"/>
    <n v="22.8"/>
    <n v="0.8571428571428571"/>
    <s v="Forte"/>
  </r>
  <r>
    <s v="Lycée Guillaume Budé"/>
    <n v="94"/>
    <s v="Val-de-Marne"/>
    <x v="1"/>
    <s v="BTS - Services - Management Commercial Opérationnel"/>
    <x v="0"/>
    <n v="35"/>
    <n v="796"/>
    <n v="31"/>
    <x v="2"/>
    <n v="22.742857142857144"/>
    <n v="0.88571428571428568"/>
    <s v="Forte"/>
  </r>
  <r>
    <s v="Lycée Robert Doisneau"/>
    <n v="91"/>
    <s v="Essonne"/>
    <x v="1"/>
    <s v="BTS - Services - Support à l'action managériale"/>
    <x v="0"/>
    <n v="34"/>
    <n v="773"/>
    <n v="34"/>
    <x v="1"/>
    <n v="22.735294117647058"/>
    <n v="1"/>
    <s v="Forte"/>
  </r>
  <r>
    <s v="Lycée Jean-Baptiste Poquelin"/>
    <n v="78"/>
    <s v="Yvelines"/>
    <x v="1"/>
    <s v="BTS - Services - Services et prestations des secteurs sanitaire et social"/>
    <x v="0"/>
    <n v="30"/>
    <n v="682"/>
    <n v="27"/>
    <x v="1"/>
    <n v="22.733333333333334"/>
    <n v="0.9"/>
    <s v="Forte"/>
  </r>
  <r>
    <s v="Lycée D'Arsonval"/>
    <n v="94"/>
    <s v="Val-de-Marne"/>
    <x v="1"/>
    <s v="BTS - Production - Métiers de la chimie"/>
    <x v="0"/>
    <n v="24"/>
    <n v="542"/>
    <n v="24"/>
    <x v="2"/>
    <n v="22.583333333333332"/>
    <n v="1"/>
    <s v="Forte"/>
  </r>
  <r>
    <s v="Lycée Batiment-Saint-Lambert"/>
    <n v="75"/>
    <s v="Paris"/>
    <x v="1"/>
    <s v="BTS - Services - Conseil et commercialisation de solutions techniques"/>
    <x v="0"/>
    <n v="35"/>
    <n v="790"/>
    <n v="39"/>
    <x v="0"/>
    <n v="22.571428571428573"/>
    <n v="1.1142857142857143"/>
    <s v="Forte"/>
  </r>
  <r>
    <s v="Lycée des Métiers Dorian"/>
    <n v="75"/>
    <s v="Paris"/>
    <x v="1"/>
    <s v="BTS - Production - Conception de produits industriels"/>
    <x v="0"/>
    <n v="24"/>
    <n v="537"/>
    <n v="19"/>
    <x v="0"/>
    <n v="22.375"/>
    <n v="0.79166666666666663"/>
    <s v="Forte"/>
  </r>
  <r>
    <s v="Lycée Paul Eluard"/>
    <n v="93"/>
    <s v="Seine-Saint-Denis"/>
    <x v="1"/>
    <s v="BTS - Production - Electrotechnique"/>
    <x v="0"/>
    <n v="24"/>
    <n v="537"/>
    <n v="24"/>
    <x v="2"/>
    <n v="22.375"/>
    <n v="1"/>
    <s v="Forte"/>
  </r>
  <r>
    <s v="Lycée Rene Cassin"/>
    <n v="91"/>
    <s v="Essonne"/>
    <x v="1"/>
    <s v="BTS - Services - Management Commercial Opérationnel"/>
    <x v="0"/>
    <n v="36"/>
    <n v="804"/>
    <n v="28"/>
    <x v="1"/>
    <n v="22.333333333333332"/>
    <n v="0.77777777777777779"/>
    <s v="Forte"/>
  </r>
  <r>
    <s v="Lycée Elisa Lemonnier"/>
    <n v="75"/>
    <s v="Paris"/>
    <x v="1"/>
    <s v="BTS - Services - Conseil et commercialisation de solutions techniques"/>
    <x v="0"/>
    <n v="35"/>
    <n v="780"/>
    <n v="32"/>
    <x v="0"/>
    <n v="22.285714285714285"/>
    <n v="0.91428571428571426"/>
    <s v="Forte"/>
  </r>
  <r>
    <s v="Lycée des Métiers Dorian"/>
    <n v="75"/>
    <s v="Paris"/>
    <x v="1"/>
    <s v="BTS - Production - Conception des processus de réalisation de produits (1ère année commune)"/>
    <x v="0"/>
    <n v="15"/>
    <n v="333"/>
    <n v="14"/>
    <x v="0"/>
    <n v="22.2"/>
    <n v="0.93333333333333335"/>
    <s v="Forte"/>
  </r>
  <r>
    <s v="Lycée Charles Le Chauve"/>
    <n v="77"/>
    <s v="Seine-et-Marne"/>
    <x v="1"/>
    <s v="BTS - Services - Négociation et digitalisation de la Relation Client"/>
    <x v="0"/>
    <n v="35"/>
    <n v="776"/>
    <n v="32"/>
    <x v="1"/>
    <n v="22.171428571428571"/>
    <n v="0.91428571428571426"/>
    <s v="Forte"/>
  </r>
  <r>
    <s v="Lycée Pierre-Gilles de Gennes - ENCPB"/>
    <n v="75"/>
    <s v="Paris"/>
    <x v="1"/>
    <s v="BTS - Production - Métiers de l'eau"/>
    <x v="0"/>
    <n v="30"/>
    <n v="665"/>
    <n v="28"/>
    <x v="0"/>
    <n v="22.166666666666668"/>
    <n v="0.93333333333333335"/>
    <s v="Forte"/>
  </r>
  <r>
    <s v="Lycée Voillaume"/>
    <n v="93"/>
    <s v="Seine-Saint-Denis"/>
    <x v="1"/>
    <s v="BTS - Services - Support à l'action managériale"/>
    <x v="0"/>
    <n v="35"/>
    <n v="775"/>
    <n v="33"/>
    <x v="2"/>
    <n v="22.142857142857142"/>
    <n v="0.94285714285714284"/>
    <s v="Forte"/>
  </r>
  <r>
    <s v="Lycée GUSTAVE EIFFEL"/>
    <n v="93"/>
    <s v="Seine-Saint-Denis"/>
    <x v="1"/>
    <s v="BTS - Production - Bâtiment"/>
    <x v="0"/>
    <n v="30"/>
    <n v="660"/>
    <n v="27"/>
    <x v="2"/>
    <n v="22"/>
    <n v="0.9"/>
    <s v="Forte"/>
  </r>
  <r>
    <s v="Lycée Charles Petiet"/>
    <n v="92"/>
    <s v="Hauts-de-Seine"/>
    <x v="1"/>
    <s v="BTS - Production - Construction et aménagement de véhicules"/>
    <x v="0"/>
    <n v="15"/>
    <n v="330"/>
    <n v="15"/>
    <x v="2"/>
    <n v="22"/>
    <n v="1"/>
    <s v="Forte"/>
  </r>
  <r>
    <s v="Lycée E. Mounier"/>
    <n v="92"/>
    <s v="Hauts-de-Seine"/>
    <x v="1"/>
    <s v="BTS - Services - Management Commercial Opérationnel"/>
    <x v="0"/>
    <n v="32"/>
    <n v="703"/>
    <n v="31"/>
    <x v="2"/>
    <n v="21.96875"/>
    <n v="0.96875"/>
    <s v="Forte"/>
  </r>
  <r>
    <s v="Lycée professionnel Turgot"/>
    <n v="95"/>
    <s v="Val-d'oise"/>
    <x v="1"/>
    <s v="BTS - Services - Gestion de la PME"/>
    <x v="0"/>
    <n v="35"/>
    <n v="768"/>
    <n v="34"/>
    <x v="1"/>
    <n v="21.942857142857143"/>
    <n v="0.97142857142857142"/>
    <s v="Forte"/>
  </r>
  <r>
    <s v="Lycée Francois Mansart"/>
    <n v="94"/>
    <s v="Val-de-Marne"/>
    <x v="1"/>
    <s v="BTS - Production - Management économique de la construction"/>
    <x v="0"/>
    <n v="24"/>
    <n v="526"/>
    <n v="23"/>
    <x v="2"/>
    <n v="21.916666666666668"/>
    <n v="0.95833333333333337"/>
    <s v="Forte"/>
  </r>
  <r>
    <s v="Lycée Jean-Jacques Rousseau"/>
    <n v="95"/>
    <s v="Val-d'oise"/>
    <x v="1"/>
    <s v="BTS - Services - Comptabilité et gestion"/>
    <x v="0"/>
    <n v="35"/>
    <n v="766"/>
    <n v="27"/>
    <x v="1"/>
    <n v="21.885714285714286"/>
    <n v="0.77142857142857146"/>
    <s v="Forte"/>
  </r>
  <r>
    <s v="Lycée Van Dongen"/>
    <n v="77"/>
    <s v="Seine-et-Marne"/>
    <x v="1"/>
    <s v="BTS - Services - Comptabilité et gestion"/>
    <x v="0"/>
    <n v="24"/>
    <n v="519"/>
    <n v="20"/>
    <x v="1"/>
    <n v="21.625"/>
    <n v="0.83333333333333337"/>
    <s v="Forte"/>
  </r>
  <r>
    <s v="Lycée Jean-Jacques Rousseau"/>
    <n v="95"/>
    <s v="Val-d'oise"/>
    <x v="1"/>
    <s v="BTS - Services - Gestion de la PME"/>
    <x v="0"/>
    <n v="35"/>
    <n v="756"/>
    <n v="34"/>
    <x v="1"/>
    <n v="21.6"/>
    <n v="0.97142857142857142"/>
    <s v="Forte"/>
  </r>
  <r>
    <s v="Lycée Francois Couperin"/>
    <n v="77"/>
    <s v="Seine-et-Marne"/>
    <x v="1"/>
    <s v="BTS - Services - Tourisme"/>
    <x v="0"/>
    <n v="35"/>
    <n v="755"/>
    <n v="33"/>
    <x v="1"/>
    <n v="21.571428571428573"/>
    <n v="0.94285714285714284"/>
    <s v="Forte"/>
  </r>
  <r>
    <s v="Lycée Louis Armand"/>
    <n v="94"/>
    <s v="Val-de-Marne"/>
    <x v="1"/>
    <s v="BTS - Production - Electrotechnique"/>
    <x v="0"/>
    <n v="20"/>
    <n v="428"/>
    <n v="18"/>
    <x v="2"/>
    <n v="21.4"/>
    <n v="0.9"/>
    <s v="Forte"/>
  </r>
  <r>
    <s v="Lycée Newton-Enrea"/>
    <n v="92"/>
    <s v="Hauts-de-Seine"/>
    <x v="1"/>
    <s v="BTS - Production - Electrotechnique"/>
    <x v="0"/>
    <n v="30"/>
    <n v="640"/>
    <n v="30"/>
    <x v="2"/>
    <n v="21.333333333333332"/>
    <n v="1"/>
    <s v="Forte"/>
  </r>
  <r>
    <s v="EREA Toulouse Lautrec"/>
    <n v="92"/>
    <s v="Hauts-de-Seine"/>
    <x v="1"/>
    <s v="BTS - Services - Comptabilité et gestion"/>
    <x v="0"/>
    <n v="16"/>
    <n v="341"/>
    <n v="15"/>
    <x v="2"/>
    <n v="21.3125"/>
    <n v="0.9375"/>
    <s v="Forte"/>
  </r>
  <r>
    <s v="Lycée Fernand Leger"/>
    <n v="94"/>
    <s v="Val-de-Marne"/>
    <x v="1"/>
    <s v="BTS - Production - Maintenance des véhicules option voitures particulières"/>
    <x v="0"/>
    <n v="20"/>
    <n v="426"/>
    <n v="15"/>
    <x v="2"/>
    <n v="21.3"/>
    <n v="0.75"/>
    <s v="Forte"/>
  </r>
  <r>
    <s v="Lycée Batiment-Saint-Lambert"/>
    <n v="75"/>
    <s v="Paris"/>
    <x v="1"/>
    <s v="BTS - Production - Enveloppe des bâtiments : conception et réalisation"/>
    <x v="0"/>
    <n v="24"/>
    <n v="511"/>
    <n v="26"/>
    <x v="0"/>
    <n v="21.291666666666668"/>
    <n v="1.0833333333333333"/>
    <s v="Forte"/>
  </r>
  <r>
    <s v="Lycée Parc de Vilgenis"/>
    <n v="91"/>
    <s v="Essonne"/>
    <x v="1"/>
    <s v="BTS - Services - Collaborateur juriste notarial"/>
    <x v="0"/>
    <n v="35"/>
    <n v="745"/>
    <n v="34"/>
    <x v="1"/>
    <n v="21.285714285714285"/>
    <n v="0.97142857142857142"/>
    <s v="Forte"/>
  </r>
  <r>
    <s v="Lycée De L'Hautil"/>
    <n v="95"/>
    <s v="Val-d'oise"/>
    <x v="1"/>
    <s v="BTS - Services - Services informatiques aux organisations"/>
    <x v="0"/>
    <n v="32"/>
    <n v="681"/>
    <n v="26"/>
    <x v="1"/>
    <n v="21.28125"/>
    <n v="0.8125"/>
    <s v="Forte"/>
  </r>
  <r>
    <s v="Lycée professionnel Theophile Gautier"/>
    <n v="75"/>
    <s v="Paris"/>
    <x v="1"/>
    <s v="BTS - Services - Management opérationnel de la sécurité"/>
    <x v="0"/>
    <n v="24"/>
    <n v="508"/>
    <n v="17"/>
    <x v="0"/>
    <n v="21.166666666666668"/>
    <n v="0.70833333333333337"/>
    <s v="Forte"/>
  </r>
  <r>
    <s v="Lycée Henri Wallon"/>
    <n v="93"/>
    <s v="Seine-Saint-Denis"/>
    <x v="1"/>
    <s v="BTS - Services - Comptabilité et gestion"/>
    <x v="0"/>
    <n v="35"/>
    <n v="739"/>
    <n v="33"/>
    <x v="2"/>
    <n v="21.114285714285714"/>
    <n v="0.94285714285714284"/>
    <s v="Forte"/>
  </r>
  <r>
    <s v="Lycée Jean Vilar"/>
    <n v="78"/>
    <s v="Yvelines"/>
    <x v="1"/>
    <s v="BTS - Services - Services informatiques aux organisations"/>
    <x v="0"/>
    <n v="33"/>
    <n v="696"/>
    <n v="33"/>
    <x v="1"/>
    <n v="21.09090909090909"/>
    <n v="1"/>
    <s v="Forte"/>
  </r>
  <r>
    <s v="Lycée polyvalent Nadar - Lycée des métiers de la sécurité, de l'industrie et de la relation client"/>
    <n v="91"/>
    <s v="Essonne"/>
    <x v="1"/>
    <s v="BTS - Services - Management opérationnel de la sécurité"/>
    <x v="0"/>
    <n v="12"/>
    <n v="252"/>
    <n v="11"/>
    <x v="1"/>
    <n v="21"/>
    <n v="0.91666666666666663"/>
    <s v="Forte"/>
  </r>
  <r>
    <s v="Lycée Galilée"/>
    <n v="92"/>
    <s v="Hauts-de-Seine"/>
    <x v="1"/>
    <s v="BTS - Production - Biotechnologie en recherche et en production"/>
    <x v="0"/>
    <n v="30"/>
    <n v="630"/>
    <n v="30"/>
    <x v="2"/>
    <n v="21"/>
    <n v="1"/>
    <s v="Forte"/>
  </r>
  <r>
    <s v="Lycée Louis Armand"/>
    <n v="94"/>
    <s v="Val-de-Marne"/>
    <x v="1"/>
    <s v="BTS - Production - Cybersécurité, Informatique et réseaux, ELectronique - Option B : Electronique et réseaux"/>
    <x v="0"/>
    <n v="24"/>
    <n v="502"/>
    <n v="22"/>
    <x v="2"/>
    <n v="20.916666666666668"/>
    <n v="0.91666666666666663"/>
    <s v="Forte"/>
  </r>
  <r>
    <s v="Lycée polyvalent Simone Veil"/>
    <n v="77"/>
    <s v="Seine-et-Marne"/>
    <x v="1"/>
    <s v="BTS - Production - Cybersécurité, Informatique et réseaux, ELectronique - Option B : Electronique et réseaux"/>
    <x v="0"/>
    <n v="24"/>
    <n v="499"/>
    <n v="23"/>
    <x v="1"/>
    <n v="20.791666666666668"/>
    <n v="0.95833333333333337"/>
    <s v="Forte"/>
  </r>
  <r>
    <s v="Lycée Jean VILAR"/>
    <n v="77"/>
    <s v="Seine-et-Marne"/>
    <x v="1"/>
    <s v="BTS - Services - Commerce International"/>
    <x v="0"/>
    <n v="35"/>
    <n v="727"/>
    <n v="34"/>
    <x v="1"/>
    <n v="20.771428571428572"/>
    <n v="0.97142857142857142"/>
    <s v="Forte"/>
  </r>
  <r>
    <s v="Lycée Batiment-Saint-Lambert"/>
    <n v="75"/>
    <s v="Paris"/>
    <x v="1"/>
    <s v="BTS - Production - Management économique de la construction"/>
    <x v="0"/>
    <n v="30"/>
    <n v="622"/>
    <n v="32"/>
    <x v="0"/>
    <n v="20.733333333333334"/>
    <n v="1.0666666666666667"/>
    <s v="Forte"/>
  </r>
  <r>
    <s v="Lycée professionnel Chenneviere Malezieux"/>
    <n v="75"/>
    <s v="Paris"/>
    <x v="1"/>
    <s v="BTS - Production - Maintenance des systèmes - option D:  maintenance des ascenseurs et élévateurs"/>
    <x v="0"/>
    <n v="24"/>
    <n v="495"/>
    <n v="17"/>
    <x v="0"/>
    <n v="20.625"/>
    <n v="0.70833333333333337"/>
    <s v="Forte"/>
  </r>
  <r>
    <s v="Lycée Jean Jaures"/>
    <n v="95"/>
    <s v="Val-d'oise"/>
    <x v="1"/>
    <s v="BTS - Production - Electrotechnique"/>
    <x v="0"/>
    <n v="30"/>
    <n v="614"/>
    <n v="27"/>
    <x v="1"/>
    <n v="20.466666666666665"/>
    <n v="0.9"/>
    <s v="Forte"/>
  </r>
  <r>
    <s v="Lycée Raspail"/>
    <n v="75"/>
    <s v="Paris"/>
    <x v="1"/>
    <s v="BTS - Production - Maintenance des systèmes - option B Systèmes énergétiques et fluidiques"/>
    <x v="0"/>
    <n v="30"/>
    <n v="614"/>
    <n v="31"/>
    <x v="0"/>
    <n v="20.466666666666665"/>
    <n v="1.0333333333333334"/>
    <s v="Forte"/>
  </r>
  <r>
    <s v="Lycée Charles Le Chauve"/>
    <n v="77"/>
    <s v="Seine-et-Marne"/>
    <x v="1"/>
    <s v="BTS - Services - Banque"/>
    <x v="0"/>
    <n v="35"/>
    <n v="716"/>
    <n v="34"/>
    <x v="1"/>
    <n v="20.457142857142856"/>
    <n v="0.97142857142857142"/>
    <s v="Forte"/>
  </r>
  <r>
    <s v="Lycée D'Alembert-Cuir"/>
    <n v="75"/>
    <s v="Paris"/>
    <x v="1"/>
    <s v="BTS - Production - Métiers de la mode-chaussure et maroquinerie"/>
    <x v="0"/>
    <n v="24"/>
    <n v="488"/>
    <n v="24"/>
    <x v="0"/>
    <n v="20.333333333333332"/>
    <n v="1"/>
    <s v="Forte"/>
  </r>
  <r>
    <s v="Lycée Estienne Esaig"/>
    <n v="75"/>
    <s v="Paris"/>
    <x v="1"/>
    <s v="BTS - Services - Etudes de réalisation d'un projet de communication - 1ère année commune"/>
    <x v="0"/>
    <n v="70"/>
    <n v="1421"/>
    <n v="70"/>
    <x v="0"/>
    <n v="20.3"/>
    <n v="1"/>
    <s v="Forte"/>
  </r>
  <r>
    <s v="Lycée Jean VILAR"/>
    <n v="77"/>
    <s v="Seine-et-Marne"/>
    <x v="1"/>
    <s v="BTS - Services - Management Commercial Opérationnel"/>
    <x v="0"/>
    <n v="35"/>
    <n v="705"/>
    <n v="34"/>
    <x v="1"/>
    <n v="20.142857142857142"/>
    <n v="0.97142857142857142"/>
    <s v="Forte"/>
  </r>
  <r>
    <s v="Lycée Guillaume Budé"/>
    <n v="94"/>
    <s v="Val-de-Marne"/>
    <x v="1"/>
    <s v="BTS - Services - Comptabilité et gestion"/>
    <x v="0"/>
    <n v="35"/>
    <n v="699"/>
    <n v="32"/>
    <x v="2"/>
    <n v="19.971428571428572"/>
    <n v="0.91428571428571426"/>
    <s v="Modérée"/>
  </r>
  <r>
    <s v="Lycée CONDORCET"/>
    <n v="93"/>
    <s v="Seine-Saint-Denis"/>
    <x v="1"/>
    <s v="BTS - Production - Maintenance des véhicules option voitures particulières"/>
    <x v="0"/>
    <n v="24"/>
    <n v="479"/>
    <n v="26"/>
    <x v="2"/>
    <n v="19.958333333333332"/>
    <n v="1.0833333333333333"/>
    <s v="Modérée"/>
  </r>
  <r>
    <s v="Lycée ROSA PARKS"/>
    <n v="91"/>
    <s v="Essonne"/>
    <x v="1"/>
    <s v="BTS - Services - Comptabilité et gestion"/>
    <x v="0"/>
    <n v="35"/>
    <n v="698"/>
    <n v="32"/>
    <x v="1"/>
    <n v="19.942857142857143"/>
    <n v="0.91428571428571426"/>
    <s v="Modérée"/>
  </r>
  <r>
    <s v="Lycée George Sand"/>
    <n v="95"/>
    <s v="Val-d'oise"/>
    <x v="1"/>
    <s v="BTS - Services - Management Commercial Opérationnel"/>
    <x v="0"/>
    <n v="32"/>
    <n v="638"/>
    <n v="35"/>
    <x v="1"/>
    <n v="19.9375"/>
    <n v="1.09375"/>
    <s v="Modérée"/>
  </r>
  <r>
    <s v="Lycée Guillaume Apollinaire"/>
    <n v="94"/>
    <s v="Val-de-Marne"/>
    <x v="1"/>
    <s v="BTS - Services - Comptabilité et gestion"/>
    <x v="0"/>
    <n v="35"/>
    <n v="697"/>
    <n v="35"/>
    <x v="2"/>
    <n v="19.914285714285715"/>
    <n v="1"/>
    <s v="Modérée"/>
  </r>
  <r>
    <s v="Lycée Evariste Galois"/>
    <n v="78"/>
    <s v="Yvelines"/>
    <x v="1"/>
    <s v="BTS - Services - Comptabilité et gestion"/>
    <x v="0"/>
    <n v="35"/>
    <n v="696"/>
    <n v="35"/>
    <x v="1"/>
    <n v="19.885714285714286"/>
    <n v="1"/>
    <s v="Modérée"/>
  </r>
  <r>
    <s v="Lycée Voillaume"/>
    <n v="93"/>
    <s v="Seine-Saint-Denis"/>
    <x v="1"/>
    <s v="BTS - Services - Services informatiques aux organisations"/>
    <x v="0"/>
    <n v="108"/>
    <n v="2147"/>
    <n v="107"/>
    <x v="2"/>
    <n v="19.87962962962963"/>
    <n v="0.9907407407407407"/>
    <s v="Modérée"/>
  </r>
  <r>
    <s v="Lycée Paul Lapie"/>
    <n v="92"/>
    <s v="Hauts-de-Seine"/>
    <x v="1"/>
    <s v="BTS - Services - Assurance"/>
    <x v="0"/>
    <n v="35"/>
    <n v="695"/>
    <n v="28"/>
    <x v="2"/>
    <n v="19.857142857142858"/>
    <n v="0.8"/>
    <s v="Modérée"/>
  </r>
  <r>
    <s v="Lycée Evariste Galois"/>
    <n v="93"/>
    <s v="Seine-Saint-Denis"/>
    <x v="1"/>
    <s v="BTS - Production - Electrotechnique"/>
    <x v="0"/>
    <n v="24"/>
    <n v="476"/>
    <n v="25"/>
    <x v="2"/>
    <n v="19.833333333333332"/>
    <n v="1.0416666666666667"/>
    <s v="Modérée"/>
  </r>
  <r>
    <s v="Lycée Estienne Esaig"/>
    <n v="75"/>
    <s v="Paris"/>
    <x v="1"/>
    <s v="BTS - Services - Edition"/>
    <x v="0"/>
    <n v="30"/>
    <n v="592"/>
    <n v="29"/>
    <x v="0"/>
    <n v="19.733333333333334"/>
    <n v="0.96666666666666667"/>
    <s v="Modérée"/>
  </r>
  <r>
    <s v="Lycée Claude Garamont"/>
    <n v="92"/>
    <s v="Hauts-de-Seine"/>
    <x v="1"/>
    <s v="BTS - Services - Etudes de réalisation d'un projet de communication - 1ère année commune"/>
    <x v="0"/>
    <n v="26"/>
    <n v="513"/>
    <n v="25"/>
    <x v="2"/>
    <n v="19.73076923076923"/>
    <n v="0.96153846153846156"/>
    <s v="Modérée"/>
  </r>
  <r>
    <s v="Lycée Paul Doumer"/>
    <n v="94"/>
    <s v="Val-de-Marne"/>
    <x v="1"/>
    <s v="BTS - Services - Comptabilité et gestion"/>
    <x v="0"/>
    <n v="24"/>
    <n v="472"/>
    <n v="24"/>
    <x v="2"/>
    <n v="19.666666666666668"/>
    <n v="1"/>
    <s v="Modérée"/>
  </r>
  <r>
    <s v="Lycée Diderot"/>
    <n v="75"/>
    <s v="Paris"/>
    <x v="1"/>
    <s v="BTS - Production - Conception de produits industriels"/>
    <x v="0"/>
    <n v="24"/>
    <n v="470"/>
    <n v="21"/>
    <x v="0"/>
    <n v="19.583333333333332"/>
    <n v="0.875"/>
    <s v="Modérée"/>
  </r>
  <r>
    <s v="Lycée Jacques Prevert"/>
    <n v="91"/>
    <s v="Essonne"/>
    <x v="1"/>
    <s v="BTS - Services - Comptabilité et gestion"/>
    <x v="0"/>
    <n v="40"/>
    <n v="783"/>
    <n v="39"/>
    <x v="1"/>
    <n v="19.574999999999999"/>
    <n v="0.97499999999999998"/>
    <s v="Modérée"/>
  </r>
  <r>
    <s v="Lycée Parc de Vilgenis"/>
    <n v="91"/>
    <s v="Essonne"/>
    <x v="1"/>
    <s v="BTS - Production - Assistance technique d'ingénieur"/>
    <x v="0"/>
    <n v="24"/>
    <n v="467"/>
    <n v="24"/>
    <x v="1"/>
    <n v="19.458333333333332"/>
    <n v="1"/>
    <s v="Modérée"/>
  </r>
  <r>
    <s v="Lycée Jean Mace"/>
    <n v="94"/>
    <s v="Val-de-Marne"/>
    <x v="1"/>
    <s v="BTS - Services - Comptabilité et gestion"/>
    <x v="0"/>
    <n v="35"/>
    <n v="672"/>
    <n v="34"/>
    <x v="2"/>
    <n v="19.2"/>
    <n v="0.97142857142857142"/>
    <s v="Modérée"/>
  </r>
  <r>
    <s v="Lycée Leonard De Vinci"/>
    <n v="92"/>
    <s v="Hauts-de-Seine"/>
    <x v="1"/>
    <s v="BTS - Production - Conception et industrialisation en microtechniques"/>
    <x v="0"/>
    <n v="12"/>
    <n v="229"/>
    <n v="11"/>
    <x v="2"/>
    <n v="19.083333333333332"/>
    <n v="0.91666666666666663"/>
    <s v="Modérée"/>
  </r>
  <r>
    <s v="Lycée Francois Couperin"/>
    <n v="77"/>
    <s v="Seine-et-Marne"/>
    <x v="1"/>
    <s v="BTS - Services - Management Commercial Opérationnel"/>
    <x v="0"/>
    <n v="35"/>
    <n v="665"/>
    <n v="35"/>
    <x v="1"/>
    <n v="19"/>
    <n v="1"/>
    <s v="Modérée"/>
  </r>
  <r>
    <s v="Lycée Maximilien Perret (Batiment)"/>
    <n v="94"/>
    <s v="Val-de-Marne"/>
    <x v="1"/>
    <s v="BTS - Production - Fluide, énergie, domotique - option C domotique et bâtiment communicants"/>
    <x v="0"/>
    <n v="24"/>
    <n v="456"/>
    <n v="27"/>
    <x v="2"/>
    <n v="19"/>
    <n v="1.125"/>
    <s v="Modérée"/>
  </r>
  <r>
    <s v="Lycée Parc de Vilgenis"/>
    <n v="91"/>
    <s v="Essonne"/>
    <x v="1"/>
    <s v="BTS - Services - Conseil et commercialisation de solutions techniques"/>
    <x v="0"/>
    <n v="24"/>
    <n v="454"/>
    <n v="21"/>
    <x v="1"/>
    <n v="18.916666666666668"/>
    <n v="0.875"/>
    <s v="Modérée"/>
  </r>
  <r>
    <s v="Lycée E. Mounier"/>
    <n v="92"/>
    <s v="Hauts-de-Seine"/>
    <x v="1"/>
    <s v="BTS - Services - Gestion de la PME"/>
    <x v="0"/>
    <n v="32"/>
    <n v="605"/>
    <n v="31"/>
    <x v="2"/>
    <n v="18.90625"/>
    <n v="0.96875"/>
    <s v="Modérée"/>
  </r>
  <r>
    <s v="Lycée Pierre-Gilles de Gennes - ENCPB"/>
    <n v="75"/>
    <s v="Paris"/>
    <x v="1"/>
    <s v="BTS - Production - Contrôle industriel et régulation automatique"/>
    <x v="0"/>
    <n v="24"/>
    <n v="452"/>
    <n v="27"/>
    <x v="0"/>
    <n v="18.833333333333332"/>
    <n v="1.125"/>
    <s v="Modérée"/>
  </r>
  <r>
    <s v="Lycée professionnel Jean-Pierre Timbaud"/>
    <n v="93"/>
    <s v="Seine-Saint-Denis"/>
    <x v="1"/>
    <s v="BTS - Services - Métiers des Services à l'environnement"/>
    <x v="0"/>
    <n v="20"/>
    <n v="375"/>
    <n v="21"/>
    <x v="2"/>
    <n v="18.75"/>
    <n v="1.05"/>
    <s v="Modérée"/>
  </r>
  <r>
    <s v="Lycée Georges Braque"/>
    <n v="95"/>
    <s v="Val-d'oise"/>
    <x v="1"/>
    <s v="BTS - Services - Support à l'action managériale"/>
    <x v="0"/>
    <n v="35"/>
    <n v="646"/>
    <n v="35"/>
    <x v="1"/>
    <n v="18.457142857142856"/>
    <n v="1"/>
    <s v="Modérée"/>
  </r>
  <r>
    <s v="Lycée Plaine De Neauphle"/>
    <n v="78"/>
    <s v="Yvelines"/>
    <x v="1"/>
    <s v="BTS - Services - Professions immobilières"/>
    <x v="0"/>
    <n v="33"/>
    <n v="609"/>
    <n v="22"/>
    <x v="1"/>
    <n v="18.454545454545453"/>
    <n v="0.66666666666666663"/>
    <s v="Modérée"/>
  </r>
  <r>
    <s v="Lycée Pierre-Gilles de Gennes - ENCPB"/>
    <n v="75"/>
    <s v="Paris"/>
    <x v="1"/>
    <s v="BTS - Production - Métiers de la chimie"/>
    <x v="0"/>
    <n v="60"/>
    <n v="1107"/>
    <n v="62"/>
    <x v="0"/>
    <n v="18.45"/>
    <n v="1.0333333333333334"/>
    <s v="Modérée"/>
  </r>
  <r>
    <s v="Lycée Raspail"/>
    <n v="75"/>
    <s v="Paris"/>
    <x v="1"/>
    <s v="BTS - Services - Conseil et commercialisation de solutions techniques"/>
    <x v="0"/>
    <n v="35"/>
    <n v="643"/>
    <n v="34"/>
    <x v="0"/>
    <n v="18.37142857142857"/>
    <n v="0.97142857142857142"/>
    <s v="Modérée"/>
  </r>
  <r>
    <s v="Lycée agricole Bougainville"/>
    <n v="77"/>
    <s v="Seine-et-Marne"/>
    <x v="1"/>
    <s v="BTS - Agricole - Métiers de l'élevage: développement, production et conseil"/>
    <x v="0"/>
    <n v="14"/>
    <n v="257"/>
    <n v="11"/>
    <x v="1"/>
    <n v="18.357142857142858"/>
    <n v="0.7857142857142857"/>
    <s v="Modérée"/>
  </r>
  <r>
    <s v="Lycée Montalembert"/>
    <n v="92"/>
    <s v="Hauts-de-Seine"/>
    <x v="1"/>
    <s v="BTS - Services - Commerce International"/>
    <x v="0"/>
    <n v="37"/>
    <n v="678"/>
    <n v="32"/>
    <x v="2"/>
    <n v="18.324324324324323"/>
    <n v="0.86486486486486491"/>
    <s v="Modérée"/>
  </r>
  <r>
    <s v="Lycée Jean-Pierre Vernant"/>
    <n v="92"/>
    <s v="Hauts-de-Seine"/>
    <x v="1"/>
    <s v="BTS - Services - Gestion de la PME"/>
    <x v="0"/>
    <n v="35"/>
    <n v="641"/>
    <n v="33"/>
    <x v="2"/>
    <n v="18.314285714285713"/>
    <n v="0.94285714285714284"/>
    <s v="Modérée"/>
  </r>
  <r>
    <s v="Lycée Jean-Baptiste de La Salle"/>
    <n v="93"/>
    <s v="Seine-Saint-Denis"/>
    <x v="1"/>
    <s v="BTS - Production - Cybersécurité, Informatique et réseaux, ELectronique - Option A : Informatique et réseaux"/>
    <x v="0"/>
    <n v="18"/>
    <n v="326"/>
    <n v="17"/>
    <x v="2"/>
    <n v="18.111111111111111"/>
    <n v="0.94444444444444442"/>
    <s v="Modérée"/>
  </r>
  <r>
    <s v="Lycée Jean Mace"/>
    <n v="94"/>
    <s v="Val-de-Marne"/>
    <x v="1"/>
    <s v="BTS - Services - Conseil et commercialisation de solutions techniques"/>
    <x v="0"/>
    <n v="24"/>
    <n v="433"/>
    <n v="19"/>
    <x v="2"/>
    <n v="18.041666666666668"/>
    <n v="0.79166666666666663"/>
    <s v="Modérée"/>
  </r>
  <r>
    <s v="Lycée polyvalent de Cachan"/>
    <n v="94"/>
    <s v="Val-de-Marne"/>
    <x v="1"/>
    <s v="BTS - Production - Conception et Réalisation de Systèmes Automatiques"/>
    <x v="0"/>
    <n v="30"/>
    <n v="541"/>
    <n v="27"/>
    <x v="2"/>
    <n v="18.033333333333335"/>
    <n v="0.9"/>
    <s v="Modérée"/>
  </r>
  <r>
    <s v="LYCEE POLYVALENT GUSTAVE MONOD"/>
    <n v="95"/>
    <s v="Val-d'oise"/>
    <x v="1"/>
    <s v="BTS - Production - Electrotechnique"/>
    <x v="0"/>
    <n v="24"/>
    <n v="431"/>
    <n v="24"/>
    <x v="1"/>
    <n v="17.958333333333332"/>
    <n v="1"/>
    <s v="Modérée"/>
  </r>
  <r>
    <s v="Lycée Jean Pierre Timbaud"/>
    <n v="91"/>
    <s v="Essonne"/>
    <x v="1"/>
    <s v="BTS - Production - Bâtiment"/>
    <x v="0"/>
    <n v="30"/>
    <n v="536"/>
    <n v="26"/>
    <x v="1"/>
    <n v="17.866666666666667"/>
    <n v="0.8666666666666667"/>
    <s v="Modérée"/>
  </r>
  <r>
    <s v="Lycée CONDORCET"/>
    <n v="93"/>
    <s v="Seine-Saint-Denis"/>
    <x v="1"/>
    <s v="BTS - Production - Maintenance des systèmes - option A Systèmes de production"/>
    <x v="0"/>
    <n v="30"/>
    <n v="535"/>
    <n v="26"/>
    <x v="2"/>
    <n v="17.833333333333332"/>
    <n v="0.8666666666666667"/>
    <s v="Modérée"/>
  </r>
  <r>
    <s v="Lycée Fragonard"/>
    <n v="95"/>
    <s v="Val-d'oise"/>
    <x v="1"/>
    <s v="BTS - Services - Professions immobilières"/>
    <x v="0"/>
    <n v="35"/>
    <n v="619"/>
    <n v="28"/>
    <x v="1"/>
    <n v="17.685714285714287"/>
    <n v="0.8"/>
    <s v="Modérée"/>
  </r>
  <r>
    <s v="Lycée Guillaume Budé"/>
    <n v="94"/>
    <s v="Val-de-Marne"/>
    <x v="1"/>
    <s v="BTS - Services - Economie sociale familiale"/>
    <x v="0"/>
    <n v="24"/>
    <n v="424"/>
    <n v="23"/>
    <x v="2"/>
    <n v="17.666666666666668"/>
    <n v="0.95833333333333337"/>
    <s v="Modérée"/>
  </r>
  <r>
    <s v="Lycée Jean Baptiste Corot"/>
    <n v="91"/>
    <s v="Essonne"/>
    <x v="1"/>
    <s v="BTS - Services - Support à l'action managériale"/>
    <x v="0"/>
    <n v="36"/>
    <n v="635"/>
    <n v="36"/>
    <x v="1"/>
    <n v="17.638888888888889"/>
    <n v="1"/>
    <s v="Modérée"/>
  </r>
  <r>
    <s v="Lycée Elisa Lemonnier"/>
    <n v="75"/>
    <s v="Paris"/>
    <x v="1"/>
    <s v="BTS - Services - Métiers de la coiffure"/>
    <x v="0"/>
    <n v="15"/>
    <n v="264"/>
    <n v="13"/>
    <x v="0"/>
    <n v="17.600000000000001"/>
    <n v="0.8666666666666667"/>
    <s v="Modérée"/>
  </r>
  <r>
    <s v="Lycée Voillaume"/>
    <n v="93"/>
    <s v="Seine-Saint-Denis"/>
    <x v="1"/>
    <s v="BTS - Production - Electrotechnique"/>
    <x v="0"/>
    <n v="24"/>
    <n v="419"/>
    <n v="18"/>
    <x v="2"/>
    <n v="17.458333333333332"/>
    <n v="0.75"/>
    <s v="Modérée"/>
  </r>
  <r>
    <s v="Lycée polyvalent Missak et Mélinée Manouchian"/>
    <n v="92"/>
    <s v="Hauts-de-Seine"/>
    <x v="1"/>
    <s v="BTS - Services - Services et prestations des secteurs sanitaire et social"/>
    <x v="0"/>
    <n v="32"/>
    <n v="558"/>
    <n v="25"/>
    <x v="2"/>
    <n v="17.4375"/>
    <n v="0.78125"/>
    <s v="Modérée"/>
  </r>
  <r>
    <s v="Lycée Diderot"/>
    <n v="75"/>
    <s v="Paris"/>
    <x v="1"/>
    <s v="BTS - Production - Conception et industrialisation en microtechniques"/>
    <x v="0"/>
    <n v="24"/>
    <n v="418"/>
    <n v="19"/>
    <x v="0"/>
    <n v="17.416666666666668"/>
    <n v="0.79166666666666663"/>
    <s v="Modérée"/>
  </r>
  <r>
    <s v="LYCEE POLYVALENT GUSTAVE MONOD"/>
    <n v="95"/>
    <s v="Val-d'oise"/>
    <x v="1"/>
    <s v="BTS - Services - Conseil et commercialisation de solutions techniques"/>
    <x v="0"/>
    <n v="28"/>
    <n v="487"/>
    <n v="26"/>
    <x v="1"/>
    <n v="17.392857142857142"/>
    <n v="0.9285714285714286"/>
    <s v="Modérée"/>
  </r>
  <r>
    <s v="Lycée Albert de Mun"/>
    <n v="75"/>
    <s v="Paris"/>
    <x v="1"/>
    <s v="BTS - Production - Métiers de la mode-vêtements"/>
    <x v="0"/>
    <n v="45"/>
    <n v="781"/>
    <n v="46"/>
    <x v="0"/>
    <n v="17.355555555555554"/>
    <n v="1.0222222222222221"/>
    <s v="Modérée"/>
  </r>
  <r>
    <s v="Lycée Parc de Vilgenis"/>
    <n v="91"/>
    <s v="Essonne"/>
    <x v="1"/>
    <s v="BTS - Services - Support à l'action managériale"/>
    <x v="0"/>
    <n v="35"/>
    <n v="607"/>
    <n v="34"/>
    <x v="1"/>
    <n v="17.342857142857142"/>
    <n v="0.97142857142857142"/>
    <s v="Modérée"/>
  </r>
  <r>
    <s v="Lycée Raspail"/>
    <n v="75"/>
    <s v="Paris"/>
    <x v="1"/>
    <s v="BTS - Production - Fluide, énergie, domotique - option A génie climatique et fluidique"/>
    <x v="0"/>
    <n v="30"/>
    <n v="520"/>
    <n v="28"/>
    <x v="0"/>
    <n v="17.333333333333332"/>
    <n v="0.93333333333333335"/>
    <s v="Modérée"/>
  </r>
  <r>
    <s v="Lycée Robert Doisneau"/>
    <n v="91"/>
    <s v="Essonne"/>
    <x v="1"/>
    <s v="BTS - Production - Electrotechnique"/>
    <x v="0"/>
    <n v="22"/>
    <n v="381"/>
    <n v="22"/>
    <x v="1"/>
    <n v="17.318181818181817"/>
    <n v="1"/>
    <s v="Modérée"/>
  </r>
  <r>
    <s v="Lycée Rene Cassin"/>
    <n v="91"/>
    <s v="Essonne"/>
    <x v="1"/>
    <s v="BTS - Services - Comptabilité et gestion"/>
    <x v="0"/>
    <n v="35"/>
    <n v="606"/>
    <n v="29"/>
    <x v="1"/>
    <n v="17.314285714285713"/>
    <n v="0.82857142857142863"/>
    <s v="Modérée"/>
  </r>
  <r>
    <s v="Lycée Adolphe Cherioux"/>
    <n v="94"/>
    <s v="Val-de-Marne"/>
    <x v="1"/>
    <s v="BTS - Production - Electrotechnique"/>
    <x v="0"/>
    <n v="24"/>
    <n v="414"/>
    <n v="20"/>
    <x v="2"/>
    <n v="17.25"/>
    <n v="0.83333333333333337"/>
    <s v="Modérée"/>
  </r>
  <r>
    <s v="Lycée Maximilien Perret (Batiment)"/>
    <n v="94"/>
    <s v="Val-de-Marne"/>
    <x v="1"/>
    <s v="BTS - Production - Maintenance des systèmes - option B Systèmes énergétiques et fluidiques"/>
    <x v="0"/>
    <n v="24"/>
    <n v="413"/>
    <n v="24"/>
    <x v="2"/>
    <n v="17.208333333333332"/>
    <n v="1"/>
    <s v="Modérée"/>
  </r>
  <r>
    <s v="Lycée Jean Pierre Timbaud"/>
    <n v="91"/>
    <s v="Essonne"/>
    <x v="1"/>
    <s v="BTS - Production - Architectures en Métal : conception et Réalisation"/>
    <x v="0"/>
    <n v="15"/>
    <n v="258"/>
    <n v="14"/>
    <x v="1"/>
    <n v="17.2"/>
    <n v="0.93333333333333335"/>
    <s v="Modérée"/>
  </r>
  <r>
    <s v="Lycée Newton-Enrea"/>
    <n v="92"/>
    <s v="Hauts-de-Seine"/>
    <x v="1"/>
    <s v="BTS - Production - Maintenance des systèmes - option A Systèmes de production"/>
    <x v="0"/>
    <n v="30"/>
    <n v="515"/>
    <n v="21"/>
    <x v="2"/>
    <n v="17.166666666666668"/>
    <n v="0.7"/>
    <s v="Modérée"/>
  </r>
  <r>
    <s v="Lycée Jehan De Chelles"/>
    <n v="77"/>
    <s v="Seine-et-Marne"/>
    <x v="1"/>
    <s v="BTS - Services - Services et prestations des secteurs sanitaire et social"/>
    <x v="0"/>
    <n v="35"/>
    <n v="600"/>
    <n v="31"/>
    <x v="1"/>
    <n v="17.142857142857142"/>
    <n v="0.88571428571428568"/>
    <s v="Modérée"/>
  </r>
  <r>
    <s v="Lycée Marcel Cachin"/>
    <n v="93"/>
    <s v="Seine-Saint-Denis"/>
    <x v="1"/>
    <s v="BTS - Production - Fluide, énergie, domotique - option A génie climatique et fluidique"/>
    <x v="0"/>
    <n v="24"/>
    <n v="411"/>
    <n v="22"/>
    <x v="2"/>
    <n v="17.125"/>
    <n v="0.91666666666666663"/>
    <s v="Modérée"/>
  </r>
  <r>
    <s v="Lycée René Cassin"/>
    <n v="95"/>
    <s v="Val-d'oise"/>
    <x v="1"/>
    <s v="BTS - Services - Comptabilité et gestion"/>
    <x v="0"/>
    <n v="34"/>
    <n v="578"/>
    <n v="33"/>
    <x v="1"/>
    <n v="17"/>
    <n v="0.97058823529411764"/>
    <s v="Modérée"/>
  </r>
  <r>
    <s v="Lycée Jean-Jacques Rousseau"/>
    <n v="95"/>
    <s v="Val-d'oise"/>
    <x v="1"/>
    <s v="BTS - Services - Support à l'action managériale"/>
    <x v="0"/>
    <n v="35"/>
    <n v="595"/>
    <n v="34"/>
    <x v="1"/>
    <n v="17"/>
    <n v="0.97142857142857142"/>
    <s v="Modérée"/>
  </r>
  <r>
    <s v="Lycée des Métiers Dorian"/>
    <n v="75"/>
    <s v="Paris"/>
    <x v="1"/>
    <s v="BTS - Production - Métiers du géomètre-topographe et de la modélisation numérique"/>
    <x v="0"/>
    <n v="24"/>
    <n v="406"/>
    <n v="21"/>
    <x v="0"/>
    <n v="16.916666666666668"/>
    <n v="0.875"/>
    <s v="Modérée"/>
  </r>
  <r>
    <s v="Lycée Jacques Prevert"/>
    <n v="95"/>
    <s v="Val-d'oise"/>
    <x v="1"/>
    <s v="BTS - Services - Comptabilité et gestion"/>
    <x v="0"/>
    <n v="35"/>
    <n v="592"/>
    <n v="35"/>
    <x v="1"/>
    <n v="16.914285714285715"/>
    <n v="1"/>
    <s v="Modérée"/>
  </r>
  <r>
    <s v="Lycée Jacques Prevert"/>
    <n v="91"/>
    <s v="Essonne"/>
    <x v="1"/>
    <s v="BTS - Services - Support à l'action managériale"/>
    <x v="0"/>
    <n v="35"/>
    <n v="591"/>
    <n v="32"/>
    <x v="1"/>
    <n v="16.885714285714286"/>
    <n v="0.91428571428571426"/>
    <s v="Modérée"/>
  </r>
  <r>
    <s v="Lycée ROSA PARKS"/>
    <n v="91"/>
    <s v="Essonne"/>
    <x v="1"/>
    <s v="BTS - Services - Support à l'action managériale"/>
    <x v="0"/>
    <n v="35"/>
    <n v="590"/>
    <n v="30"/>
    <x v="1"/>
    <n v="16.857142857142858"/>
    <n v="0.8571428571428571"/>
    <s v="Modérée"/>
  </r>
  <r>
    <s v="Lycée du Parc des Loges"/>
    <n v="91"/>
    <s v="Essonne"/>
    <x v="1"/>
    <s v="BTS - Production - Biotechnologie en recherche et en production"/>
    <x v="0"/>
    <n v="24"/>
    <n v="404"/>
    <n v="22"/>
    <x v="1"/>
    <n v="16.833333333333332"/>
    <n v="0.91666666666666663"/>
    <s v="Modérée"/>
  </r>
  <r>
    <s v="Lycée Auguste Renoir"/>
    <n v="75"/>
    <s v="Paris"/>
    <x v="1"/>
    <s v="BTS - Services - Photographie"/>
    <x v="0"/>
    <n v="24"/>
    <n v="403"/>
    <n v="24"/>
    <x v="0"/>
    <n v="16.791666666666668"/>
    <n v="1"/>
    <s v="Modérée"/>
  </r>
  <r>
    <s v="Lycée Edouard Branly"/>
    <n v="94"/>
    <s v="Val-de-Marne"/>
    <x v="1"/>
    <s v="BTS - Production - Maintenance des systèmes - option A Systèmes de production"/>
    <x v="0"/>
    <n v="48"/>
    <n v="805"/>
    <n v="39"/>
    <x v="2"/>
    <n v="16.770833333333332"/>
    <n v="0.8125"/>
    <s v="Modérée"/>
  </r>
  <r>
    <s v="Lycée polyvalent La Fayette"/>
    <n v="77"/>
    <s v="Seine-et-Marne"/>
    <x v="1"/>
    <s v="BTS - Production - Cybersécurité, Informatique et réseaux, ELectronique - Option A : Informatique et réseaux"/>
    <x v="0"/>
    <n v="28"/>
    <n v="468"/>
    <n v="28"/>
    <x v="1"/>
    <n v="16.714285714285715"/>
    <n v="1"/>
    <s v="Modérée"/>
  </r>
  <r>
    <s v="Lycée agricole Bougainville"/>
    <n v="77"/>
    <s v="Seine-et-Marne"/>
    <x v="1"/>
    <s v="BTS - Agricole - Aménagements paysagers"/>
    <x v="0"/>
    <n v="10"/>
    <n v="167"/>
    <n v="8"/>
    <x v="1"/>
    <n v="16.7"/>
    <n v="0.8"/>
    <s v="Modérée"/>
  </r>
  <r>
    <s v="Lycée Vaucanson"/>
    <n v="78"/>
    <s v="Yvelines"/>
    <x v="1"/>
    <s v="BTS - Services - Gestion de la PME"/>
    <x v="0"/>
    <n v="25"/>
    <n v="417"/>
    <n v="20"/>
    <x v="1"/>
    <n v="16.68"/>
    <n v="0.8"/>
    <s v="Modérée"/>
  </r>
  <r>
    <s v="Lycée Descartes"/>
    <n v="78"/>
    <s v="Yvelines"/>
    <x v="1"/>
    <s v="BTS - Services - Gestion de la PME"/>
    <x v="0"/>
    <n v="35"/>
    <n v="579"/>
    <n v="34"/>
    <x v="1"/>
    <n v="16.542857142857144"/>
    <n v="0.97142857142857142"/>
    <s v="Modérée"/>
  </r>
  <r>
    <s v="Lycée professionnel VIRGINIA HENDERSON"/>
    <n v="95"/>
    <s v="Val-d'oise"/>
    <x v="1"/>
    <s v="BTS - Services - Economie sociale familiale"/>
    <x v="0"/>
    <n v="28"/>
    <n v="462"/>
    <n v="18"/>
    <x v="1"/>
    <n v="16.5"/>
    <n v="0.6428571428571429"/>
    <s v="Modérée"/>
  </r>
  <r>
    <s v="Lycée Nicolas-Joseph Cugnot"/>
    <n v="93"/>
    <s v="Seine-Saint-Denis"/>
    <x v="1"/>
    <s v="BTS - Production - Maintenance des véhicules option voitures particulières"/>
    <x v="0"/>
    <n v="20"/>
    <n v="327"/>
    <n v="23"/>
    <x v="2"/>
    <n v="16.350000000000001"/>
    <n v="1.1499999999999999"/>
    <s v="Modérée"/>
  </r>
  <r>
    <s v="Lycée Parc de Vilgenis"/>
    <n v="91"/>
    <s v="Essonne"/>
    <x v="1"/>
    <s v="BTS - Production - Conception et Réalisation de Systèmes Automatiques"/>
    <x v="0"/>
    <n v="24"/>
    <n v="392"/>
    <n v="24"/>
    <x v="1"/>
    <n v="16.333333333333332"/>
    <n v="1"/>
    <s v="Modérée"/>
  </r>
  <r>
    <s v="Lycée professionnel Charles Baudelaire"/>
    <n v="77"/>
    <s v="Seine-et-Marne"/>
    <x v="1"/>
    <s v="BTS - Services - Support à l'action managériale"/>
    <x v="0"/>
    <n v="30"/>
    <n v="489"/>
    <n v="28"/>
    <x v="1"/>
    <n v="16.3"/>
    <n v="0.93333333333333335"/>
    <s v="Modérée"/>
  </r>
  <r>
    <s v="Lycée Raspail"/>
    <n v="75"/>
    <s v="Paris"/>
    <x v="1"/>
    <s v="BTS - Production - Fluide, énergie, domotique - option C domotique et bâtiment communicants"/>
    <x v="0"/>
    <n v="30"/>
    <n v="488"/>
    <n v="29"/>
    <x v="0"/>
    <n v="16.266666666666666"/>
    <n v="0.96666666666666667"/>
    <s v="Modérée"/>
  </r>
  <r>
    <s v="IPAG Business School - Campus de Paris"/>
    <n v="75"/>
    <s v="Paris"/>
    <x v="1"/>
    <s v="BTS - Services - Management Commercial Opérationnel"/>
    <x v="0"/>
    <n v="60"/>
    <n v="961"/>
    <n v="34"/>
    <x v="0"/>
    <n v="16.016666666666666"/>
    <n v="0.56666666666666665"/>
    <s v="Modérée"/>
  </r>
  <r>
    <s v="Lycée Robert Doisneau"/>
    <n v="91"/>
    <s v="Essonne"/>
    <x v="1"/>
    <s v="BTS - Production - Conception de produits industriels"/>
    <x v="0"/>
    <n v="26"/>
    <n v="415"/>
    <n v="23"/>
    <x v="1"/>
    <n v="15.961538461538462"/>
    <n v="0.88461538461538458"/>
    <s v="Modérée"/>
  </r>
  <r>
    <s v="Lycée Charles De Foucauld"/>
    <n v="75"/>
    <s v="Paris"/>
    <x v="1"/>
    <s v="BTS - Services - Négociation et digitalisation de la Relation Client"/>
    <x v="0"/>
    <n v="37"/>
    <n v="589"/>
    <n v="24"/>
    <x v="0"/>
    <n v="15.918918918918919"/>
    <n v="0.64864864864864868"/>
    <s v="Modérée"/>
  </r>
  <r>
    <s v="Lycée Saint-Nicolas"/>
    <n v="75"/>
    <s v="Paris"/>
    <x v="1"/>
    <s v="BTS - Services - Comptabilité et gestion"/>
    <x v="0"/>
    <n v="35"/>
    <n v="557"/>
    <n v="31"/>
    <x v="0"/>
    <n v="15.914285714285715"/>
    <n v="0.88571428571428568"/>
    <s v="Modérée"/>
  </r>
  <r>
    <s v="Lycée Pierre Mendes-France"/>
    <n v="77"/>
    <s v="Seine-et-Marne"/>
    <x v="1"/>
    <s v="BTS - Services - Comptabilité et gestion"/>
    <x v="0"/>
    <n v="35"/>
    <n v="553"/>
    <n v="30"/>
    <x v="1"/>
    <n v="15.8"/>
    <n v="0.8571428571428571"/>
    <s v="Modérée"/>
  </r>
  <r>
    <s v="Lycée Georges Pompidou/Michel Ange"/>
    <n v="92"/>
    <s v="Hauts-de-Seine"/>
    <x v="1"/>
    <s v="BTS - Services - Support à l'action managériale"/>
    <x v="0"/>
    <n v="38"/>
    <n v="597"/>
    <n v="38"/>
    <x v="2"/>
    <n v="15.710526315789474"/>
    <n v="1"/>
    <s v="Modérée"/>
  </r>
  <r>
    <s v="Lycée George Sand"/>
    <n v="77"/>
    <s v="Seine-et-Marne"/>
    <x v="1"/>
    <s v="BTS - Services - Support à l'action managériale"/>
    <x v="0"/>
    <n v="24"/>
    <n v="375"/>
    <n v="20"/>
    <x v="1"/>
    <n v="15.625"/>
    <n v="0.83333333333333337"/>
    <s v="Modérée"/>
  </r>
  <r>
    <s v="Lycée Maximilien Perret (Batiment)"/>
    <n v="94"/>
    <s v="Val-de-Marne"/>
    <x v="1"/>
    <s v="BTS - Production - Fluide, énergie, domotique - option A génie climatique et fluidique"/>
    <x v="0"/>
    <n v="24"/>
    <n v="373"/>
    <n v="24"/>
    <x v="2"/>
    <n v="15.541666666666666"/>
    <n v="1"/>
    <s v="Modérée"/>
  </r>
  <r>
    <s v="Lycée Saint Exupéry"/>
    <n v="78"/>
    <s v="Yvelines"/>
    <x v="1"/>
    <s v="BTS - Services - Support à l'action managériale"/>
    <x v="0"/>
    <n v="30"/>
    <n v="465"/>
    <n v="28"/>
    <x v="1"/>
    <n v="15.5"/>
    <n v="0.93333333333333335"/>
    <s v="Modérée"/>
  </r>
  <r>
    <s v="Lycée Pierre Corneille"/>
    <n v="78"/>
    <s v="Yvelines"/>
    <x v="1"/>
    <s v="BTS - Services - Banque"/>
    <x v="0"/>
    <n v="32"/>
    <n v="494"/>
    <n v="32"/>
    <x v="1"/>
    <n v="15.4375"/>
    <n v="1"/>
    <s v="Modérée"/>
  </r>
  <r>
    <s v="Lycée Galilée"/>
    <n v="92"/>
    <s v="Hauts-de-Seine"/>
    <x v="1"/>
    <s v="BTS - Production - Métiers de la chimie"/>
    <x v="0"/>
    <n v="30"/>
    <n v="462"/>
    <n v="28"/>
    <x v="2"/>
    <n v="15.4"/>
    <n v="0.93333333333333335"/>
    <s v="Modérée"/>
  </r>
  <r>
    <s v="Lycée Pierre-Gilles de Gennes - ENCPB"/>
    <n v="75"/>
    <s v="Paris"/>
    <x v="1"/>
    <s v="BTS - Production - Bioqualité"/>
    <x v="0"/>
    <n v="30"/>
    <n v="458"/>
    <n v="40"/>
    <x v="0"/>
    <n v="15.266666666666667"/>
    <n v="1.3333333333333333"/>
    <s v="Modérée"/>
  </r>
  <r>
    <s v="Lycée Notre Dame du Grandchamp"/>
    <n v="78"/>
    <s v="Yvelines"/>
    <x v="1"/>
    <s v="BTS - Services - Management Commercial Opérationnel"/>
    <x v="0"/>
    <n v="35"/>
    <n v="534"/>
    <n v="25"/>
    <x v="1"/>
    <n v="15.257142857142858"/>
    <n v="0.7142857142857143"/>
    <s v="Modérée"/>
  </r>
  <r>
    <s v="Lycée Polyvalent Institut Saint Pierre"/>
    <n v="91"/>
    <s v="Essonne"/>
    <x v="1"/>
    <s v="BTS - Services - Commerce International"/>
    <x v="0"/>
    <n v="36"/>
    <n v="549"/>
    <n v="0"/>
    <x v="1"/>
    <n v="15.25"/>
    <n v="0"/>
    <s v="Modérée"/>
  </r>
  <r>
    <s v="Lycée Raspail"/>
    <n v="75"/>
    <s v="Paris"/>
    <x v="1"/>
    <s v="BTS - Production - Fluide, énergie, domotique - option B froid et conditionnement d'air"/>
    <x v="0"/>
    <n v="30"/>
    <n v="457"/>
    <n v="33"/>
    <x v="0"/>
    <n v="15.233333333333333"/>
    <n v="1.1000000000000001"/>
    <s v="Modérée"/>
  </r>
  <r>
    <s v="Lycée Louis Bascan"/>
    <n v="78"/>
    <s v="Yvelines"/>
    <x v="1"/>
    <s v="BTS - Services - Management Commercial Opérationnel"/>
    <x v="0"/>
    <n v="35"/>
    <n v="533"/>
    <n v="32"/>
    <x v="1"/>
    <n v="15.228571428571428"/>
    <n v="0.91428571428571426"/>
    <s v="Modérée"/>
  </r>
  <r>
    <s v="LGT SAINTE MARIE"/>
    <n v="94"/>
    <s v="Val-de-Marne"/>
    <x v="1"/>
    <s v="BTS - Services - Services informatiques aux organisations"/>
    <x v="0"/>
    <n v="30"/>
    <n v="456"/>
    <n v="27"/>
    <x v="2"/>
    <n v="15.2"/>
    <n v="0.9"/>
    <s v="Modérée"/>
  </r>
  <r>
    <s v="Lycée Léonard de Vinci"/>
    <n v="78"/>
    <s v="Yvelines"/>
    <x v="1"/>
    <s v="BTS - Production - Electrotechnique"/>
    <x v="0"/>
    <n v="26"/>
    <n v="394"/>
    <n v="20"/>
    <x v="1"/>
    <n v="15.153846153846153"/>
    <n v="0.76923076923076927"/>
    <s v="Modérée"/>
  </r>
  <r>
    <s v="Lycée professionnel Lino Ventura"/>
    <n v="77"/>
    <s v="Seine-et-Marne"/>
    <x v="1"/>
    <s v="BTS - Services - Economie sociale familiale"/>
    <x v="0"/>
    <n v="23"/>
    <n v="348"/>
    <n v="15"/>
    <x v="1"/>
    <n v="15.130434782608695"/>
    <n v="0.65217391304347827"/>
    <s v="Modérée"/>
  </r>
  <r>
    <s v="Lycée Arthur Rimbaud"/>
    <n v="95"/>
    <s v="Val-d'oise"/>
    <x v="1"/>
    <s v="BTS - Production - Maintenance des véhicules option voitures particulières"/>
    <x v="0"/>
    <n v="20"/>
    <n v="302"/>
    <n v="23"/>
    <x v="1"/>
    <n v="15.1"/>
    <n v="1.1499999999999999"/>
    <s v="Modérée"/>
  </r>
  <r>
    <s v="Lycée Leonard De Vinci"/>
    <n v="91"/>
    <s v="Essonne"/>
    <x v="1"/>
    <s v="BTS - Services - Economie sociale familiale"/>
    <x v="0"/>
    <n v="32"/>
    <n v="483"/>
    <n v="27"/>
    <x v="1"/>
    <n v="15.09375"/>
    <n v="0.84375"/>
    <s v="Modérée"/>
  </r>
  <r>
    <s v="Lycée Langevin-Wallon"/>
    <n v="94"/>
    <s v="Val-de-Marne"/>
    <x v="1"/>
    <s v="BTS - Production - Electrotechnique"/>
    <x v="0"/>
    <n v="24"/>
    <n v="362"/>
    <n v="21"/>
    <x v="2"/>
    <n v="15.083333333333334"/>
    <n v="0.875"/>
    <s v="Modérée"/>
  </r>
  <r>
    <s v="Lycée Gaspard Monge"/>
    <n v="91"/>
    <s v="Essonne"/>
    <x v="1"/>
    <s v="BTS - Production - Maintenance des véhicules option voitures particulières"/>
    <x v="0"/>
    <n v="24"/>
    <n v="358"/>
    <n v="28"/>
    <x v="1"/>
    <n v="14.916666666666666"/>
    <n v="1.1666666666666667"/>
    <s v="Modérée"/>
  </r>
  <r>
    <s v="Lycée polyvalent La Fayette"/>
    <n v="77"/>
    <s v="Seine-et-Marne"/>
    <x v="1"/>
    <s v="BTS - Production - Cybersécurité, Informatique et réseaux, ELectronique - Option B : Electronique et réseaux"/>
    <x v="0"/>
    <n v="35"/>
    <n v="518"/>
    <n v="21"/>
    <x v="1"/>
    <n v="14.8"/>
    <n v="0.6"/>
    <s v="Modérée"/>
  </r>
  <r>
    <s v="Lycée polyvalent Missak et Mélinée Manouchian"/>
    <n v="92"/>
    <s v="Hauts-de-Seine"/>
    <x v="1"/>
    <s v="BTS - Services - Economie sociale familiale"/>
    <x v="0"/>
    <n v="32"/>
    <n v="472"/>
    <n v="29"/>
    <x v="2"/>
    <n v="14.75"/>
    <n v="0.90625"/>
    <s v="Modérée"/>
  </r>
  <r>
    <s v="Lycée Camille Claudel"/>
    <n v="78"/>
    <s v="Yvelines"/>
    <x v="1"/>
    <s v="BTS - Services - Gestion de la PME"/>
    <x v="0"/>
    <n v="35"/>
    <n v="516"/>
    <n v="31"/>
    <x v="1"/>
    <n v="14.742857142857142"/>
    <n v="0.88571428571428568"/>
    <s v="Modérée"/>
  </r>
  <r>
    <s v="Lycée Charles De Foucauld"/>
    <n v="75"/>
    <s v="Paris"/>
    <x v="1"/>
    <s v="BTS - Services - Management Commercial Opérationnel"/>
    <x v="0"/>
    <n v="37"/>
    <n v="541"/>
    <n v="30"/>
    <x v="0"/>
    <n v="14.621621621621621"/>
    <n v="0.81081081081081086"/>
    <s v="Modérée"/>
  </r>
  <r>
    <s v="Lycée Geoffroy-St-Hilaire"/>
    <n v="91"/>
    <s v="Essonne"/>
    <x v="1"/>
    <s v="BTS - Services - Services informatiques aux organisations"/>
    <x v="0"/>
    <n v="32"/>
    <n v="466"/>
    <n v="33"/>
    <x v="1"/>
    <n v="14.5625"/>
    <n v="1.03125"/>
    <s v="Modérée"/>
  </r>
  <r>
    <s v="Lycée D'Alembert-Cuir"/>
    <n v="75"/>
    <s v="Paris"/>
    <x v="1"/>
    <s v="BTS - Services - Podo-orthésiste"/>
    <x v="0"/>
    <n v="24"/>
    <n v="349"/>
    <n v="23"/>
    <x v="0"/>
    <n v="14.541666666666666"/>
    <n v="0.95833333333333337"/>
    <s v="Modérée"/>
  </r>
  <r>
    <s v="Lycée Gregor Mendel"/>
    <n v="94"/>
    <s v="Val-de-Marne"/>
    <x v="1"/>
    <s v="BTS - Services - Tourisme"/>
    <x v="0"/>
    <n v="34"/>
    <n v="493"/>
    <n v="20"/>
    <x v="2"/>
    <n v="14.5"/>
    <n v="0.58823529411764708"/>
    <s v="Modérée"/>
  </r>
  <r>
    <s v="Lycée Camille Pissarro"/>
    <n v="95"/>
    <s v="Val-d'oise"/>
    <x v="1"/>
    <s v="BTS - Services - Economie sociale familiale"/>
    <x v="0"/>
    <n v="35"/>
    <n v="507"/>
    <n v="30"/>
    <x v="1"/>
    <n v="14.485714285714286"/>
    <n v="0.8571428571428571"/>
    <s v="Modérée"/>
  </r>
  <r>
    <s v="Lycée polyvalent Nikola Tesla"/>
    <n v="91"/>
    <s v="Essonne"/>
    <x v="1"/>
    <s v="BTS - Services - Négociation et digitalisation de la Relation Client"/>
    <x v="0"/>
    <n v="34"/>
    <n v="489"/>
    <n v="28"/>
    <x v="1"/>
    <n v="14.382352941176471"/>
    <n v="0.82352941176470584"/>
    <s v="Modérée"/>
  </r>
  <r>
    <s v="Lycée Voillaume"/>
    <n v="93"/>
    <s v="Seine-Saint-Denis"/>
    <x v="1"/>
    <s v="BTS - Services - Conseil et commercialisation de solutions techniques"/>
    <x v="0"/>
    <n v="35"/>
    <n v="502"/>
    <n v="34"/>
    <x v="2"/>
    <n v="14.342857142857143"/>
    <n v="0.97142857142857142"/>
    <s v="Modérée"/>
  </r>
  <r>
    <s v="Lycée Romain Rolland"/>
    <n v="95"/>
    <s v="Val-d'oise"/>
    <x v="1"/>
    <s v="BTS - Services - Support à l'action managériale"/>
    <x v="0"/>
    <n v="30"/>
    <n v="429"/>
    <n v="23"/>
    <x v="1"/>
    <n v="14.3"/>
    <n v="0.76666666666666672"/>
    <s v="Modérée"/>
  </r>
  <r>
    <s v="Lycée Jules Ferry"/>
    <n v="78"/>
    <s v="Yvelines"/>
    <x v="1"/>
    <s v="BTS - Production - Cybersécurité, Informatique et réseaux, ELectronique - Option B : Electronique et réseaux"/>
    <x v="0"/>
    <n v="29"/>
    <n v="413"/>
    <n v="29"/>
    <x v="1"/>
    <n v="14.241379310344827"/>
    <n v="1"/>
    <s v="Modérée"/>
  </r>
  <r>
    <s v="Lycée Jean-Baptiste Poquelin"/>
    <n v="78"/>
    <s v="Yvelines"/>
    <x v="1"/>
    <s v="BTS - Services - Support à l'action managériale"/>
    <x v="0"/>
    <n v="35"/>
    <n v="493"/>
    <n v="29"/>
    <x v="1"/>
    <n v="14.085714285714285"/>
    <n v="0.82857142857142863"/>
    <s v="Modérée"/>
  </r>
  <r>
    <s v="Lycée Francois Arago"/>
    <n v="94"/>
    <s v="Val-de-Marne"/>
    <x v="1"/>
    <s v="BTS - Services - Management opérationnel de la sécurité"/>
    <x v="0"/>
    <n v="35"/>
    <n v="491"/>
    <n v="31"/>
    <x v="2"/>
    <n v="14.028571428571428"/>
    <n v="0.88571428571428568"/>
    <s v="Modérée"/>
  </r>
  <r>
    <s v="Lycée Jacques Prevert"/>
    <n v="95"/>
    <s v="Val-d'oise"/>
    <x v="1"/>
    <s v="BTS - Services - Support à l'action managériale"/>
    <x v="0"/>
    <n v="35"/>
    <n v="490"/>
    <n v="27"/>
    <x v="1"/>
    <n v="14"/>
    <n v="0.77142857142857146"/>
    <s v="Modérée"/>
  </r>
  <r>
    <s v="Lycée Carcado Saisseval"/>
    <n v="75"/>
    <s v="Paris"/>
    <x v="1"/>
    <s v="BTS - Services - Commerce International"/>
    <x v="0"/>
    <n v="80"/>
    <n v="1120"/>
    <n v="72"/>
    <x v="0"/>
    <n v="14"/>
    <n v="0.9"/>
    <s v="Modérée"/>
  </r>
  <r>
    <s v="Lycée Dumont D'Urville"/>
    <n v="78"/>
    <s v="Yvelines"/>
    <x v="1"/>
    <s v="BTS - Services - Support à l'action managériale"/>
    <x v="0"/>
    <n v="18"/>
    <n v="251"/>
    <n v="18"/>
    <x v="1"/>
    <n v="13.944444444444445"/>
    <n v="1"/>
    <s v="Modérée"/>
  </r>
  <r>
    <s v="Lycée Charles Peguy"/>
    <n v="75"/>
    <s v="Paris"/>
    <x v="1"/>
    <s v="BTS - Services - Commerce International"/>
    <x v="0"/>
    <n v="33"/>
    <n v="460"/>
    <n v="32"/>
    <x v="0"/>
    <n v="13.939393939393939"/>
    <n v="0.96969696969696972"/>
    <s v="Modérée"/>
  </r>
  <r>
    <s v="Lycée Henri Bergson-Jacquard"/>
    <n v="75"/>
    <s v="Paris"/>
    <x v="1"/>
    <s v="BTS - Production - Assistance technique d'ingénieur"/>
    <x v="0"/>
    <n v="48"/>
    <n v="662"/>
    <n v="46"/>
    <x v="0"/>
    <n v="13.791666666666666"/>
    <n v="0.95833333333333337"/>
    <s v="Modérée"/>
  </r>
  <r>
    <s v="Lycée Clement Ader"/>
    <n v="77"/>
    <s v="Seine-et-Marne"/>
    <x v="1"/>
    <s v="BTS - Services - Gestion des transports et logistique associée"/>
    <x v="0"/>
    <n v="24"/>
    <n v="331"/>
    <n v="16"/>
    <x v="1"/>
    <n v="13.791666666666666"/>
    <n v="0.66666666666666663"/>
    <s v="Modérée"/>
  </r>
  <r>
    <s v="Lycée Maximilien Perret (Batiment)"/>
    <n v="94"/>
    <s v="Val-de-Marne"/>
    <x v="1"/>
    <s v="BTS - Production - Fluide, énergie, domotique - option B froid et conditionnement d'air"/>
    <x v="0"/>
    <n v="24"/>
    <n v="331"/>
    <n v="25"/>
    <x v="2"/>
    <n v="13.791666666666666"/>
    <n v="1.0416666666666667"/>
    <s v="Modérée"/>
  </r>
  <r>
    <s v="Lycée Emily Brontë"/>
    <n v="77"/>
    <s v="Seine-et-Marne"/>
    <x v="1"/>
    <s v="BTS - Production - Biotechnologie en recherche et en production"/>
    <x v="0"/>
    <n v="24"/>
    <n v="328"/>
    <n v="24"/>
    <x v="1"/>
    <n v="13.666666666666666"/>
    <n v="1"/>
    <s v="Modérée"/>
  </r>
  <r>
    <s v="Lycée Paul Eluard"/>
    <n v="93"/>
    <s v="Seine-Saint-Denis"/>
    <x v="1"/>
    <s v="BTS - Production - Bioqualité"/>
    <x v="0"/>
    <n v="30"/>
    <n v="406"/>
    <n v="29"/>
    <x v="2"/>
    <n v="13.533333333333333"/>
    <n v="0.96666666666666667"/>
    <s v="Modérée"/>
  </r>
  <r>
    <s v="Lycée Charles BAUDELAIRE"/>
    <n v="95"/>
    <s v="Val-d'oise"/>
    <x v="1"/>
    <s v="BTS - Services - Management opérationnel de la sécurité"/>
    <x v="0"/>
    <n v="12"/>
    <n v="162"/>
    <n v="12"/>
    <x v="1"/>
    <n v="13.5"/>
    <n v="1"/>
    <s v="Modérée"/>
  </r>
  <r>
    <s v="EFREI Paris"/>
    <n v="94"/>
    <s v="Val-de-Marne"/>
    <x v="1"/>
    <s v="BTS - Services - Communication"/>
    <x v="0"/>
    <n v="18"/>
    <n v="243"/>
    <n v="22"/>
    <x v="2"/>
    <n v="13.5"/>
    <n v="1.2222222222222223"/>
    <s v="Modérée"/>
  </r>
  <r>
    <s v="Lycée Jehan De Chelles"/>
    <n v="77"/>
    <s v="Seine-et-Marne"/>
    <x v="1"/>
    <s v="BTS - Services - Support à l'action managériale"/>
    <x v="0"/>
    <n v="35"/>
    <n v="472"/>
    <n v="35"/>
    <x v="1"/>
    <n v="13.485714285714286"/>
    <n v="1"/>
    <s v="Modérée"/>
  </r>
  <r>
    <s v="Lycée Jules Ferry"/>
    <n v="78"/>
    <s v="Yvelines"/>
    <x v="1"/>
    <s v="BTS - Production - Electrotechnique"/>
    <x v="0"/>
    <n v="28"/>
    <n v="375"/>
    <n v="26"/>
    <x v="1"/>
    <n v="13.392857142857142"/>
    <n v="0.9285714285714286"/>
    <s v="Modérée"/>
  </r>
  <r>
    <s v="Lycée Le Rebours"/>
    <n v="75"/>
    <s v="Paris"/>
    <x v="1"/>
    <s v="BTS - Services - Négociation et digitalisation de la Relation Client"/>
    <x v="0"/>
    <n v="36"/>
    <n v="482"/>
    <n v="30"/>
    <x v="0"/>
    <n v="13.388888888888889"/>
    <n v="0.83333333333333337"/>
    <s v="Modérée"/>
  </r>
  <r>
    <s v="Lycée polyvalent Missak et Mélinée Manouchian"/>
    <n v="92"/>
    <s v="Hauts-de-Seine"/>
    <x v="1"/>
    <s v="BTS - Production - Conception et Réalisation de Systèmes Automatiques"/>
    <x v="0"/>
    <n v="26"/>
    <n v="348"/>
    <n v="20"/>
    <x v="2"/>
    <n v="13.384615384615385"/>
    <n v="0.76923076923076927"/>
    <s v="Modérée"/>
  </r>
  <r>
    <s v="Lycée Francois Couperin"/>
    <n v="77"/>
    <s v="Seine-et-Marne"/>
    <x v="1"/>
    <s v="BTS - Services - Collaborateur juriste notarial"/>
    <x v="0"/>
    <n v="35"/>
    <n v="467"/>
    <n v="35"/>
    <x v="1"/>
    <n v="13.342857142857143"/>
    <n v="1"/>
    <s v="Modérée"/>
  </r>
  <r>
    <s v="Lycée Flora Tristan"/>
    <n v="77"/>
    <s v="Seine-et-Marne"/>
    <x v="1"/>
    <s v="BTS - Services - Gestion de la PME"/>
    <x v="0"/>
    <n v="35"/>
    <n v="467"/>
    <n v="25"/>
    <x v="1"/>
    <n v="13.342857142857143"/>
    <n v="0.7142857142857143"/>
    <s v="Modérée"/>
  </r>
  <r>
    <s v="Lycée Clement Ader"/>
    <n v="77"/>
    <s v="Seine-et-Marne"/>
    <x v="1"/>
    <s v="BTS - Production - Maintenance des systèmes - option A Systèmes de production"/>
    <x v="0"/>
    <n v="15"/>
    <n v="200"/>
    <n v="8"/>
    <x v="1"/>
    <n v="13.333333333333334"/>
    <n v="0.53333333333333333"/>
    <s v="Modérée"/>
  </r>
  <r>
    <s v="Lycée Gaspard Monge"/>
    <n v="91"/>
    <s v="Essonne"/>
    <x v="1"/>
    <s v="BTS - Production - Motorisations toutes énergies"/>
    <x v="0"/>
    <n v="20"/>
    <n v="264"/>
    <n v="16"/>
    <x v="1"/>
    <n v="13.2"/>
    <n v="0.8"/>
    <s v="Modérée"/>
  </r>
  <r>
    <s v="Lycée Notre Dame"/>
    <n v="92"/>
    <s v="Hauts-de-Seine"/>
    <x v="1"/>
    <s v="BTS - Services - Commerce International"/>
    <x v="0"/>
    <n v="74"/>
    <n v="976"/>
    <n v="61"/>
    <x v="2"/>
    <n v="13.189189189189189"/>
    <n v="0.82432432432432434"/>
    <s v="Modérée"/>
  </r>
  <r>
    <s v="Lycée Leonard De Vinci"/>
    <n v="77"/>
    <s v="Seine-et-Marne"/>
    <x v="1"/>
    <s v="BTS - Services - Services informatiques aux organisations"/>
    <x v="0"/>
    <n v="70"/>
    <n v="922"/>
    <n v="70"/>
    <x v="1"/>
    <n v="13.171428571428571"/>
    <n v="1"/>
    <s v="Modérée"/>
  </r>
  <r>
    <s v="Lycée Gaston BACHELARD"/>
    <n v="77"/>
    <s v="Seine-et-Marne"/>
    <x v="1"/>
    <s v="BTS - Production - Electrotechnique"/>
    <x v="0"/>
    <n v="24"/>
    <n v="316"/>
    <n v="19"/>
    <x v="1"/>
    <n v="13.166666666666666"/>
    <n v="0.79166666666666663"/>
    <s v="Modérée"/>
  </r>
  <r>
    <s v="Lycée Voillaume"/>
    <n v="93"/>
    <s v="Seine-Saint-Denis"/>
    <x v="1"/>
    <s v="BTS - Production - Conception et Réalisation de Systèmes Automatiques"/>
    <x v="0"/>
    <n v="24"/>
    <n v="316"/>
    <n v="23"/>
    <x v="2"/>
    <n v="13.166666666666666"/>
    <n v="0.95833333333333337"/>
    <s v="Modérée"/>
  </r>
  <r>
    <s v="Lycée International-Palaiseau-Paris-Saclay"/>
    <n v="91"/>
    <s v="Essonne"/>
    <x v="1"/>
    <s v="BTS - Production - Photonique : technologies et sciences de la lumière"/>
    <x v="0"/>
    <n v="24"/>
    <n v="314"/>
    <n v="14"/>
    <x v="1"/>
    <n v="13.083333333333334"/>
    <n v="0.58333333333333337"/>
    <s v="Modérée"/>
  </r>
  <r>
    <s v="Lycée Le Rebours"/>
    <n v="75"/>
    <s v="Paris"/>
    <x v="1"/>
    <s v="BTS - Services - Services informatiques aux organisations"/>
    <x v="0"/>
    <n v="36"/>
    <n v="470"/>
    <n v="32"/>
    <x v="0"/>
    <n v="13.055555555555555"/>
    <n v="0.88888888888888884"/>
    <s v="Modérée"/>
  </r>
  <r>
    <s v="Lycée Le Rebours"/>
    <n v="75"/>
    <s v="Paris"/>
    <x v="1"/>
    <s v="BTS - Services - Comptabilité et gestion"/>
    <x v="0"/>
    <n v="36"/>
    <n v="469"/>
    <n v="32"/>
    <x v="0"/>
    <n v="13.027777777777779"/>
    <n v="0.88888888888888884"/>
    <s v="Modérée"/>
  </r>
  <r>
    <s v="Lycée Gregor Mendel"/>
    <n v="94"/>
    <s v="Val-de-Marne"/>
    <x v="1"/>
    <s v="BTS - Services - Communication"/>
    <x v="0"/>
    <n v="34"/>
    <n v="441"/>
    <n v="24"/>
    <x v="2"/>
    <n v="12.970588235294118"/>
    <n v="0.70588235294117652"/>
    <s v="Modérée"/>
  </r>
  <r>
    <s v="Lycée Joliot Curie"/>
    <n v="77"/>
    <s v="Seine-et-Marne"/>
    <x v="1"/>
    <s v="BTS - Services - Conseil et commercialisation de solutions techniques"/>
    <x v="0"/>
    <n v="24"/>
    <n v="311"/>
    <n v="23"/>
    <x v="1"/>
    <n v="12.958333333333334"/>
    <n v="0.95833333333333337"/>
    <s v="Modérée"/>
  </r>
  <r>
    <s v="Lycée ESTBA"/>
    <n v="75"/>
    <s v="Paris"/>
    <x v="1"/>
    <s v="BTS - Production - Bioanalyses en laboratoire de contrôle"/>
    <x v="0"/>
    <n v="39"/>
    <n v="504"/>
    <n v="39"/>
    <x v="0"/>
    <n v="12.923076923076923"/>
    <n v="1"/>
    <s v="Modérée"/>
  </r>
  <r>
    <s v="Lycée Geoffroy-St-Hilaire"/>
    <n v="91"/>
    <s v="Essonne"/>
    <x v="1"/>
    <s v="BTS - Services - Professions immobilières"/>
    <x v="0"/>
    <n v="33"/>
    <n v="424"/>
    <n v="31"/>
    <x v="1"/>
    <n v="12.848484848484848"/>
    <n v="0.93939393939393945"/>
    <s v="Modérée"/>
  </r>
  <r>
    <s v="Lycée Louis Armand"/>
    <n v="94"/>
    <s v="Val-de-Marne"/>
    <x v="1"/>
    <s v="BTS - Production - Conception de produits industriels"/>
    <x v="0"/>
    <n v="24"/>
    <n v="308"/>
    <n v="24"/>
    <x v="2"/>
    <n v="12.833333333333334"/>
    <n v="1"/>
    <s v="Modérée"/>
  </r>
  <r>
    <s v="LGT SAINTE MARIE"/>
    <n v="94"/>
    <s v="Val-de-Marne"/>
    <x v="1"/>
    <s v="BTS - Services - Commerce International"/>
    <x v="0"/>
    <n v="32"/>
    <n v="410"/>
    <n v="28"/>
    <x v="2"/>
    <n v="12.8125"/>
    <n v="0.875"/>
    <s v="Modérée"/>
  </r>
  <r>
    <s v="Lycée professionnel Jean Moulin"/>
    <n v="78"/>
    <s v="Yvelines"/>
    <x v="1"/>
    <s v="BTS - Production - Fluide, énergie, domotique - option B froid et conditionnement d'air"/>
    <x v="0"/>
    <n v="15"/>
    <n v="190"/>
    <n v="13"/>
    <x v="1"/>
    <n v="12.666666666666666"/>
    <n v="0.8666666666666667"/>
    <s v="Modérée"/>
  </r>
  <r>
    <s v="Lycée Henri Becquerel"/>
    <n v="77"/>
    <s v="Seine-et-Marne"/>
    <x v="1"/>
    <s v="BTS - Services - Management Commercial Opérationnel"/>
    <x v="0"/>
    <n v="35"/>
    <n v="443"/>
    <n v="32"/>
    <x v="1"/>
    <n v="12.657142857142857"/>
    <n v="0.91428571428571426"/>
    <s v="Modérée"/>
  </r>
  <r>
    <s v="Lycée professionnel Jacques Brel"/>
    <n v="94"/>
    <s v="Val-de-Marne"/>
    <x v="1"/>
    <s v="BTS - Production - Maintenance des véhicules option motocycles"/>
    <x v="0"/>
    <n v="20"/>
    <n v="253"/>
    <n v="15"/>
    <x v="2"/>
    <n v="12.65"/>
    <n v="0.75"/>
    <s v="Modérée"/>
  </r>
  <r>
    <s v="Lycée Galilée"/>
    <n v="95"/>
    <s v="Val-d'oise"/>
    <x v="1"/>
    <s v="BTS - Production - Fluide, énergie, domotique - option A génie climatique et fluidique"/>
    <x v="0"/>
    <n v="30"/>
    <n v="378"/>
    <n v="25"/>
    <x v="1"/>
    <n v="12.6"/>
    <n v="0.83333333333333337"/>
    <s v="Modérée"/>
  </r>
  <r>
    <s v="Lycée Champlain"/>
    <n v="94"/>
    <s v="Val-de-Marne"/>
    <x v="1"/>
    <s v="BTS - Services - Comptabilité et gestion"/>
    <x v="0"/>
    <n v="35"/>
    <n v="440"/>
    <n v="30"/>
    <x v="2"/>
    <n v="12.571428571428571"/>
    <n v="0.8571428571428571"/>
    <s v="Modérée"/>
  </r>
  <r>
    <s v="Lycée ESTBA"/>
    <n v="75"/>
    <s v="Paris"/>
    <x v="1"/>
    <s v="BTS - Services - Biologie médicale"/>
    <x v="0"/>
    <n v="80"/>
    <n v="1001"/>
    <n v="82"/>
    <x v="0"/>
    <n v="12.512499999999999"/>
    <n v="1.0249999999999999"/>
    <s v="Modérée"/>
  </r>
  <r>
    <s v="Lycée De La Mare Carree"/>
    <n v="77"/>
    <s v="Seine-et-Marne"/>
    <x v="1"/>
    <s v="BTS - Production - Contrôle industriel et régulation automatique"/>
    <x v="0"/>
    <n v="24"/>
    <n v="295"/>
    <n v="19"/>
    <x v="1"/>
    <n v="12.291666666666666"/>
    <n v="0.79166666666666663"/>
    <s v="Modérée"/>
  </r>
  <r>
    <s v="Lycée Saint Exupéry"/>
    <n v="78"/>
    <s v="Yvelines"/>
    <x v="1"/>
    <s v="BTS - Services - Comptabilité et gestion"/>
    <x v="0"/>
    <n v="30"/>
    <n v="367"/>
    <n v="29"/>
    <x v="1"/>
    <n v="12.233333333333333"/>
    <n v="0.96666666666666667"/>
    <s v="Modérée"/>
  </r>
  <r>
    <s v="Lycée Gregor Mendel"/>
    <n v="94"/>
    <s v="Val-de-Marne"/>
    <x v="1"/>
    <s v="BTS - Services - Diététique et nutrition"/>
    <x v="0"/>
    <n v="28"/>
    <n v="341"/>
    <n v="21"/>
    <x v="2"/>
    <n v="12.178571428571429"/>
    <n v="0.75"/>
    <s v="Modérée"/>
  </r>
  <r>
    <s v="Lycée Uruguay France"/>
    <n v="77"/>
    <s v="Seine-et-Marne"/>
    <x v="1"/>
    <s v="BTS - Services - Economie sociale familiale"/>
    <x v="0"/>
    <n v="24"/>
    <n v="291"/>
    <n v="16"/>
    <x v="1"/>
    <n v="12.125"/>
    <n v="0.66666666666666663"/>
    <s v="Modérée"/>
  </r>
  <r>
    <s v="Lycée Notre-Dame De Bury"/>
    <n v="95"/>
    <s v="Val-d'oise"/>
    <x v="1"/>
    <s v="BTS - Services - Commerce International"/>
    <x v="0"/>
    <n v="40"/>
    <n v="484"/>
    <n v="32"/>
    <x v="1"/>
    <n v="12.1"/>
    <n v="0.8"/>
    <s v="Modérée"/>
  </r>
  <r>
    <s v="Lycée Vallee De Chevreuse"/>
    <n v="91"/>
    <s v="Essonne"/>
    <x v="1"/>
    <s v="BTS - Production - Biotechnologie en recherche et en production"/>
    <x v="0"/>
    <n v="28"/>
    <n v="338"/>
    <n v="28"/>
    <x v="1"/>
    <n v="12.071428571428571"/>
    <n v="1"/>
    <s v="Modérée"/>
  </r>
  <r>
    <s v="Lycée Leonard De Vinci"/>
    <n v="91"/>
    <s v="Essonne"/>
    <x v="1"/>
    <s v="BTS - Production - Electrotechnique"/>
    <x v="0"/>
    <n v="26"/>
    <n v="312"/>
    <n v="22"/>
    <x v="1"/>
    <n v="12"/>
    <n v="0.84615384615384615"/>
    <s v="Modérée"/>
  </r>
  <r>
    <s v="IPAG Business School - Campus de Paris"/>
    <n v="75"/>
    <s v="Paris"/>
    <x v="1"/>
    <s v="BTS - Services - Gestion de la PME"/>
    <x v="0"/>
    <n v="30"/>
    <n v="359"/>
    <n v="20"/>
    <x v="0"/>
    <n v="11.966666666666667"/>
    <n v="0.66666666666666663"/>
    <s v="Modérée"/>
  </r>
  <r>
    <s v="Lycée Jules Ferry"/>
    <n v="78"/>
    <s v="Yvelines"/>
    <x v="1"/>
    <s v="BTS - Production - Conception de produits industriels"/>
    <x v="0"/>
    <n v="24"/>
    <n v="287"/>
    <n v="21"/>
    <x v="1"/>
    <n v="11.958333333333334"/>
    <n v="0.875"/>
    <s v="Modérée"/>
  </r>
  <r>
    <s v="Lycée Uruguay France"/>
    <n v="77"/>
    <s v="Seine-et-Marne"/>
    <x v="1"/>
    <s v="BTS - Services - Comptabilité et gestion"/>
    <x v="0"/>
    <n v="35"/>
    <n v="417"/>
    <n v="32"/>
    <x v="1"/>
    <n v="11.914285714285715"/>
    <n v="0.91428571428571426"/>
    <s v="Modérée"/>
  </r>
  <r>
    <s v="Lycée St Gabriel"/>
    <n v="92"/>
    <s v="Hauts-de-Seine"/>
    <x v="1"/>
    <s v="BTS - Services - Services informatiques aux organisations"/>
    <x v="0"/>
    <n v="32"/>
    <n v="380"/>
    <n v="27"/>
    <x v="2"/>
    <n v="11.875"/>
    <n v="0.84375"/>
    <s v="Modérée"/>
  </r>
  <r>
    <s v="Lycée Richelieu"/>
    <n v="92"/>
    <s v="Hauts-de-Seine"/>
    <x v="1"/>
    <s v="BTS - Services - Conseil et commercialisation de solutions techniques"/>
    <x v="0"/>
    <n v="30"/>
    <n v="349"/>
    <n v="21"/>
    <x v="2"/>
    <n v="11.633333333333333"/>
    <n v="0.7"/>
    <s v="Modérée"/>
  </r>
  <r>
    <s v="Lycée Uruguay France"/>
    <n v="77"/>
    <s v="Seine-et-Marne"/>
    <x v="1"/>
    <s v="BTS - Services - Services et prestations des secteurs sanitaire et social"/>
    <x v="0"/>
    <n v="24"/>
    <n v="279"/>
    <n v="20"/>
    <x v="1"/>
    <n v="11.625"/>
    <n v="0.83333333333333337"/>
    <s v="Modérée"/>
  </r>
  <r>
    <s v="Lycée Carcado Saisseval"/>
    <n v="75"/>
    <s v="Paris"/>
    <x v="1"/>
    <s v="BTS - Services - Management Commercial Opérationnel"/>
    <x v="0"/>
    <n v="64"/>
    <n v="742"/>
    <n v="55"/>
    <x v="0"/>
    <n v="11.59375"/>
    <n v="0.859375"/>
    <s v="Modérée"/>
  </r>
  <r>
    <s v="EFREI Paris"/>
    <n v="94"/>
    <s v="Val-de-Marne"/>
    <x v="1"/>
    <s v="BTS - Services - Services informatiques aux organisations"/>
    <x v="0"/>
    <n v="36"/>
    <n v="417"/>
    <n v="33"/>
    <x v="2"/>
    <n v="11.583333333333334"/>
    <n v="0.91666666666666663"/>
    <s v="Modérée"/>
  </r>
  <r>
    <s v="Lycée Léonard de Vinci"/>
    <n v="78"/>
    <s v="Yvelines"/>
    <x v="1"/>
    <s v="BTS - Production - Conception et Réalisation de Systèmes Automatiques"/>
    <x v="0"/>
    <n v="23"/>
    <n v="266"/>
    <n v="13"/>
    <x v="1"/>
    <n v="11.565217391304348"/>
    <n v="0.56521739130434778"/>
    <s v="Modérée"/>
  </r>
  <r>
    <s v="Lycée Polyvalent Maryse Condé"/>
    <n v="95"/>
    <s v="Val-d'oise"/>
    <x v="1"/>
    <s v="BTS - Production - Conception et industrialisation en microtechniques"/>
    <x v="0"/>
    <n v="23"/>
    <n v="265"/>
    <n v="11"/>
    <x v="1"/>
    <n v="11.521739130434783"/>
    <n v="0.47826086956521741"/>
    <s v="Modérée"/>
  </r>
  <r>
    <s v="Lycée professionnel Gustave Eiffel"/>
    <n v="95"/>
    <s v="Val-d'oise"/>
    <x v="1"/>
    <s v="BTS - Production - Fluide, énergie, domotique - option C domotique et bâtiment communicants"/>
    <x v="0"/>
    <n v="30"/>
    <n v="345"/>
    <n v="23"/>
    <x v="1"/>
    <n v="11.5"/>
    <n v="0.76666666666666672"/>
    <s v="Modérée"/>
  </r>
  <r>
    <s v="Lycée Camille Claudel"/>
    <n v="78"/>
    <s v="Yvelines"/>
    <x v="1"/>
    <s v="BTS - Services - Management Commercial Opérationnel"/>
    <x v="0"/>
    <n v="35"/>
    <n v="402"/>
    <n v="31"/>
    <x v="1"/>
    <n v="11.485714285714286"/>
    <n v="0.88571428571428568"/>
    <s v="Modérée"/>
  </r>
  <r>
    <s v="Lycée Uruguay France"/>
    <n v="77"/>
    <s v="Seine-et-Marne"/>
    <x v="1"/>
    <s v="BTS - Production - Bioanalyses en laboratoire de contrôle"/>
    <x v="0"/>
    <n v="30"/>
    <n v="344"/>
    <n v="25"/>
    <x v="1"/>
    <n v="11.466666666666667"/>
    <n v="0.83333333333333337"/>
    <s v="Modérée"/>
  </r>
  <r>
    <s v="Lycée Vaucanson"/>
    <n v="78"/>
    <s v="Yvelines"/>
    <x v="1"/>
    <s v="BTS - Services - Economie sociale familiale"/>
    <x v="0"/>
    <n v="30"/>
    <n v="344"/>
    <n v="18"/>
    <x v="1"/>
    <n v="11.466666666666667"/>
    <n v="0.6"/>
    <s v="Modérée"/>
  </r>
  <r>
    <s v="Lycée Charles De Gaulle"/>
    <n v="77"/>
    <s v="Seine-et-Marne"/>
    <x v="1"/>
    <s v="BTS - Services - Comptabilité et gestion"/>
    <x v="0"/>
    <n v="24"/>
    <n v="275"/>
    <n v="16"/>
    <x v="1"/>
    <n v="11.458333333333334"/>
    <n v="0.66666666666666663"/>
    <s v="Modérée"/>
  </r>
  <r>
    <s v="Lycée Jean Perrin"/>
    <n v="95"/>
    <s v="Val-d'oise"/>
    <x v="1"/>
    <s v="BTS - Production - Conception et Réalisation de Systèmes Automatiques"/>
    <x v="0"/>
    <n v="28"/>
    <n v="320"/>
    <n v="21"/>
    <x v="1"/>
    <n v="11.428571428571429"/>
    <n v="0.75"/>
    <s v="Modérée"/>
  </r>
  <r>
    <s v="Lycée agricole Bougainville"/>
    <n v="77"/>
    <s v="Seine-et-Marne"/>
    <x v="1"/>
    <s v="BTS - Agricole - Analyse, conduite et stratégie de l'entreprise agricole, option Territoires métropolitains"/>
    <x v="0"/>
    <n v="8"/>
    <n v="91"/>
    <n v="5"/>
    <x v="1"/>
    <n v="11.375"/>
    <n v="0.625"/>
    <s v="Modérée"/>
  </r>
  <r>
    <s v="Lycée Le Corbusier"/>
    <n v="93"/>
    <s v="Seine-Saint-Denis"/>
    <x v="1"/>
    <s v="BTS - Services - Conseil et commercialisation de solutions techniques"/>
    <x v="0"/>
    <n v="35"/>
    <n v="398"/>
    <n v="34"/>
    <x v="2"/>
    <n v="11.371428571428572"/>
    <n v="0.97142857142857142"/>
    <s v="Modérée"/>
  </r>
  <r>
    <s v="Maison d'éducation de la Légion d'honneur"/>
    <n v="93"/>
    <s v="Seine-Saint-Denis"/>
    <x v="1"/>
    <s v="BTS - Services - Commerce International"/>
    <x v="0"/>
    <n v="20"/>
    <n v="226"/>
    <n v="15"/>
    <x v="2"/>
    <n v="11.3"/>
    <n v="0.75"/>
    <s v="Modérée"/>
  </r>
  <r>
    <s v="Lycée Jean Jaures"/>
    <n v="95"/>
    <s v="Val-d'oise"/>
    <x v="1"/>
    <s v="BTS - Production - Conception des processus de réalisation de produits (1ère année commune)"/>
    <x v="0"/>
    <n v="15"/>
    <n v="169"/>
    <n v="14"/>
    <x v="1"/>
    <n v="11.266666666666667"/>
    <n v="0.93333333333333335"/>
    <s v="Modérée"/>
  </r>
  <r>
    <s v="Lycée Pierre-Gilles de Gennes - ENCPB"/>
    <n v="75"/>
    <s v="Paris"/>
    <x v="1"/>
    <s v="BTS - Production - Métiers de la mesure"/>
    <x v="0"/>
    <n v="24"/>
    <n v="270"/>
    <n v="24"/>
    <x v="0"/>
    <n v="11.25"/>
    <n v="1"/>
    <s v="Modérée"/>
  </r>
  <r>
    <s v="Lycée Montalembert"/>
    <n v="92"/>
    <s v="Hauts-de-Seine"/>
    <x v="1"/>
    <s v="BTS - Services - Management Commercial Opérationnel"/>
    <x v="0"/>
    <n v="37"/>
    <n v="415"/>
    <n v="26"/>
    <x v="2"/>
    <n v="11.216216216216216"/>
    <n v="0.70270270270270274"/>
    <s v="Modérée"/>
  </r>
  <r>
    <s v="Lycée ORT DANIEL MAYER"/>
    <n v="93"/>
    <s v="Seine-Saint-Denis"/>
    <x v="1"/>
    <s v="BTS - Services - Opticien-Lunetier"/>
    <x v="0"/>
    <n v="36"/>
    <n v="402"/>
    <n v="30"/>
    <x v="2"/>
    <n v="11.166666666666666"/>
    <n v="0.83333333333333337"/>
    <s v="Modérée"/>
  </r>
  <r>
    <s v="LYCEE POLYVALENT GUSTAVE MONOD"/>
    <n v="95"/>
    <s v="Val-d'oise"/>
    <x v="1"/>
    <s v="BTS - Production - Conception et Réalisation de Systèmes Automatiques"/>
    <x v="0"/>
    <n v="24"/>
    <n v="268"/>
    <n v="25"/>
    <x v="1"/>
    <n v="11.166666666666666"/>
    <n v="1.0416666666666667"/>
    <s v="Modérée"/>
  </r>
  <r>
    <s v="Lycée Plaine De Neauphle"/>
    <n v="78"/>
    <s v="Yvelines"/>
    <x v="1"/>
    <s v="BTS - Services - Comptabilité et gestion"/>
    <x v="0"/>
    <n v="33"/>
    <n v="368"/>
    <n v="32"/>
    <x v="1"/>
    <n v="11.151515151515152"/>
    <n v="0.96969696969696972"/>
    <s v="Modérée"/>
  </r>
  <r>
    <s v="Lycée LPO Anatole FRANCE"/>
    <n v="92"/>
    <s v="Hauts-de-Seine"/>
    <x v="1"/>
    <s v="BTS - Services - Métiers des Services à l'environnement"/>
    <x v="0"/>
    <n v="30"/>
    <n v="334"/>
    <n v="21"/>
    <x v="2"/>
    <n v="11.133333333333333"/>
    <n v="0.7"/>
    <s v="Modérée"/>
  </r>
  <r>
    <s v="Lycée Carcado Saisseval"/>
    <n v="75"/>
    <s v="Paris"/>
    <x v="1"/>
    <s v="BTS - Services - Gestion de la PME"/>
    <x v="0"/>
    <n v="40"/>
    <n v="445"/>
    <n v="38"/>
    <x v="0"/>
    <n v="11.125"/>
    <n v="0.95"/>
    <s v="Modérée"/>
  </r>
  <r>
    <s v="Lycée Francois Mansart"/>
    <n v="94"/>
    <s v="Val-de-Marne"/>
    <x v="1"/>
    <s v="BTS - Services - Conseil et commercialisation de solutions techniques"/>
    <x v="0"/>
    <n v="24"/>
    <n v="267"/>
    <n v="20"/>
    <x v="2"/>
    <n v="11.125"/>
    <n v="0.83333333333333337"/>
    <s v="Modérée"/>
  </r>
  <r>
    <s v="Lycée Geoffroy-St-Hilaire"/>
    <n v="91"/>
    <s v="Essonne"/>
    <x v="1"/>
    <s v="BTS - Services - Gestion de la PME"/>
    <x v="0"/>
    <n v="33"/>
    <n v="367"/>
    <n v="33"/>
    <x v="1"/>
    <n v="11.121212121212121"/>
    <n v="1"/>
    <s v="Modérée"/>
  </r>
  <r>
    <s v="Lycée professionnel Benjamin Franklin"/>
    <n v="77"/>
    <s v="Seine-et-Marne"/>
    <x v="1"/>
    <s v="BTS - Production - Enveloppe des bâtiments : conception et réalisation"/>
    <x v="0"/>
    <n v="17"/>
    <n v="189"/>
    <n v="13"/>
    <x v="1"/>
    <n v="11.117647058823529"/>
    <n v="0.76470588235294112"/>
    <s v="Modérée"/>
  </r>
  <r>
    <s v="Lycée Jean Perrin"/>
    <n v="95"/>
    <s v="Val-d'oise"/>
    <x v="1"/>
    <s v="BTS - Production - Electrotechnique"/>
    <x v="0"/>
    <n v="28"/>
    <n v="311"/>
    <n v="26"/>
    <x v="1"/>
    <n v="11.107142857142858"/>
    <n v="0.9285714285714286"/>
    <s v="Modérée"/>
  </r>
  <r>
    <s v="Lycée Leonard De Vinci"/>
    <n v="77"/>
    <s v="Seine-et-Marne"/>
    <x v="1"/>
    <s v="BTS - Production - Conception et Réalisation de Systèmes Automatiques"/>
    <x v="0"/>
    <n v="33"/>
    <n v="365"/>
    <n v="26"/>
    <x v="1"/>
    <n v="11.060606060606061"/>
    <n v="0.78787878787878785"/>
    <s v="Modérée"/>
  </r>
  <r>
    <s v="Lycée Charles De Foucauld"/>
    <n v="75"/>
    <s v="Paris"/>
    <x v="1"/>
    <s v="BTS - Services - Services informatiques aux organisations"/>
    <x v="0"/>
    <n v="37"/>
    <n v="406"/>
    <n v="35"/>
    <x v="0"/>
    <n v="10.972972972972974"/>
    <n v="0.94594594594594594"/>
    <s v="Modérée"/>
  </r>
  <r>
    <s v="Lycée Teilhard De Chardin"/>
    <n v="94"/>
    <s v="Val-de-Marne"/>
    <x v="1"/>
    <s v="BTS - Services - Banque"/>
    <x v="0"/>
    <n v="36"/>
    <n v="392"/>
    <n v="19"/>
    <x v="2"/>
    <n v="10.888888888888889"/>
    <n v="0.52777777777777779"/>
    <s v="Modérée"/>
  </r>
  <r>
    <s v="Lycée Francois Villon"/>
    <n v="78"/>
    <s v="Yvelines"/>
    <x v="1"/>
    <s v="BTS - Services - Comptabilité et gestion"/>
    <x v="0"/>
    <n v="35"/>
    <n v="381"/>
    <n v="35"/>
    <x v="1"/>
    <n v="10.885714285714286"/>
    <n v="1"/>
    <s v="Modérée"/>
  </r>
  <r>
    <s v="Lycée polyvalent de Cachan"/>
    <n v="94"/>
    <s v="Val-de-Marne"/>
    <x v="1"/>
    <s v="BTS - Production - Conception des processus de réalisation de produits (1ère année commune)"/>
    <x v="0"/>
    <n v="36"/>
    <n v="391"/>
    <n v="30"/>
    <x v="2"/>
    <n v="10.861111111111111"/>
    <n v="0.83333333333333337"/>
    <s v="Modérée"/>
  </r>
  <r>
    <s v="Lycée professionnel Charles Baudelaire"/>
    <n v="77"/>
    <s v="Seine-et-Marne"/>
    <x v="1"/>
    <s v="BTS - Services - Comptabilité et gestion"/>
    <x v="0"/>
    <n v="35"/>
    <n v="379"/>
    <n v="35"/>
    <x v="1"/>
    <n v="10.828571428571429"/>
    <n v="1"/>
    <s v="Modérée"/>
  </r>
  <r>
    <s v="Lycée G A R A C"/>
    <n v="95"/>
    <s v="Val-d'oise"/>
    <x v="1"/>
    <s v="BTS - Services - Management Commercial Opérationnel"/>
    <x v="0"/>
    <n v="30"/>
    <n v="323"/>
    <n v="16"/>
    <x v="1"/>
    <n v="10.766666666666667"/>
    <n v="0.53333333333333333"/>
    <s v="Modérée"/>
  </r>
  <r>
    <s v="Lycée Jules Verne"/>
    <n v="95"/>
    <s v="Val-d'oise"/>
    <x v="1"/>
    <s v="BTS - Production - Maintenance des systèmes - option A Systèmes de production"/>
    <x v="0"/>
    <n v="30"/>
    <n v="323"/>
    <n v="24"/>
    <x v="1"/>
    <n v="10.766666666666667"/>
    <n v="0.8"/>
    <s v="Modérée"/>
  </r>
  <r>
    <s v="Lycée Clement Ader"/>
    <n v="91"/>
    <s v="Essonne"/>
    <x v="1"/>
    <s v="BTS - Production - Maintenance des systèmes - option A Systèmes de production"/>
    <x v="0"/>
    <n v="30"/>
    <n v="322"/>
    <n v="27"/>
    <x v="1"/>
    <n v="10.733333333333333"/>
    <n v="0.9"/>
    <s v="Modérée"/>
  </r>
  <r>
    <s v="Lycée Jean Jaures"/>
    <n v="95"/>
    <s v="Val-d'oise"/>
    <x v="1"/>
    <s v="BTS - Production - Conception de produits industriels"/>
    <x v="0"/>
    <n v="30"/>
    <n v="322"/>
    <n v="25"/>
    <x v="1"/>
    <n v="10.733333333333333"/>
    <n v="0.83333333333333337"/>
    <s v="Modérée"/>
  </r>
  <r>
    <s v="Lycée Jean Mace"/>
    <n v="94"/>
    <s v="Val-de-Marne"/>
    <x v="1"/>
    <s v="BTS - Production - Conception et réalisation en chaudronnerie industrielle"/>
    <x v="0"/>
    <n v="15"/>
    <n v="161"/>
    <n v="16"/>
    <x v="2"/>
    <n v="10.733333333333333"/>
    <n v="1.0666666666666667"/>
    <s v="Modérée"/>
  </r>
  <r>
    <s v="Lycée Diderot"/>
    <n v="75"/>
    <s v="Paris"/>
    <x v="1"/>
    <s v="BTS - Production - Traitement des matériaux"/>
    <x v="0"/>
    <n v="15"/>
    <n v="160"/>
    <n v="14"/>
    <x v="0"/>
    <n v="10.666666666666666"/>
    <n v="0.93333333333333335"/>
    <s v="Modérée"/>
  </r>
  <r>
    <s v="Lycée Saint Charles"/>
    <n v="91"/>
    <s v="Essonne"/>
    <x v="1"/>
    <s v="BTS - Services - Management Commercial Opérationnel"/>
    <x v="0"/>
    <n v="35"/>
    <n v="373"/>
    <n v="21"/>
    <x v="1"/>
    <n v="10.657142857142857"/>
    <n v="0.6"/>
    <s v="Modérée"/>
  </r>
  <r>
    <s v="Lycée Jean Monnet"/>
    <n v="78"/>
    <s v="Yvelines"/>
    <x v="1"/>
    <s v="BTS - Services - Négociation et digitalisation de la Relation Client"/>
    <x v="0"/>
    <n v="35"/>
    <n v="371"/>
    <n v="21"/>
    <x v="1"/>
    <n v="10.6"/>
    <n v="0.6"/>
    <s v="Modérée"/>
  </r>
  <r>
    <s v="Lycée Militaire de Saint-Cyr"/>
    <n v="78"/>
    <s v="Yvelines"/>
    <x v="1"/>
    <s v="BTS - Production - Cybersécurité, Informatique et réseaux, ELectronique - Option A : Informatique et réseaux - Internat obligatoire"/>
    <x v="0"/>
    <n v="80"/>
    <n v="845"/>
    <n v="72"/>
    <x v="1"/>
    <n v="10.5625"/>
    <n v="0.9"/>
    <s v="Modérée"/>
  </r>
  <r>
    <s v="Lycée polyvalent Simone Veil"/>
    <n v="77"/>
    <s v="Seine-et-Marne"/>
    <x v="1"/>
    <s v="BTS - Production - Fluide, énergie, domotique - option B froid et conditionnement d'air"/>
    <x v="0"/>
    <n v="24"/>
    <n v="253"/>
    <n v="20"/>
    <x v="1"/>
    <n v="10.541666666666666"/>
    <n v="0.83333333333333337"/>
    <s v="Modérée"/>
  </r>
  <r>
    <s v="Lycée Jean Pierre Timbaud"/>
    <n v="91"/>
    <s v="Essonne"/>
    <x v="1"/>
    <s v="BTS - Production - Management économique de la construction"/>
    <x v="0"/>
    <n v="30"/>
    <n v="316"/>
    <n v="29"/>
    <x v="1"/>
    <n v="10.533333333333333"/>
    <n v="0.96666666666666667"/>
    <s v="Modérée"/>
  </r>
  <r>
    <s v="Lycée Joliot Curie"/>
    <n v="77"/>
    <s v="Seine-et-Marne"/>
    <x v="1"/>
    <s v="BTS - Services - Management opérationnel de la sécurité"/>
    <x v="0"/>
    <n v="24"/>
    <n v="252"/>
    <n v="21"/>
    <x v="1"/>
    <n v="10.5"/>
    <n v="0.875"/>
    <s v="Modérée"/>
  </r>
  <r>
    <s v="Lycée Léonard de Vinci"/>
    <n v="75"/>
    <s v="Paris"/>
    <x v="1"/>
    <s v="BTS - Production - Développement et Réalisation Bois"/>
    <x v="0"/>
    <n v="30"/>
    <n v="313"/>
    <n v="21"/>
    <x v="0"/>
    <n v="10.433333333333334"/>
    <n v="0.7"/>
    <s v="Modérée"/>
  </r>
  <r>
    <s v="Lycée Le Rebours"/>
    <n v="75"/>
    <s v="Paris"/>
    <x v="1"/>
    <s v="BTS - Services - Services et prestations des secteurs sanitaire et social"/>
    <x v="0"/>
    <n v="36"/>
    <n v="375"/>
    <n v="16"/>
    <x v="0"/>
    <n v="10.416666666666666"/>
    <n v="0.44444444444444442"/>
    <s v="Modérée"/>
  </r>
  <r>
    <s v="Institut National des Formations Notariales INFN site de Paris"/>
    <n v="75"/>
    <s v="Paris"/>
    <x v="1"/>
    <s v="BTS - Services - Collaborateur juriste notarial"/>
    <x v="0"/>
    <n v="35"/>
    <n v="364"/>
    <n v="27"/>
    <x v="0"/>
    <n v="10.4"/>
    <n v="0.77142857142857146"/>
    <s v="Modérée"/>
  </r>
  <r>
    <s v="Lycée de l'Essouriau"/>
    <n v="91"/>
    <s v="Essonne"/>
    <x v="1"/>
    <s v="BTS - Production - Maintenance des systèmes - option A Systèmes de production"/>
    <x v="0"/>
    <n v="15"/>
    <n v="156"/>
    <n v="15"/>
    <x v="1"/>
    <n v="10.4"/>
    <n v="1"/>
    <s v="Modérée"/>
  </r>
  <r>
    <s v="Lycée Gregor Mendel"/>
    <n v="94"/>
    <s v="Val-de-Marne"/>
    <x v="1"/>
    <s v="BTS - Services - Management Commercial Opérationnel"/>
    <x v="0"/>
    <n v="34"/>
    <n v="352"/>
    <n v="23"/>
    <x v="2"/>
    <n v="10.352941176470589"/>
    <n v="0.67647058823529416"/>
    <s v="Modérée"/>
  </r>
  <r>
    <s v="Lycée du Gué-à-Tresmes"/>
    <n v="77"/>
    <s v="Seine-et-Marne"/>
    <x v="1"/>
    <s v="BTS - Production - Finitions, aménagement des bâtiments: conception et réalisation"/>
    <x v="0"/>
    <n v="12"/>
    <n v="124"/>
    <n v="8"/>
    <x v="1"/>
    <n v="10.333333333333334"/>
    <n v="0.66666666666666663"/>
    <s v="Modérée"/>
  </r>
  <r>
    <s v="Lycée Passy-Saint-Honoré"/>
    <n v="75"/>
    <s v="Paris"/>
    <x v="1"/>
    <s v="BTS - Services - Communication"/>
    <x v="0"/>
    <n v="40"/>
    <n v="413"/>
    <n v="32"/>
    <x v="0"/>
    <n v="10.324999999999999"/>
    <n v="0.8"/>
    <s v="Modérée"/>
  </r>
  <r>
    <s v="Lycée Etienne Bezout"/>
    <n v="77"/>
    <s v="Seine-et-Marne"/>
    <x v="1"/>
    <s v="BTS - Services - Management Commercial Opérationnel"/>
    <x v="0"/>
    <n v="27"/>
    <n v="273"/>
    <n v="24"/>
    <x v="1"/>
    <n v="10.111111111111111"/>
    <n v="0.88888888888888884"/>
    <s v="Modérée"/>
  </r>
  <r>
    <s v="Lycée ESTBA"/>
    <n v="75"/>
    <s v="Paris"/>
    <x v="1"/>
    <s v="BTS - Production - Biotechnologie en recherche et en production"/>
    <x v="0"/>
    <n v="42"/>
    <n v="424"/>
    <n v="44"/>
    <x v="0"/>
    <n v="10.095238095238095"/>
    <n v="1.0476190476190477"/>
    <s v="Modérée"/>
  </r>
  <r>
    <s v="Lycée professionnel Nicolas Louis Vauquelin"/>
    <n v="75"/>
    <s v="Paris"/>
    <x v="1"/>
    <s v="BTS - Services - Métiers des Services à l'environnement"/>
    <x v="0"/>
    <n v="15"/>
    <n v="151"/>
    <n v="14"/>
    <x v="0"/>
    <n v="10.066666666666666"/>
    <n v="0.93333333333333335"/>
    <s v="Modérée"/>
  </r>
  <r>
    <s v="Lycée Le Rebours"/>
    <n v="75"/>
    <s v="Paris"/>
    <x v="1"/>
    <s v="BTS - Services - Management Commercial Opérationnel"/>
    <x v="0"/>
    <n v="36"/>
    <n v="362"/>
    <n v="28"/>
    <x v="0"/>
    <n v="10.055555555555555"/>
    <n v="0.77777777777777779"/>
    <s v="Modérée"/>
  </r>
  <r>
    <s v="Lycée G A R A C"/>
    <n v="95"/>
    <s v="Val-d'oise"/>
    <x v="1"/>
    <s v="BTS - Services - Négociation et digitalisation de la Relation Client"/>
    <x v="0"/>
    <n v="30"/>
    <n v="301"/>
    <n v="23"/>
    <x v="1"/>
    <n v="10.033333333333333"/>
    <n v="0.76666666666666672"/>
    <s v="Modérée"/>
  </r>
  <r>
    <s v="Lycée L'Initiative"/>
    <n v="75"/>
    <s v="Paris"/>
    <x v="1"/>
    <s v="BTS - Services - Management Commercial Opérationnel"/>
    <x v="0"/>
    <n v="30"/>
    <n v="300"/>
    <n v="18"/>
    <x v="0"/>
    <n v="10"/>
    <n v="0.6"/>
    <s v="Modérée"/>
  </r>
  <r>
    <s v="Lycée Francois Mansart"/>
    <n v="94"/>
    <s v="Val-de-Marne"/>
    <x v="1"/>
    <s v="BTS - Production - Développement et Réalisation Bois"/>
    <x v="0"/>
    <n v="18"/>
    <n v="180"/>
    <n v="16"/>
    <x v="2"/>
    <n v="10"/>
    <n v="0.88888888888888884"/>
    <s v="Modérée"/>
  </r>
  <r>
    <s v="Lycée de l'Essouriau"/>
    <n v="91"/>
    <s v="Essonne"/>
    <x v="1"/>
    <s v="BTS - Production - Electrotechnique"/>
    <x v="0"/>
    <n v="28"/>
    <n v="279"/>
    <n v="24"/>
    <x v="1"/>
    <n v="9.9642857142857135"/>
    <n v="0.8571428571428571"/>
    <s v="Faible"/>
  </r>
  <r>
    <s v="Institut Supérieur Clorivière"/>
    <n v="75"/>
    <s v="Paris"/>
    <x v="1"/>
    <s v="BTS - Services - Tourisme"/>
    <x v="0"/>
    <n v="74"/>
    <n v="737"/>
    <n v="66"/>
    <x v="0"/>
    <n v="9.9594594594594597"/>
    <n v="0.89189189189189189"/>
    <s v="Faible"/>
  </r>
  <r>
    <s v="Lycée polyvalent Missak et Mélinée Manouchian"/>
    <n v="92"/>
    <s v="Hauts-de-Seine"/>
    <x v="1"/>
    <s v="BTS - Production - Fluide, énergie, domotique - option C domotique et bâtiment communicants"/>
    <x v="0"/>
    <n v="26"/>
    <n v="257"/>
    <n v="25"/>
    <x v="2"/>
    <n v="9.884615384615385"/>
    <n v="0.96153846153846156"/>
    <s v="Faible"/>
  </r>
  <r>
    <s v="Lycée Jean Jaures"/>
    <n v="95"/>
    <s v="Val-d'oise"/>
    <x v="1"/>
    <s v="BTS - Production - Conception et réalisation en chaudronnerie industrielle"/>
    <x v="0"/>
    <n v="15"/>
    <n v="148"/>
    <n v="11"/>
    <x v="1"/>
    <n v="9.8666666666666671"/>
    <n v="0.73333333333333328"/>
    <s v="Faible"/>
  </r>
  <r>
    <s v="Lycée JEAN ROSE"/>
    <n v="77"/>
    <s v="Seine-et-Marne"/>
    <x v="1"/>
    <s v="BTS - Services - Commerce International"/>
    <x v="0"/>
    <n v="24"/>
    <n v="234"/>
    <n v="24"/>
    <x v="1"/>
    <n v="9.75"/>
    <n v="1"/>
    <s v="Faible"/>
  </r>
  <r>
    <s v="Lycée Polyvalent Institut Saint Pierre"/>
    <n v="91"/>
    <s v="Essonne"/>
    <x v="1"/>
    <s v="BTS - Services - Tourisme"/>
    <x v="0"/>
    <n v="36"/>
    <n v="350"/>
    <n v="29"/>
    <x v="1"/>
    <n v="9.7222222222222214"/>
    <n v="0.80555555555555558"/>
    <s v="Faible"/>
  </r>
  <r>
    <s v="Lycée Jean Monnet"/>
    <n v="78"/>
    <s v="Yvelines"/>
    <x v="1"/>
    <s v="BTS - Services - Gestion de la PME"/>
    <x v="0"/>
    <n v="35"/>
    <n v="340"/>
    <n v="33"/>
    <x v="1"/>
    <n v="9.7142857142857135"/>
    <n v="0.94285714285714284"/>
    <s v="Faible"/>
  </r>
  <r>
    <s v="Lycée des Métiers de l'Hôtellerie Guillaume TIREL"/>
    <n v="75"/>
    <s v="Paris"/>
    <x v="1"/>
    <s v="BTS - Services - Management en hôtellerie restauration"/>
    <x v="0"/>
    <n v="72"/>
    <n v="699"/>
    <n v="83"/>
    <x v="0"/>
    <n v="9.7083333333333339"/>
    <n v="1.1527777777777777"/>
    <s v="Faible"/>
  </r>
  <r>
    <s v="Lycée ORT DANIEL MAYER"/>
    <n v="93"/>
    <s v="Seine-Saint-Denis"/>
    <x v="1"/>
    <s v="BTS - Services - Services informatiques aux organisations"/>
    <x v="0"/>
    <n v="72"/>
    <n v="699"/>
    <n v="48"/>
    <x v="2"/>
    <n v="9.7083333333333339"/>
    <n v="0.66666666666666663"/>
    <s v="Faible"/>
  </r>
  <r>
    <s v="Lycée Jean Rostand"/>
    <n v="78"/>
    <s v="Yvelines"/>
    <x v="1"/>
    <s v="BTS - Production - Electrotechnique"/>
    <x v="0"/>
    <n v="22"/>
    <n v="213"/>
    <n v="20"/>
    <x v="1"/>
    <n v="9.6818181818181817"/>
    <n v="0.90909090909090906"/>
    <s v="Faible"/>
  </r>
  <r>
    <s v="Lycée Protectorat Saint Joseph"/>
    <n v="93"/>
    <s v="Seine-Saint-Denis"/>
    <x v="1"/>
    <s v="BTS - Services - Négociation et digitalisation de la Relation Client"/>
    <x v="0"/>
    <n v="28"/>
    <n v="271"/>
    <n v="18"/>
    <x v="2"/>
    <n v="9.6785714285714288"/>
    <n v="0.6428571428571429"/>
    <s v="Faible"/>
  </r>
  <r>
    <s v="Lycée L'Initiative"/>
    <n v="75"/>
    <s v="Paris"/>
    <x v="1"/>
    <s v="BTS - Services - Gestion de la PME"/>
    <x v="0"/>
    <n v="24"/>
    <n v="232"/>
    <n v="22"/>
    <x v="0"/>
    <n v="9.6666666666666661"/>
    <n v="0.91666666666666663"/>
    <s v="Faible"/>
  </r>
  <r>
    <s v="Lycée LAVOISIER"/>
    <n v="78"/>
    <s v="Yvelines"/>
    <x v="1"/>
    <s v="BTS - Production - Travaux publics"/>
    <x v="0"/>
    <n v="15"/>
    <n v="145"/>
    <n v="11"/>
    <x v="1"/>
    <n v="9.6666666666666661"/>
    <n v="0.73333333333333328"/>
    <s v="Faible"/>
  </r>
  <r>
    <s v="Lycée Teilhard De Chardin"/>
    <n v="94"/>
    <s v="Val-de-Marne"/>
    <x v="1"/>
    <s v="BTS - Services - Services et prestations des secteurs sanitaire et social"/>
    <x v="0"/>
    <n v="24"/>
    <n v="232"/>
    <n v="15"/>
    <x v="2"/>
    <n v="9.6666666666666661"/>
    <n v="0.625"/>
    <s v="Faible"/>
  </r>
  <r>
    <s v="Lycée Montalembert"/>
    <n v="92"/>
    <s v="Hauts-de-Seine"/>
    <x v="1"/>
    <s v="BTS - Services - Services informatiques aux organisations"/>
    <x v="0"/>
    <n v="35"/>
    <n v="337"/>
    <n v="32"/>
    <x v="2"/>
    <n v="9.6285714285714281"/>
    <n v="0.91428571428571426"/>
    <s v="Faible"/>
  </r>
  <r>
    <s v="Lycée Jean Rostand"/>
    <n v="78"/>
    <s v="Yvelines"/>
    <x v="1"/>
    <s v="BTS - Production - Maintenance des véhicules option voitures particulières"/>
    <x v="0"/>
    <n v="14"/>
    <n v="134"/>
    <n v="16"/>
    <x v="1"/>
    <n v="9.5714285714285712"/>
    <n v="1.1428571428571428"/>
    <s v="Faible"/>
  </r>
  <r>
    <s v="Lycée Uruguay France"/>
    <n v="77"/>
    <s v="Seine-et-Marne"/>
    <x v="1"/>
    <s v="BTS - Services - Support à l'action managériale"/>
    <x v="0"/>
    <n v="35"/>
    <n v="335"/>
    <n v="31"/>
    <x v="1"/>
    <n v="9.5714285714285712"/>
    <n v="0.88571428571428568"/>
    <s v="Faible"/>
  </r>
  <r>
    <s v="Lycée Saint Charles"/>
    <n v="91"/>
    <s v="Essonne"/>
    <x v="1"/>
    <s v="BTS - Services - Banque"/>
    <x v="0"/>
    <n v="35"/>
    <n v="334"/>
    <n v="30"/>
    <x v="1"/>
    <n v="9.5428571428571427"/>
    <n v="0.8571428571428571"/>
    <s v="Faible"/>
  </r>
  <r>
    <s v="Lycée E. Mounier"/>
    <n v="92"/>
    <s v="Hauts-de-Seine"/>
    <x v="1"/>
    <s v="BTS - Services - Support à l'action managériale"/>
    <x v="0"/>
    <n v="34"/>
    <n v="322"/>
    <n v="26"/>
    <x v="2"/>
    <n v="9.4705882352941178"/>
    <n v="0.76470588235294112"/>
    <s v="Faible"/>
  </r>
  <r>
    <s v="Lycée Saint Charles"/>
    <n v="91"/>
    <s v="Essonne"/>
    <x v="1"/>
    <s v="BTS - Services - Communication"/>
    <x v="0"/>
    <n v="35"/>
    <n v="331"/>
    <n v="34"/>
    <x v="1"/>
    <n v="9.4571428571428573"/>
    <n v="0.97142857142857142"/>
    <s v="Faible"/>
  </r>
  <r>
    <s v="Lycée Carcado Saisseval"/>
    <n v="75"/>
    <s v="Paris"/>
    <x v="1"/>
    <s v="BTS - Services - Communication"/>
    <x v="0"/>
    <n v="80"/>
    <n v="754"/>
    <n v="65"/>
    <x v="0"/>
    <n v="9.4250000000000007"/>
    <n v="0.8125"/>
    <s v="Faible"/>
  </r>
  <r>
    <s v="Lycée professionnel Nicolas Louis Vauquelin"/>
    <n v="75"/>
    <s v="Paris"/>
    <x v="1"/>
    <s v="BTS - Production - Pilotage des procédés"/>
    <x v="0"/>
    <n v="15"/>
    <n v="140"/>
    <n v="14"/>
    <x v="0"/>
    <n v="9.3333333333333339"/>
    <n v="0.93333333333333335"/>
    <s v="Faible"/>
  </r>
  <r>
    <s v="Lycée Martin Luther King"/>
    <n v="77"/>
    <s v="Seine-et-Marne"/>
    <x v="1"/>
    <s v="BTS - Production - Assistance technique d'ingénieur"/>
    <x v="0"/>
    <n v="24"/>
    <n v="223"/>
    <n v="19"/>
    <x v="1"/>
    <n v="9.2916666666666661"/>
    <n v="0.79166666666666663"/>
    <s v="Faible"/>
  </r>
  <r>
    <s v="Lycée Fenelon"/>
    <n v="93"/>
    <s v="Seine-Saint-Denis"/>
    <x v="1"/>
    <s v="BTS - Services - Communication"/>
    <x v="0"/>
    <n v="24"/>
    <n v="223"/>
    <n v="13"/>
    <x v="2"/>
    <n v="9.2916666666666661"/>
    <n v="0.54166666666666663"/>
    <s v="Faible"/>
  </r>
  <r>
    <s v="Lycée JEAN ROSE"/>
    <n v="77"/>
    <s v="Seine-et-Marne"/>
    <x v="1"/>
    <s v="BTS - Services - Management Commercial Opérationnel"/>
    <x v="0"/>
    <n v="24"/>
    <n v="223"/>
    <n v="20"/>
    <x v="1"/>
    <n v="9.2916666666666661"/>
    <n v="0.83333333333333337"/>
    <s v="Faible"/>
  </r>
  <r>
    <s v="Lycée St Gabriel"/>
    <n v="92"/>
    <s v="Hauts-de-Seine"/>
    <x v="1"/>
    <s v="BTS - Services - Comptabilité et gestion"/>
    <x v="0"/>
    <n v="28"/>
    <n v="260"/>
    <n v="19"/>
    <x v="2"/>
    <n v="9.2857142857142865"/>
    <n v="0.6785714285714286"/>
    <s v="Faible"/>
  </r>
  <r>
    <s v="Lycée Jean Pierre Timbaud"/>
    <n v="91"/>
    <s v="Essonne"/>
    <x v="1"/>
    <s v="BTS - Production - Métiers du géomètre-topographe et de la modélisation numérique"/>
    <x v="0"/>
    <n v="30"/>
    <n v="275"/>
    <n v="25"/>
    <x v="1"/>
    <n v="9.1666666666666661"/>
    <n v="0.83333333333333337"/>
    <s v="Faible"/>
  </r>
  <r>
    <s v="Lycée Des métiers Jean DROUANT"/>
    <n v="75"/>
    <s v="Paris"/>
    <x v="1"/>
    <s v="BTS - Services - Management en hôtellerie restauration"/>
    <x v="0"/>
    <n v="72"/>
    <n v="657"/>
    <n v="56"/>
    <x v="0"/>
    <n v="9.125"/>
    <n v="0.77777777777777779"/>
    <s v="Faible"/>
  </r>
  <r>
    <s v="Lycée Albert de Mun"/>
    <n v="75"/>
    <s v="Paris"/>
    <x v="1"/>
    <s v="BTS - Services - Management Commercial Opérationnel"/>
    <x v="0"/>
    <n v="70"/>
    <n v="638"/>
    <n v="54"/>
    <x v="0"/>
    <n v="9.1142857142857139"/>
    <n v="0.77142857142857146"/>
    <s v="Faible"/>
  </r>
  <r>
    <s v="Lycée Polyvalent Institut Saint Pierre"/>
    <n v="91"/>
    <s v="Essonne"/>
    <x v="1"/>
    <s v="BTS - Services - Communication"/>
    <x v="0"/>
    <n v="36"/>
    <n v="328"/>
    <n v="29"/>
    <x v="1"/>
    <n v="9.1111111111111107"/>
    <n v="0.80555555555555558"/>
    <s v="Faible"/>
  </r>
  <r>
    <s v="Lycée Voillaume"/>
    <n v="93"/>
    <s v="Seine-Saint-Denis"/>
    <x v="1"/>
    <s v="BTS - Production - Conception de produits industriels"/>
    <x v="0"/>
    <n v="24"/>
    <n v="217"/>
    <n v="23"/>
    <x v="2"/>
    <n v="9.0416666666666661"/>
    <n v="0.95833333333333337"/>
    <s v="Faible"/>
  </r>
  <r>
    <s v="Lycée CONDORCET"/>
    <n v="93"/>
    <s v="Seine-Saint-Denis"/>
    <x v="1"/>
    <s v="BTS - Production - Traitement des matériaux"/>
    <x v="0"/>
    <n v="24"/>
    <n v="217"/>
    <n v="23"/>
    <x v="2"/>
    <n v="9.0416666666666661"/>
    <n v="0.95833333333333337"/>
    <s v="Faible"/>
  </r>
  <r>
    <s v="Lycée Geoffroy-St-Hilaire"/>
    <n v="91"/>
    <s v="Essonne"/>
    <x v="1"/>
    <s v="BTS - Services - Services et prestations des secteurs sanitaire et social"/>
    <x v="0"/>
    <n v="33"/>
    <n v="297"/>
    <n v="32"/>
    <x v="1"/>
    <n v="9"/>
    <n v="0.96969696969696972"/>
    <s v="Faible"/>
  </r>
  <r>
    <s v="LGT SAINTE MARIE"/>
    <n v="94"/>
    <s v="Val-de-Marne"/>
    <x v="1"/>
    <s v="BTS - Services - Négociation et digitalisation de la Relation Client"/>
    <x v="0"/>
    <n v="33"/>
    <n v="297"/>
    <n v="19"/>
    <x v="2"/>
    <n v="9"/>
    <n v="0.5757575757575758"/>
    <s v="Faible"/>
  </r>
  <r>
    <s v="Lycée Louis Bascan"/>
    <n v="78"/>
    <s v="Yvelines"/>
    <x v="1"/>
    <s v="BTS - Production - Electrotechnique"/>
    <x v="0"/>
    <n v="24"/>
    <n v="211"/>
    <n v="17"/>
    <x v="1"/>
    <n v="8.7916666666666661"/>
    <n v="0.70833333333333337"/>
    <s v="Faible"/>
  </r>
  <r>
    <s v="Lycée Carcado Saisseval"/>
    <n v="75"/>
    <s v="Paris"/>
    <x v="1"/>
    <s v="BTS - Services - Services et prestations des secteurs sanitaire et social"/>
    <x v="0"/>
    <n v="40"/>
    <n v="350"/>
    <n v="15"/>
    <x v="0"/>
    <n v="8.75"/>
    <n v="0.375"/>
    <s v="Faible"/>
  </r>
  <r>
    <s v="Ecole Technique Sup Laboratoire"/>
    <n v="75"/>
    <s v="Paris"/>
    <x v="1"/>
    <s v="BTS - Production - Métiers de la chimie"/>
    <x v="0"/>
    <n v="36"/>
    <n v="315"/>
    <n v="26"/>
    <x v="0"/>
    <n v="8.75"/>
    <n v="0.72222222222222221"/>
    <s v="Faible"/>
  </r>
  <r>
    <s v="Lycée Campus de Coulommiers"/>
    <n v="77"/>
    <s v="Seine-et-Marne"/>
    <x v="1"/>
    <s v="BTS - Services - Economie sociale familiale"/>
    <x v="0"/>
    <n v="24"/>
    <n v="210"/>
    <n v="17"/>
    <x v="1"/>
    <n v="8.75"/>
    <n v="0.70833333333333337"/>
    <s v="Faible"/>
  </r>
  <r>
    <s v="Lycée professionnel Agricole Breuil-Ecole privée d'Horticulture et Arboriculture"/>
    <n v="75"/>
    <s v="Paris"/>
    <x v="1"/>
    <s v="BTS - Agricole - Aménagements paysagers"/>
    <x v="0"/>
    <n v="28"/>
    <n v="244"/>
    <n v="28"/>
    <x v="0"/>
    <n v="8.7142857142857135"/>
    <n v="1"/>
    <s v="Faible"/>
  </r>
  <r>
    <s v="Lycée Le Corbusier"/>
    <n v="93"/>
    <s v="Seine-Saint-Denis"/>
    <x v="1"/>
    <s v="BTS - Production - Conception des processus de réalisation de produits (1ère année commune)"/>
    <x v="0"/>
    <n v="24"/>
    <n v="209"/>
    <n v="21"/>
    <x v="2"/>
    <n v="8.7083333333333339"/>
    <n v="0.875"/>
    <s v="Faible"/>
  </r>
  <r>
    <s v="LGT SAINTE MARIE"/>
    <n v="94"/>
    <s v="Val-de-Marne"/>
    <x v="1"/>
    <s v="BTS - Services - Management Commercial Opérationnel"/>
    <x v="0"/>
    <n v="32"/>
    <n v="276"/>
    <n v="15"/>
    <x v="2"/>
    <n v="8.625"/>
    <n v="0.46875"/>
    <s v="Faible"/>
  </r>
  <r>
    <s v="Lycée Gregor Mendel"/>
    <n v="94"/>
    <s v="Val-de-Marne"/>
    <x v="1"/>
    <s v="BTS - Production - Biotechnologie en recherche et en production"/>
    <x v="0"/>
    <n v="34"/>
    <n v="292"/>
    <n v="18"/>
    <x v="2"/>
    <n v="8.5882352941176467"/>
    <n v="0.52941176470588236"/>
    <s v="Faible"/>
  </r>
  <r>
    <s v="Lycée professionnel Louis Bleriot"/>
    <n v="78"/>
    <s v="Yvelines"/>
    <x v="1"/>
    <s v="BTS - Production - Maintenance des systèmes - option A Systèmes de production"/>
    <x v="0"/>
    <n v="24"/>
    <n v="206"/>
    <n v="19"/>
    <x v="1"/>
    <n v="8.5833333333333339"/>
    <n v="0.79166666666666663"/>
    <s v="Faible"/>
  </r>
  <r>
    <s v="Lycée Passy-Saint-Honoré"/>
    <n v="75"/>
    <s v="Paris"/>
    <x v="1"/>
    <s v="BTS - Services - Comptabilité et gestion"/>
    <x v="0"/>
    <n v="28"/>
    <n v="240"/>
    <n v="25"/>
    <x v="0"/>
    <n v="8.5714285714285712"/>
    <n v="0.8928571428571429"/>
    <s v="Faible"/>
  </r>
  <r>
    <s v="Lycée polyvalent Simone Veil"/>
    <n v="77"/>
    <s v="Seine-et-Marne"/>
    <x v="1"/>
    <s v="BTS - Production - Conception des processus de réalisation de produits (1ère année commune)"/>
    <x v="0"/>
    <n v="24"/>
    <n v="205"/>
    <n v="24"/>
    <x v="1"/>
    <n v="8.5416666666666661"/>
    <n v="1"/>
    <s v="Faible"/>
  </r>
  <r>
    <s v="Lycée Viollet-Le-Duc"/>
    <n v="78"/>
    <s v="Yvelines"/>
    <x v="1"/>
    <s v="BTS - Production - Fluide, énergie, domotique - option A génie climatique et fluidique"/>
    <x v="0"/>
    <n v="15"/>
    <n v="128"/>
    <n v="16"/>
    <x v="1"/>
    <n v="8.5333333333333332"/>
    <n v="1.0666666666666667"/>
    <s v="Faible"/>
  </r>
  <r>
    <s v="Lycée Teilhard De Chardin"/>
    <n v="94"/>
    <s v="Val-de-Marne"/>
    <x v="1"/>
    <s v="BTS - Services - Gestion de la PME"/>
    <x v="0"/>
    <n v="36"/>
    <n v="307"/>
    <n v="15"/>
    <x v="2"/>
    <n v="8.5277777777777786"/>
    <n v="0.41666666666666669"/>
    <s v="Faible"/>
  </r>
  <r>
    <s v="Lycée Albert de Mun"/>
    <n v="75"/>
    <s v="Paris"/>
    <x v="1"/>
    <s v="BTS - Services - Comptabilité et gestion"/>
    <x v="0"/>
    <n v="35"/>
    <n v="298"/>
    <n v="24"/>
    <x v="0"/>
    <n v="8.5142857142857142"/>
    <n v="0.68571428571428572"/>
    <s v="Faible"/>
  </r>
  <r>
    <s v="Lycée Saint-Nicolas"/>
    <n v="75"/>
    <s v="Paris"/>
    <x v="1"/>
    <s v="BTS - Production - Conception et Réalisation de Systèmes Automatiques"/>
    <x v="0"/>
    <n v="30"/>
    <n v="254"/>
    <n v="26"/>
    <x v="0"/>
    <n v="8.4666666666666668"/>
    <n v="0.8666666666666667"/>
    <s v="Faible"/>
  </r>
  <r>
    <s v="Lycée Robert Doisneau"/>
    <n v="91"/>
    <s v="Essonne"/>
    <x v="1"/>
    <s v="BTS - Production - Conception des processus de réalisation de produits (1ère année commune)"/>
    <x v="0"/>
    <n v="24"/>
    <n v="203"/>
    <n v="21"/>
    <x v="1"/>
    <n v="8.4583333333333339"/>
    <n v="0.875"/>
    <s v="Faible"/>
  </r>
  <r>
    <s v="Lycée Teilhard De Chardin"/>
    <n v="94"/>
    <s v="Val-de-Marne"/>
    <x v="1"/>
    <s v="BTS - Services - Comptabilité et gestion"/>
    <x v="0"/>
    <n v="36"/>
    <n v="304"/>
    <n v="28"/>
    <x v="2"/>
    <n v="8.4444444444444446"/>
    <n v="0.77777777777777779"/>
    <s v="Faible"/>
  </r>
  <r>
    <s v="Lycée ORT DANIEL MAYER"/>
    <n v="93"/>
    <s v="Seine-Saint-Denis"/>
    <x v="1"/>
    <s v="BTS - Services - Comptabilité et gestion"/>
    <x v="0"/>
    <n v="36"/>
    <n v="303"/>
    <n v="23"/>
    <x v="2"/>
    <n v="8.4166666666666661"/>
    <n v="0.63888888888888884"/>
    <s v="Faible"/>
  </r>
  <r>
    <s v="Lycée Claude-Nicolas LEDOUX / EBTP"/>
    <n v="94"/>
    <s v="Val-de-Marne"/>
    <x v="1"/>
    <s v="BTS - Production - Travaux publics"/>
    <x v="0"/>
    <n v="30"/>
    <n v="251"/>
    <n v="21"/>
    <x v="2"/>
    <n v="8.3666666666666671"/>
    <n v="0.7"/>
    <s v="Faible"/>
  </r>
  <r>
    <s v="Institut Supérieur Clorivière"/>
    <n v="75"/>
    <s v="Paris"/>
    <x v="1"/>
    <s v="BTS - Services - Support à l'action managériale"/>
    <x v="0"/>
    <n v="24"/>
    <n v="200"/>
    <n v="18"/>
    <x v="0"/>
    <n v="8.3333333333333339"/>
    <n v="0.75"/>
    <s v="Faible"/>
  </r>
  <r>
    <s v="Lycée Claude-Nicolas LEDOUX / EBTP"/>
    <n v="94"/>
    <s v="Val-de-Marne"/>
    <x v="1"/>
    <s v="BTS - Production - Métiers du géomètre-topographe et de la modélisation numérique"/>
    <x v="0"/>
    <n v="16"/>
    <n v="132"/>
    <n v="10"/>
    <x v="2"/>
    <n v="8.25"/>
    <n v="0.625"/>
    <s v="Faible"/>
  </r>
  <r>
    <s v="Lycée des Métiers de l'horticulture et du paysage"/>
    <n v="93"/>
    <s v="Seine-Saint-Denis"/>
    <x v="1"/>
    <s v="BTS - Agricole - Aménagements paysagers"/>
    <x v="0"/>
    <n v="65"/>
    <n v="536"/>
    <n v="31"/>
    <x v="2"/>
    <n v="8.2461538461538453"/>
    <n v="0.47692307692307695"/>
    <s v="Faible"/>
  </r>
  <r>
    <s v="Lycée André Malraux"/>
    <n v="77"/>
    <s v="Seine-et-Marne"/>
    <x v="1"/>
    <s v="BTS - Services - Etudes de réalisation d'un projet de communication - 1ère année commune"/>
    <x v="0"/>
    <n v="22"/>
    <n v="180"/>
    <n v="20"/>
    <x v="1"/>
    <n v="8.1818181818181817"/>
    <n v="0.90909090909090906"/>
    <s v="Faible"/>
  </r>
  <r>
    <s v="Lycée La Salle Passy Buzenval"/>
    <n v="92"/>
    <s v="Hauts-de-Seine"/>
    <x v="1"/>
    <s v="BTS - Production - Assistance technique d'ingénieur"/>
    <x v="0"/>
    <n v="18"/>
    <n v="147"/>
    <n v="9"/>
    <x v="2"/>
    <n v="8.1666666666666661"/>
    <n v="0.5"/>
    <s v="Faible"/>
  </r>
  <r>
    <s v="Lycée Viollet-Le-Duc"/>
    <n v="78"/>
    <s v="Yvelines"/>
    <x v="1"/>
    <s v="BTS - Production - Maintenance des systèmes - option B Systèmes énergétiques et fluidiques"/>
    <x v="0"/>
    <n v="15"/>
    <n v="121"/>
    <n v="12"/>
    <x v="1"/>
    <n v="8.0666666666666664"/>
    <n v="0.8"/>
    <s v="Faible"/>
  </r>
  <r>
    <s v="Lycée Romain Rolland"/>
    <n v="95"/>
    <s v="Val-d'oise"/>
    <x v="1"/>
    <s v="BTS - Production - Maintenance des systèmes - option A Systèmes de production"/>
    <x v="0"/>
    <n v="24"/>
    <n v="193"/>
    <n v="19"/>
    <x v="1"/>
    <n v="8.0416666666666661"/>
    <n v="0.79166666666666663"/>
    <s v="Faible"/>
  </r>
  <r>
    <s v="CHEPP du Tremblay sur Mauldre"/>
    <n v="78"/>
    <s v="Yvelines"/>
    <x v="1"/>
    <s v="BTS - Agricole - Gestion et protection de la nature"/>
    <x v="0"/>
    <n v="28"/>
    <n v="223"/>
    <n v="18"/>
    <x v="1"/>
    <n v="7.9642857142857144"/>
    <n v="0.6428571428571429"/>
    <s v="Faible"/>
  </r>
  <r>
    <s v="Lycée Parc de Vilgenis"/>
    <n v="91"/>
    <s v="Essonne"/>
    <x v="1"/>
    <s v="BTS - Production - Conception et industrialisation en microtechniques"/>
    <x v="0"/>
    <n v="24"/>
    <n v="191"/>
    <n v="23"/>
    <x v="1"/>
    <n v="7.958333333333333"/>
    <n v="0.95833333333333337"/>
    <s v="Faible"/>
  </r>
  <r>
    <s v="Lycée Les Pannevelles"/>
    <n v="77"/>
    <s v="Seine-et-Marne"/>
    <x v="1"/>
    <s v="BTS - Production - Bâtiment"/>
    <x v="0"/>
    <n v="24"/>
    <n v="190"/>
    <n v="20"/>
    <x v="1"/>
    <n v="7.916666666666667"/>
    <n v="0.83333333333333337"/>
    <s v="Faible"/>
  </r>
  <r>
    <s v="Lycée Notre-Dame Les Oiseaux"/>
    <n v="78"/>
    <s v="Yvelines"/>
    <x v="1"/>
    <s v="BTS - Services - Commerce International"/>
    <x v="0"/>
    <n v="28"/>
    <n v="221"/>
    <n v="23"/>
    <x v="1"/>
    <n v="7.8928571428571432"/>
    <n v="0.8214285714285714"/>
    <s v="Faible"/>
  </r>
  <r>
    <s v="Lycée Charles Le Chauve"/>
    <n v="77"/>
    <s v="Seine-et-Marne"/>
    <x v="1"/>
    <s v="BTS - Services - Support à l'action managériale"/>
    <x v="0"/>
    <n v="35"/>
    <n v="276"/>
    <n v="28"/>
    <x v="1"/>
    <n v="7.8857142857142861"/>
    <n v="0.8"/>
    <s v="Faible"/>
  </r>
  <r>
    <s v="Lycée Le Rebours"/>
    <n v="75"/>
    <s v="Paris"/>
    <x v="1"/>
    <s v="BTS - Services - Support à l'action managériale"/>
    <x v="0"/>
    <n v="36"/>
    <n v="282"/>
    <n v="14"/>
    <x v="0"/>
    <n v="7.833333333333333"/>
    <n v="0.3888888888888889"/>
    <s v="Faible"/>
  </r>
  <r>
    <s v="Ecole Technique Sup Laboratoire"/>
    <n v="75"/>
    <s v="Paris"/>
    <x v="1"/>
    <s v="BTS - Production - Bioanalyses en laboratoire de contrôle"/>
    <x v="0"/>
    <n v="88"/>
    <n v="687"/>
    <n v="42"/>
    <x v="0"/>
    <n v="7.8068181818181817"/>
    <n v="0.47727272727272729"/>
    <s v="Faible"/>
  </r>
  <r>
    <s v="Lycée Campus de Coulommiers"/>
    <n v="77"/>
    <s v="Seine-et-Marne"/>
    <x v="1"/>
    <s v="BTS - Services - Support à l'action managériale"/>
    <x v="0"/>
    <n v="24"/>
    <n v="187"/>
    <n v="18"/>
    <x v="1"/>
    <n v="7.791666666666667"/>
    <n v="0.75"/>
    <s v="Faible"/>
  </r>
  <r>
    <s v="Lycée Passy-Saint-Honoré"/>
    <n v="75"/>
    <s v="Paris"/>
    <x v="1"/>
    <s v="BTS - Services - Gestion de la PME"/>
    <x v="0"/>
    <n v="32"/>
    <n v="249"/>
    <n v="22"/>
    <x v="0"/>
    <n v="7.78125"/>
    <n v="0.6875"/>
    <s v="Faible"/>
  </r>
  <r>
    <s v="Lycée Francois Mansart"/>
    <n v="94"/>
    <s v="Val-de-Marne"/>
    <x v="1"/>
    <s v="BTS - Production - Systèmes constructifs bois et habitat"/>
    <x v="0"/>
    <n v="26"/>
    <n v="202"/>
    <n v="25"/>
    <x v="2"/>
    <n v="7.7692307692307692"/>
    <n v="0.96153846153846156"/>
    <s v="Faible"/>
  </r>
  <r>
    <s v="Lycée Protectorat Saint Joseph"/>
    <n v="93"/>
    <s v="Seine-Saint-Denis"/>
    <x v="1"/>
    <s v="BTS - Services - Gestion de la PME"/>
    <x v="0"/>
    <n v="28"/>
    <n v="216"/>
    <n v="26"/>
    <x v="2"/>
    <n v="7.7142857142857144"/>
    <n v="0.9285714285714286"/>
    <s v="Faible"/>
  </r>
  <r>
    <s v="Lycée Jules Ferry"/>
    <n v="78"/>
    <s v="Yvelines"/>
    <x v="1"/>
    <s v="BTS - Production - Conception des processus de réalisation de produits (1ère année commune)"/>
    <x v="0"/>
    <n v="23"/>
    <n v="177"/>
    <n v="13"/>
    <x v="1"/>
    <n v="7.6956521739130439"/>
    <n v="0.56521739130434778"/>
    <s v="Faible"/>
  </r>
  <r>
    <s v="Lycée Jean-Baptiste de La Salle"/>
    <n v="93"/>
    <s v="Seine-Saint-Denis"/>
    <x v="1"/>
    <s v="BTS - Production - Electrotechnique"/>
    <x v="0"/>
    <n v="20"/>
    <n v="153"/>
    <n v="8"/>
    <x v="2"/>
    <n v="7.65"/>
    <n v="0.4"/>
    <s v="Faible"/>
  </r>
  <r>
    <s v="Lycée polyvalent La Fayette"/>
    <n v="77"/>
    <s v="Seine-et-Marne"/>
    <x v="1"/>
    <s v="BTS - Production - Electrotechnique"/>
    <x v="0"/>
    <n v="24"/>
    <n v="183"/>
    <n v="21"/>
    <x v="1"/>
    <n v="7.625"/>
    <n v="0.875"/>
    <s v="Faible"/>
  </r>
  <r>
    <s v="LYCEE TECHNOLOGIQUE PRIVE ROBERT SCHUMAN"/>
    <n v="93"/>
    <s v="Seine-Saint-Denis"/>
    <x v="1"/>
    <s v="BTS - Services - Services informatiques aux organisations"/>
    <x v="0"/>
    <n v="50"/>
    <n v="372"/>
    <n v="43"/>
    <x v="2"/>
    <n v="7.44"/>
    <n v="0.86"/>
    <s v="Faible"/>
  </r>
  <r>
    <s v="Lycée Passy-Saint-Honoré"/>
    <n v="75"/>
    <s v="Paris"/>
    <x v="1"/>
    <s v="BTS - Services - Diététique et nutrition"/>
    <x v="0"/>
    <n v="28"/>
    <n v="206"/>
    <n v="18"/>
    <x v="0"/>
    <n v="7.3571428571428568"/>
    <n v="0.6428571428571429"/>
    <s v="Faible"/>
  </r>
  <r>
    <s v="Lycée Claude-Nicolas LEDOUX / EBTP"/>
    <n v="94"/>
    <s v="Val-de-Marne"/>
    <x v="1"/>
    <s v="BTS - Production - Bâtiment"/>
    <x v="0"/>
    <n v="70"/>
    <n v="511"/>
    <n v="56"/>
    <x v="2"/>
    <n v="7.3"/>
    <n v="0.8"/>
    <s v="Faible"/>
  </r>
  <r>
    <s v="Lycée Auffray"/>
    <n v="92"/>
    <s v="Hauts-de-Seine"/>
    <x v="1"/>
    <s v="BTS - Services - Management en hôtellerie restauration"/>
    <x v="0"/>
    <n v="39"/>
    <n v="284"/>
    <n v="35"/>
    <x v="2"/>
    <n v="7.2820512820512819"/>
    <n v="0.89743589743589747"/>
    <s v="Faible"/>
  </r>
  <r>
    <s v="Lycée Albert de Mun"/>
    <n v="75"/>
    <s v="Paris"/>
    <x v="1"/>
    <s v="BTS - Services - Support à l'action managériale"/>
    <x v="0"/>
    <n v="35"/>
    <n v="253"/>
    <n v="15"/>
    <x v="0"/>
    <n v="7.2285714285714286"/>
    <n v="0.42857142857142855"/>
    <s v="Faible"/>
  </r>
  <r>
    <s v="Lycée Agricole de Saint Germain en Laye/Chambourcy"/>
    <n v="78"/>
    <s v="Yvelines"/>
    <x v="1"/>
    <s v="BTS - Agricole - Aménagements paysagers"/>
    <x v="0"/>
    <n v="36"/>
    <n v="260"/>
    <n v="17"/>
    <x v="1"/>
    <n v="7.2222222222222223"/>
    <n v="0.47222222222222221"/>
    <s v="Faible"/>
  </r>
  <r>
    <s v="Lycée Leonard De Vinci"/>
    <n v="77"/>
    <s v="Seine-et-Marne"/>
    <x v="1"/>
    <s v="BTS - Production - Conception de produits industriels"/>
    <x v="0"/>
    <n v="28"/>
    <n v="202"/>
    <n v="27"/>
    <x v="1"/>
    <n v="7.2142857142857144"/>
    <n v="0.9642857142857143"/>
    <s v="Faible"/>
  </r>
  <r>
    <s v="Lycée Passy-Saint-Honoré"/>
    <n v="75"/>
    <s v="Paris"/>
    <x v="1"/>
    <s v="BTS - Services - Banque"/>
    <x v="0"/>
    <n v="35"/>
    <n v="251"/>
    <n v="23"/>
    <x v="0"/>
    <n v="7.1714285714285717"/>
    <n v="0.65714285714285714"/>
    <s v="Faible"/>
  </r>
  <r>
    <s v="Lycée polyvalent Simone Veil"/>
    <n v="77"/>
    <s v="Seine-et-Marne"/>
    <x v="1"/>
    <s v="BTS - Production - Conception et industrialisation en microtechniques"/>
    <x v="0"/>
    <n v="24"/>
    <n v="172"/>
    <n v="25"/>
    <x v="1"/>
    <n v="7.166666666666667"/>
    <n v="1.0416666666666667"/>
    <s v="Faible"/>
  </r>
  <r>
    <s v="Lycée De Villaroy"/>
    <n v="78"/>
    <s v="Yvelines"/>
    <x v="1"/>
    <s v="BTS - Services - Conseil et commercialisation de solutions techniques"/>
    <x v="0"/>
    <n v="25"/>
    <n v="178"/>
    <n v="26"/>
    <x v="1"/>
    <n v="7.12"/>
    <n v="1.04"/>
    <s v="Faible"/>
  </r>
  <r>
    <s v="Lycée L'Initiative"/>
    <n v="75"/>
    <s v="Paris"/>
    <x v="1"/>
    <s v="BTS - Services - Comptabilité et gestion"/>
    <x v="0"/>
    <n v="30"/>
    <n v="212"/>
    <n v="24"/>
    <x v="0"/>
    <n v="7.0666666666666664"/>
    <n v="0.8"/>
    <s v="Faible"/>
  </r>
  <r>
    <s v="Lycée Francois Rabelais"/>
    <n v="93"/>
    <s v="Seine-Saint-Denis"/>
    <x v="1"/>
    <s v="BTS - Services - Management en hôtellerie restauration"/>
    <x v="0"/>
    <n v="24"/>
    <n v="169"/>
    <n v="24"/>
    <x v="2"/>
    <n v="7.041666666666667"/>
    <n v="1"/>
    <s v="Faible"/>
  </r>
  <r>
    <s v="Lycée Edouard Branly"/>
    <n v="94"/>
    <s v="Val-de-Marne"/>
    <x v="1"/>
    <s v="BTS - Production - Conception et industrialisation en microtechniques"/>
    <x v="0"/>
    <n v="24"/>
    <n v="169"/>
    <n v="24"/>
    <x v="2"/>
    <n v="7.041666666666667"/>
    <n v="1"/>
    <s v="Faible"/>
  </r>
  <r>
    <s v="Lycée Charles De Gaulle"/>
    <n v="78"/>
    <s v="Yvelines"/>
    <x v="1"/>
    <s v="BTS - Production - Conception et industrialisation en microtechniques"/>
    <x v="0"/>
    <n v="26"/>
    <n v="180"/>
    <n v="22"/>
    <x v="1"/>
    <n v="6.9230769230769234"/>
    <n v="0.84615384615384615"/>
    <s v="Faible"/>
  </r>
  <r>
    <s v="Lycée Jean Perrin"/>
    <n v="95"/>
    <s v="Val-d'oise"/>
    <x v="1"/>
    <s v="BTS - Production - Métiers de la mesure"/>
    <x v="0"/>
    <n v="15"/>
    <n v="103"/>
    <n v="14"/>
    <x v="1"/>
    <n v="6.8666666666666663"/>
    <n v="0.93333333333333335"/>
    <s v="Faible"/>
  </r>
  <r>
    <s v="Lycée André Malraux"/>
    <n v="77"/>
    <s v="Seine-et-Marne"/>
    <x v="1"/>
    <s v="BTS - Production - Maintenance des systèmes - option A Systèmes de production"/>
    <x v="0"/>
    <n v="24"/>
    <n v="164"/>
    <n v="24"/>
    <x v="1"/>
    <n v="6.833333333333333"/>
    <n v="1"/>
    <s v="Faible"/>
  </r>
  <r>
    <s v="Lycée JEAN ROSE"/>
    <n v="77"/>
    <s v="Seine-et-Marne"/>
    <x v="1"/>
    <s v="BTS - Services - Comptabilité et gestion"/>
    <x v="0"/>
    <n v="24"/>
    <n v="164"/>
    <n v="24"/>
    <x v="1"/>
    <n v="6.833333333333333"/>
    <n v="1"/>
    <s v="Faible"/>
  </r>
  <r>
    <s v="Lycée agricole de la Bretonnière"/>
    <n v="77"/>
    <s v="Seine-et-Marne"/>
    <x v="1"/>
    <s v="BTS - Agricole - Développement et animation de projets territoriaux"/>
    <x v="0"/>
    <n v="18"/>
    <n v="123"/>
    <n v="17"/>
    <x v="1"/>
    <n v="6.833333333333333"/>
    <n v="0.94444444444444442"/>
    <s v="Faible"/>
  </r>
  <r>
    <s v="Lycée Albert de Mun"/>
    <n v="75"/>
    <s v="Paris"/>
    <x v="1"/>
    <s v="BTS - Services - Conseil et commercialisation de solutions techniques"/>
    <x v="0"/>
    <n v="17"/>
    <n v="116"/>
    <n v="17"/>
    <x v="0"/>
    <n v="6.8235294117647056"/>
    <n v="1"/>
    <s v="Faible"/>
  </r>
  <r>
    <s v="Lycée polyvalent Nikola Tesla"/>
    <n v="91"/>
    <s v="Essonne"/>
    <x v="1"/>
    <s v="BTS - Production - Maintenance des systèmes - option A Systèmes de production"/>
    <x v="0"/>
    <n v="26"/>
    <n v="176"/>
    <n v="26"/>
    <x v="1"/>
    <n v="6.7692307692307692"/>
    <n v="1"/>
    <s v="Faible"/>
  </r>
  <r>
    <s v="Lycée G A R A C"/>
    <n v="95"/>
    <s v="Val-d'oise"/>
    <x v="1"/>
    <s v="BTS - Production - Maintenance des véhicules option voitures particulières"/>
    <x v="0"/>
    <n v="60"/>
    <n v="406"/>
    <n v="43"/>
    <x v="1"/>
    <n v="6.7666666666666666"/>
    <n v="0.71666666666666667"/>
    <s v="Faible"/>
  </r>
  <r>
    <s v="Lycée G A R A C"/>
    <n v="95"/>
    <s v="Val-d'oise"/>
    <x v="1"/>
    <s v="BTS - Production - Construction et aménagement de véhicules"/>
    <x v="0"/>
    <n v="25"/>
    <n v="165"/>
    <n v="21"/>
    <x v="1"/>
    <n v="6.6"/>
    <n v="0.84"/>
    <s v="Faible"/>
  </r>
  <r>
    <s v="Lycée Claude-Nicolas LEDOUX / EBTP"/>
    <n v="94"/>
    <s v="Val-de-Marne"/>
    <x v="1"/>
    <s v="BTS - Production - Management économique de la construction"/>
    <x v="0"/>
    <n v="30"/>
    <n v="197"/>
    <n v="17"/>
    <x v="2"/>
    <n v="6.5666666666666664"/>
    <n v="0.56666666666666665"/>
    <s v="Faible"/>
  </r>
  <r>
    <s v="Lycée Polyvalent Institut Saint Pierre"/>
    <n v="91"/>
    <s v="Essonne"/>
    <x v="1"/>
    <s v="BTS - Services - Comptabilité et gestion"/>
    <x v="0"/>
    <n v="36"/>
    <n v="235"/>
    <n v="32"/>
    <x v="1"/>
    <n v="6.5277777777777777"/>
    <n v="0.88888888888888884"/>
    <s v="Faible"/>
  </r>
  <r>
    <s v="Lycée Pierre de Coubertin"/>
    <n v="77"/>
    <s v="Seine-et-Marne"/>
    <x v="1"/>
    <s v="BTS - Production - Electrotechnique"/>
    <x v="0"/>
    <n v="30"/>
    <n v="194"/>
    <n v="28"/>
    <x v="1"/>
    <n v="6.4666666666666668"/>
    <n v="0.93333333333333335"/>
    <s v="Faible"/>
  </r>
  <r>
    <s v="Lycée Geoffroy-St-Hilaire"/>
    <n v="91"/>
    <s v="Essonne"/>
    <x v="1"/>
    <s v="BTS - Production - Electrotechnique"/>
    <x v="0"/>
    <n v="29"/>
    <n v="185"/>
    <n v="27"/>
    <x v="1"/>
    <n v="6.3793103448275863"/>
    <n v="0.93103448275862066"/>
    <s v="Faible"/>
  </r>
  <r>
    <s v="Lycée professionnel CE3P"/>
    <n v="94"/>
    <s v="Val-de-Marne"/>
    <x v="1"/>
    <s v="BTS - Services - Photographie"/>
    <x v="0"/>
    <n v="35"/>
    <n v="222"/>
    <n v="34"/>
    <x v="2"/>
    <n v="6.3428571428571425"/>
    <n v="0.97142857142857142"/>
    <s v="Faible"/>
  </r>
  <r>
    <s v="Lycée agricole de la Bretonnière"/>
    <n v="77"/>
    <s v="Seine-et-Marne"/>
    <x v="1"/>
    <s v="BTS - Agricole - Technico-commercial - Spécialité alimentation et boisson"/>
    <x v="0"/>
    <n v="17"/>
    <n v="107"/>
    <n v="11"/>
    <x v="1"/>
    <n v="6.2941176470588234"/>
    <n v="0.6470588235294118"/>
    <s v="Faible"/>
  </r>
  <r>
    <s v="Institut et Campus d'Optique (ICO)"/>
    <n v="91"/>
    <s v="Essonne"/>
    <x v="1"/>
    <s v="BTS - Services - Négociation et digitalisation de la Relation Client"/>
    <x v="0"/>
    <n v="18"/>
    <n v="111"/>
    <n v="17"/>
    <x v="1"/>
    <n v="6.166666666666667"/>
    <n v="0.94444444444444442"/>
    <s v="Faible"/>
  </r>
  <r>
    <s v="LYCEE PROFESSIONNEL PRIVE COGNACQ-JAY"/>
    <n v="95"/>
    <s v="Val-d'oise"/>
    <x v="1"/>
    <s v="BTS - Services - Management Commercial Opérationnel"/>
    <x v="0"/>
    <n v="30"/>
    <n v="182"/>
    <n v="24"/>
    <x v="1"/>
    <n v="6.0666666666666664"/>
    <n v="0.8"/>
    <s v="Faible"/>
  </r>
  <r>
    <s v="Lycée JEAN ROSE"/>
    <n v="77"/>
    <s v="Seine-et-Marne"/>
    <x v="1"/>
    <s v="BTS - Services - Services et prestations des secteurs sanitaire et social"/>
    <x v="0"/>
    <n v="24"/>
    <n v="145"/>
    <n v="10"/>
    <x v="1"/>
    <n v="6.041666666666667"/>
    <n v="0.41666666666666669"/>
    <s v="Faible"/>
  </r>
  <r>
    <s v="Lycée Emilie du Châtelet"/>
    <n v="77"/>
    <s v="Seine-et-Marne"/>
    <x v="1"/>
    <s v="BTS - Services - Management en hôtellerie restauration"/>
    <x v="0"/>
    <n v="26"/>
    <n v="156"/>
    <n v="23"/>
    <x v="1"/>
    <n v="6"/>
    <n v="0.88461538461538458"/>
    <s v="Faible"/>
  </r>
  <r>
    <s v="Lycée professionnel Chenneviere Malezieux"/>
    <n v="75"/>
    <s v="Paris"/>
    <x v="1"/>
    <s v="BTS - Production - Conception et réalisation en chaudronnerie industrielle"/>
    <x v="0"/>
    <n v="28"/>
    <n v="167"/>
    <n v="20"/>
    <x v="0"/>
    <n v="5.9642857142857144"/>
    <n v="0.7142857142857143"/>
    <s v="Faible"/>
  </r>
  <r>
    <s v="Lycée Fenelon Sup La Plaine Monceau"/>
    <n v="75"/>
    <s v="Paris"/>
    <x v="1"/>
    <s v="BTS - Services - Economie sociale familiale"/>
    <x v="0"/>
    <n v="70"/>
    <n v="416"/>
    <n v="29"/>
    <x v="0"/>
    <n v="5.9428571428571431"/>
    <n v="0.41428571428571431"/>
    <s v="Faible"/>
  </r>
  <r>
    <s v="Lycée ORT"/>
    <n v="95"/>
    <s v="Val-d'oise"/>
    <x v="1"/>
    <s v="BTS - Services - Banque"/>
    <x v="0"/>
    <n v="32"/>
    <n v="190"/>
    <n v="12"/>
    <x v="1"/>
    <n v="5.9375"/>
    <n v="0.375"/>
    <s v="Faible"/>
  </r>
  <r>
    <s v="Lycée Pierre de Coubertin"/>
    <n v="77"/>
    <s v="Seine-et-Marne"/>
    <x v="1"/>
    <s v="BTS - Production - Conception et Réalisation de Systèmes Automatiques"/>
    <x v="0"/>
    <n v="30"/>
    <n v="177"/>
    <n v="24"/>
    <x v="1"/>
    <n v="5.9"/>
    <n v="0.8"/>
    <s v="Faible"/>
  </r>
  <r>
    <s v="GROUPE ICS"/>
    <n v="78"/>
    <s v="Yvelines"/>
    <x v="1"/>
    <s v="BTS - Services - Négociation et digitalisation de la Relation Client"/>
    <x v="0"/>
    <n v="30"/>
    <n v="176"/>
    <n v="10"/>
    <x v="1"/>
    <n v="5.8666666666666663"/>
    <n v="0.33333333333333331"/>
    <s v="Faible"/>
  </r>
  <r>
    <s v="Lycée Blanche De Castille"/>
    <n v="77"/>
    <s v="Seine-et-Marne"/>
    <x v="1"/>
    <s v="BTS - Services - Management Commercial Opérationnel"/>
    <x v="0"/>
    <n v="33"/>
    <n v="193"/>
    <n v="13"/>
    <x v="1"/>
    <n v="5.8484848484848486"/>
    <n v="0.39393939393939392"/>
    <s v="Faible"/>
  </r>
  <r>
    <s v="Lycée Notre-Dame Les Oiseaux"/>
    <n v="78"/>
    <s v="Yvelines"/>
    <x v="1"/>
    <s v="BTS - Services - Management Commercial Opérationnel"/>
    <x v="0"/>
    <n v="40"/>
    <n v="233"/>
    <n v="25"/>
    <x v="1"/>
    <n v="5.8250000000000002"/>
    <n v="0.625"/>
    <s v="Faible"/>
  </r>
  <r>
    <s v="Lycée Jean Rostand"/>
    <n v="93"/>
    <s v="Seine-Saint-Denis"/>
    <x v="1"/>
    <s v="BTS - Production - Conception et industrialisation en microtechniques"/>
    <x v="0"/>
    <n v="26"/>
    <n v="151"/>
    <n v="26"/>
    <x v="2"/>
    <n v="5.8076923076923075"/>
    <n v="1"/>
    <s v="Faible"/>
  </r>
  <r>
    <s v="GROUPE ICS"/>
    <n v="78"/>
    <s v="Yvelines"/>
    <x v="1"/>
    <s v="BTS - Services - Management Commercial Opérationnel"/>
    <x v="0"/>
    <n v="30"/>
    <n v="172"/>
    <n v="11"/>
    <x v="1"/>
    <n v="5.7333333333333334"/>
    <n v="0.36666666666666664"/>
    <s v="Faible"/>
  </r>
  <r>
    <s v="IPAG Business School - Campus de Paris"/>
    <n v="75"/>
    <s v="Paris"/>
    <x v="1"/>
    <s v="BTS - Services - Conseil et commercialisation de solutions techniques"/>
    <x v="0"/>
    <n v="30"/>
    <n v="171"/>
    <n v="8"/>
    <x v="0"/>
    <n v="5.7"/>
    <n v="0.26666666666666666"/>
    <s v="Faible"/>
  </r>
  <r>
    <s v="Institution Saint Aspais"/>
    <n v="77"/>
    <s v="Seine-et-Marne"/>
    <x v="1"/>
    <s v="BTS - Services - Comptabilité et gestion"/>
    <x v="0"/>
    <n v="33"/>
    <n v="187"/>
    <n v="27"/>
    <x v="1"/>
    <n v="5.666666666666667"/>
    <n v="0.81818181818181823"/>
    <s v="Faible"/>
  </r>
  <r>
    <s v="Lycée Les Pannevelles"/>
    <n v="77"/>
    <s v="Seine-et-Marne"/>
    <x v="1"/>
    <s v="BTS - Production - Travaux publics"/>
    <x v="0"/>
    <n v="24"/>
    <n v="133"/>
    <n v="23"/>
    <x v="1"/>
    <n v="5.541666666666667"/>
    <n v="0.95833333333333337"/>
    <s v="Faible"/>
  </r>
  <r>
    <s v="Institut Supérieur Clorivière"/>
    <n v="75"/>
    <s v="Paris"/>
    <x v="1"/>
    <s v="BTS - Services - Economie sociale familiale"/>
    <x v="0"/>
    <n v="74"/>
    <n v="406"/>
    <n v="78"/>
    <x v="0"/>
    <n v="5.4864864864864868"/>
    <n v="1.0540540540540539"/>
    <s v="Faible"/>
  </r>
  <r>
    <s v="Institution Saint Aspais"/>
    <n v="77"/>
    <s v="Seine-et-Marne"/>
    <x v="1"/>
    <s v="BTS - Services - Services informatiques aux organisations"/>
    <x v="0"/>
    <n v="35"/>
    <n v="189"/>
    <n v="34"/>
    <x v="1"/>
    <n v="5.4"/>
    <n v="0.97142857142857142"/>
    <s v="Faible"/>
  </r>
  <r>
    <s v="Lycée Campus de Coulommiers"/>
    <n v="77"/>
    <s v="Seine-et-Marne"/>
    <x v="1"/>
    <s v="BTS - Production - Maintenance des matériels de construction et de manutention"/>
    <x v="0"/>
    <n v="15"/>
    <n v="79"/>
    <n v="13"/>
    <x v="1"/>
    <n v="5.2666666666666666"/>
    <n v="0.8666666666666667"/>
    <s v="Faible"/>
  </r>
  <r>
    <s v="Lycée G A R A C"/>
    <n v="95"/>
    <s v="Val-d'oise"/>
    <x v="1"/>
    <s v="BTS - Production - Maintenance des véhicules option motocycles"/>
    <x v="0"/>
    <n v="30"/>
    <n v="155"/>
    <n v="15"/>
    <x v="1"/>
    <n v="5.166666666666667"/>
    <n v="0.5"/>
    <s v="Faible"/>
  </r>
  <r>
    <s v="Lycée Passy-Saint-Honoré"/>
    <n v="75"/>
    <s v="Paris"/>
    <x v="1"/>
    <s v="BTS - Services - Support à l'action managériale"/>
    <x v="0"/>
    <n v="32"/>
    <n v="164"/>
    <n v="21"/>
    <x v="0"/>
    <n v="5.125"/>
    <n v="0.65625"/>
    <s v="Faible"/>
  </r>
  <r>
    <s v="GROUPE ICS"/>
    <n v="78"/>
    <s v="Yvelines"/>
    <x v="1"/>
    <s v="BTS - Services - Professions immobilières"/>
    <x v="0"/>
    <n v="30"/>
    <n v="153"/>
    <n v="10"/>
    <x v="1"/>
    <n v="5.0999999999999996"/>
    <n v="0.33333333333333331"/>
    <s v="Faible"/>
  </r>
  <r>
    <s v="INSTA"/>
    <n v="75"/>
    <s v="Paris"/>
    <x v="1"/>
    <s v="BTS - Services - Services informatiques aux organisations"/>
    <x v="0"/>
    <n v="120"/>
    <n v="579"/>
    <n v="77"/>
    <x v="0"/>
    <n v="4.8250000000000002"/>
    <n v="0.64166666666666672"/>
    <s v="Faible"/>
  </r>
  <r>
    <s v="Lycée Thibaut de Champagne"/>
    <n v="77"/>
    <s v="Seine-et-Marne"/>
    <x v="1"/>
    <s v="BTS - Services - Gestion de la PME"/>
    <x v="0"/>
    <n v="35"/>
    <n v="168"/>
    <n v="31"/>
    <x v="1"/>
    <n v="4.8"/>
    <n v="0.88571428571428568"/>
    <s v="Faible"/>
  </r>
  <r>
    <s v="Lycée Jules Richard Microtechniques"/>
    <n v="75"/>
    <s v="Paris"/>
    <x v="1"/>
    <s v="BTS - Production - Conception et industrialisation en microtechniques"/>
    <x v="0"/>
    <n v="34"/>
    <n v="150"/>
    <n v="26"/>
    <x v="0"/>
    <n v="4.4117647058823533"/>
    <n v="0.76470588235294112"/>
    <s v="Faible"/>
  </r>
  <r>
    <s v="Lycée Albert de Mun"/>
    <n v="75"/>
    <s v="Paris"/>
    <x v="1"/>
    <s v="BTS - Services - Management en hôtellerie restauration"/>
    <x v="0"/>
    <n v="52"/>
    <n v="220"/>
    <n v="35"/>
    <x v="0"/>
    <n v="4.2307692307692308"/>
    <n v="0.67307692307692313"/>
    <s v="Faible"/>
  </r>
  <r>
    <s v="Lycée Hotellerie Et Tourisme"/>
    <n v="78"/>
    <s v="Yvelines"/>
    <x v="1"/>
    <s v="BTS - Services - Management en hôtellerie restauration"/>
    <x v="0"/>
    <n v="60"/>
    <n v="241"/>
    <n v="57"/>
    <x v="1"/>
    <n v="4.0166666666666666"/>
    <n v="0.95"/>
    <s v="Faible"/>
  </r>
  <r>
    <s v="Lycée Notre-Dame Les Oiseaux"/>
    <n v="78"/>
    <s v="Yvelines"/>
    <x v="1"/>
    <s v="BTS - Production - Métiers de la chimie"/>
    <x v="0"/>
    <n v="32"/>
    <n v="128"/>
    <n v="20"/>
    <x v="1"/>
    <n v="4"/>
    <n v="0.625"/>
    <s v="Faible"/>
  </r>
  <r>
    <s v="Lycée du Gué-à-Tresmes"/>
    <n v="77"/>
    <s v="Seine-et-Marne"/>
    <x v="1"/>
    <s v="BTS - Services - Management en hôtellerie restauration"/>
    <x v="0"/>
    <n v="24"/>
    <n v="86"/>
    <n v="19"/>
    <x v="1"/>
    <n v="3.5833333333333335"/>
    <n v="0.79166666666666663"/>
    <s v="Faible"/>
  </r>
  <r>
    <s v="Lycée DES METIERS LA SALLE ST NICOLAS"/>
    <n v="92"/>
    <s v="Hauts-de-Seine"/>
    <x v="1"/>
    <s v="BTS - Services - Management opérationnel de la sécurité"/>
    <x v="0"/>
    <n v="45"/>
    <n v="151"/>
    <n v="37"/>
    <x v="2"/>
    <n v="3.3555555555555556"/>
    <n v="0.82222222222222219"/>
    <s v="Faible"/>
  </r>
  <r>
    <s v="Lycée Agricole de Saint Germain en Laye/Chambourcy"/>
    <n v="78"/>
    <s v="Yvelines"/>
    <x v="1"/>
    <s v="BTS - Agricole - Métiers du Végétal : Alimentation, Ornement, Environnement"/>
    <x v="0"/>
    <n v="36"/>
    <n v="111"/>
    <n v="6"/>
    <x v="1"/>
    <n v="3.0833333333333335"/>
    <n v="0.16666666666666666"/>
    <s v="Faible"/>
  </r>
  <r>
    <s v="Institut et Campus d'Optique (ICO)"/>
    <n v="91"/>
    <s v="Essonne"/>
    <x v="1"/>
    <s v="BTS - Services - Opticien-Lunetier"/>
    <x v="0"/>
    <n v="96"/>
    <n v="284"/>
    <n v="52"/>
    <x v="1"/>
    <n v="2.9583333333333335"/>
    <n v="0.54166666666666663"/>
    <s v="Faible"/>
  </r>
  <r>
    <s v="Lycée professionnel Agricole SULLY"/>
    <n v="78"/>
    <s v="Yvelines"/>
    <x v="1"/>
    <s v="BTS - Agricole - Métiers de l'élevage: développement, production et conseil"/>
    <x v="0"/>
    <n v="42"/>
    <n v="114"/>
    <n v="23"/>
    <x v="1"/>
    <n v="2.7142857142857144"/>
    <n v="0.54761904761904767"/>
    <s v="Faible"/>
  </r>
  <r>
    <s v="Lycée polyvalent La Fayette"/>
    <n v="77"/>
    <s v="Seine-et-Marne"/>
    <x v="1"/>
    <s v="BTS - Production - Conception des processus de réalisation de produits (1ère année commune)"/>
    <x v="0"/>
    <n v="24"/>
    <n v="64"/>
    <n v="11"/>
    <x v="1"/>
    <n v="2.6666666666666665"/>
    <n v="0.45833333333333331"/>
    <s v="Faible"/>
  </r>
  <r>
    <s v="Lycée DES METIERS LA SALLE ST NICOLAS"/>
    <n v="92"/>
    <s v="Hauts-de-Seine"/>
    <x v="1"/>
    <s v="BTS - Services - Conseil et commercialisation de solutions techniques"/>
    <x v="0"/>
    <n v="45"/>
    <n v="116"/>
    <n v="34"/>
    <x v="2"/>
    <n v="2.5777777777777779"/>
    <n v="0.75555555555555554"/>
    <s v="Faible"/>
  </r>
  <r>
    <s v="Lycée Polyvalent Institut Saint Pierre"/>
    <n v="91"/>
    <s v="Essonne"/>
    <x v="1"/>
    <s v="BTS - Services - Management en hôtellerie restauration"/>
    <x v="0"/>
    <n v="36"/>
    <n v="59"/>
    <n v="20"/>
    <x v="1"/>
    <n v="1.6388888888888888"/>
    <n v="0.55555555555555558"/>
    <s v="Faible"/>
  </r>
  <r>
    <s v="Lycée professionnel Agricole SULLY"/>
    <n v="78"/>
    <s v="Yvelines"/>
    <x v="1"/>
    <s v="BTS - Agricole - Agronomie et cultures durables"/>
    <x v="0"/>
    <n v="42"/>
    <n v="54"/>
    <n v="15"/>
    <x v="1"/>
    <n v="1.2857142857142858"/>
    <n v="0.35714285714285715"/>
    <s v="Faible"/>
  </r>
  <r>
    <s v="I.U.T de Ville d'Avray - Antenne de Nanterre"/>
    <n v="92"/>
    <s v="Hauts-de-Seine"/>
    <x v="2"/>
    <s v="BUT - Gestion des entreprises et des administrations"/>
    <x v="0"/>
    <n v="50"/>
    <n v="6294"/>
    <n v="54"/>
    <x v="2"/>
    <n v="125.88"/>
    <n v="1.08"/>
    <s v="Très forte"/>
  </r>
  <r>
    <s v="IUT de Créteil Vitry (Site de Vitry) - UPEC"/>
    <n v="94"/>
    <s v="Val-de-Marne"/>
    <x v="2"/>
    <s v="BUT - Gestion des entreprises et des administrations"/>
    <x v="0"/>
    <n v="90"/>
    <n v="9291"/>
    <n v="102"/>
    <x v="2"/>
    <n v="103.23333333333333"/>
    <n v="1.1333333333333333"/>
    <s v="Très forte"/>
  </r>
  <r>
    <s v="I.U.T. de Bobigny - Université Sorbonne Paris Nord, Paris XIII (93)"/>
    <n v="93"/>
    <s v="Seine-Saint-Denis"/>
    <x v="2"/>
    <s v="BUT - Gestion des entreprises et des administrations"/>
    <x v="0"/>
    <n v="112"/>
    <n v="11402"/>
    <n v="111"/>
    <x v="2"/>
    <n v="101.80357142857143"/>
    <n v="0.9910714285714286"/>
    <s v="Très forte"/>
  </r>
  <r>
    <s v="I.U.T de Marne la Vallée"/>
    <n v="77"/>
    <s v="Seine-et-Marne"/>
    <x v="2"/>
    <s v="BUT - Informatique"/>
    <x v="0"/>
    <n v="45"/>
    <n v="4558"/>
    <n v="45"/>
    <x v="1"/>
    <n v="101.28888888888889"/>
    <n v="1"/>
    <s v="Très forte"/>
  </r>
  <r>
    <s v="IUT de Paris - Rives de Seine - Université Paris Cité"/>
    <n v="75"/>
    <s v="Paris"/>
    <x v="2"/>
    <s v="BUT - Information communication Parcours publicité"/>
    <x v="0"/>
    <n v="28"/>
    <n v="2735"/>
    <n v="28"/>
    <x v="0"/>
    <n v="97.678571428571431"/>
    <n v="1"/>
    <s v="Très forte"/>
  </r>
  <r>
    <s v="I.U.T de Tremblay-en-France - Paris 8"/>
    <n v="93"/>
    <s v="Seine-Saint-Denis"/>
    <x v="2"/>
    <s v="BUT - Gestion des entreprises et des administrations"/>
    <x v="0"/>
    <n v="60"/>
    <n v="5702"/>
    <n v="57"/>
    <x v="2"/>
    <n v="95.033333333333331"/>
    <n v="0.95"/>
    <s v="Très forte"/>
  </r>
  <r>
    <s v="Antenne - Institut Universitaire de Technologie Juvisy sur Orge - Université d'Evry Val d'Essonne"/>
    <n v="91"/>
    <s v="Essonne"/>
    <x v="2"/>
    <s v="BUT - Techniques de commercialisation"/>
    <x v="0"/>
    <n v="39"/>
    <n v="3376"/>
    <n v="38"/>
    <x v="1"/>
    <n v="86.564102564102569"/>
    <n v="0.97435897435897434"/>
    <s v="Très forte"/>
  </r>
  <r>
    <s v="I.U.T. de Bobigny - Université Sorbonne Paris Nord, Paris XIII (93)"/>
    <n v="93"/>
    <s v="Seine-Saint-Denis"/>
    <x v="2"/>
    <s v="BUT - Métiers du multimédia et de l'internet"/>
    <x v="0"/>
    <n v="50"/>
    <n v="4230"/>
    <n v="52"/>
    <x v="2"/>
    <n v="84.6"/>
    <n v="1.04"/>
    <s v="Très forte"/>
  </r>
  <r>
    <s v="I.U.T de Ville d'Avray - Antenne de Nanterre"/>
    <n v="92"/>
    <s v="Hauts-de-Seine"/>
    <x v="2"/>
    <s v="BUT - Techniques de commercialisation"/>
    <x v="0"/>
    <n v="84"/>
    <n v="7012"/>
    <n v="85"/>
    <x v="2"/>
    <n v="83.476190476190482"/>
    <n v="1.0119047619047619"/>
    <s v="Très forte"/>
  </r>
  <r>
    <s v="I.U.T. de Bobigny - Université Sorbonne Paris Nord, Paris XIII (93)"/>
    <n v="93"/>
    <s v="Seine-Saint-Denis"/>
    <x v="2"/>
    <s v="BUT - Génie biologique parcours biologie médicale et biotechnologie"/>
    <x v="0"/>
    <n v="28"/>
    <n v="2320"/>
    <n v="28"/>
    <x v="2"/>
    <n v="82.857142857142861"/>
    <n v="1"/>
    <s v="Très forte"/>
  </r>
  <r>
    <s v="I.U.T de Villetaneuse - Université Sorbonne Paris Nord"/>
    <n v="93"/>
    <s v="Seine-Saint-Denis"/>
    <x v="2"/>
    <s v="BUT - Gestion des entreprises et des administrations"/>
    <x v="0"/>
    <n v="140"/>
    <n v="11529"/>
    <n v="139"/>
    <x v="2"/>
    <n v="82.35"/>
    <n v="0.99285714285714288"/>
    <s v="Très forte"/>
  </r>
  <r>
    <s v="I.U.T. de Créteil-Vitry - Site de Créteil- UPEC"/>
    <n v="94"/>
    <s v="Val-de-Marne"/>
    <x v="2"/>
    <s v="BUT - Génie biologique parcours biologie médicale et biotechnologie"/>
    <x v="0"/>
    <n v="52"/>
    <n v="3938"/>
    <n v="52"/>
    <x v="2"/>
    <n v="75.730769230769226"/>
    <n v="1"/>
    <s v="Très forte"/>
  </r>
  <r>
    <s v="IUT de Créteil Vitry (Site de Vitry) - UPEC"/>
    <n v="94"/>
    <s v="Val-de-Marne"/>
    <x v="2"/>
    <s v="BUT - Informatique"/>
    <x v="0"/>
    <n v="90"/>
    <n v="6804"/>
    <n v="93"/>
    <x v="2"/>
    <n v="75.599999999999994"/>
    <n v="1.0333333333333334"/>
    <s v="Très forte"/>
  </r>
  <r>
    <s v="IUT de Paris - Rives de Seine - Université Paris Cité"/>
    <n v="75"/>
    <s v="Paris"/>
    <x v="2"/>
    <s v="BUT - Gestion des entreprises et des administrations"/>
    <x v="0"/>
    <n v="168"/>
    <n v="11844"/>
    <n v="178"/>
    <x v="0"/>
    <n v="70.5"/>
    <n v="1.0595238095238095"/>
    <s v="Très forte"/>
  </r>
  <r>
    <s v="IUT de Paris - Rives de Seine - Université Paris Cité"/>
    <n v="75"/>
    <s v="Paris"/>
    <x v="2"/>
    <s v="BUT - Techniques de commercialisation"/>
    <x v="0"/>
    <n v="168"/>
    <n v="11678"/>
    <n v="172"/>
    <x v="0"/>
    <n v="69.511904761904759"/>
    <n v="1.0238095238095237"/>
    <s v="Très forte"/>
  </r>
  <r>
    <s v="I.U.T de Saint-Denis - Université Paris 13"/>
    <n v="93"/>
    <s v="Seine-Saint-Denis"/>
    <x v="2"/>
    <s v="BUT - Gestion des entreprises et des administrations"/>
    <x v="0"/>
    <n v="170"/>
    <n v="11627"/>
    <n v="171"/>
    <x v="2"/>
    <n v="68.39411764705882"/>
    <n v="1.0058823529411764"/>
    <s v="Très forte"/>
  </r>
  <r>
    <s v="I.U.T de Cergy-Pontoise - Site de Sarcelles"/>
    <n v="95"/>
    <s v="Val-d'oise"/>
    <x v="2"/>
    <s v="BUT - Techniques de commercialisation"/>
    <x v="0"/>
    <n v="90"/>
    <n v="6050"/>
    <n v="83"/>
    <x v="1"/>
    <n v="67.222222222222229"/>
    <n v="0.92222222222222228"/>
    <s v="Très forte"/>
  </r>
  <r>
    <s v="I.U.T. de Montreuil"/>
    <n v="93"/>
    <s v="Seine-Saint-Denis"/>
    <x v="2"/>
    <s v="BUT - Gestion administrative et commerciale des organisations"/>
    <x v="0"/>
    <n v="76"/>
    <n v="4972"/>
    <n v="76"/>
    <x v="2"/>
    <n v="65.421052631578945"/>
    <n v="1"/>
    <s v="Très forte"/>
  </r>
  <r>
    <s v="I.U.T. de Créteil-Vitry - Site de Créteil- UPEC"/>
    <n v="94"/>
    <s v="Val-de-Marne"/>
    <x v="2"/>
    <s v="BUT - Techniques de commercialisation"/>
    <x v="0"/>
    <n v="112"/>
    <n v="7101"/>
    <n v="118"/>
    <x v="2"/>
    <n v="63.401785714285715"/>
    <n v="1.0535714285714286"/>
    <s v="Très forte"/>
  </r>
  <r>
    <s v="I.U.T de Saint-Denis - Université Paris 13"/>
    <n v="93"/>
    <s v="Seine-Saint-Denis"/>
    <x v="2"/>
    <s v="BUT - Techniques de commercialisation"/>
    <x v="0"/>
    <n v="186"/>
    <n v="11372"/>
    <n v="186"/>
    <x v="2"/>
    <n v="61.13978494623656"/>
    <n v="1"/>
    <s v="Très forte"/>
  </r>
  <r>
    <s v="I.U.T de Villetaneuse - Université Sorbonne Paris Nord"/>
    <n v="93"/>
    <s v="Seine-Saint-Denis"/>
    <x v="2"/>
    <s v="BUT - Informatique"/>
    <x v="0"/>
    <n v="104"/>
    <n v="6353"/>
    <n v="104"/>
    <x v="2"/>
    <n v="61.08653846153846"/>
    <n v="1"/>
    <s v="Très forte"/>
  </r>
  <r>
    <s v="I.U.T. de Montreuil"/>
    <n v="93"/>
    <s v="Seine-Saint-Denis"/>
    <x v="2"/>
    <s v="BUT - Informatique"/>
    <x v="0"/>
    <n v="88"/>
    <n v="5019"/>
    <n v="86"/>
    <x v="2"/>
    <n v="57.034090909090907"/>
    <n v="0.97727272727272729"/>
    <s v="Très forte"/>
  </r>
  <r>
    <s v="I.U.T de Marne la Vallée"/>
    <n v="77"/>
    <s v="Seine-et-Marne"/>
    <x v="2"/>
    <s v="BUT - Métiers du multimédia et de l'internet"/>
    <x v="0"/>
    <n v="52"/>
    <n v="2891"/>
    <n v="55"/>
    <x v="1"/>
    <n v="55.596153846153847"/>
    <n v="1.0576923076923077"/>
    <s v="Très forte"/>
  </r>
  <r>
    <s v="IUT de Paris - Rives de Seine - Université Paris Cité"/>
    <n v="75"/>
    <s v="Paris"/>
    <x v="2"/>
    <s v="BUT - Information communication Parcours communication des organisations"/>
    <x v="0"/>
    <n v="56"/>
    <n v="3112"/>
    <n v="56"/>
    <x v="0"/>
    <n v="55.571428571428569"/>
    <n v="1"/>
    <s v="Très forte"/>
  </r>
  <r>
    <s v="IUT de Sceaux-Ecole universitaire de premier cycle-Université Paris-Saclay."/>
    <n v="92"/>
    <s v="Hauts-de-Seine"/>
    <x v="2"/>
    <s v="BUT - Techniques de commercialisation"/>
    <x v="0"/>
    <n v="265"/>
    <n v="14574"/>
    <n v="261"/>
    <x v="2"/>
    <n v="54.996226415094341"/>
    <n v="0.98490566037735849"/>
    <s v="Très forte"/>
  </r>
  <r>
    <s v="I.U.T. de Créteil-Vitry - Site de Créteil- UPEC"/>
    <n v="94"/>
    <s v="Val-de-Marne"/>
    <x v="2"/>
    <s v="BUT - Génie biologique Parcours diététique et nutrition"/>
    <x v="0"/>
    <n v="26"/>
    <n v="1385"/>
    <n v="24"/>
    <x v="2"/>
    <n v="53.269230769230766"/>
    <n v="0.92307692307692313"/>
    <s v="Très forte"/>
  </r>
  <r>
    <s v="I.U.T de Velizy"/>
    <n v="78"/>
    <s v="Yvelines"/>
    <x v="2"/>
    <s v="BUT - Informatique"/>
    <x v="0"/>
    <n v="76"/>
    <n v="4045"/>
    <n v="71"/>
    <x v="1"/>
    <n v="53.223684210526315"/>
    <n v="0.93421052631578949"/>
    <s v="Très forte"/>
  </r>
  <r>
    <s v="I.U.T. d'Evry Val d'Essonne"/>
    <n v="91"/>
    <s v="Essonne"/>
    <x v="2"/>
    <s v="BUT - Techniques de commercialisation"/>
    <x v="0"/>
    <n v="108"/>
    <n v="5599"/>
    <n v="107"/>
    <x v="1"/>
    <n v="51.842592592592595"/>
    <n v="0.9907407407407407"/>
    <s v="Très forte"/>
  </r>
  <r>
    <s v="I.U.T de Villetaneuse - Université Sorbonne Paris Nord"/>
    <n v="93"/>
    <s v="Seine-Saint-Denis"/>
    <x v="2"/>
    <s v="BUT - Réseaux et télécommunications"/>
    <x v="0"/>
    <n v="74"/>
    <n v="3746"/>
    <n v="73"/>
    <x v="2"/>
    <n v="50.621621621621621"/>
    <n v="0.98648648648648651"/>
    <s v="Très forte"/>
  </r>
  <r>
    <s v="I.U.T de Velizy"/>
    <n v="78"/>
    <s v="Yvelines"/>
    <x v="2"/>
    <s v="BUT - Réseaux et télécommunications"/>
    <x v="0"/>
    <n v="38"/>
    <n v="1906"/>
    <n v="39"/>
    <x v="1"/>
    <n v="50.157894736842103"/>
    <n v="1.0263157894736843"/>
    <s v="Très forte"/>
  </r>
  <r>
    <s v="IUT de Sceaux-Ecole universitaire de premier cycle-Université Paris-Saclay."/>
    <n v="92"/>
    <s v="Hauts-de-Seine"/>
    <x v="2"/>
    <s v="BUT - Gestion des entreprises et des administrations"/>
    <x v="0"/>
    <n v="270"/>
    <n v="12989"/>
    <n v="266"/>
    <x v="2"/>
    <n v="48.107407407407408"/>
    <n v="0.98518518518518516"/>
    <s v="Très forte"/>
  </r>
  <r>
    <s v="I.U.T de Villetaneuse - Université Sorbonne Paris Nord"/>
    <n v="93"/>
    <s v="Seine-Saint-Denis"/>
    <x v="2"/>
    <s v="BUT - Génie électrique et informatique industrielle"/>
    <x v="0"/>
    <n v="100"/>
    <n v="4797"/>
    <n v="98"/>
    <x v="2"/>
    <n v="47.97"/>
    <n v="0.98"/>
    <s v="Très forte"/>
  </r>
  <r>
    <s v="I.U.T de Villetaneuse - Université Sorbonne Paris Nord"/>
    <n v="93"/>
    <s v="Seine-Saint-Denis"/>
    <x v="2"/>
    <s v="BUT - Carrières juridiques"/>
    <x v="0"/>
    <n v="150"/>
    <n v="7131"/>
    <n v="152"/>
    <x v="2"/>
    <n v="47.54"/>
    <n v="1.0133333333333334"/>
    <s v="Très forte"/>
  </r>
  <r>
    <s v="I.U.T de Cergy-Pontoise - Site de Pontoise"/>
    <n v="95"/>
    <s v="Val-d'oise"/>
    <x v="2"/>
    <s v="BUT - Techniques de commercialisation"/>
    <x v="0"/>
    <n v="120"/>
    <n v="5679"/>
    <n v="110"/>
    <x v="1"/>
    <n v="47.325000000000003"/>
    <n v="0.91666666666666663"/>
    <s v="Très forte"/>
  </r>
  <r>
    <s v="IUT de Paris - Rives de Seine - Université Paris Cité"/>
    <n v="75"/>
    <s v="Paris"/>
    <x v="2"/>
    <s v="BUT - Informatique"/>
    <x v="0"/>
    <n v="168"/>
    <n v="7778"/>
    <n v="166"/>
    <x v="0"/>
    <n v="46.297619047619051"/>
    <n v="0.98809523809523814"/>
    <s v="Très forte"/>
  </r>
  <r>
    <s v="I.U.T. de Sénart/Fontainebleau - site de Fontainebleau - UPEC"/>
    <n v="77"/>
    <s v="Seine-et-Marne"/>
    <x v="2"/>
    <s v="BUT - Techniques de commercialisation"/>
    <x v="0"/>
    <n v="27"/>
    <n v="1213"/>
    <n v="26"/>
    <x v="1"/>
    <n v="44.925925925925924"/>
    <n v="0.96296296296296291"/>
    <s v="Très forte"/>
  </r>
  <r>
    <s v="I.U.T de Sénart/Fontainebleau - Site Sénart - UPEC"/>
    <n v="77"/>
    <s v="Seine-et-Marne"/>
    <x v="2"/>
    <s v="BUT - Gestion des entreprises et des administrations"/>
    <x v="0"/>
    <n v="110"/>
    <n v="4901"/>
    <n v="110"/>
    <x v="1"/>
    <n v="44.554545454545455"/>
    <n v="1"/>
    <s v="Très forte"/>
  </r>
  <r>
    <s v="IUT de Créteil Vitry (Site de Vitry) - UPEC"/>
    <n v="94"/>
    <s v="Val-de-Marne"/>
    <x v="2"/>
    <s v="BUT - Réseaux et télécommunications"/>
    <x v="0"/>
    <n v="78"/>
    <n v="3333"/>
    <n v="79"/>
    <x v="2"/>
    <n v="42.730769230769234"/>
    <n v="1.0128205128205128"/>
    <s v="Très forte"/>
  </r>
  <r>
    <s v="I.U.T de Cergy-Pontoise - Site de Sarcelles"/>
    <n v="95"/>
    <s v="Val-d'oise"/>
    <x v="2"/>
    <s v="BUT - Métiers du multimédia et de l'internet"/>
    <x v="0"/>
    <n v="56"/>
    <n v="2387"/>
    <n v="55"/>
    <x v="1"/>
    <n v="42.625"/>
    <n v="0.9821428571428571"/>
    <s v="Très forte"/>
  </r>
  <r>
    <s v="IUT de Cachan Université Paris-Saclay"/>
    <n v="94"/>
    <s v="Val-de-Marne"/>
    <x v="2"/>
    <s v="BUT - Génie mécanique et productique"/>
    <x v="0"/>
    <n v="110"/>
    <n v="4656"/>
    <n v="117"/>
    <x v="2"/>
    <n v="42.327272727272728"/>
    <n v="1.0636363636363637"/>
    <s v="Très forte"/>
  </r>
  <r>
    <s v="I.U.T de Sénart/Fontainebleau - Site Sénart - UPEC"/>
    <n v="77"/>
    <s v="Seine-et-Marne"/>
    <x v="2"/>
    <s v="BUT - Génie civil - Construction durable"/>
    <x v="0"/>
    <n v="56"/>
    <n v="2293"/>
    <n v="55"/>
    <x v="1"/>
    <n v="40.946428571428569"/>
    <n v="0.9821428571428571"/>
    <s v="Très forte"/>
  </r>
  <r>
    <s v="I.U.T de Villetaneuse - Université Sorbonne Paris Nord"/>
    <n v="93"/>
    <s v="Seine-Saint-Denis"/>
    <x v="2"/>
    <s v="BUT - Science des données"/>
    <x v="0"/>
    <n v="56"/>
    <n v="2218"/>
    <n v="63"/>
    <x v="2"/>
    <n v="39.607142857142854"/>
    <n v="1.125"/>
    <s v="Forte"/>
  </r>
  <r>
    <s v="I.U.T de Marne la Vallée"/>
    <n v="77"/>
    <s v="Seine-et-Marne"/>
    <x v="2"/>
    <s v="BUT - Génie civil - Construction durable"/>
    <x v="0"/>
    <n v="96"/>
    <n v="3711"/>
    <n v="95"/>
    <x v="1"/>
    <n v="38.65625"/>
    <n v="0.98958333333333337"/>
    <s v="Forte"/>
  </r>
  <r>
    <s v="I.U.T. de Créteil-Vitry - Site de Créteil- UPEC"/>
    <n v="94"/>
    <s v="Val-de-Marne"/>
    <x v="2"/>
    <s v="BUT - Génie biologique parcours sciences de l'aliment et biotechnologie"/>
    <x v="0"/>
    <n v="26"/>
    <n v="1001"/>
    <n v="24"/>
    <x v="2"/>
    <n v="38.5"/>
    <n v="0.92307692307692313"/>
    <s v="Forte"/>
  </r>
  <r>
    <s v="I.U.T de Cergy-Pontoise - Site de Pontoise"/>
    <n v="95"/>
    <s v="Val-d'oise"/>
    <x v="2"/>
    <s v="BUT - Génie biologique parcours biologie médicale et biotechnologie"/>
    <x v="0"/>
    <n v="54"/>
    <n v="2039"/>
    <n v="56"/>
    <x v="1"/>
    <n v="37.75925925925926"/>
    <n v="1.037037037037037"/>
    <s v="Forte"/>
  </r>
  <r>
    <s v="I.U.T. de Montreuil"/>
    <n v="93"/>
    <s v="Seine-Saint-Denis"/>
    <x v="2"/>
    <s v="BUT - Information communication Parcours communication des organisations"/>
    <x v="0"/>
    <n v="45"/>
    <n v="1683"/>
    <n v="45"/>
    <x v="2"/>
    <n v="37.4"/>
    <n v="1"/>
    <s v="Forte"/>
  </r>
  <r>
    <s v="I.U.T. d'Evry Val d'Essonne - Site Brétigny S/Orge"/>
    <n v="91"/>
    <s v="Essonne"/>
    <x v="2"/>
    <s v="BUT - Gestion des entreprises et des administrations"/>
    <x v="0"/>
    <n v="96"/>
    <n v="3583"/>
    <n v="103"/>
    <x v="1"/>
    <n v="37.322916666666664"/>
    <n v="1.0729166666666667"/>
    <s v="Forte"/>
  </r>
  <r>
    <s v="I.U.T de Tremblay-en-France - Paris 8"/>
    <n v="93"/>
    <s v="Seine-Saint-Denis"/>
    <x v="2"/>
    <s v="BUT - Management de la Logistique et des Transports"/>
    <x v="0"/>
    <n v="56"/>
    <n v="2066"/>
    <n v="56"/>
    <x v="2"/>
    <n v="36.892857142857146"/>
    <n v="1"/>
    <s v="Forte"/>
  </r>
  <r>
    <s v="I.U.T de Sénart/Fontainebleau - Site Sénart - UPEC"/>
    <n v="77"/>
    <s v="Seine-et-Marne"/>
    <x v="2"/>
    <s v="BUT - Génie biologique Parcours diététique et nutrition"/>
    <x v="0"/>
    <n v="26"/>
    <n v="959"/>
    <n v="26"/>
    <x v="1"/>
    <n v="36.884615384615387"/>
    <n v="1"/>
    <s v="Forte"/>
  </r>
  <r>
    <s v="I.U.T de Velizy"/>
    <n v="78"/>
    <s v="Yvelines"/>
    <x v="2"/>
    <s v="BUT - Métiers du multimédia et de l'internet"/>
    <x v="0"/>
    <n v="54"/>
    <n v="1945"/>
    <n v="54"/>
    <x v="1"/>
    <n v="36.018518518518519"/>
    <n v="1"/>
    <s v="Forte"/>
  </r>
  <r>
    <s v="IUT de Paris - Rives de Seine - Université Paris Cité"/>
    <n v="75"/>
    <s v="Paris"/>
    <x v="2"/>
    <s v="BUT - Information communication Parcours métiers du livre et du patrimoine"/>
    <x v="0"/>
    <n v="28"/>
    <n v="971"/>
    <n v="28"/>
    <x v="0"/>
    <n v="34.678571428571431"/>
    <n v="1"/>
    <s v="Forte"/>
  </r>
  <r>
    <s v="I.U.T de Sénart/Fontainebleau - Site Sénart - UPEC"/>
    <n v="77"/>
    <s v="Seine-et-Marne"/>
    <x v="2"/>
    <s v="BUT - Techniques de commercialisation"/>
    <x v="0"/>
    <n v="105"/>
    <n v="3560"/>
    <n v="104"/>
    <x v="1"/>
    <n v="33.904761904761905"/>
    <n v="0.99047619047619051"/>
    <s v="Forte"/>
  </r>
  <r>
    <s v="I.U.T de Cergy-Pontoise - Site de Neuville"/>
    <n v="95"/>
    <s v="Val-d'oise"/>
    <x v="2"/>
    <s v="BUT - Génie civil - Construction durable"/>
    <x v="0"/>
    <n v="105"/>
    <n v="3537"/>
    <n v="108"/>
    <x v="1"/>
    <n v="33.685714285714283"/>
    <n v="1.0285714285714285"/>
    <s v="Forte"/>
  </r>
  <r>
    <s v="I.U.T de Saint-Denis - Université Paris 13"/>
    <n v="93"/>
    <s v="Seine-Saint-Denis"/>
    <x v="2"/>
    <s v="BUT - Génie mécanique et productique"/>
    <x v="0"/>
    <n v="96"/>
    <n v="3161"/>
    <n v="87"/>
    <x v="2"/>
    <n v="32.927083333333336"/>
    <n v="0.90625"/>
    <s v="Forte"/>
  </r>
  <r>
    <s v="I.U.T. d'Evry Val d'Essonne"/>
    <n v="91"/>
    <s v="Essonne"/>
    <x v="2"/>
    <s v="BUT - Génie mécanique et productique"/>
    <x v="0"/>
    <n v="66"/>
    <n v="2117"/>
    <n v="61"/>
    <x v="1"/>
    <n v="32.075757575757578"/>
    <n v="0.9242424242424242"/>
    <s v="Forte"/>
  </r>
  <r>
    <s v="I.U.T de Cergy-Pontoise - Site de Sarcelles"/>
    <n v="95"/>
    <s v="Val-d'oise"/>
    <x v="2"/>
    <s v="BUT - Génie électrique et informatique industrielle"/>
    <x v="0"/>
    <n v="72"/>
    <n v="2291"/>
    <n v="70"/>
    <x v="1"/>
    <n v="31.819444444444443"/>
    <n v="0.97222222222222221"/>
    <s v="Forte"/>
  </r>
  <r>
    <s v="I.U.T de Ville d'Avray"/>
    <n v="92"/>
    <s v="Hauts-de-Seine"/>
    <x v="2"/>
    <s v="BUT - Génie mécanique et productique"/>
    <x v="0"/>
    <n v="80"/>
    <n v="2535"/>
    <n v="80"/>
    <x v="2"/>
    <n v="31.6875"/>
    <n v="1"/>
    <s v="Forte"/>
  </r>
  <r>
    <s v="IUT de Paris - Rives de Seine - Université Paris Cité"/>
    <n v="75"/>
    <s v="Paris"/>
    <x v="2"/>
    <s v="BUT - Science des données"/>
    <x v="0"/>
    <n v="92"/>
    <n v="2881"/>
    <n v="91"/>
    <x v="0"/>
    <n v="31.315217391304348"/>
    <n v="0.98913043478260865"/>
    <s v="Forte"/>
  </r>
  <r>
    <s v="I.U.T. d'Evry Val d'Essonne"/>
    <n v="91"/>
    <s v="Essonne"/>
    <x v="2"/>
    <s v="BUT - Management de la Logistique et des Transports"/>
    <x v="0"/>
    <n v="40"/>
    <n v="1246"/>
    <n v="44"/>
    <x v="1"/>
    <n v="31.15"/>
    <n v="1.1000000000000001"/>
    <s v="Forte"/>
  </r>
  <r>
    <s v="IUT de Paris - Rives de Seine - Université Paris Cité"/>
    <n v="75"/>
    <s v="Paris"/>
    <x v="2"/>
    <s v="BUT - Carrières sociales Parcours assistance sociale"/>
    <x v="0"/>
    <n v="56"/>
    <n v="1660"/>
    <n v="54"/>
    <x v="0"/>
    <n v="29.642857142857142"/>
    <n v="0.9642857142857143"/>
    <s v="Forte"/>
  </r>
  <r>
    <s v="I.U.T de Saint-Denis - Université Paris 13"/>
    <n v="93"/>
    <s v="Seine-Saint-Denis"/>
    <x v="2"/>
    <s v="BUT - Génie industriel et maintenance"/>
    <x v="0"/>
    <n v="52"/>
    <n v="1503"/>
    <n v="51"/>
    <x v="2"/>
    <n v="28.903846153846153"/>
    <n v="0.98076923076923073"/>
    <s v="Forte"/>
  </r>
  <r>
    <s v="I.U.T de Cergy-Pontoise - Site de Sarcelles"/>
    <n v="95"/>
    <s v="Val-d'oise"/>
    <x v="2"/>
    <s v="BUT - Techniques de commercialisation - ENEPS destiné aux bacs professionnels"/>
    <x v="0"/>
    <n v="14"/>
    <n v="402"/>
    <n v="15"/>
    <x v="1"/>
    <n v="28.714285714285715"/>
    <n v="1.0714285714285714"/>
    <s v="Forte"/>
  </r>
  <r>
    <s v="I.U.T d'Orsay - Université Paris-Saclay"/>
    <n v="91"/>
    <s v="Essonne"/>
    <x v="2"/>
    <s v="BUT - Informatique"/>
    <x v="0"/>
    <n v="176"/>
    <n v="5029"/>
    <n v="171"/>
    <x v="1"/>
    <n v="28.573863636363637"/>
    <n v="0.97159090909090906"/>
    <s v="Forte"/>
  </r>
  <r>
    <s v="I.U.T de Marne la Vallée - Antenne de Meaux"/>
    <n v="77"/>
    <s v="Seine-et-Marne"/>
    <x v="2"/>
    <s v="BUT - Techniques de commercialisation"/>
    <x v="0"/>
    <n v="84"/>
    <n v="2367"/>
    <n v="78"/>
    <x v="1"/>
    <n v="28.178571428571427"/>
    <n v="0.9285714285714286"/>
    <s v="Forte"/>
  </r>
  <r>
    <s v="IUT de Créteil Vitry (Site de Vitry) - UPEC"/>
    <n v="94"/>
    <s v="Val-de-Marne"/>
    <x v="2"/>
    <s v="BUT - Chimie"/>
    <x v="0"/>
    <n v="78"/>
    <n v="2179"/>
    <n v="73"/>
    <x v="2"/>
    <n v="27.935897435897434"/>
    <n v="0.9358974358974359"/>
    <s v="Forte"/>
  </r>
  <r>
    <s v="I.U.T de Ville d'Avray"/>
    <n v="92"/>
    <s v="Hauts-de-Seine"/>
    <x v="2"/>
    <s v="BUT - Génie électrique et informatique industrielle"/>
    <x v="0"/>
    <n v="83"/>
    <n v="2281"/>
    <n v="81"/>
    <x v="2"/>
    <n v="27.481927710843372"/>
    <n v="0.97590361445783136"/>
    <s v="Forte"/>
  </r>
  <r>
    <s v="I.U.T. de Créteil-Vitry - Site de Créteil- UPEC"/>
    <n v="94"/>
    <s v="Val-de-Marne"/>
    <x v="2"/>
    <s v="BUT - Génie électrique et informatique industrielle"/>
    <x v="0"/>
    <n v="78"/>
    <n v="2131"/>
    <n v="77"/>
    <x v="2"/>
    <n v="27.320512820512821"/>
    <n v="0.98717948717948723"/>
    <s v="Forte"/>
  </r>
  <r>
    <s v="I.U.T. de Bobigny - Université Sorbonne Paris Nord, Paris XIII (93)"/>
    <n v="93"/>
    <s v="Seine-Saint-Denis"/>
    <x v="2"/>
    <s v="BUT - Carrières sociales Parcours assistance sociale"/>
    <x v="0"/>
    <n v="30"/>
    <n v="799"/>
    <n v="29"/>
    <x v="2"/>
    <n v="26.633333333333333"/>
    <n v="0.96666666666666667"/>
    <s v="Forte"/>
  </r>
  <r>
    <s v="I.U.T de Velizy"/>
    <n v="78"/>
    <s v="Yvelines"/>
    <x v="2"/>
    <s v="BUT - Génie électrique et informatique industrielle"/>
    <x v="0"/>
    <n v="58"/>
    <n v="1541"/>
    <n v="51"/>
    <x v="1"/>
    <n v="26.568965517241381"/>
    <n v="0.87931034482758619"/>
    <s v="Forte"/>
  </r>
  <r>
    <s v="I.U.T. de Montreuil"/>
    <n v="93"/>
    <s v="Seine-Saint-Denis"/>
    <x v="2"/>
    <s v="BUT - Gestion administrative et commerciale des organisations - en distanciel"/>
    <x v="0"/>
    <n v="14"/>
    <n v="353"/>
    <n v="9"/>
    <x v="2"/>
    <n v="25.214285714285715"/>
    <n v="0.6428571428571429"/>
    <s v="Forte"/>
  </r>
  <r>
    <s v="I.U.T de Tremblay-en-France - Paris 8"/>
    <n v="93"/>
    <s v="Seine-Saint-Denis"/>
    <x v="2"/>
    <s v="BUT - Génie industriel et maintenance"/>
    <x v="0"/>
    <n v="45"/>
    <n v="1110"/>
    <n v="44"/>
    <x v="2"/>
    <n v="24.666666666666668"/>
    <n v="0.97777777777777775"/>
    <s v="Forte"/>
  </r>
  <r>
    <s v="I.U.T de Velizy - Antenne de Rambouillet"/>
    <n v="78"/>
    <s v="Yvelines"/>
    <x v="2"/>
    <s v="BUT - Gestion administrative et commerciale des organisations"/>
    <x v="0"/>
    <n v="56"/>
    <n v="1361"/>
    <n v="55"/>
    <x v="1"/>
    <n v="24.303571428571427"/>
    <n v="0.9821428571428571"/>
    <s v="Forte"/>
  </r>
  <r>
    <s v="I.U.T de Sénart/Fontainebleau - Site Sénart - UPEC"/>
    <n v="77"/>
    <s v="Seine-et-Marne"/>
    <x v="2"/>
    <s v="BUT - Métiers du multimédia et de l'internet"/>
    <x v="0"/>
    <n v="104"/>
    <n v="2512"/>
    <n v="102"/>
    <x v="1"/>
    <n v="24.153846153846153"/>
    <n v="0.98076923076923073"/>
    <s v="Forte"/>
  </r>
  <r>
    <s v="I.U.T. de Mantes en Yvelines"/>
    <n v="78"/>
    <s v="Yvelines"/>
    <x v="2"/>
    <s v="BUT - Gestion des entreprises et des administrations"/>
    <x v="0"/>
    <n v="40"/>
    <n v="962"/>
    <n v="39"/>
    <x v="1"/>
    <n v="24.05"/>
    <n v="0.97499999999999998"/>
    <s v="Forte"/>
  </r>
  <r>
    <s v="I.U.T. de Bobigny - Université Sorbonne Paris Nord, Paris XIII (93)"/>
    <n v="93"/>
    <s v="Seine-Saint-Denis"/>
    <x v="2"/>
    <s v="BUT - Carrières sociales Parcours animation sociale et socioculturelle"/>
    <x v="0"/>
    <n v="30"/>
    <n v="718"/>
    <n v="30"/>
    <x v="2"/>
    <n v="23.933333333333334"/>
    <n v="1"/>
    <s v="Forte"/>
  </r>
  <r>
    <s v="I.U.T de Saint-Denis - Université Paris 13"/>
    <n v="93"/>
    <s v="Seine-Saint-Denis"/>
    <x v="2"/>
    <s v="BUT - Mesures physiques"/>
    <x v="0"/>
    <n v="48"/>
    <n v="1118"/>
    <n v="48"/>
    <x v="2"/>
    <n v="23.291666666666668"/>
    <n v="1"/>
    <s v="Forte"/>
  </r>
  <r>
    <s v="I.U.T de Marne la Vallée - Antenne de Meaux"/>
    <n v="77"/>
    <s v="Seine-et-Marne"/>
    <x v="2"/>
    <s v="BUT - Gestion des entreprises et des administrations"/>
    <x v="0"/>
    <n v="135"/>
    <n v="2998"/>
    <n v="137"/>
    <x v="1"/>
    <n v="22.207407407407409"/>
    <n v="1.0148148148148148"/>
    <s v="Forte"/>
  </r>
  <r>
    <s v="I.U.T de Cergy-Pontoise - Site de Pontoise"/>
    <n v="95"/>
    <s v="Val-d'oise"/>
    <x v="2"/>
    <s v="BUT - Génie biologique parcours sciences de l'environnement et écotechnologies"/>
    <x v="0"/>
    <n v="27"/>
    <n v="584"/>
    <n v="25"/>
    <x v="1"/>
    <n v="21.62962962962963"/>
    <n v="0.92592592592592593"/>
    <s v="Forte"/>
  </r>
  <r>
    <s v="I.U.T. de Montreuil"/>
    <n v="93"/>
    <s v="Seine-Saint-Denis"/>
    <x v="2"/>
    <s v="BUT - Qualité, logistique industrielle et organisation"/>
    <x v="0"/>
    <n v="52"/>
    <n v="1118"/>
    <n v="66"/>
    <x v="2"/>
    <n v="21.5"/>
    <n v="1.2692307692307692"/>
    <s v="Forte"/>
  </r>
  <r>
    <s v="I.U.T de Cergy-Pontoise - Site de Neuville"/>
    <n v="95"/>
    <s v="Val-d'oise"/>
    <x v="2"/>
    <s v="BUT - Génie électrique et informatique industrielle"/>
    <x v="0"/>
    <n v="100"/>
    <n v="2139"/>
    <n v="96"/>
    <x v="1"/>
    <n v="21.39"/>
    <n v="0.96"/>
    <s v="Forte"/>
  </r>
  <r>
    <s v="I.U.T de Cergy-Pontoise - Site d'Argenteuil"/>
    <n v="95"/>
    <s v="Val-d'oise"/>
    <x v="2"/>
    <s v="BUT - Management de la Logistique et des Transports"/>
    <x v="0"/>
    <n v="56"/>
    <n v="1171"/>
    <n v="64"/>
    <x v="1"/>
    <n v="20.910714285714285"/>
    <n v="1.1428571428571428"/>
    <s v="Forte"/>
  </r>
  <r>
    <s v="I.U.T de Cergy-Pontoise - Site de Sarcelles"/>
    <n v="95"/>
    <s v="Val-d'oise"/>
    <x v="2"/>
    <s v="BUT - Métiers de la Transition et de l'Efficacité Énergétiques"/>
    <x v="0"/>
    <n v="30"/>
    <n v="618"/>
    <n v="32"/>
    <x v="1"/>
    <n v="20.6"/>
    <n v="1.0666666666666667"/>
    <s v="Forte"/>
  </r>
  <r>
    <s v="I.U.T de Velizy - Antenne de Rambouillet"/>
    <n v="78"/>
    <s v="Yvelines"/>
    <x v="2"/>
    <s v="BUT - Techniques de commercialisation"/>
    <x v="0"/>
    <n v="84"/>
    <n v="1685"/>
    <n v="84"/>
    <x v="1"/>
    <n v="20.05952380952381"/>
    <n v="1"/>
    <s v="Forte"/>
  </r>
  <r>
    <s v="Institut universitaire de technologie de Paris Pajol - Université Paris Cité"/>
    <n v="75"/>
    <s v="Paris"/>
    <x v="2"/>
    <s v="BUT - Mesures physiques"/>
    <x v="0"/>
    <n v="94"/>
    <n v="1823"/>
    <n v="92"/>
    <x v="0"/>
    <n v="19.393617021276597"/>
    <n v="0.97872340425531912"/>
    <s v="Modérée"/>
  </r>
  <r>
    <s v="I.U.T. de Mantes en Yvelines"/>
    <n v="78"/>
    <s v="Yvelines"/>
    <x v="2"/>
    <s v="BUT - Techniques de commercialisation"/>
    <x v="0"/>
    <n v="54"/>
    <n v="1045"/>
    <n v="53"/>
    <x v="1"/>
    <n v="19.351851851851851"/>
    <n v="0.98148148148148151"/>
    <s v="Modérée"/>
  </r>
  <r>
    <s v="IUT de Cachan Université Paris-Saclay"/>
    <n v="94"/>
    <s v="Val-de-Marne"/>
    <x v="2"/>
    <s v="BUT - Génie électrique et informatique industrielle"/>
    <x v="0"/>
    <n v="190"/>
    <n v="3297"/>
    <n v="195"/>
    <x v="2"/>
    <n v="17.352631578947367"/>
    <n v="1.0263157894736843"/>
    <s v="Modérée"/>
  </r>
  <r>
    <s v="I.U.T de Sénart/Fontainebleau - Site Sénart - UPEC"/>
    <n v="77"/>
    <s v="Seine-et-Marne"/>
    <x v="2"/>
    <s v="BUT - Génie biologique parcours sciences de l'environnement et écotechnologies"/>
    <x v="0"/>
    <n v="54"/>
    <n v="919"/>
    <n v="52"/>
    <x v="1"/>
    <n v="17.018518518518519"/>
    <n v="0.96296296296296291"/>
    <s v="Modérée"/>
  </r>
  <r>
    <s v="I.U.T. de Sénart/Fontainebleau - site de Fontainebleau - UPEC"/>
    <n v="77"/>
    <s v="Seine-et-Marne"/>
    <x v="2"/>
    <s v="BUT - Gestion des entreprises et des administrations"/>
    <x v="0"/>
    <n v="115"/>
    <n v="1940"/>
    <n v="113"/>
    <x v="1"/>
    <n v="16.869565217391305"/>
    <n v="0.9826086956521739"/>
    <s v="Modérée"/>
  </r>
  <r>
    <s v="I.U.T de Marne la Vallée - Antenne de Meaux"/>
    <n v="77"/>
    <s v="Seine-et-Marne"/>
    <x v="2"/>
    <s v="BUT - Métiers du multimédia et de l'internet"/>
    <x v="0"/>
    <n v="80"/>
    <n v="1345"/>
    <n v="68"/>
    <x v="1"/>
    <n v="16.8125"/>
    <n v="0.85"/>
    <s v="Modérée"/>
  </r>
  <r>
    <s v="I.U.T. d'Evry Val d'Essonne"/>
    <n v="91"/>
    <s v="Essonne"/>
    <x v="2"/>
    <s v="BUT - Génie électrique et informatique industrielle"/>
    <x v="0"/>
    <n v="72"/>
    <n v="1185"/>
    <n v="77"/>
    <x v="1"/>
    <n v="16.458333333333332"/>
    <n v="1.0694444444444444"/>
    <s v="Modérée"/>
  </r>
  <r>
    <s v="I.U.T. d'Evry Val d'Essonne"/>
    <n v="91"/>
    <s v="Essonne"/>
    <x v="2"/>
    <s v="BUT - Science et génie des matériaux"/>
    <x v="0"/>
    <n v="42"/>
    <n v="688"/>
    <n v="38"/>
    <x v="1"/>
    <n v="16.38095238095238"/>
    <n v="0.90476190476190477"/>
    <s v="Modérée"/>
  </r>
  <r>
    <s v="I.U.T. de Sénart/Fontainebleau - site de Fontainebleau - UPEC"/>
    <n v="77"/>
    <s v="Seine-et-Marne"/>
    <x v="2"/>
    <s v="BUT - Informatique"/>
    <x v="0"/>
    <n v="108"/>
    <n v="1763"/>
    <n v="106"/>
    <x v="1"/>
    <n v="16.324074074074073"/>
    <n v="0.98148148148148151"/>
    <s v="Modérée"/>
  </r>
  <r>
    <s v="IUT de Paris - Rives de Seine - Université Paris Cité"/>
    <n v="75"/>
    <s v="Paris"/>
    <x v="2"/>
    <s v="BUT - Carrières sociales Parcours animation sociale et socioculturelle"/>
    <x v="0"/>
    <n v="56"/>
    <n v="893"/>
    <n v="54"/>
    <x v="0"/>
    <n v="15.946428571428571"/>
    <n v="0.9642857142857143"/>
    <s v="Modérée"/>
  </r>
  <r>
    <s v="I.U.T. de Créteil-Vitry - Site de Créteil- UPEC"/>
    <n v="94"/>
    <s v="Val-de-Marne"/>
    <x v="2"/>
    <s v="BUT - Mesures physiques"/>
    <x v="0"/>
    <n v="78"/>
    <n v="1236"/>
    <n v="88"/>
    <x v="2"/>
    <n v="15.846153846153847"/>
    <n v="1.1282051282051282"/>
    <s v="Modérée"/>
  </r>
  <r>
    <s v="I.U.T de Ville d'Avray - Antenne de Saint-Cloud"/>
    <n v="92"/>
    <s v="Hauts-de-Seine"/>
    <x v="2"/>
    <s v="BUT - Information communication Parcours métiers du livre et du patrimoine"/>
    <x v="0"/>
    <n v="51"/>
    <n v="771"/>
    <n v="53"/>
    <x v="2"/>
    <n v="15.117647058823529"/>
    <n v="1.0392156862745099"/>
    <s v="Modérée"/>
  </r>
  <r>
    <s v="I.U.T. de Bobigny - Université Sorbonne Paris Nord, Paris XIII (93)"/>
    <n v="93"/>
    <s v="Seine-Saint-Denis"/>
    <x v="2"/>
    <s v="BUT - Carrières sociales parcours villes et territoires durables"/>
    <x v="0"/>
    <n v="30"/>
    <n v="439"/>
    <n v="30"/>
    <x v="2"/>
    <n v="14.633333333333333"/>
    <n v="1"/>
    <s v="Modérée"/>
  </r>
  <r>
    <s v="I.U.T de Saint-Denis - Université Paris 13"/>
    <n v="93"/>
    <s v="Seine-Saint-Denis"/>
    <x v="2"/>
    <s v="BUT - Hygiène Sécurité Environnement"/>
    <x v="0"/>
    <n v="75"/>
    <n v="1093"/>
    <n v="83"/>
    <x v="2"/>
    <n v="14.573333333333334"/>
    <n v="1.1066666666666667"/>
    <s v="Modérée"/>
  </r>
  <r>
    <s v="I.U.T. d'Evry Val d'Essonne"/>
    <n v="91"/>
    <s v="Essonne"/>
    <x v="2"/>
    <s v="BUT - Qualité, logistique industrielle et organisation"/>
    <x v="0"/>
    <n v="48"/>
    <n v="674"/>
    <n v="52"/>
    <x v="1"/>
    <n v="14.041666666666666"/>
    <n v="1.0833333333333333"/>
    <s v="Modérée"/>
  </r>
  <r>
    <s v="I.U.T de Velizy - Antenne de Rambouillet"/>
    <n v="78"/>
    <s v="Yvelines"/>
    <x v="2"/>
    <s v="BUT - Génie chimique génie des procédés"/>
    <x v="0"/>
    <n v="26"/>
    <n v="363"/>
    <n v="26"/>
    <x v="1"/>
    <n v="13.961538461538462"/>
    <n v="1"/>
    <s v="Modérée"/>
  </r>
  <r>
    <s v="I.U.T de Sénart/Fontainebleau - Site Sénart - UPEC"/>
    <n v="77"/>
    <s v="Seine-et-Marne"/>
    <x v="2"/>
    <s v="BUT - Génie industriel et maintenance"/>
    <x v="0"/>
    <n v="84"/>
    <n v="1150"/>
    <n v="72"/>
    <x v="1"/>
    <n v="13.69047619047619"/>
    <n v="0.8571428571428571"/>
    <s v="Modérée"/>
  </r>
  <r>
    <s v="I.U.T de Cergy-Pontoise - Site d'Argenteuil"/>
    <n v="95"/>
    <s v="Val-d'oise"/>
    <x v="2"/>
    <s v="BUT - Qualité, logistique industrielle et organisation"/>
    <x v="0"/>
    <n v="52"/>
    <n v="687"/>
    <n v="56"/>
    <x v="1"/>
    <n v="13.211538461538462"/>
    <n v="1.0769230769230769"/>
    <s v="Modérée"/>
  </r>
  <r>
    <s v="I.U.T de Ville d'Avray"/>
    <n v="92"/>
    <s v="Hauts-de-Seine"/>
    <x v="2"/>
    <s v="BUT - Métiers de la Transition et de l'Efficacité Énergétiques"/>
    <x v="0"/>
    <n v="86"/>
    <n v="1126"/>
    <n v="82"/>
    <x v="2"/>
    <n v="13.093023255813954"/>
    <n v="0.95348837209302328"/>
    <s v="Modérée"/>
  </r>
  <r>
    <s v="I.U.T de Marne la Vallée"/>
    <n v="77"/>
    <s v="Seine-et-Marne"/>
    <x v="2"/>
    <s v="BUT - Métiers de la Transition et de l'Efficacité Énergétiques"/>
    <x v="0"/>
    <n v="78"/>
    <n v="984"/>
    <n v="88"/>
    <x v="1"/>
    <n v="12.615384615384615"/>
    <n v="1.1282051282051282"/>
    <s v="Modérée"/>
  </r>
  <r>
    <s v="I.U.T d'Orsay - Université Paris-Saclay"/>
    <n v="91"/>
    <s v="Essonne"/>
    <x v="2"/>
    <s v="BUT - Chimie"/>
    <x v="0"/>
    <n v="125"/>
    <n v="1566"/>
    <n v="120"/>
    <x v="1"/>
    <n v="12.528"/>
    <n v="0.96"/>
    <s v="Modérée"/>
  </r>
  <r>
    <s v="I.U.T d'Orsay - Université Paris-Saclay"/>
    <n v="91"/>
    <s v="Essonne"/>
    <x v="2"/>
    <s v="BUT - Mesures physiques"/>
    <x v="0"/>
    <n v="150"/>
    <n v="1812"/>
    <n v="138"/>
    <x v="1"/>
    <n v="12.08"/>
    <n v="0.92"/>
    <s v="Modérée"/>
  </r>
  <r>
    <s v="I.U.T. de Mantes en Yvelines"/>
    <n v="78"/>
    <s v="Yvelines"/>
    <x v="2"/>
    <s v="BUT - Génie mécanique et productique"/>
    <x v="0"/>
    <n v="52"/>
    <n v="620"/>
    <n v="53"/>
    <x v="1"/>
    <n v="11.923076923076923"/>
    <n v="1.0192307692307692"/>
    <s v="Modérée"/>
  </r>
  <r>
    <s v="I.U.T de Sénart/Fontainebleau - Site Sénart - UPEC"/>
    <n v="77"/>
    <s v="Seine-et-Marne"/>
    <x v="2"/>
    <s v="BUT - Carrières sociales Parcours animation sociale et socioculturelle"/>
    <x v="0"/>
    <n v="50"/>
    <n v="588"/>
    <n v="50"/>
    <x v="1"/>
    <n v="11.76"/>
    <n v="1"/>
    <s v="Modérée"/>
  </r>
  <r>
    <s v="I.U.T. d'Evry Val d'Essonne - Site Brétigny S/Orge"/>
    <n v="91"/>
    <s v="Essonne"/>
    <x v="2"/>
    <s v="BUT - Métiers de la Transition et de l'Efficacité Énergétiques"/>
    <x v="0"/>
    <n v="54"/>
    <n v="629"/>
    <n v="50"/>
    <x v="1"/>
    <n v="11.648148148148149"/>
    <n v="0.92592592592592593"/>
    <s v="Modérée"/>
  </r>
  <r>
    <s v="I.U.T de Sénart/Fontainebleau - Site Sénart - UPEC"/>
    <n v="77"/>
    <s v="Seine-et-Marne"/>
    <x v="2"/>
    <s v="BUT - Génie électrique et informatique industrielle"/>
    <x v="0"/>
    <n v="84"/>
    <n v="977"/>
    <n v="83"/>
    <x v="1"/>
    <n v="11.630952380952381"/>
    <n v="0.98809523809523814"/>
    <s v="Modérée"/>
  </r>
  <r>
    <s v="I.U.T de Saint-Denis - Antenne de La Plaine - Université Paris 13"/>
    <n v="93"/>
    <s v="Seine-Saint-Denis"/>
    <x v="2"/>
    <s v="BUT - Science et génie des matériaux"/>
    <x v="0"/>
    <n v="42"/>
    <n v="480"/>
    <n v="43"/>
    <x v="2"/>
    <n v="11.428571428571429"/>
    <n v="1.0238095238095237"/>
    <s v="Modérée"/>
  </r>
  <r>
    <s v="I.U.T de Cergy-Pontoise - Site d'Argenteuil"/>
    <n v="95"/>
    <s v="Val-d'oise"/>
    <x v="2"/>
    <s v="BUT - Management de la Logistique et des Transports - ENEPS destiné aux bacs professionnels"/>
    <x v="0"/>
    <n v="15"/>
    <n v="154"/>
    <n v="18"/>
    <x v="1"/>
    <n v="10.266666666666667"/>
    <n v="1.2"/>
    <s v="Modérée"/>
  </r>
  <r>
    <s v="I.U.T de Sénart/Fontainebleau - Site Sénart - UPEC"/>
    <n v="77"/>
    <s v="Seine-et-Marne"/>
    <x v="2"/>
    <s v="BUT - Carrières sociales parcours villes et territoires durables"/>
    <x v="0"/>
    <n v="24"/>
    <n v="207"/>
    <n v="25"/>
    <x v="1"/>
    <n v="8.625"/>
    <n v="1.0416666666666667"/>
    <s v="Faible"/>
  </r>
  <r>
    <s v="I.U.T. de Mantes en Yvelines"/>
    <n v="78"/>
    <s v="Yvelines"/>
    <x v="2"/>
    <s v="BUT - Génie industriel et maintenance"/>
    <x v="0"/>
    <n v="40"/>
    <n v="334"/>
    <n v="38"/>
    <x v="1"/>
    <n v="8.35"/>
    <n v="0.95"/>
    <s v="Faible"/>
  </r>
  <r>
    <s v="Lycée Montaigne"/>
    <n v="75"/>
    <s v="Paris"/>
    <x v="3"/>
    <s v="CPGE - ECG"/>
    <x v="0"/>
    <n v="24"/>
    <n v="3889"/>
    <n v="25"/>
    <x v="0"/>
    <n v="162.04166666666666"/>
    <n v="1.0416666666666667"/>
    <s v="Très forte"/>
  </r>
  <r>
    <s v="Lycée Henri IV"/>
    <n v="75"/>
    <s v="Paris"/>
    <x v="3"/>
    <s v="CPGE - ECG"/>
    <x v="0"/>
    <n v="21"/>
    <n v="3158"/>
    <n v="21"/>
    <x v="0"/>
    <n v="150.38095238095238"/>
    <n v="1"/>
    <s v="Très forte"/>
  </r>
  <r>
    <s v="Lycée Henri IV"/>
    <n v="75"/>
    <s v="Paris"/>
    <x v="3"/>
    <s v="CPGE - ECG"/>
    <x v="0"/>
    <n v="27"/>
    <n v="3990"/>
    <n v="28"/>
    <x v="0"/>
    <n v="147.77777777777777"/>
    <n v="1.037037037037037"/>
    <s v="Très forte"/>
  </r>
  <r>
    <s v="Lycée Henri IV"/>
    <n v="75"/>
    <s v="Paris"/>
    <x v="3"/>
    <s v="CPGE - ECG"/>
    <x v="0"/>
    <n v="21"/>
    <n v="3074"/>
    <n v="20"/>
    <x v="0"/>
    <n v="146.38095238095238"/>
    <n v="0.95238095238095233"/>
    <s v="Très forte"/>
  </r>
  <r>
    <s v="Lycée Hoche"/>
    <n v="78"/>
    <s v="Yvelines"/>
    <x v="3"/>
    <s v="CPGE - ECG"/>
    <x v="0"/>
    <n v="24"/>
    <n v="3358"/>
    <n v="24"/>
    <x v="1"/>
    <n v="139.91666666666666"/>
    <n v="1"/>
    <s v="Très forte"/>
  </r>
  <r>
    <s v="Lycée Montaigne"/>
    <n v="75"/>
    <s v="Paris"/>
    <x v="3"/>
    <s v="CPGE - ECG"/>
    <x v="0"/>
    <n v="24"/>
    <n v="2927"/>
    <n v="26"/>
    <x v="0"/>
    <n v="121.95833333333333"/>
    <n v="1.0833333333333333"/>
    <s v="Très forte"/>
  </r>
  <r>
    <s v="Lycée Janson De Sailly"/>
    <n v="75"/>
    <s v="Paris"/>
    <x v="3"/>
    <s v="CPGE - ECG"/>
    <x v="0"/>
    <n v="48"/>
    <n v="5794"/>
    <n v="47"/>
    <x v="0"/>
    <n v="120.70833333333333"/>
    <n v="0.97916666666666663"/>
    <s v="Très forte"/>
  </r>
  <r>
    <s v="Lycée Henri IV"/>
    <n v="75"/>
    <s v="Paris"/>
    <x v="3"/>
    <s v="CPGE - PCSI"/>
    <x v="0"/>
    <n v="48"/>
    <n v="5501"/>
    <n v="47"/>
    <x v="0"/>
    <n v="114.60416666666667"/>
    <n v="0.97916666666666663"/>
    <s v="Très forte"/>
  </r>
  <r>
    <s v="Lycée Hoche"/>
    <n v="78"/>
    <s v="Yvelines"/>
    <x v="3"/>
    <s v="CPGE - ECG"/>
    <x v="0"/>
    <n v="24"/>
    <n v="2744"/>
    <n v="24"/>
    <x v="1"/>
    <n v="114.33333333333333"/>
    <n v="1"/>
    <s v="Très forte"/>
  </r>
  <r>
    <s v="Lycée Montaigne"/>
    <n v="75"/>
    <s v="Paris"/>
    <x v="3"/>
    <s v="CPGE - ECG"/>
    <x v="0"/>
    <n v="24"/>
    <n v="2684"/>
    <n v="25"/>
    <x v="0"/>
    <n v="111.83333333333333"/>
    <n v="1.0416666666666667"/>
    <s v="Très forte"/>
  </r>
  <r>
    <s v="Lycée Hoche"/>
    <n v="78"/>
    <s v="Yvelines"/>
    <x v="3"/>
    <s v="CPGE - ECG"/>
    <x v="0"/>
    <n v="24"/>
    <n v="2667"/>
    <n v="24"/>
    <x v="1"/>
    <n v="111.125"/>
    <n v="1"/>
    <s v="Très forte"/>
  </r>
  <r>
    <s v="Lycée Notre Dame du Grandchamp"/>
    <n v="78"/>
    <s v="Yvelines"/>
    <x v="3"/>
    <s v="CPGE - ECG"/>
    <x v="0"/>
    <n v="19"/>
    <n v="2067"/>
    <n v="15"/>
    <x v="1"/>
    <n v="108.78947368421052"/>
    <n v="0.78947368421052633"/>
    <s v="Très forte"/>
  </r>
  <r>
    <s v="Lycée Saint Michel de Picpus"/>
    <n v="75"/>
    <s v="Paris"/>
    <x v="3"/>
    <s v="CPGE - ECG"/>
    <x v="0"/>
    <n v="23"/>
    <n v="2462"/>
    <n v="23"/>
    <x v="0"/>
    <n v="107.04347826086956"/>
    <n v="1"/>
    <s v="Très forte"/>
  </r>
  <r>
    <s v="Lycée Notre Dame du Grandchamp"/>
    <n v="78"/>
    <s v="Yvelines"/>
    <x v="3"/>
    <s v="CPGE - ECG"/>
    <x v="0"/>
    <n v="22"/>
    <n v="2341"/>
    <n v="23"/>
    <x v="1"/>
    <n v="106.40909090909091"/>
    <n v="1.0454545454545454"/>
    <s v="Très forte"/>
  </r>
  <r>
    <s v="Lycée Saint Michel de Picpus"/>
    <n v="75"/>
    <s v="Paris"/>
    <x v="3"/>
    <s v="CPGE - ECG"/>
    <x v="0"/>
    <n v="16"/>
    <n v="1686"/>
    <n v="16"/>
    <x v="0"/>
    <n v="105.375"/>
    <n v="1"/>
    <s v="Très forte"/>
  </r>
  <r>
    <s v="Lycée Carnot"/>
    <n v="75"/>
    <s v="Paris"/>
    <x v="3"/>
    <s v="CPGE - ECG"/>
    <x v="0"/>
    <n v="48"/>
    <n v="5030"/>
    <n v="47"/>
    <x v="0"/>
    <n v="104.79166666666667"/>
    <n v="0.97916666666666663"/>
    <s v="Très forte"/>
  </r>
  <r>
    <s v="Lycée Buffon"/>
    <n v="75"/>
    <s v="Paris"/>
    <x v="3"/>
    <s v="CPGE - MPSI"/>
    <x v="0"/>
    <n v="48"/>
    <n v="4879"/>
    <n v="47"/>
    <x v="0"/>
    <n v="101.64583333333333"/>
    <n v="0.97916666666666663"/>
    <s v="Très forte"/>
  </r>
  <r>
    <s v="Lycée Notre Dame de Ste Croix"/>
    <n v="92"/>
    <s v="Hauts-de-Seine"/>
    <x v="3"/>
    <s v="CPGE - ECG"/>
    <x v="0"/>
    <n v="23"/>
    <n v="2283"/>
    <n v="23"/>
    <x v="2"/>
    <n v="99.260869565217391"/>
    <n v="1"/>
    <s v="Très forte"/>
  </r>
  <r>
    <s v="Lycée Henri IV"/>
    <n v="75"/>
    <s v="Paris"/>
    <x v="3"/>
    <s v="CPGE - ECG"/>
    <x v="0"/>
    <n v="27"/>
    <n v="2635"/>
    <n v="27"/>
    <x v="0"/>
    <n v="97.592592592592595"/>
    <n v="1"/>
    <s v="Très forte"/>
  </r>
  <r>
    <s v="Lycée Hoche"/>
    <n v="78"/>
    <s v="Yvelines"/>
    <x v="3"/>
    <s v="CPGE - ECG"/>
    <x v="0"/>
    <n v="24"/>
    <n v="2335"/>
    <n v="24"/>
    <x v="1"/>
    <n v="97.291666666666671"/>
    <n v="1"/>
    <s v="Très forte"/>
  </r>
  <r>
    <s v="Lycée Hoche"/>
    <n v="78"/>
    <s v="Yvelines"/>
    <x v="3"/>
    <s v="CPGE - MPSI"/>
    <x v="0"/>
    <n v="48"/>
    <n v="4458"/>
    <n v="48"/>
    <x v="1"/>
    <n v="92.875"/>
    <n v="1"/>
    <s v="Très forte"/>
  </r>
  <r>
    <s v="Lycée Janson De Sailly"/>
    <n v="75"/>
    <s v="Paris"/>
    <x v="3"/>
    <s v="CPGE - ECG"/>
    <x v="0"/>
    <n v="48"/>
    <n v="4452"/>
    <n v="47"/>
    <x v="0"/>
    <n v="92.75"/>
    <n v="0.97916666666666663"/>
    <s v="Très forte"/>
  </r>
  <r>
    <s v="Lycée Condorcet"/>
    <n v="75"/>
    <s v="Paris"/>
    <x v="3"/>
    <s v="CPGE - PCSI"/>
    <x v="0"/>
    <n v="48"/>
    <n v="4370"/>
    <n v="47"/>
    <x v="0"/>
    <n v="91.041666666666671"/>
    <n v="0.97916666666666663"/>
    <s v="Très forte"/>
  </r>
  <r>
    <s v="Lycée Saint Michel de Picpus"/>
    <n v="75"/>
    <s v="Paris"/>
    <x v="3"/>
    <s v="CPGE - ECG"/>
    <x v="0"/>
    <n v="23"/>
    <n v="2073"/>
    <n v="23"/>
    <x v="0"/>
    <n v="90.130434782608702"/>
    <n v="1"/>
    <s v="Très forte"/>
  </r>
  <r>
    <s v="Lycée Montaigne"/>
    <n v="75"/>
    <s v="Paris"/>
    <x v="3"/>
    <s v="CPGE - ECG"/>
    <x v="0"/>
    <n v="24"/>
    <n v="2103"/>
    <n v="26"/>
    <x v="0"/>
    <n v="87.625"/>
    <n v="1.0833333333333333"/>
    <s v="Très forte"/>
  </r>
  <r>
    <s v="Lycée Fénelon"/>
    <n v="75"/>
    <s v="Paris"/>
    <x v="3"/>
    <s v="CPGE - PCSI"/>
    <x v="0"/>
    <n v="48"/>
    <n v="4110"/>
    <n v="44"/>
    <x v="0"/>
    <n v="85.625"/>
    <n v="0.91666666666666663"/>
    <s v="Très forte"/>
  </r>
  <r>
    <s v="Lycée Notre Dame du Grandchamp"/>
    <n v="78"/>
    <s v="Yvelines"/>
    <x v="3"/>
    <s v="CPGE - ECG"/>
    <x v="0"/>
    <n v="23"/>
    <n v="1957"/>
    <n v="23"/>
    <x v="1"/>
    <n v="85.086956521739125"/>
    <n v="1"/>
    <s v="Très forte"/>
  </r>
  <r>
    <s v="Lycée Henri IV"/>
    <n v="75"/>
    <s v="Paris"/>
    <x v="3"/>
    <s v="CPGE - MPSI"/>
    <x v="0"/>
    <n v="96"/>
    <n v="8117"/>
    <n v="96"/>
    <x v="0"/>
    <n v="84.552083333333329"/>
    <n v="1"/>
    <s v="Très forte"/>
  </r>
  <r>
    <s v="Lycée Marcelin Berthelot"/>
    <n v="94"/>
    <s v="Val-de-Marne"/>
    <x v="3"/>
    <s v="CPGE - ECG"/>
    <x v="0"/>
    <n v="24"/>
    <n v="1921"/>
    <n v="22"/>
    <x v="2"/>
    <n v="80.041666666666671"/>
    <n v="0.91666666666666663"/>
    <s v="Très forte"/>
  </r>
  <r>
    <s v="Lycée Charlemagne"/>
    <n v="75"/>
    <s v="Paris"/>
    <x v="3"/>
    <s v="CPGE - PCSI"/>
    <x v="0"/>
    <n v="48"/>
    <n v="3837"/>
    <n v="48"/>
    <x v="0"/>
    <n v="79.9375"/>
    <n v="1"/>
    <s v="Très forte"/>
  </r>
  <r>
    <s v="Lycée Janson De Sailly"/>
    <n v="75"/>
    <s v="Paris"/>
    <x v="3"/>
    <s v="CPGE - ECG"/>
    <x v="0"/>
    <n v="48"/>
    <n v="3807"/>
    <n v="48"/>
    <x v="0"/>
    <n v="79.3125"/>
    <n v="1"/>
    <s v="Très forte"/>
  </r>
  <r>
    <s v="Lycée Condorcet"/>
    <n v="75"/>
    <s v="Paris"/>
    <x v="3"/>
    <s v="CPGE - MPSI"/>
    <x v="0"/>
    <n v="96"/>
    <n v="7581"/>
    <n v="94"/>
    <x v="0"/>
    <n v="78.96875"/>
    <n v="0.97916666666666663"/>
    <s v="Très forte"/>
  </r>
  <r>
    <s v="Lycée Buffon"/>
    <n v="75"/>
    <s v="Paris"/>
    <x v="3"/>
    <s v="CPGE - PCSI"/>
    <x v="0"/>
    <n v="48"/>
    <n v="3754"/>
    <n v="47"/>
    <x v="0"/>
    <n v="78.208333333333329"/>
    <n v="0.97916666666666663"/>
    <s v="Très forte"/>
  </r>
  <r>
    <s v="Lycée Lakanal"/>
    <n v="92"/>
    <s v="Hauts-de-Seine"/>
    <x v="3"/>
    <s v="CPGE - MPSI"/>
    <x v="0"/>
    <n v="48"/>
    <n v="3736"/>
    <n v="46"/>
    <x v="2"/>
    <n v="77.833333333333329"/>
    <n v="0.95833333333333337"/>
    <s v="Très forte"/>
  </r>
  <r>
    <s v="Lycée Notre Dame de Ste Croix"/>
    <n v="92"/>
    <s v="Hauts-de-Seine"/>
    <x v="3"/>
    <s v="CPGE - ECG"/>
    <x v="0"/>
    <n v="25"/>
    <n v="1935"/>
    <n v="27"/>
    <x v="2"/>
    <n v="77.400000000000006"/>
    <n v="1.08"/>
    <s v="Très forte"/>
  </r>
  <r>
    <s v="Lycée Carnot"/>
    <n v="75"/>
    <s v="Paris"/>
    <x v="3"/>
    <s v="CPGE - ECG"/>
    <x v="0"/>
    <n v="48"/>
    <n v="3712"/>
    <n v="49"/>
    <x v="0"/>
    <n v="77.333333333333329"/>
    <n v="1.0208333333333333"/>
    <s v="Très forte"/>
  </r>
  <r>
    <s v="Lycée Louis Le Grand"/>
    <n v="75"/>
    <s v="Paris"/>
    <x v="3"/>
    <s v="CPGE - MP2I"/>
    <x v="0"/>
    <n v="48"/>
    <n v="3584"/>
    <n v="48"/>
    <x v="0"/>
    <n v="74.666666666666671"/>
    <n v="1"/>
    <s v="Très forte"/>
  </r>
  <r>
    <s v="Lycée Jacques Decour"/>
    <n v="75"/>
    <s v="Paris"/>
    <x v="3"/>
    <s v="CPGE - MPSI"/>
    <x v="0"/>
    <n v="48"/>
    <n v="3563"/>
    <n v="46"/>
    <x v="0"/>
    <n v="74.229166666666671"/>
    <n v="0.95833333333333337"/>
    <s v="Très forte"/>
  </r>
  <r>
    <s v="Lycée Janson De Sailly"/>
    <n v="75"/>
    <s v="Paris"/>
    <x v="3"/>
    <s v="CPGE - MP2I"/>
    <x v="0"/>
    <n v="48"/>
    <n v="3389"/>
    <n v="48"/>
    <x v="0"/>
    <n v="70.604166666666671"/>
    <n v="1"/>
    <s v="Très forte"/>
  </r>
  <r>
    <s v="Lycée Carnot"/>
    <n v="75"/>
    <s v="Paris"/>
    <x v="3"/>
    <s v="CPGE - ECG"/>
    <x v="0"/>
    <n v="48"/>
    <n v="3352"/>
    <n v="48"/>
    <x v="0"/>
    <n v="69.833333333333329"/>
    <n v="1"/>
    <s v="Très forte"/>
  </r>
  <r>
    <s v="Lycée Paul Valery"/>
    <n v="75"/>
    <s v="Paris"/>
    <x v="3"/>
    <s v="CPGE - MPSI"/>
    <x v="0"/>
    <n v="48"/>
    <n v="3274"/>
    <n v="43"/>
    <x v="0"/>
    <n v="68.208333333333329"/>
    <n v="0.89583333333333337"/>
    <s v="Très forte"/>
  </r>
  <r>
    <s v="Lycée Claude Monet"/>
    <n v="75"/>
    <s v="Paris"/>
    <x v="3"/>
    <s v="CPGE - ECG - Mathématiques appliquées + ESH"/>
    <x v="0"/>
    <n v="48"/>
    <n v="3247"/>
    <n v="47"/>
    <x v="0"/>
    <n v="67.645833333333329"/>
    <n v="0.97916666666666663"/>
    <s v="Très forte"/>
  </r>
  <r>
    <s v="Lycée Saint-Louis (6ème)"/>
    <n v="75"/>
    <s v="Paris"/>
    <x v="3"/>
    <s v="CPGE - MP2I"/>
    <x v="0"/>
    <n v="48"/>
    <n v="3189"/>
    <n v="48"/>
    <x v="0"/>
    <n v="66.4375"/>
    <n v="1"/>
    <s v="Très forte"/>
  </r>
  <r>
    <s v="Lycée Janson De Sailly"/>
    <n v="75"/>
    <s v="Paris"/>
    <x v="3"/>
    <s v="CPGE - MPSI"/>
    <x v="0"/>
    <n v="142"/>
    <n v="9367"/>
    <n v="140"/>
    <x v="0"/>
    <n v="65.964788732394368"/>
    <n v="0.9859154929577465"/>
    <s v="Très forte"/>
  </r>
  <r>
    <s v="Lycée Notre Dame de Ste Croix"/>
    <n v="92"/>
    <s v="Hauts-de-Seine"/>
    <x v="3"/>
    <s v="CPGE - ECG"/>
    <x v="0"/>
    <n v="25"/>
    <n v="1638"/>
    <n v="25"/>
    <x v="2"/>
    <n v="65.52"/>
    <n v="1"/>
    <s v="Très forte"/>
  </r>
  <r>
    <s v="Lycée Janson De Sailly"/>
    <n v="75"/>
    <s v="Paris"/>
    <x v="3"/>
    <s v="CPGE - B/L - Lettres et sciences sociales"/>
    <x v="0"/>
    <n v="48"/>
    <n v="3095"/>
    <n v="48"/>
    <x v="0"/>
    <n v="64.479166666666671"/>
    <n v="1"/>
    <s v="Très forte"/>
  </r>
  <r>
    <s v="Lycée Notre Dame de Ste Croix"/>
    <n v="92"/>
    <s v="Hauts-de-Seine"/>
    <x v="3"/>
    <s v="CPGE - ECG"/>
    <x v="0"/>
    <n v="23"/>
    <n v="1459"/>
    <n v="21"/>
    <x v="2"/>
    <n v="63.434782608695649"/>
    <n v="0.91304347826086951"/>
    <s v="Très forte"/>
  </r>
  <r>
    <s v="Lycée Turgot"/>
    <n v="75"/>
    <s v="Paris"/>
    <x v="3"/>
    <s v="CPGE - ENS Rennes D1"/>
    <x v="0"/>
    <n v="48"/>
    <n v="3027"/>
    <n v="47"/>
    <x v="0"/>
    <n v="63.0625"/>
    <n v="0.97916666666666663"/>
    <s v="Très forte"/>
  </r>
  <r>
    <s v="Lycée Louis Le Grand"/>
    <n v="75"/>
    <s v="Paris"/>
    <x v="3"/>
    <s v="CPGE - PCSI"/>
    <x v="0"/>
    <n v="96"/>
    <n v="6033"/>
    <n v="95"/>
    <x v="0"/>
    <n v="62.84375"/>
    <n v="0.98958333333333337"/>
    <s v="Très forte"/>
  </r>
  <r>
    <s v="Lycée Henri IV"/>
    <n v="75"/>
    <s v="Paris"/>
    <x v="3"/>
    <s v="CPGE - B/L - Lettres et sciences sociales"/>
    <x v="0"/>
    <n v="48"/>
    <n v="2957"/>
    <n v="47"/>
    <x v="0"/>
    <n v="61.604166666666664"/>
    <n v="0.97916666666666663"/>
    <s v="Très forte"/>
  </r>
  <r>
    <s v="Lycée Chaptal"/>
    <n v="75"/>
    <s v="Paris"/>
    <x v="3"/>
    <s v="CPGE - PCSI"/>
    <x v="0"/>
    <n v="96"/>
    <n v="5783"/>
    <n v="95"/>
    <x v="0"/>
    <n v="60.239583333333336"/>
    <n v="0.98958333333333337"/>
    <s v="Très forte"/>
  </r>
  <r>
    <s v="Lycée Pierre-Gilles de Gennes - ENCPB"/>
    <n v="75"/>
    <s v="Paris"/>
    <x v="3"/>
    <s v="CPGE - MPSI"/>
    <x v="0"/>
    <n v="48"/>
    <n v="2864"/>
    <n v="48"/>
    <x v="0"/>
    <n v="59.666666666666664"/>
    <n v="1"/>
    <s v="Très forte"/>
  </r>
  <r>
    <s v="Ecole Nationale De Commerce"/>
    <n v="75"/>
    <s v="Paris"/>
    <x v="3"/>
    <s v="CPGE - ENS Rennes D1"/>
    <x v="0"/>
    <n v="48"/>
    <n v="2856"/>
    <n v="50"/>
    <x v="0"/>
    <n v="59.5"/>
    <n v="1.0416666666666667"/>
    <s v="Très forte"/>
  </r>
  <r>
    <s v="Lycée Saint-Louis De Gonzague"/>
    <n v="75"/>
    <s v="Paris"/>
    <x v="3"/>
    <s v="CPGE - ECG"/>
    <x v="0"/>
    <n v="40"/>
    <n v="2365"/>
    <n v="40"/>
    <x v="0"/>
    <n v="59.125"/>
    <n v="1"/>
    <s v="Très forte"/>
  </r>
  <r>
    <s v="Lycée Fénelon"/>
    <n v="75"/>
    <s v="Paris"/>
    <x v="3"/>
    <s v="CPGE - BCPST"/>
    <x v="0"/>
    <n v="48"/>
    <n v="2815"/>
    <n v="47"/>
    <x v="0"/>
    <n v="58.645833333333336"/>
    <n v="0.97916666666666663"/>
    <s v="Très forte"/>
  </r>
  <r>
    <s v="Lycée Charlemagne"/>
    <n v="75"/>
    <s v="Paris"/>
    <x v="3"/>
    <s v="CPGE - MPSI"/>
    <x v="0"/>
    <n v="96"/>
    <n v="5603"/>
    <n v="94"/>
    <x v="0"/>
    <n v="58.364583333333336"/>
    <n v="0.97916666666666663"/>
    <s v="Très forte"/>
  </r>
  <r>
    <s v="Lycée Voltaire"/>
    <n v="75"/>
    <s v="Paris"/>
    <x v="3"/>
    <s v="CPGE - B/L - Lettres et sciences sociales"/>
    <x v="0"/>
    <n v="48"/>
    <n v="2800"/>
    <n v="50"/>
    <x v="0"/>
    <n v="58.333333333333336"/>
    <n v="1.0416666666666667"/>
    <s v="Très forte"/>
  </r>
  <r>
    <s v="Lycée Alexandre Dumas"/>
    <n v="92"/>
    <s v="Hauts-de-Seine"/>
    <x v="3"/>
    <s v="CPGE - ECG"/>
    <x v="0"/>
    <n v="24"/>
    <n v="1399"/>
    <n v="17"/>
    <x v="2"/>
    <n v="58.291666666666664"/>
    <n v="0.70833333333333337"/>
    <s v="Très forte"/>
  </r>
  <r>
    <s v="Lycée Lakanal"/>
    <n v="92"/>
    <s v="Hauts-de-Seine"/>
    <x v="3"/>
    <s v="CPGE - B/L - Lettres et sciences sociales"/>
    <x v="0"/>
    <n v="48"/>
    <n v="2785"/>
    <n v="48"/>
    <x v="2"/>
    <n v="58.020833333333336"/>
    <n v="1"/>
    <s v="Très forte"/>
  </r>
  <r>
    <s v="Lycée Fénelon"/>
    <n v="75"/>
    <s v="Paris"/>
    <x v="3"/>
    <s v="CPGE - MPSI"/>
    <x v="0"/>
    <n v="96"/>
    <n v="5539"/>
    <n v="94"/>
    <x v="0"/>
    <n v="57.697916666666664"/>
    <n v="0.97916666666666663"/>
    <s v="Très forte"/>
  </r>
  <r>
    <s v="Lycée Louis Le Grand"/>
    <n v="75"/>
    <s v="Paris"/>
    <x v="3"/>
    <s v="CPGE - MPSI"/>
    <x v="0"/>
    <n v="144"/>
    <n v="8275"/>
    <n v="144"/>
    <x v="0"/>
    <n v="57.465277777777779"/>
    <n v="1"/>
    <s v="Très forte"/>
  </r>
  <r>
    <s v="Lycée Marcelin Berthelot"/>
    <n v="94"/>
    <s v="Val-de-Marne"/>
    <x v="3"/>
    <s v="CPGE - ECG"/>
    <x v="0"/>
    <n v="24"/>
    <n v="1367"/>
    <n v="24"/>
    <x v="2"/>
    <n v="56.958333333333336"/>
    <n v="1"/>
    <s v="Très forte"/>
  </r>
  <r>
    <s v="Lycée Henri IV"/>
    <n v="75"/>
    <s v="Paris"/>
    <x v="3"/>
    <s v="CPGE - BCPST"/>
    <x v="0"/>
    <n v="48"/>
    <n v="2717"/>
    <n v="45"/>
    <x v="0"/>
    <n v="56.604166666666664"/>
    <n v="0.9375"/>
    <s v="Très forte"/>
  </r>
  <r>
    <s v="Lycée Carnot"/>
    <n v="75"/>
    <s v="Paris"/>
    <x v="3"/>
    <s v="CPGE - ECG"/>
    <x v="0"/>
    <n v="48"/>
    <n v="2651"/>
    <n v="47"/>
    <x v="0"/>
    <n v="55.229166666666664"/>
    <n v="0.97916666666666663"/>
    <s v="Très forte"/>
  </r>
  <r>
    <s v="Lycée Chaptal"/>
    <n v="75"/>
    <s v="Paris"/>
    <x v="3"/>
    <s v="CPGE - MPSI"/>
    <x v="0"/>
    <n v="144"/>
    <n v="7840"/>
    <n v="141"/>
    <x v="0"/>
    <n v="54.444444444444443"/>
    <n v="0.97916666666666663"/>
    <s v="Très forte"/>
  </r>
  <r>
    <s v="Lycée Marcelin Berthelot"/>
    <n v="94"/>
    <s v="Val-de-Marne"/>
    <x v="3"/>
    <s v="CPGE - ECG"/>
    <x v="0"/>
    <n v="24"/>
    <n v="1281"/>
    <n v="24"/>
    <x v="2"/>
    <n v="53.375"/>
    <n v="1"/>
    <s v="Très forte"/>
  </r>
  <r>
    <s v="Lycée Jean-Baptiste Say"/>
    <n v="75"/>
    <s v="Paris"/>
    <x v="3"/>
    <s v="CPGE - BCPST"/>
    <x v="0"/>
    <n v="48"/>
    <n v="2561"/>
    <n v="45"/>
    <x v="0"/>
    <n v="53.354166666666664"/>
    <n v="0.9375"/>
    <s v="Très forte"/>
  </r>
  <r>
    <s v="Lycée Michelet"/>
    <n v="92"/>
    <s v="Hauts-de-Seine"/>
    <x v="3"/>
    <s v="CPGE - MPSI"/>
    <x v="0"/>
    <n v="48"/>
    <n v="2558"/>
    <n v="47"/>
    <x v="2"/>
    <n v="53.291666666666664"/>
    <n v="0.97916666666666663"/>
    <s v="Très forte"/>
  </r>
  <r>
    <s v="Lycée Elisa Lemonnier"/>
    <n v="75"/>
    <s v="Paris"/>
    <x v="3"/>
    <s v="CPGE - ECT - Option technologique - (réservée aux bacs technologiques)"/>
    <x v="0"/>
    <n v="10"/>
    <n v="528"/>
    <n v="12"/>
    <x v="0"/>
    <n v="52.8"/>
    <n v="1.2"/>
    <s v="Très forte"/>
  </r>
  <r>
    <s v="Lycée Janson De Sailly"/>
    <n v="75"/>
    <s v="Paris"/>
    <x v="3"/>
    <s v="CPGE - PCSI"/>
    <x v="0"/>
    <n v="144"/>
    <n v="7585"/>
    <n v="143"/>
    <x v="0"/>
    <n v="52.673611111111114"/>
    <n v="0.99305555555555558"/>
    <s v="Très forte"/>
  </r>
  <r>
    <s v="Lycée Lavoisier"/>
    <n v="75"/>
    <s v="Paris"/>
    <x v="3"/>
    <s v="CPGE - PCSI"/>
    <x v="0"/>
    <n v="48"/>
    <n v="2515"/>
    <n v="47"/>
    <x v="0"/>
    <n v="52.395833333333336"/>
    <n v="0.97916666666666663"/>
    <s v="Très forte"/>
  </r>
  <r>
    <s v="Lycée Saint-Louis (6ème)"/>
    <n v="75"/>
    <s v="Paris"/>
    <x v="3"/>
    <s v="CPGE - MPSI"/>
    <x v="0"/>
    <n v="192"/>
    <n v="10025"/>
    <n v="189"/>
    <x v="0"/>
    <n v="52.213541666666664"/>
    <n v="0.984375"/>
    <s v="Très forte"/>
  </r>
  <r>
    <s v="Lycée Saint Jean de Passy"/>
    <n v="75"/>
    <s v="Paris"/>
    <x v="3"/>
    <s v="CPGE - ECG"/>
    <x v="0"/>
    <n v="40"/>
    <n v="2068"/>
    <n v="39"/>
    <x v="0"/>
    <n v="51.7"/>
    <n v="0.97499999999999998"/>
    <s v="Très forte"/>
  </r>
  <r>
    <s v="Lycée Paul Valery"/>
    <n v="75"/>
    <s v="Paris"/>
    <x v="3"/>
    <s v="CPGE - MP2I"/>
    <x v="0"/>
    <n v="48"/>
    <n v="2442"/>
    <n v="48"/>
    <x v="0"/>
    <n v="50.875"/>
    <n v="1"/>
    <s v="Très forte"/>
  </r>
  <r>
    <s v="Lycée Hoche"/>
    <n v="78"/>
    <s v="Yvelines"/>
    <x v="3"/>
    <s v="CPGE - MP2I"/>
    <x v="0"/>
    <n v="48"/>
    <n v="2375"/>
    <n v="48"/>
    <x v="1"/>
    <n v="49.479166666666664"/>
    <n v="1"/>
    <s v="Très forte"/>
  </r>
  <r>
    <s v="Lycée Saint Michel de Picpus"/>
    <n v="75"/>
    <s v="Paris"/>
    <x v="3"/>
    <s v="CPGE - ECG"/>
    <x v="0"/>
    <n v="65"/>
    <n v="3173"/>
    <n v="66"/>
    <x v="0"/>
    <n v="48.815384615384616"/>
    <n v="1.0153846153846153"/>
    <s v="Très forte"/>
  </r>
  <r>
    <s v="Lycée Carnot"/>
    <n v="75"/>
    <s v="Paris"/>
    <x v="3"/>
    <s v="CPGE - PCSI"/>
    <x v="0"/>
    <n v="48"/>
    <n v="2342"/>
    <n v="46"/>
    <x v="0"/>
    <n v="48.791666666666664"/>
    <n v="0.95833333333333337"/>
    <s v="Très forte"/>
  </r>
  <r>
    <s v="Lycée Chaptal"/>
    <n v="75"/>
    <s v="Paris"/>
    <x v="3"/>
    <s v="CPGE - PTSI"/>
    <x v="0"/>
    <n v="45"/>
    <n v="2167"/>
    <n v="44"/>
    <x v="0"/>
    <n v="48.155555555555559"/>
    <n v="0.97777777777777775"/>
    <s v="Très forte"/>
  </r>
  <r>
    <s v="Lycée Pierre-Gilles de Gennes - ENCPB"/>
    <n v="75"/>
    <s v="Paris"/>
    <x v="3"/>
    <s v="CPGE - BCPST"/>
    <x v="0"/>
    <n v="48"/>
    <n v="2296"/>
    <n v="47"/>
    <x v="0"/>
    <n v="47.833333333333336"/>
    <n v="0.97916666666666663"/>
    <s v="Très forte"/>
  </r>
  <r>
    <s v="Lycée Claude Bernard"/>
    <n v="75"/>
    <s v="Paris"/>
    <x v="3"/>
    <s v="CPGE - MP2I"/>
    <x v="0"/>
    <n v="48"/>
    <n v="2291"/>
    <n v="47"/>
    <x v="0"/>
    <n v="47.729166666666664"/>
    <n v="0.97916666666666663"/>
    <s v="Très forte"/>
  </r>
  <r>
    <s v="Lycée Janson De Sailly"/>
    <n v="75"/>
    <s v="Paris"/>
    <x v="3"/>
    <s v="CPGE - Lettres"/>
    <x v="0"/>
    <n v="48"/>
    <n v="2287"/>
    <n v="48"/>
    <x v="0"/>
    <n v="47.645833333333336"/>
    <n v="1"/>
    <s v="Très forte"/>
  </r>
  <r>
    <s v="Lycée Saint-Louis (6ème)"/>
    <n v="75"/>
    <s v="Paris"/>
    <x v="3"/>
    <s v="CPGE - ECG -  - Mathématiques approfondies + HGG"/>
    <x v="0"/>
    <n v="48"/>
    <n v="2240"/>
    <n v="49"/>
    <x v="0"/>
    <n v="46.666666666666664"/>
    <n v="1.0208333333333333"/>
    <s v="Très forte"/>
  </r>
  <r>
    <s v="Lycée Blaise Pascal"/>
    <n v="91"/>
    <s v="Essonne"/>
    <x v="3"/>
    <s v="CPGE - PCSI"/>
    <x v="0"/>
    <n v="48"/>
    <n v="2226"/>
    <n v="48"/>
    <x v="1"/>
    <n v="46.375"/>
    <n v="1"/>
    <s v="Très forte"/>
  </r>
  <r>
    <s v="Lycée Saint-Louis De Gonzague"/>
    <n v="75"/>
    <s v="Paris"/>
    <x v="3"/>
    <s v="CPGE - ECG"/>
    <x v="0"/>
    <n v="40"/>
    <n v="1855"/>
    <n v="39"/>
    <x v="0"/>
    <n v="46.375"/>
    <n v="0.97499999999999998"/>
    <s v="Très forte"/>
  </r>
  <r>
    <s v="Lycée Sainte Marie"/>
    <n v="92"/>
    <s v="Hauts-de-Seine"/>
    <x v="3"/>
    <s v="CPGE - MPSI"/>
    <x v="0"/>
    <n v="46"/>
    <n v="2115"/>
    <n v="46"/>
    <x v="2"/>
    <n v="45.978260869565219"/>
    <n v="1"/>
    <s v="Très forte"/>
  </r>
  <r>
    <s v="Lycée Fénelon Sainte-Marie"/>
    <n v="75"/>
    <s v="Paris"/>
    <x v="3"/>
    <s v="CPGE - MPSI"/>
    <x v="0"/>
    <n v="48"/>
    <n v="2206"/>
    <n v="49"/>
    <x v="0"/>
    <n v="45.958333333333336"/>
    <n v="1.0208333333333333"/>
    <s v="Très forte"/>
  </r>
  <r>
    <s v="Lycée Turgot"/>
    <n v="75"/>
    <s v="Paris"/>
    <x v="3"/>
    <s v="CPGE - ENS Cachan D2"/>
    <x v="0"/>
    <n v="48"/>
    <n v="2154"/>
    <n v="55"/>
    <x v="0"/>
    <n v="44.875"/>
    <n v="1.1458333333333333"/>
    <s v="Très forte"/>
  </r>
  <r>
    <s v="Lycée Jean-Baptiste Say"/>
    <n v="75"/>
    <s v="Paris"/>
    <x v="3"/>
    <s v="CPGE - PTSI"/>
    <x v="0"/>
    <n v="45"/>
    <n v="2001"/>
    <n v="44"/>
    <x v="0"/>
    <n v="44.466666666666669"/>
    <n v="0.97777777777777775"/>
    <s v="Très forte"/>
  </r>
  <r>
    <s v="Lycée Louis Le Grand"/>
    <n v="75"/>
    <s v="Paris"/>
    <x v="3"/>
    <s v="CPGE - ECG -  - Mathématiques approfondies + HGG"/>
    <x v="0"/>
    <n v="48"/>
    <n v="2131"/>
    <n v="48"/>
    <x v="0"/>
    <n v="44.395833333333336"/>
    <n v="1"/>
    <s v="Très forte"/>
  </r>
  <r>
    <s v="Lycée Jacques Prevert"/>
    <n v="92"/>
    <s v="Hauts-de-Seine"/>
    <x v="3"/>
    <s v="CPGE - BCPST"/>
    <x v="0"/>
    <n v="38"/>
    <n v="1683"/>
    <n v="30"/>
    <x v="2"/>
    <n v="44.289473684210527"/>
    <n v="0.78947368421052633"/>
    <s v="Très forte"/>
  </r>
  <r>
    <s v="Lycée Paul Valery"/>
    <n v="75"/>
    <s v="Paris"/>
    <x v="3"/>
    <s v="CPGE - PCSI"/>
    <x v="0"/>
    <n v="48"/>
    <n v="2118"/>
    <n v="47"/>
    <x v="0"/>
    <n v="44.125"/>
    <n v="0.97916666666666663"/>
    <s v="Très forte"/>
  </r>
  <r>
    <s v="Ecole Nationale De Commerce"/>
    <n v="75"/>
    <s v="Paris"/>
    <x v="3"/>
    <s v="CPGE - ENS Cachan D2"/>
    <x v="0"/>
    <n v="48"/>
    <n v="2117"/>
    <n v="59"/>
    <x v="0"/>
    <n v="44.104166666666664"/>
    <n v="1.2291666666666667"/>
    <s v="Très forte"/>
  </r>
  <r>
    <s v="Lycée Marie Curie"/>
    <n v="92"/>
    <s v="Hauts-de-Seine"/>
    <x v="3"/>
    <s v="CPGE - ENS Rennes D1"/>
    <x v="0"/>
    <n v="48"/>
    <n v="2114"/>
    <n v="50"/>
    <x v="2"/>
    <n v="44.041666666666664"/>
    <n v="1.0416666666666667"/>
    <s v="Très forte"/>
  </r>
  <r>
    <s v="Lycée Fénelon Sainte-Marie"/>
    <n v="75"/>
    <s v="Paris"/>
    <x v="3"/>
    <s v="CPGE - PCSI"/>
    <x v="0"/>
    <n v="48"/>
    <n v="2109"/>
    <n v="51"/>
    <x v="0"/>
    <n v="43.9375"/>
    <n v="1.0625"/>
    <s v="Très forte"/>
  </r>
  <r>
    <s v="Lycée Paul Eluard"/>
    <n v="93"/>
    <s v="Seine-Saint-Denis"/>
    <x v="3"/>
    <s v="CPGE - MPSI"/>
    <x v="0"/>
    <n v="24"/>
    <n v="1053"/>
    <n v="24"/>
    <x v="2"/>
    <n v="43.875"/>
    <n v="1"/>
    <s v="Très forte"/>
  </r>
  <r>
    <s v="Lycée Sainte Marie"/>
    <n v="92"/>
    <s v="Hauts-de-Seine"/>
    <x v="3"/>
    <s v="CPGE - PCSI"/>
    <x v="0"/>
    <n v="46"/>
    <n v="1997"/>
    <n v="48"/>
    <x v="2"/>
    <n v="43.413043478260867"/>
    <n v="1.0434782608695652"/>
    <s v="Très forte"/>
  </r>
  <r>
    <s v="Ecole Nationale De Commerce"/>
    <n v="75"/>
    <s v="Paris"/>
    <x v="3"/>
    <s v="CPGE - ECG - Mathématiques appliquées + ESH"/>
    <x v="0"/>
    <n v="48"/>
    <n v="2065"/>
    <n v="47"/>
    <x v="0"/>
    <n v="43.020833333333336"/>
    <n v="0.97916666666666663"/>
    <s v="Très forte"/>
  </r>
  <r>
    <s v="Lycée Raspail"/>
    <n v="75"/>
    <s v="Paris"/>
    <x v="3"/>
    <s v="CPGE - PCSI"/>
    <x v="0"/>
    <n v="48"/>
    <n v="2037"/>
    <n v="46"/>
    <x v="0"/>
    <n v="42.4375"/>
    <n v="0.95833333333333337"/>
    <s v="Très forte"/>
  </r>
  <r>
    <s v="Lycée Lakanal"/>
    <n v="92"/>
    <s v="Hauts-de-Seine"/>
    <x v="3"/>
    <s v="CPGE - PCSI"/>
    <x v="0"/>
    <n v="96"/>
    <n v="4053"/>
    <n v="95"/>
    <x v="2"/>
    <n v="42.21875"/>
    <n v="0.98958333333333337"/>
    <s v="Très forte"/>
  </r>
  <r>
    <s v="Lycée Alexandre Dumas"/>
    <n v="92"/>
    <s v="Hauts-de-Seine"/>
    <x v="3"/>
    <s v="CPGE - ECG"/>
    <x v="0"/>
    <n v="24"/>
    <n v="1005"/>
    <n v="23"/>
    <x v="2"/>
    <n v="41.875"/>
    <n v="0.95833333333333337"/>
    <s v="Très forte"/>
  </r>
  <r>
    <s v="Lycée Louis Pasteur"/>
    <n v="92"/>
    <s v="Hauts-de-Seine"/>
    <x v="3"/>
    <s v="CPGE - MPSI"/>
    <x v="0"/>
    <n v="90"/>
    <n v="3750"/>
    <n v="86"/>
    <x v="2"/>
    <n v="41.666666666666664"/>
    <n v="0.9555555555555556"/>
    <s v="Très forte"/>
  </r>
  <r>
    <s v="Lycée Marcelin Berthelot"/>
    <n v="94"/>
    <s v="Val-de-Marne"/>
    <x v="3"/>
    <s v="CPGE - ECG"/>
    <x v="0"/>
    <n v="24"/>
    <n v="996"/>
    <n v="22"/>
    <x v="2"/>
    <n v="41.5"/>
    <n v="0.91666666666666663"/>
    <s v="Très forte"/>
  </r>
  <r>
    <s v="Lycée Stanislas"/>
    <n v="75"/>
    <s v="Paris"/>
    <x v="3"/>
    <s v="CPGE - ECG"/>
    <x v="0"/>
    <n v="45"/>
    <n v="1856"/>
    <n v="47"/>
    <x v="0"/>
    <n v="41.244444444444447"/>
    <n v="1.0444444444444445"/>
    <s v="Très forte"/>
  </r>
  <r>
    <s v="Lycée Janson De Sailly"/>
    <n v="75"/>
    <s v="Paris"/>
    <x v="3"/>
    <s v="CPGE - BCPST"/>
    <x v="0"/>
    <n v="96"/>
    <n v="3853"/>
    <n v="91"/>
    <x v="0"/>
    <n v="40.135416666666664"/>
    <n v="0.94791666666666663"/>
    <s v="Très forte"/>
  </r>
  <r>
    <s v="Lycée Chaptal"/>
    <n v="75"/>
    <s v="Paris"/>
    <x v="3"/>
    <s v="CPGE - ECG - Mathématiques approfondies + HGG"/>
    <x v="0"/>
    <n v="48"/>
    <n v="1925"/>
    <n v="46"/>
    <x v="0"/>
    <n v="40.104166666666664"/>
    <n v="0.95833333333333337"/>
    <s v="Très forte"/>
  </r>
  <r>
    <s v="Lycée Turgot"/>
    <n v="75"/>
    <s v="Paris"/>
    <x v="3"/>
    <s v="CPGE - PCSI"/>
    <x v="0"/>
    <n v="48"/>
    <n v="1898"/>
    <n v="45"/>
    <x v="0"/>
    <n v="39.541666666666664"/>
    <n v="0.9375"/>
    <s v="Forte"/>
  </r>
  <r>
    <s v="Lycée Claude Bernard"/>
    <n v="75"/>
    <s v="Paris"/>
    <x v="3"/>
    <s v="CPGE - PCSI"/>
    <x v="0"/>
    <n v="48"/>
    <n v="1894"/>
    <n v="47"/>
    <x v="0"/>
    <n v="39.458333333333336"/>
    <n v="0.97916666666666663"/>
    <s v="Forte"/>
  </r>
  <r>
    <s v="Lycée Hoche"/>
    <n v="78"/>
    <s v="Yvelines"/>
    <x v="3"/>
    <s v="CPGE - PCSI"/>
    <x v="0"/>
    <n v="96"/>
    <n v="3770"/>
    <n v="95"/>
    <x v="1"/>
    <n v="39.270833333333336"/>
    <n v="0.98958333333333337"/>
    <s v="Forte"/>
  </r>
  <r>
    <s v="Lycée Chaptal"/>
    <n v="75"/>
    <s v="Paris"/>
    <x v="3"/>
    <s v="CPGE - BCPST"/>
    <x v="0"/>
    <n v="96"/>
    <n v="3741"/>
    <n v="89"/>
    <x v="0"/>
    <n v="38.96875"/>
    <n v="0.92708333333333337"/>
    <s v="Forte"/>
  </r>
  <r>
    <s v="Lycée Stanislas"/>
    <n v="75"/>
    <s v="Paris"/>
    <x v="3"/>
    <s v="CPGE - MPSI"/>
    <x v="0"/>
    <n v="96"/>
    <n v="3704"/>
    <n v="95"/>
    <x v="0"/>
    <n v="38.583333333333336"/>
    <n v="0.98958333333333337"/>
    <s v="Forte"/>
  </r>
  <r>
    <s v="Esaa Duperré"/>
    <n v="75"/>
    <s v="Paris"/>
    <x v="3"/>
    <s v="CPGE - Ecole normale supérieure Paris Saclay – arts et design"/>
    <x v="0"/>
    <n v="24"/>
    <n v="922"/>
    <n v="24"/>
    <x v="0"/>
    <n v="38.416666666666664"/>
    <n v="1"/>
    <s v="Forte"/>
  </r>
  <r>
    <s v="Lycée Stanislas"/>
    <n v="75"/>
    <s v="Paris"/>
    <x v="3"/>
    <s v="CPGE - B/L - Lettres et sciences sociales"/>
    <x v="0"/>
    <n v="40"/>
    <n v="1532"/>
    <n v="42"/>
    <x v="0"/>
    <n v="38.299999999999997"/>
    <n v="1.05"/>
    <s v="Forte"/>
  </r>
  <r>
    <s v="Lycée Jeanne D'Albret"/>
    <n v="78"/>
    <s v="Yvelines"/>
    <x v="3"/>
    <s v="CPGE - MPSI"/>
    <x v="0"/>
    <n v="48"/>
    <n v="1833"/>
    <n v="47"/>
    <x v="1"/>
    <n v="38.1875"/>
    <n v="0.97916666666666663"/>
    <s v="Forte"/>
  </r>
  <r>
    <s v="Lycée polyvalent de Cachan"/>
    <n v="94"/>
    <s v="Val-de-Marne"/>
    <x v="3"/>
    <s v="CPGE - ENS Rennes D1"/>
    <x v="0"/>
    <n v="39"/>
    <n v="1466"/>
    <n v="37"/>
    <x v="2"/>
    <n v="37.589743589743591"/>
    <n v="0.94871794871794868"/>
    <s v="Forte"/>
  </r>
  <r>
    <s v="Lycée Chaptal"/>
    <n v="75"/>
    <s v="Paris"/>
    <x v="3"/>
    <s v="CPGE - Lettres"/>
    <x v="0"/>
    <n v="48"/>
    <n v="1803"/>
    <n v="50"/>
    <x v="0"/>
    <n v="37.5625"/>
    <n v="1.0416666666666667"/>
    <s v="Forte"/>
  </r>
  <r>
    <s v="Lycée Blaise Pascal"/>
    <n v="91"/>
    <s v="Essonne"/>
    <x v="3"/>
    <s v="CPGE - MPSI"/>
    <x v="0"/>
    <n v="84"/>
    <n v="3145"/>
    <n v="79"/>
    <x v="1"/>
    <n v="37.44047619047619"/>
    <n v="0.94047619047619047"/>
    <s v="Forte"/>
  </r>
  <r>
    <s v="Lycée Claude Bernard"/>
    <n v="75"/>
    <s v="Paris"/>
    <x v="3"/>
    <s v="CPGE - ECG -  - Mathématiques appliquées + HGG"/>
    <x v="0"/>
    <n v="48"/>
    <n v="1783"/>
    <n v="42"/>
    <x v="0"/>
    <n v="37.145833333333336"/>
    <n v="0.875"/>
    <s v="Forte"/>
  </r>
  <r>
    <s v="Lycée Alexandre Dumas"/>
    <n v="92"/>
    <s v="Hauts-de-Seine"/>
    <x v="3"/>
    <s v="CPGE - ECG"/>
    <x v="0"/>
    <n v="24"/>
    <n v="879"/>
    <n v="19"/>
    <x v="2"/>
    <n v="36.625"/>
    <n v="0.79166666666666663"/>
    <s v="Forte"/>
  </r>
  <r>
    <s v="Lycée Marcelin Berthelot"/>
    <n v="94"/>
    <s v="Val-de-Marne"/>
    <x v="3"/>
    <s v="CPGE - MPSI"/>
    <x v="0"/>
    <n v="96"/>
    <n v="3505"/>
    <n v="93"/>
    <x v="2"/>
    <n v="36.510416666666664"/>
    <n v="0.96875"/>
    <s v="Forte"/>
  </r>
  <r>
    <s v="Lycée Saint Jean de Passy"/>
    <n v="75"/>
    <s v="Paris"/>
    <x v="3"/>
    <s v="CPGE - ECG"/>
    <x v="0"/>
    <n v="45"/>
    <n v="1614"/>
    <n v="46"/>
    <x v="0"/>
    <n v="35.866666666666667"/>
    <n v="1.0222222222222221"/>
    <s v="Forte"/>
  </r>
  <r>
    <s v="Lycée Stanislas"/>
    <n v="75"/>
    <s v="Paris"/>
    <x v="3"/>
    <s v="CPGE - ECG"/>
    <x v="0"/>
    <n v="45"/>
    <n v="1613"/>
    <n v="44"/>
    <x v="0"/>
    <n v="35.844444444444441"/>
    <n v="0.97777777777777775"/>
    <s v="Forte"/>
  </r>
  <r>
    <s v="Lycée Voltaire"/>
    <n v="75"/>
    <s v="Paris"/>
    <x v="3"/>
    <s v="CPGE - PTSI"/>
    <x v="0"/>
    <n v="45"/>
    <n v="1587"/>
    <n v="42"/>
    <x v="0"/>
    <n v="35.266666666666666"/>
    <n v="0.93333333333333335"/>
    <s v="Forte"/>
  </r>
  <r>
    <s v="Lycée Jean-Baptiste Say"/>
    <n v="75"/>
    <s v="Paris"/>
    <x v="3"/>
    <s v="CPGE - PCSI"/>
    <x v="0"/>
    <n v="48"/>
    <n v="1685"/>
    <n v="42"/>
    <x v="0"/>
    <n v="35.104166666666664"/>
    <n v="0.875"/>
    <s v="Forte"/>
  </r>
  <r>
    <s v="Lycée Le Corbusier"/>
    <n v="93"/>
    <s v="Seine-Saint-Denis"/>
    <x v="3"/>
    <s v="CPGE - PTSI"/>
    <x v="0"/>
    <n v="15"/>
    <n v="516"/>
    <n v="16"/>
    <x v="2"/>
    <n v="34.4"/>
    <n v="1.0666666666666667"/>
    <s v="Forte"/>
  </r>
  <r>
    <s v="Lycée Saint-Louis (6ème)"/>
    <n v="75"/>
    <s v="Paris"/>
    <x v="3"/>
    <s v="CPGE - PCSI"/>
    <x v="0"/>
    <n v="240"/>
    <n v="8214"/>
    <n v="239"/>
    <x v="0"/>
    <n v="34.225000000000001"/>
    <n v="0.99583333333333335"/>
    <s v="Forte"/>
  </r>
  <r>
    <s v="Lycée de La Folie Saint-James"/>
    <n v="92"/>
    <s v="Hauts-de-Seine"/>
    <x v="3"/>
    <s v="CPGE - ECG -  - Mathématiques appliquées + ESH"/>
    <x v="0"/>
    <n v="38"/>
    <n v="1284"/>
    <n v="35"/>
    <x v="2"/>
    <n v="33.789473684210527"/>
    <n v="0.92105263157894735"/>
    <s v="Forte"/>
  </r>
  <r>
    <s v="Lycée Honoré De Balzac"/>
    <n v="75"/>
    <s v="Paris"/>
    <x v="3"/>
    <s v="CPGE - PCSI"/>
    <x v="0"/>
    <n v="48"/>
    <n v="1614"/>
    <n v="53"/>
    <x v="0"/>
    <n v="33.625"/>
    <n v="1.1041666666666667"/>
    <s v="Forte"/>
  </r>
  <r>
    <s v="Lycée Lakanal"/>
    <n v="92"/>
    <s v="Hauts-de-Seine"/>
    <x v="3"/>
    <s v="CPGE - ECG -  - Mathématiques approfondies + HGG"/>
    <x v="0"/>
    <n v="48"/>
    <n v="1598"/>
    <n v="44"/>
    <x v="2"/>
    <n v="33.291666666666664"/>
    <n v="0.91666666666666663"/>
    <s v="Forte"/>
  </r>
  <r>
    <s v="Lycée Louis Le Grand"/>
    <n v="75"/>
    <s v="Paris"/>
    <x v="3"/>
    <s v="CPGE - Lettres"/>
    <x v="0"/>
    <n v="96"/>
    <n v="3176"/>
    <n v="93"/>
    <x v="0"/>
    <n v="33.083333333333336"/>
    <n v="0.96875"/>
    <s v="Forte"/>
  </r>
  <r>
    <s v="Lycée Louis Pasteur"/>
    <n v="92"/>
    <s v="Hauts-de-Seine"/>
    <x v="3"/>
    <s v="CPGE - PCSI"/>
    <x v="0"/>
    <n v="92"/>
    <n v="3032"/>
    <n v="91"/>
    <x v="2"/>
    <n v="32.956521739130437"/>
    <n v="0.98913043478260865"/>
    <s v="Forte"/>
  </r>
  <r>
    <s v="Lycée Michelet"/>
    <n v="92"/>
    <s v="Hauts-de-Seine"/>
    <x v="3"/>
    <s v="CPGE - PCSI"/>
    <x v="0"/>
    <n v="88"/>
    <n v="2900"/>
    <n v="87"/>
    <x v="2"/>
    <n v="32.954545454545453"/>
    <n v="0.98863636363636365"/>
    <s v="Forte"/>
  </r>
  <r>
    <s v="Lycée Francois Ier"/>
    <n v="77"/>
    <s v="Seine-et-Marne"/>
    <x v="3"/>
    <s v="CPGE - MPSI"/>
    <x v="0"/>
    <n v="47"/>
    <n v="1542"/>
    <n v="47"/>
    <x v="1"/>
    <n v="32.808510638297875"/>
    <n v="1"/>
    <s v="Forte"/>
  </r>
  <r>
    <s v="Lycée des Métiers Dorian"/>
    <n v="75"/>
    <s v="Paris"/>
    <x v="3"/>
    <s v="CPGE - PTSI"/>
    <x v="0"/>
    <n v="42"/>
    <n v="1342"/>
    <n v="42"/>
    <x v="0"/>
    <n v="31.952380952380953"/>
    <n v="1"/>
    <s v="Forte"/>
  </r>
  <r>
    <s v="Lycée Alfred Kastler"/>
    <n v="95"/>
    <s v="Val-d'oise"/>
    <x v="3"/>
    <s v="CPGE - ECG"/>
    <x v="0"/>
    <n v="21"/>
    <n v="666"/>
    <n v="19"/>
    <x v="1"/>
    <n v="31.714285714285715"/>
    <n v="0.90476190476190477"/>
    <s v="Forte"/>
  </r>
  <r>
    <s v="Lycée Fénelon Sainte-Marie"/>
    <n v="75"/>
    <s v="Paris"/>
    <x v="3"/>
    <s v="CPGE - MP2I"/>
    <x v="0"/>
    <n v="45"/>
    <n v="1417"/>
    <n v="50"/>
    <x v="0"/>
    <n v="31.488888888888887"/>
    <n v="1.1111111111111112"/>
    <s v="Forte"/>
  </r>
  <r>
    <s v="Lycée Madeleine Daniélou"/>
    <n v="92"/>
    <s v="Hauts-de-Seine"/>
    <x v="3"/>
    <s v="CPGE - ECG -  - Mathématiques appliquées + ESH"/>
    <x v="0"/>
    <n v="42"/>
    <n v="1319"/>
    <n v="42"/>
    <x v="2"/>
    <n v="31.404761904761905"/>
    <n v="1"/>
    <s v="Forte"/>
  </r>
  <r>
    <s v="Lycée Olympe De Gouges"/>
    <n v="93"/>
    <s v="Seine-Saint-Denis"/>
    <x v="3"/>
    <s v="CPGE - ECG -  - Mathématiques appliquées + ESH"/>
    <x v="0"/>
    <n v="30"/>
    <n v="936"/>
    <n v="15"/>
    <x v="2"/>
    <n v="31.2"/>
    <n v="0.5"/>
    <s v="Forte"/>
  </r>
  <r>
    <s v="Lycée Paul Valery"/>
    <n v="75"/>
    <s v="Paris"/>
    <x v="3"/>
    <s v="CPGE - Lettres"/>
    <x v="0"/>
    <n v="48"/>
    <n v="1493"/>
    <n v="43"/>
    <x v="0"/>
    <n v="31.104166666666668"/>
    <n v="0.89583333333333337"/>
    <s v="Forte"/>
  </r>
  <r>
    <s v="Lycée Condorcet"/>
    <n v="75"/>
    <s v="Paris"/>
    <x v="3"/>
    <s v="CPGE - Lettres"/>
    <x v="0"/>
    <n v="96"/>
    <n v="2979"/>
    <n v="93"/>
    <x v="0"/>
    <n v="31.03125"/>
    <n v="0.96875"/>
    <s v="Forte"/>
  </r>
  <r>
    <s v="Lycée polyvalent de Cachan"/>
    <n v="94"/>
    <s v="Val-de-Marne"/>
    <x v="3"/>
    <s v="CPGE - PTSI"/>
    <x v="0"/>
    <n v="45"/>
    <n v="1389"/>
    <n v="44"/>
    <x v="2"/>
    <n v="30.866666666666667"/>
    <n v="0.97777777777777775"/>
    <s v="Forte"/>
  </r>
  <r>
    <s v="Lycée Jacques Decour"/>
    <n v="75"/>
    <s v="Paris"/>
    <x v="3"/>
    <s v="CPGE - ECG"/>
    <x v="0"/>
    <n v="48"/>
    <n v="1475"/>
    <n v="46"/>
    <x v="0"/>
    <n v="30.729166666666668"/>
    <n v="0.95833333333333337"/>
    <s v="Forte"/>
  </r>
  <r>
    <s v="Lycée Albert Schweitzer"/>
    <n v="93"/>
    <s v="Seine-Saint-Denis"/>
    <x v="3"/>
    <s v="CPGE - BCPST"/>
    <x v="0"/>
    <n v="35"/>
    <n v="1068"/>
    <n v="35"/>
    <x v="2"/>
    <n v="30.514285714285716"/>
    <n v="1"/>
    <s v="Forte"/>
  </r>
  <r>
    <s v="Lycée Lavoisier"/>
    <n v="75"/>
    <s v="Paris"/>
    <x v="3"/>
    <s v="CPGE - ECG - Mathématiques approfondies + HGG"/>
    <x v="0"/>
    <n v="48"/>
    <n v="1464"/>
    <n v="45"/>
    <x v="0"/>
    <n v="30.5"/>
    <n v="0.9375"/>
    <s v="Forte"/>
  </r>
  <r>
    <s v="Lycée Marie Curie"/>
    <n v="78"/>
    <s v="Yvelines"/>
    <x v="3"/>
    <s v="CPGE - ENS Cachan D2"/>
    <x v="0"/>
    <n v="48"/>
    <n v="1455"/>
    <n v="41"/>
    <x v="1"/>
    <n v="30.3125"/>
    <n v="0.85416666666666663"/>
    <s v="Forte"/>
  </r>
  <r>
    <s v="Lycée Jacques Amyot"/>
    <n v="77"/>
    <s v="Seine-et-Marne"/>
    <x v="3"/>
    <s v="CPGE - B/L - Lettres et sciences sociales"/>
    <x v="0"/>
    <n v="48"/>
    <n v="1445"/>
    <n v="32"/>
    <x v="1"/>
    <n v="30.104166666666668"/>
    <n v="0.66666666666666663"/>
    <s v="Forte"/>
  </r>
  <r>
    <s v="Lycée Camille Pissarro"/>
    <n v="95"/>
    <s v="Val-d'oise"/>
    <x v="3"/>
    <s v="CPGE - MPSI"/>
    <x v="0"/>
    <n v="42"/>
    <n v="1260"/>
    <n v="40"/>
    <x v="1"/>
    <n v="30"/>
    <n v="0.95238095238095233"/>
    <s v="Forte"/>
  </r>
  <r>
    <s v="Lycée Marie Curie"/>
    <n v="92"/>
    <s v="Hauts-de-Seine"/>
    <x v="3"/>
    <s v="CPGE - ENS Cachan D2"/>
    <x v="0"/>
    <n v="48"/>
    <n v="1435"/>
    <n v="51"/>
    <x v="2"/>
    <n v="29.895833333333332"/>
    <n v="1.0625"/>
    <s v="Forte"/>
  </r>
  <r>
    <s v="Lycée Alexandre Dumas"/>
    <n v="92"/>
    <s v="Hauts-de-Seine"/>
    <x v="3"/>
    <s v="CPGE - ECG"/>
    <x v="0"/>
    <n v="24"/>
    <n v="711"/>
    <n v="7"/>
    <x v="2"/>
    <n v="29.625"/>
    <n v="0.29166666666666669"/>
    <s v="Forte"/>
  </r>
  <r>
    <s v="Lycée Sainte-Marie de Neuilly"/>
    <n v="92"/>
    <s v="Hauts-de-Seine"/>
    <x v="3"/>
    <s v="CPGE - B/L - Lettres et sciences sociales"/>
    <x v="0"/>
    <n v="38"/>
    <n v="1116"/>
    <n v="40"/>
    <x v="2"/>
    <n v="29.368421052631579"/>
    <n v="1.0526315789473684"/>
    <s v="Forte"/>
  </r>
  <r>
    <s v="Lycée Paul Eluard"/>
    <n v="93"/>
    <s v="Seine-Saint-Denis"/>
    <x v="3"/>
    <s v="CPGE - PCSI"/>
    <x v="0"/>
    <n v="24"/>
    <n v="697"/>
    <n v="23"/>
    <x v="2"/>
    <n v="29.041666666666668"/>
    <n v="0.95833333333333337"/>
    <s v="Forte"/>
  </r>
  <r>
    <s v="Lycée Notre Dame du Grandchamp"/>
    <n v="78"/>
    <s v="Yvelines"/>
    <x v="3"/>
    <s v="CPGE - ECG"/>
    <x v="0"/>
    <n v="67"/>
    <n v="1923"/>
    <n v="58"/>
    <x v="1"/>
    <n v="28.701492537313431"/>
    <n v="0.86567164179104472"/>
    <s v="Forte"/>
  </r>
  <r>
    <s v="Lycée Pierre-Gilles de Gennes - ENCPB"/>
    <n v="75"/>
    <s v="Paris"/>
    <x v="3"/>
    <s v="CPGE - PCSI"/>
    <x v="0"/>
    <n v="96"/>
    <n v="2717"/>
    <n v="97"/>
    <x v="0"/>
    <n v="28.302083333333332"/>
    <n v="1.0104166666666667"/>
    <s v="Forte"/>
  </r>
  <r>
    <s v="Lycée Turgot"/>
    <n v="75"/>
    <s v="Paris"/>
    <x v="3"/>
    <s v="CPGE - ECT - Option technologique"/>
    <x v="0"/>
    <n v="48"/>
    <n v="1353"/>
    <n v="45"/>
    <x v="0"/>
    <n v="28.1875"/>
    <n v="0.9375"/>
    <s v="Forte"/>
  </r>
  <r>
    <s v="Lycée Jeanne D'Albret"/>
    <n v="78"/>
    <s v="Yvelines"/>
    <x v="3"/>
    <s v="CPGE - PCSI"/>
    <x v="0"/>
    <n v="48"/>
    <n v="1352"/>
    <n v="47"/>
    <x v="1"/>
    <n v="28.166666666666668"/>
    <n v="0.97916666666666663"/>
    <s v="Forte"/>
  </r>
  <r>
    <s v="Lycée Jean Jaures"/>
    <n v="95"/>
    <s v="Val-d'oise"/>
    <x v="3"/>
    <s v="CPGE - PCSI"/>
    <x v="0"/>
    <n v="48"/>
    <n v="1351"/>
    <n v="38"/>
    <x v="1"/>
    <n v="28.145833333333332"/>
    <n v="0.79166666666666663"/>
    <s v="Forte"/>
  </r>
  <r>
    <s v="Lycée Saint-Louis (6ème)"/>
    <n v="75"/>
    <s v="Paris"/>
    <x v="3"/>
    <s v="CPGE - BCPST"/>
    <x v="0"/>
    <n v="144"/>
    <n v="3964"/>
    <n v="138"/>
    <x v="0"/>
    <n v="27.527777777777779"/>
    <n v="0.95833333333333337"/>
    <s v="Forte"/>
  </r>
  <r>
    <s v="Lycée Hector Berlioz"/>
    <n v="94"/>
    <s v="Val-de-Marne"/>
    <x v="3"/>
    <s v="CPGE - ECG - Mathématiques appliquées + ESH"/>
    <x v="0"/>
    <n v="48"/>
    <n v="1319"/>
    <n v="47"/>
    <x v="2"/>
    <n v="27.479166666666668"/>
    <n v="0.97916666666666663"/>
    <s v="Forte"/>
  </r>
  <r>
    <s v="Lycée Jacques Decour"/>
    <n v="75"/>
    <s v="Paris"/>
    <x v="3"/>
    <s v="CPGE - PCSI"/>
    <x v="0"/>
    <n v="96"/>
    <n v="2623"/>
    <n v="90"/>
    <x v="0"/>
    <n v="27.322916666666668"/>
    <n v="0.9375"/>
    <s v="Forte"/>
  </r>
  <r>
    <s v="Lycée Lakanal"/>
    <n v="92"/>
    <s v="Hauts-de-Seine"/>
    <x v="3"/>
    <s v="CPGE - BCPST"/>
    <x v="0"/>
    <n v="96"/>
    <n v="2589"/>
    <n v="88"/>
    <x v="2"/>
    <n v="26.96875"/>
    <n v="0.91666666666666663"/>
    <s v="Forte"/>
  </r>
  <r>
    <s v="LYCEE POLYVALENT GUSTAVE MONOD"/>
    <n v="95"/>
    <s v="Val-d'oise"/>
    <x v="3"/>
    <s v="CPGE - MPSI"/>
    <x v="0"/>
    <n v="40"/>
    <n v="1078"/>
    <n v="44"/>
    <x v="1"/>
    <n v="26.95"/>
    <n v="1.1000000000000001"/>
    <s v="Forte"/>
  </r>
  <r>
    <s v="Lycée Lamartine"/>
    <n v="75"/>
    <s v="Paris"/>
    <x v="3"/>
    <s v="CPGE - Lettres"/>
    <x v="0"/>
    <n v="48"/>
    <n v="1266"/>
    <n v="41"/>
    <x v="0"/>
    <n v="26.375"/>
    <n v="0.85416666666666663"/>
    <s v="Forte"/>
  </r>
  <r>
    <s v="Lycée Jacques Amyot"/>
    <n v="77"/>
    <s v="Seine-et-Marne"/>
    <x v="3"/>
    <s v="CPGE - MPSI"/>
    <x v="0"/>
    <n v="35"/>
    <n v="915"/>
    <n v="42"/>
    <x v="1"/>
    <n v="26.142857142857142"/>
    <n v="1.2"/>
    <s v="Forte"/>
  </r>
  <r>
    <s v="Lycée du Parc des Loges"/>
    <n v="91"/>
    <s v="Essonne"/>
    <x v="3"/>
    <s v="CPGE - MPSI"/>
    <x v="0"/>
    <n v="38"/>
    <n v="970"/>
    <n v="41"/>
    <x v="1"/>
    <n v="25.526315789473685"/>
    <n v="1.0789473684210527"/>
    <s v="Forte"/>
  </r>
  <r>
    <s v="Lycée Militaire de Saint-Cyr"/>
    <n v="78"/>
    <s v="Yvelines"/>
    <x v="3"/>
    <s v="CPGE - MPSI"/>
    <x v="0"/>
    <n v="66"/>
    <n v="1684"/>
    <n v="65"/>
    <x v="1"/>
    <n v="25.515151515151516"/>
    <n v="0.98484848484848486"/>
    <s v="Forte"/>
  </r>
  <r>
    <s v="Lycée Raspail"/>
    <n v="75"/>
    <s v="Paris"/>
    <x v="3"/>
    <s v="CPGE - PTSI"/>
    <x v="0"/>
    <n v="90"/>
    <n v="2291"/>
    <n v="86"/>
    <x v="0"/>
    <n v="25.455555555555556"/>
    <n v="0.9555555555555556"/>
    <s v="Forte"/>
  </r>
  <r>
    <s v="Lycée Albert Schweitzer"/>
    <n v="93"/>
    <s v="Seine-Saint-Denis"/>
    <x v="3"/>
    <s v="CPGE - MPSI"/>
    <x v="0"/>
    <n v="70"/>
    <n v="1757"/>
    <n v="68"/>
    <x v="2"/>
    <n v="25.1"/>
    <n v="0.97142857142857142"/>
    <s v="Forte"/>
  </r>
  <r>
    <s v="Lycée Hoche"/>
    <n v="78"/>
    <s v="Yvelines"/>
    <x v="3"/>
    <s v="CPGE - BCPST"/>
    <x v="0"/>
    <n v="96"/>
    <n v="2381"/>
    <n v="83"/>
    <x v="1"/>
    <n v="24.802083333333332"/>
    <n v="0.86458333333333337"/>
    <s v="Forte"/>
  </r>
  <r>
    <s v="Lycée Parc de Vilgenis"/>
    <n v="91"/>
    <s v="Essonne"/>
    <x v="3"/>
    <s v="CPGE - PTSI"/>
    <x v="0"/>
    <n v="32"/>
    <n v="785"/>
    <n v="32"/>
    <x v="1"/>
    <n v="24.53125"/>
    <n v="1"/>
    <s v="Forte"/>
  </r>
  <r>
    <s v="Lycée Alfred Kastler"/>
    <n v="95"/>
    <s v="Val-d'oise"/>
    <x v="3"/>
    <s v="CPGE - ECG"/>
    <x v="0"/>
    <n v="21"/>
    <n v="515"/>
    <n v="17"/>
    <x v="1"/>
    <n v="24.523809523809526"/>
    <n v="0.80952380952380953"/>
    <s v="Forte"/>
  </r>
  <r>
    <s v="Lycée Michelet"/>
    <n v="92"/>
    <s v="Hauts-de-Seine"/>
    <x v="3"/>
    <s v="CPGE - ECG -  - Mathématiques approfondies + HGG"/>
    <x v="0"/>
    <n v="48"/>
    <n v="1176"/>
    <n v="47"/>
    <x v="2"/>
    <n v="24.5"/>
    <n v="0.97916666666666663"/>
    <s v="Forte"/>
  </r>
  <r>
    <s v="Lycée Fénelon"/>
    <n v="75"/>
    <s v="Paris"/>
    <x v="3"/>
    <s v="CPGE - Lettres"/>
    <x v="0"/>
    <n v="144"/>
    <n v="3478"/>
    <n v="140"/>
    <x v="0"/>
    <n v="24.152777777777779"/>
    <n v="0.97222222222222221"/>
    <s v="Forte"/>
  </r>
  <r>
    <s v="Lycée Michelet"/>
    <n v="92"/>
    <s v="Hauts-de-Seine"/>
    <x v="3"/>
    <s v="CPGE - ECT - Option technologique"/>
    <x v="0"/>
    <n v="38"/>
    <n v="917"/>
    <n v="40"/>
    <x v="2"/>
    <n v="24.131578947368421"/>
    <n v="1.0526315789473684"/>
    <s v="Forte"/>
  </r>
  <r>
    <s v="Lycée Hélène Boucher"/>
    <n v="75"/>
    <s v="Paris"/>
    <x v="3"/>
    <s v="CPGE - ECG -  Mathématiques approfondies + HGG"/>
    <x v="0"/>
    <n v="48"/>
    <n v="1157"/>
    <n v="38"/>
    <x v="0"/>
    <n v="24.104166666666668"/>
    <n v="0.79166666666666663"/>
    <s v="Forte"/>
  </r>
  <r>
    <s v="Lycée Alfred Kastler"/>
    <n v="95"/>
    <s v="Val-d'oise"/>
    <x v="3"/>
    <s v="CPGE - ECG"/>
    <x v="0"/>
    <n v="21"/>
    <n v="501"/>
    <n v="11"/>
    <x v="1"/>
    <n v="23.857142857142858"/>
    <n v="0.52380952380952384"/>
    <s v="Forte"/>
  </r>
  <r>
    <s v="Lycée La Salle Passy Buzenval"/>
    <n v="92"/>
    <s v="Hauts-de-Seine"/>
    <x v="3"/>
    <s v="CPGE - PTSI"/>
    <x v="0"/>
    <n v="42"/>
    <n v="981"/>
    <n v="42"/>
    <x v="2"/>
    <n v="23.357142857142858"/>
    <n v="1"/>
    <s v="Forte"/>
  </r>
  <r>
    <s v="Lycée Newton-Enrea"/>
    <n v="92"/>
    <s v="Hauts-de-Seine"/>
    <x v="3"/>
    <s v="CPGE - PTSI"/>
    <x v="0"/>
    <n v="45"/>
    <n v="1043"/>
    <n v="44"/>
    <x v="2"/>
    <n v="23.177777777777777"/>
    <n v="0.97777777777777775"/>
    <s v="Forte"/>
  </r>
  <r>
    <s v="Lycée Andre Boulloche"/>
    <n v="93"/>
    <s v="Seine-Saint-Denis"/>
    <x v="3"/>
    <s v="CPGE - ENS Rennes D1"/>
    <x v="0"/>
    <n v="35"/>
    <n v="809"/>
    <n v="30"/>
    <x v="2"/>
    <n v="23.114285714285714"/>
    <n v="0.8571428571428571"/>
    <s v="Forte"/>
  </r>
  <r>
    <s v="Lycée Hélène Boucher"/>
    <n v="75"/>
    <s v="Paris"/>
    <x v="3"/>
    <s v="CPGE - Lettres"/>
    <x v="0"/>
    <n v="48"/>
    <n v="1099"/>
    <n v="39"/>
    <x v="0"/>
    <n v="22.895833333333332"/>
    <n v="0.8125"/>
    <s v="Forte"/>
  </r>
  <r>
    <s v="Lycée Jean Baptiste Corot"/>
    <n v="91"/>
    <s v="Essonne"/>
    <x v="3"/>
    <s v="CPGE - PCSI"/>
    <x v="0"/>
    <n v="44"/>
    <n v="985"/>
    <n v="44"/>
    <x v="1"/>
    <n v="22.386363636363637"/>
    <n v="1"/>
    <s v="Forte"/>
  </r>
  <r>
    <s v="Lycée D'Arsonval"/>
    <n v="94"/>
    <s v="Val-de-Marne"/>
    <x v="3"/>
    <s v="CPGE - PCSI"/>
    <x v="0"/>
    <n v="35"/>
    <n v="780"/>
    <n v="33"/>
    <x v="2"/>
    <n v="22.285714285714285"/>
    <n v="0.94285714285714284"/>
    <s v="Forte"/>
  </r>
  <r>
    <s v="Lycée Descartes"/>
    <n v="78"/>
    <s v="Yvelines"/>
    <x v="3"/>
    <s v="CPGE - PCSI"/>
    <x v="0"/>
    <n v="34"/>
    <n v="756"/>
    <n v="35"/>
    <x v="1"/>
    <n v="22.235294117647058"/>
    <n v="1.0294117647058822"/>
    <s v="Forte"/>
  </r>
  <r>
    <s v="Ecole Nationale De Commerce"/>
    <n v="75"/>
    <s v="Paris"/>
    <x v="3"/>
    <s v="CPGE - ECT - Option technologique"/>
    <x v="0"/>
    <n v="48"/>
    <n v="1059"/>
    <n v="49"/>
    <x v="0"/>
    <n v="22.0625"/>
    <n v="1.0208333333333333"/>
    <s v="Forte"/>
  </r>
  <r>
    <s v="Lycée Jean Baptiste Corot"/>
    <n v="91"/>
    <s v="Essonne"/>
    <x v="3"/>
    <s v="CPGE - MPSI"/>
    <x v="0"/>
    <n v="44"/>
    <n v="970"/>
    <n v="44"/>
    <x v="1"/>
    <n v="22.045454545454547"/>
    <n v="1"/>
    <s v="Forte"/>
  </r>
  <r>
    <s v="Lycée Saint Exupéry"/>
    <n v="78"/>
    <s v="Yvelines"/>
    <x v="3"/>
    <s v="CPGE - MPSI"/>
    <x v="0"/>
    <n v="36"/>
    <n v="792"/>
    <n v="32"/>
    <x v="1"/>
    <n v="22"/>
    <n v="0.88888888888888884"/>
    <s v="Forte"/>
  </r>
  <r>
    <s v="Lycée Stanislas"/>
    <n v="75"/>
    <s v="Paris"/>
    <x v="3"/>
    <s v="CPGE - PCSI"/>
    <x v="0"/>
    <n v="142"/>
    <n v="3105"/>
    <n v="142"/>
    <x v="0"/>
    <n v="21.866197183098592"/>
    <n v="1"/>
    <s v="Forte"/>
  </r>
  <r>
    <s v="Lycée Militaire de Saint-Cyr"/>
    <n v="78"/>
    <s v="Yvelines"/>
    <x v="3"/>
    <s v="CPGE - ECG -  - Mathématiques appliquées + ESH"/>
    <x v="0"/>
    <n v="32"/>
    <n v="692"/>
    <n v="31"/>
    <x v="1"/>
    <n v="21.625"/>
    <n v="0.96875"/>
    <s v="Forte"/>
  </r>
  <r>
    <s v="Lycée Louise Michel"/>
    <n v="93"/>
    <s v="Seine-Saint-Denis"/>
    <x v="3"/>
    <s v="CPGE - ENS Cachan D2"/>
    <x v="0"/>
    <n v="27"/>
    <n v="579"/>
    <n v="27"/>
    <x v="2"/>
    <n v="21.444444444444443"/>
    <n v="1"/>
    <s v="Forte"/>
  </r>
  <r>
    <s v="Lycée Francois Ier"/>
    <n v="77"/>
    <s v="Seine-et-Marne"/>
    <x v="3"/>
    <s v="CPGE - BCPST"/>
    <x v="0"/>
    <n v="48"/>
    <n v="1026"/>
    <n v="43"/>
    <x v="1"/>
    <n v="21.375"/>
    <n v="0.89583333333333337"/>
    <s v="Forte"/>
  </r>
  <r>
    <s v="Lycée Claude Monet"/>
    <n v="75"/>
    <s v="Paris"/>
    <x v="3"/>
    <s v="CPGE - Lettres"/>
    <x v="0"/>
    <n v="96"/>
    <n v="2033"/>
    <n v="64"/>
    <x v="0"/>
    <n v="21.177083333333332"/>
    <n v="0.66666666666666663"/>
    <s v="Forte"/>
  </r>
  <r>
    <s v="Lycée Jean Jaurès"/>
    <n v="93"/>
    <s v="Seine-Saint-Denis"/>
    <x v="3"/>
    <s v="CPGE - PCSI"/>
    <x v="0"/>
    <n v="35"/>
    <n v="740"/>
    <n v="38"/>
    <x v="2"/>
    <n v="21.142857142857142"/>
    <n v="1.0857142857142856"/>
    <s v="Forte"/>
  </r>
  <r>
    <s v="Lycée Sainte-Marie de Neuilly"/>
    <n v="92"/>
    <s v="Hauts-de-Seine"/>
    <x v="3"/>
    <s v="CPGE - Lettres"/>
    <x v="0"/>
    <n v="38"/>
    <n v="798"/>
    <n v="42"/>
    <x v="2"/>
    <n v="21"/>
    <n v="1.1052631578947369"/>
    <s v="Forte"/>
  </r>
  <r>
    <s v="Lycée Marcelin Berthelot"/>
    <n v="94"/>
    <s v="Val-de-Marne"/>
    <x v="3"/>
    <s v="CPGE - PCSI"/>
    <x v="0"/>
    <n v="144"/>
    <n v="3002"/>
    <n v="144"/>
    <x v="2"/>
    <n v="20.847222222222221"/>
    <n v="1"/>
    <s v="Forte"/>
  </r>
  <r>
    <s v="Lycée Henri IV"/>
    <n v="75"/>
    <s v="Paris"/>
    <x v="3"/>
    <s v="CPGE - Lettres"/>
    <x v="0"/>
    <n v="192"/>
    <n v="3966"/>
    <n v="190"/>
    <x v="0"/>
    <n v="20.65625"/>
    <n v="0.98958333333333337"/>
    <s v="Forte"/>
  </r>
  <r>
    <s v="Lycée du Parc des Loges"/>
    <n v="91"/>
    <s v="Essonne"/>
    <x v="3"/>
    <s v="CPGE - PCSI"/>
    <x v="0"/>
    <n v="36"/>
    <n v="740"/>
    <n v="35"/>
    <x v="1"/>
    <n v="20.555555555555557"/>
    <n v="0.97222222222222221"/>
    <s v="Forte"/>
  </r>
  <r>
    <s v="Lycée Langevin-Wallon"/>
    <n v="94"/>
    <s v="Val-de-Marne"/>
    <x v="3"/>
    <s v="CPGE - PTSI"/>
    <x v="0"/>
    <n v="35"/>
    <n v="719"/>
    <n v="32"/>
    <x v="2"/>
    <n v="20.542857142857144"/>
    <n v="0.91428571428571426"/>
    <s v="Forte"/>
  </r>
  <r>
    <s v="Lycée Pierre de Coubertin"/>
    <n v="77"/>
    <s v="Seine-et-Marne"/>
    <x v="3"/>
    <s v="CPGE - PTSI"/>
    <x v="0"/>
    <n v="24"/>
    <n v="486"/>
    <n v="16"/>
    <x v="1"/>
    <n v="20.25"/>
    <n v="0.66666666666666663"/>
    <s v="Forte"/>
  </r>
  <r>
    <s v="Lycée Leon Blum"/>
    <n v="94"/>
    <s v="Val-de-Marne"/>
    <x v="3"/>
    <s v="CPGE - Lettres"/>
    <x v="0"/>
    <n v="45"/>
    <n v="905"/>
    <n v="38"/>
    <x v="2"/>
    <n v="20.111111111111111"/>
    <n v="0.84444444444444444"/>
    <s v="Forte"/>
  </r>
  <r>
    <s v="Lycée Notre Dame du Grandchamp"/>
    <n v="78"/>
    <s v="Yvelines"/>
    <x v="3"/>
    <s v="CPGE - ECT - Option technologique"/>
    <x v="0"/>
    <n v="32"/>
    <n v="637"/>
    <n v="30"/>
    <x v="1"/>
    <n v="19.90625"/>
    <n v="0.9375"/>
    <s v="Modérée"/>
  </r>
  <r>
    <s v="Lycée Jean-Jacques Rousseau"/>
    <n v="95"/>
    <s v="Val-d'oise"/>
    <x v="3"/>
    <s v="CPGE - ECG -  - Mathématiques appliquées + ESH"/>
    <x v="0"/>
    <n v="35"/>
    <n v="695"/>
    <n v="28"/>
    <x v="1"/>
    <n v="19.857142857142858"/>
    <n v="0.8"/>
    <s v="Modérée"/>
  </r>
  <r>
    <s v="LYCEE POLYVALENT GUSTAVE MONOD"/>
    <n v="95"/>
    <s v="Val-d'oise"/>
    <x v="3"/>
    <s v="CPGE - PCSI"/>
    <x v="0"/>
    <n v="40"/>
    <n v="788"/>
    <n v="39"/>
    <x v="1"/>
    <n v="19.7"/>
    <n v="0.97499999999999998"/>
    <s v="Modérée"/>
  </r>
  <r>
    <s v="Lycée Honoré De Balzac"/>
    <n v="75"/>
    <s v="Paris"/>
    <x v="3"/>
    <s v="CPGE - Lettres"/>
    <x v="0"/>
    <n v="48"/>
    <n v="943"/>
    <n v="46"/>
    <x v="0"/>
    <n v="19.645833333333332"/>
    <n v="0.95833333333333337"/>
    <s v="Modérée"/>
  </r>
  <r>
    <s v="Lycée Sainte Geneviève"/>
    <n v="78"/>
    <s v="Yvelines"/>
    <x v="3"/>
    <s v="CPGE - MPSI"/>
    <x v="0"/>
    <n v="140"/>
    <n v="2729"/>
    <n v="140"/>
    <x v="1"/>
    <n v="19.492857142857144"/>
    <n v="1"/>
    <s v="Modérée"/>
  </r>
  <r>
    <s v="Lycée polyvalent de Cachan"/>
    <n v="94"/>
    <s v="Val-de-Marne"/>
    <x v="3"/>
    <s v="CPGE - TSI"/>
    <x v="0"/>
    <n v="42"/>
    <n v="818"/>
    <n v="41"/>
    <x v="2"/>
    <n v="19.476190476190474"/>
    <n v="0.97619047619047616"/>
    <s v="Modérée"/>
  </r>
  <r>
    <s v="Lycée Militaire de Saint-Cyr"/>
    <n v="78"/>
    <s v="Yvelines"/>
    <x v="3"/>
    <s v="CPGE - Option lettres et sciences humaines (St Cyr)"/>
    <x v="0"/>
    <n v="32"/>
    <n v="619"/>
    <n v="31"/>
    <x v="1"/>
    <n v="19.34375"/>
    <n v="0.96875"/>
    <s v="Modérée"/>
  </r>
  <r>
    <s v="Lycée Andre Boulloche"/>
    <n v="93"/>
    <s v="Seine-Saint-Denis"/>
    <x v="3"/>
    <s v="CPGE - ENS Cachan D2"/>
    <x v="0"/>
    <n v="35"/>
    <n v="670"/>
    <n v="22"/>
    <x v="2"/>
    <n v="19.142857142857142"/>
    <n v="0.62857142857142856"/>
    <s v="Modérée"/>
  </r>
  <r>
    <s v="Lycée Sainte Geneviève"/>
    <n v="78"/>
    <s v="Yvelines"/>
    <x v="3"/>
    <s v="CPGE - PCSI"/>
    <x v="0"/>
    <n v="126"/>
    <n v="2399"/>
    <n v="126"/>
    <x v="1"/>
    <n v="19.039682539682541"/>
    <n v="1"/>
    <s v="Modérée"/>
  </r>
  <r>
    <s v="Lycée Victor Duruy"/>
    <n v="75"/>
    <s v="Paris"/>
    <x v="3"/>
    <s v="CPGE - Lettres"/>
    <x v="0"/>
    <n v="96"/>
    <n v="1798"/>
    <n v="93"/>
    <x v="0"/>
    <n v="18.729166666666668"/>
    <n v="0.96875"/>
    <s v="Modérée"/>
  </r>
  <r>
    <s v="Lycée Francois Ier"/>
    <n v="77"/>
    <s v="Seine-et-Marne"/>
    <x v="3"/>
    <s v="CPGE - PCSI"/>
    <x v="0"/>
    <n v="48"/>
    <n v="898"/>
    <n v="47"/>
    <x v="1"/>
    <n v="18.708333333333332"/>
    <n v="0.97916666666666663"/>
    <s v="Modérée"/>
  </r>
  <r>
    <s v="Lycée Jacques Amyot"/>
    <n v="77"/>
    <s v="Seine-et-Marne"/>
    <x v="3"/>
    <s v="CPGE - PCSI"/>
    <x v="0"/>
    <n v="35"/>
    <n v="649"/>
    <n v="43"/>
    <x v="1"/>
    <n v="18.542857142857144"/>
    <n v="1.2285714285714286"/>
    <s v="Modérée"/>
  </r>
  <r>
    <s v="Lycée Lakanal"/>
    <n v="92"/>
    <s v="Hauts-de-Seine"/>
    <x v="3"/>
    <s v="CPGE - Lettres"/>
    <x v="0"/>
    <n v="96"/>
    <n v="1770"/>
    <n v="95"/>
    <x v="2"/>
    <n v="18.4375"/>
    <n v="0.98958333333333337"/>
    <s v="Modérée"/>
  </r>
  <r>
    <s v="Lycée Jeanne D'Albret"/>
    <n v="78"/>
    <s v="Yvelines"/>
    <x v="3"/>
    <s v="CPGE - ECG -  - Mathématiques appliquées + HGG"/>
    <x v="0"/>
    <n v="48"/>
    <n v="884"/>
    <n v="31"/>
    <x v="1"/>
    <n v="18.416666666666668"/>
    <n v="0.64583333333333337"/>
    <s v="Modérée"/>
  </r>
  <r>
    <s v="Lycée Jules Ferry"/>
    <n v="75"/>
    <s v="Paris"/>
    <x v="3"/>
    <s v="CPGE - Lettres"/>
    <x v="0"/>
    <n v="96"/>
    <n v="1766"/>
    <n v="94"/>
    <x v="0"/>
    <n v="18.395833333333332"/>
    <n v="0.97916666666666663"/>
    <s v="Modérée"/>
  </r>
  <r>
    <s v="Lycée Alfred Kastler"/>
    <n v="95"/>
    <s v="Val-d'oise"/>
    <x v="3"/>
    <s v="CPGE - ECG"/>
    <x v="0"/>
    <n v="21"/>
    <n v="385"/>
    <n v="10"/>
    <x v="1"/>
    <n v="18.333333333333332"/>
    <n v="0.47619047619047616"/>
    <s v="Modérée"/>
  </r>
  <r>
    <s v="Lycée Moliere"/>
    <n v="75"/>
    <s v="Paris"/>
    <x v="3"/>
    <s v="CPGE - Lettres"/>
    <x v="0"/>
    <n v="96"/>
    <n v="1736"/>
    <n v="78"/>
    <x v="0"/>
    <n v="18.083333333333332"/>
    <n v="0.8125"/>
    <s v="Modérée"/>
  </r>
  <r>
    <s v="Lycée Jean Jaurès"/>
    <n v="93"/>
    <s v="Seine-Saint-Denis"/>
    <x v="3"/>
    <s v="CPGE - Lettres"/>
    <x v="0"/>
    <n v="36"/>
    <n v="635"/>
    <n v="39"/>
    <x v="2"/>
    <n v="17.638888888888889"/>
    <n v="1.0833333333333333"/>
    <s v="Modérée"/>
  </r>
  <r>
    <s v="Lycée Albert Schweitzer"/>
    <n v="93"/>
    <s v="Seine-Saint-Denis"/>
    <x v="3"/>
    <s v="CPGE - PCSI"/>
    <x v="0"/>
    <n v="60"/>
    <n v="1053"/>
    <n v="67"/>
    <x v="2"/>
    <n v="17.55"/>
    <n v="1.1166666666666667"/>
    <s v="Modérée"/>
  </r>
  <r>
    <s v="Lycée Jules Ferry"/>
    <n v="78"/>
    <s v="Yvelines"/>
    <x v="3"/>
    <s v="CPGE - TSI"/>
    <x v="0"/>
    <n v="36"/>
    <n v="619"/>
    <n v="39"/>
    <x v="1"/>
    <n v="17.194444444444443"/>
    <n v="1.0833333333333333"/>
    <s v="Modérée"/>
  </r>
  <r>
    <s v="Lycée Jules Ferry"/>
    <n v="78"/>
    <s v="Yvelines"/>
    <x v="3"/>
    <s v="CPGE - PTSI"/>
    <x v="0"/>
    <n v="96"/>
    <n v="1650"/>
    <n v="96"/>
    <x v="1"/>
    <n v="17.1875"/>
    <n v="1"/>
    <s v="Modérée"/>
  </r>
  <r>
    <s v="Lycée Raspail"/>
    <n v="75"/>
    <s v="Paris"/>
    <x v="3"/>
    <s v="CPGE - TSI"/>
    <x v="0"/>
    <n v="45"/>
    <n v="773"/>
    <n v="42"/>
    <x v="0"/>
    <n v="17.177777777777777"/>
    <n v="0.93333333333333335"/>
    <s v="Modérée"/>
  </r>
  <r>
    <s v="Lycée Francois Couperin"/>
    <n v="77"/>
    <s v="Seine-et-Marne"/>
    <x v="3"/>
    <s v="CPGE - ECG -  - Mathématiques appliquées + ESH"/>
    <x v="0"/>
    <n v="40"/>
    <n v="686"/>
    <n v="31"/>
    <x v="1"/>
    <n v="17.149999999999999"/>
    <n v="0.77500000000000002"/>
    <s v="Modérée"/>
  </r>
  <r>
    <s v="Lycée Marcelin Berthelot"/>
    <n v="94"/>
    <s v="Val-de-Marne"/>
    <x v="3"/>
    <s v="CPGE - BCPST"/>
    <x v="0"/>
    <n v="144"/>
    <n v="2446"/>
    <n v="127"/>
    <x v="2"/>
    <n v="16.986111111111111"/>
    <n v="0.88194444444444442"/>
    <s v="Modérée"/>
  </r>
  <r>
    <s v="Lycée Sainte Geneviève"/>
    <n v="78"/>
    <s v="Yvelines"/>
    <x v="3"/>
    <s v="CPGE - PTSI"/>
    <x v="0"/>
    <n v="36"/>
    <n v="605"/>
    <n v="36"/>
    <x v="1"/>
    <n v="16.805555555555557"/>
    <n v="1"/>
    <s v="Modérée"/>
  </r>
  <r>
    <s v="Lycée Le Corbusier"/>
    <n v="93"/>
    <s v="Seine-Saint-Denis"/>
    <x v="3"/>
    <s v="CPGE - TSI"/>
    <x v="0"/>
    <n v="24"/>
    <n v="394"/>
    <n v="23"/>
    <x v="2"/>
    <n v="16.416666666666668"/>
    <n v="0.95833333333333337"/>
    <s v="Modérée"/>
  </r>
  <r>
    <s v="Lycée de l'Essouriau"/>
    <n v="91"/>
    <s v="Essonne"/>
    <x v="3"/>
    <s v="CPGE - PCSI"/>
    <x v="0"/>
    <n v="35"/>
    <n v="573"/>
    <n v="34"/>
    <x v="1"/>
    <n v="16.37142857142857"/>
    <n v="0.97142857142857142"/>
    <s v="Modérée"/>
  </r>
  <r>
    <s v="Lycée Auguste Blanqui"/>
    <n v="93"/>
    <s v="Seine-Saint-Denis"/>
    <x v="3"/>
    <s v="CPGE - Lettres"/>
    <x v="0"/>
    <n v="40"/>
    <n v="647"/>
    <n v="21"/>
    <x v="2"/>
    <n v="16.175000000000001"/>
    <n v="0.52500000000000002"/>
    <s v="Modérée"/>
  </r>
  <r>
    <s v="Lycée Sainte Geneviève"/>
    <n v="78"/>
    <s v="Yvelines"/>
    <x v="3"/>
    <s v="CPGE - BCPST"/>
    <x v="0"/>
    <n v="40"/>
    <n v="646"/>
    <n v="40"/>
    <x v="1"/>
    <n v="16.149999999999999"/>
    <n v="1"/>
    <s v="Modérée"/>
  </r>
  <r>
    <s v="Lycée Madeleine Daniélou"/>
    <n v="92"/>
    <s v="Hauts-de-Seine"/>
    <x v="3"/>
    <s v="CPGE - Lettres"/>
    <x v="0"/>
    <n v="42"/>
    <n v="646"/>
    <n v="41"/>
    <x v="2"/>
    <n v="15.380952380952381"/>
    <n v="0.97619047619047616"/>
    <s v="Modérée"/>
  </r>
  <r>
    <s v="Lycée Jean Baptiste Corot"/>
    <n v="91"/>
    <s v="Essonne"/>
    <x v="3"/>
    <s v="CPGE - ECG -  - Mathématiques appliquées + ESH"/>
    <x v="0"/>
    <n v="40"/>
    <n v="607"/>
    <n v="37"/>
    <x v="1"/>
    <n v="15.175000000000001"/>
    <n v="0.92500000000000004"/>
    <s v="Modérée"/>
  </r>
  <r>
    <s v="Lycée Pablo Picasso"/>
    <n v="94"/>
    <s v="Val-de-Marne"/>
    <x v="3"/>
    <s v="CPGE - ECT - Option technologique"/>
    <x v="0"/>
    <n v="35"/>
    <n v="524"/>
    <n v="33"/>
    <x v="2"/>
    <n v="14.971428571428572"/>
    <n v="0.94285714285714284"/>
    <s v="Modérée"/>
  </r>
  <r>
    <s v="LYCEE POLYVALENT GUSTAVE MONOD"/>
    <n v="95"/>
    <s v="Val-d'oise"/>
    <x v="3"/>
    <s v="CPGE - Lettres"/>
    <x v="0"/>
    <n v="45"/>
    <n v="669"/>
    <n v="35"/>
    <x v="1"/>
    <n v="14.866666666666667"/>
    <n v="0.77777777777777779"/>
    <s v="Modérée"/>
  </r>
  <r>
    <s v="Lycée polyvalent La Fayette"/>
    <n v="77"/>
    <s v="Seine-et-Marne"/>
    <x v="3"/>
    <s v="CPGE - PTSI"/>
    <x v="0"/>
    <n v="32"/>
    <n v="471"/>
    <n v="27"/>
    <x v="1"/>
    <n v="14.71875"/>
    <n v="0.84375"/>
    <s v="Modérée"/>
  </r>
  <r>
    <s v="Lycée Henri Moissan"/>
    <n v="77"/>
    <s v="Seine-et-Marne"/>
    <x v="3"/>
    <s v="CPGE - ECG -  - Mathématiques appliquées + ESH"/>
    <x v="0"/>
    <n v="35"/>
    <n v="512"/>
    <n v="23"/>
    <x v="1"/>
    <n v="14.628571428571428"/>
    <n v="0.65714285714285714"/>
    <s v="Modérée"/>
  </r>
  <r>
    <s v="Lycée Joliot-Curie"/>
    <n v="92"/>
    <s v="Hauts-de-Seine"/>
    <x v="3"/>
    <s v="CPGE - Lettres"/>
    <x v="0"/>
    <n v="48"/>
    <n v="698"/>
    <n v="27"/>
    <x v="2"/>
    <n v="14.541666666666666"/>
    <n v="0.5625"/>
    <s v="Modérée"/>
  </r>
  <r>
    <s v="Lycée Parc de Vilgenis"/>
    <n v="91"/>
    <s v="Essonne"/>
    <x v="3"/>
    <s v="CPGE - ECG -  - Mathématiques appliquées + HGG"/>
    <x v="0"/>
    <n v="35"/>
    <n v="505"/>
    <n v="30"/>
    <x v="1"/>
    <n v="14.428571428571429"/>
    <n v="0.8571428571428571"/>
    <s v="Modérée"/>
  </r>
  <r>
    <s v="Lycée Richelieu"/>
    <n v="92"/>
    <s v="Hauts-de-Seine"/>
    <x v="3"/>
    <s v="CPGE - TSI"/>
    <x v="0"/>
    <n v="35"/>
    <n v="489"/>
    <n v="35"/>
    <x v="2"/>
    <n v="13.971428571428572"/>
    <n v="1"/>
    <s v="Modérée"/>
  </r>
  <r>
    <s v="Lycée Henri IV"/>
    <n v="75"/>
    <s v="Paris"/>
    <x v="3"/>
    <s v="CPGE - Ecole nationale des Chartes"/>
    <x v="0"/>
    <n v="48"/>
    <n v="661"/>
    <n v="43"/>
    <x v="0"/>
    <n v="13.770833333333334"/>
    <n v="0.89583333333333337"/>
    <s v="Modérée"/>
  </r>
  <r>
    <s v="Lycée Michelet"/>
    <n v="92"/>
    <s v="Hauts-de-Seine"/>
    <x v="3"/>
    <s v="CPGE - Lettres"/>
    <x v="0"/>
    <n v="48"/>
    <n v="661"/>
    <n v="37"/>
    <x v="2"/>
    <n v="13.770833333333334"/>
    <n v="0.77083333333333337"/>
    <s v="Modérée"/>
  </r>
  <r>
    <s v="Lycée Henri Moissan"/>
    <n v="77"/>
    <s v="Seine-et-Marne"/>
    <x v="3"/>
    <s v="CPGE - PCSI"/>
    <x v="0"/>
    <n v="35"/>
    <n v="476"/>
    <n v="35"/>
    <x v="1"/>
    <n v="13.6"/>
    <n v="1"/>
    <s v="Modérée"/>
  </r>
  <r>
    <s v="Lycée Le Rebours"/>
    <n v="75"/>
    <s v="Paris"/>
    <x v="3"/>
    <s v="CPGE - ECT - Option technologique"/>
    <x v="0"/>
    <n v="36"/>
    <n v="476"/>
    <n v="37"/>
    <x v="0"/>
    <n v="13.222222222222221"/>
    <n v="1.0277777777777777"/>
    <s v="Modérée"/>
  </r>
  <r>
    <s v="Lycée La Bruyère"/>
    <n v="78"/>
    <s v="Yvelines"/>
    <x v="3"/>
    <s v="CPGE - Lettres"/>
    <x v="0"/>
    <n v="96"/>
    <n v="1261"/>
    <n v="84"/>
    <x v="1"/>
    <n v="13.135416666666666"/>
    <n v="0.875"/>
    <s v="Modérée"/>
  </r>
  <r>
    <s v="Lycée Sainte Geneviève"/>
    <n v="78"/>
    <s v="Yvelines"/>
    <x v="3"/>
    <s v="CPGE - ECG -  - Mathématiques approfondies + HGG"/>
    <x v="0"/>
    <n v="78"/>
    <n v="963"/>
    <n v="78"/>
    <x v="1"/>
    <n v="12.346153846153847"/>
    <n v="1"/>
    <s v="Modérée"/>
  </r>
  <r>
    <s v="Lycée Descartes"/>
    <n v="92"/>
    <s v="Hauts-de-Seine"/>
    <x v="3"/>
    <s v="CPGE - ECG -  - Mathématiques approfondies + HGG"/>
    <x v="0"/>
    <n v="35"/>
    <n v="417"/>
    <n v="22"/>
    <x v="2"/>
    <n v="11.914285714285715"/>
    <n v="0.62857142857142856"/>
    <s v="Modérée"/>
  </r>
  <r>
    <s v="Lycée Robert Doisneau"/>
    <n v="91"/>
    <s v="Essonne"/>
    <x v="3"/>
    <s v="CPGE - TSI"/>
    <x v="0"/>
    <n v="36"/>
    <n v="428"/>
    <n v="39"/>
    <x v="1"/>
    <n v="11.888888888888889"/>
    <n v="1.0833333333333333"/>
    <s v="Modérée"/>
  </r>
  <r>
    <s v="Lycée Jean Baptiste Corot"/>
    <n v="91"/>
    <s v="Essonne"/>
    <x v="3"/>
    <s v="CPGE - Lettres"/>
    <x v="0"/>
    <n v="40"/>
    <n v="471"/>
    <n v="27"/>
    <x v="1"/>
    <n v="11.775"/>
    <n v="0.67500000000000004"/>
    <s v="Modérée"/>
  </r>
  <r>
    <s v="Lycée La Bruyère"/>
    <n v="78"/>
    <s v="Yvelines"/>
    <x v="3"/>
    <s v="CPGE - ECG -  - Mathématiques approfondies + HGG"/>
    <x v="0"/>
    <n v="48"/>
    <n v="563"/>
    <n v="30"/>
    <x v="1"/>
    <n v="11.729166666666666"/>
    <n v="0.625"/>
    <s v="Modérée"/>
  </r>
  <r>
    <s v="Lycée Parc de Vilgenis"/>
    <n v="91"/>
    <s v="Essonne"/>
    <x v="3"/>
    <s v="CPGE - ECT - Option technologique"/>
    <x v="0"/>
    <n v="35"/>
    <n v="409"/>
    <n v="31"/>
    <x v="1"/>
    <n v="11.685714285714285"/>
    <n v="0.88571428571428568"/>
    <s v="Modérée"/>
  </r>
  <r>
    <s v="Lycée Pierre-Gilles de Gennes - ENCPB"/>
    <n v="75"/>
    <s v="Paris"/>
    <x v="3"/>
    <s v="CPGE - TB"/>
    <x v="0"/>
    <n v="30"/>
    <n v="340"/>
    <n v="36"/>
    <x v="0"/>
    <n v="11.333333333333334"/>
    <n v="1.2"/>
    <s v="Modérée"/>
  </r>
  <r>
    <s v="Lycée Jeanne D'Albret"/>
    <n v="78"/>
    <s v="Yvelines"/>
    <x v="3"/>
    <s v="CPGE - Lettres"/>
    <x v="0"/>
    <n v="48"/>
    <n v="543"/>
    <n v="19"/>
    <x v="1"/>
    <n v="11.3125"/>
    <n v="0.39583333333333331"/>
    <s v="Modérée"/>
  </r>
  <r>
    <s v="Lycée Alfred Kastler"/>
    <n v="95"/>
    <s v="Val-d'oise"/>
    <x v="3"/>
    <s v="CPGE - ECT - Option technologique"/>
    <x v="0"/>
    <n v="35"/>
    <n v="388"/>
    <n v="39"/>
    <x v="1"/>
    <n v="11.085714285714285"/>
    <n v="1.1142857142857143"/>
    <s v="Modérée"/>
  </r>
  <r>
    <s v="Lycée Teilhard De Chardin"/>
    <n v="94"/>
    <s v="Val-de-Marne"/>
    <x v="3"/>
    <s v="CPGE - ECG -  - Mathématiques appliquées + ESH"/>
    <x v="0"/>
    <n v="40"/>
    <n v="424"/>
    <n v="32"/>
    <x v="2"/>
    <n v="10.6"/>
    <n v="0.8"/>
    <s v="Modérée"/>
  </r>
  <r>
    <s v="Lycée Henri Moissan"/>
    <n v="77"/>
    <s v="Seine-et-Marne"/>
    <x v="3"/>
    <s v="CPGE - ECT - Option technologique"/>
    <x v="0"/>
    <n v="32"/>
    <n v="339"/>
    <n v="33"/>
    <x v="1"/>
    <n v="10.59375"/>
    <n v="1.03125"/>
    <s v="Modérée"/>
  </r>
  <r>
    <s v="Lycée Saint-Nicolas"/>
    <n v="75"/>
    <s v="Paris"/>
    <x v="3"/>
    <s v="CPGE - TSI"/>
    <x v="0"/>
    <n v="36"/>
    <n v="374"/>
    <n v="28"/>
    <x v="0"/>
    <n v="10.388888888888889"/>
    <n v="0.77777777777777779"/>
    <s v="Modérée"/>
  </r>
  <r>
    <s v="Lycée Saint Exupéry"/>
    <n v="78"/>
    <s v="Yvelines"/>
    <x v="3"/>
    <s v="CPGE - ECG -  - Mathématiques appliquées + ESH"/>
    <x v="0"/>
    <n v="36"/>
    <n v="372"/>
    <n v="12"/>
    <x v="1"/>
    <n v="10.333333333333334"/>
    <n v="0.33333333333333331"/>
    <s v="Modérée"/>
  </r>
  <r>
    <s v="Lycée Marcelin Berthelot"/>
    <n v="94"/>
    <s v="Val-de-Marne"/>
    <x v="3"/>
    <s v="CPGE - Lettres"/>
    <x v="0"/>
    <n v="48"/>
    <n v="493"/>
    <n v="31"/>
    <x v="2"/>
    <n v="10.270833333333334"/>
    <n v="0.64583333333333337"/>
    <s v="Modérée"/>
  </r>
  <r>
    <s v="Lycée Jean-Pierre Vernant"/>
    <n v="92"/>
    <s v="Hauts-de-Seine"/>
    <x v="3"/>
    <s v="CPGE - Lettres"/>
    <x v="0"/>
    <n v="48"/>
    <n v="489"/>
    <n v="30"/>
    <x v="2"/>
    <n v="10.1875"/>
    <n v="0.625"/>
    <s v="Modérée"/>
  </r>
  <r>
    <s v="Lycée BLANCHE DE CASTILLE"/>
    <n v="78"/>
    <s v="Yvelines"/>
    <x v="3"/>
    <s v="CPGE - Lettres"/>
    <x v="0"/>
    <n v="74"/>
    <n v="741"/>
    <n v="76"/>
    <x v="1"/>
    <n v="10.013513513513514"/>
    <n v="1.027027027027027"/>
    <s v="Modérée"/>
  </r>
  <r>
    <s v="Lycée Blomet"/>
    <n v="75"/>
    <s v="Paris"/>
    <x v="3"/>
    <s v="CPGE - Lettres"/>
    <x v="0"/>
    <n v="96"/>
    <n v="960"/>
    <n v="87"/>
    <x v="0"/>
    <n v="10"/>
    <n v="0.90625"/>
    <s v="Modérée"/>
  </r>
  <r>
    <s v="Lycée Internat d'Excellence de Sourdun"/>
    <n v="77"/>
    <s v="Seine-et-Marne"/>
    <x v="3"/>
    <s v="CPGE - ECG -  - Mathématiques appliquées + HGG"/>
    <x v="0"/>
    <n v="24"/>
    <n v="236"/>
    <n v="20"/>
    <x v="1"/>
    <n v="9.8333333333333339"/>
    <n v="0.83333333333333337"/>
    <s v="Faible"/>
  </r>
  <r>
    <s v="Lycée Albert Schweitzer"/>
    <n v="93"/>
    <s v="Seine-Saint-Denis"/>
    <x v="3"/>
    <s v="CPGE - ECG -  - Mathématiques approfondies + HGG"/>
    <x v="0"/>
    <n v="35"/>
    <n v="343"/>
    <n v="20"/>
    <x v="2"/>
    <n v="9.8000000000000007"/>
    <n v="0.5714285714285714"/>
    <s v="Faible"/>
  </r>
  <r>
    <s v="Lycée St Louis Blanche De Castille"/>
    <n v="93"/>
    <s v="Seine-Saint-Denis"/>
    <x v="3"/>
    <s v="CPGE - ECG -  - Mathématiques appliquées + ESH"/>
    <x v="0"/>
    <n v="24"/>
    <n v="235"/>
    <n v="11"/>
    <x v="2"/>
    <n v="9.7916666666666661"/>
    <n v="0.45833333333333331"/>
    <s v="Faible"/>
  </r>
  <r>
    <s v="Lycée Albert Schweitzer"/>
    <n v="93"/>
    <s v="Seine-Saint-Denis"/>
    <x v="3"/>
    <s v="CPGE - Lettres"/>
    <x v="0"/>
    <n v="35"/>
    <n v="339"/>
    <n v="28"/>
    <x v="2"/>
    <n v="9.6857142857142851"/>
    <n v="0.8"/>
    <s v="Faible"/>
  </r>
  <r>
    <s v="Lycée Saint Exupéry"/>
    <n v="78"/>
    <s v="Yvelines"/>
    <x v="3"/>
    <s v="CPGE - Lettres"/>
    <x v="0"/>
    <n v="36"/>
    <n v="348"/>
    <n v="23"/>
    <x v="1"/>
    <n v="9.6666666666666661"/>
    <n v="0.63888888888888884"/>
    <s v="Faible"/>
  </r>
  <r>
    <s v="Lycée Pierre de Coubertin"/>
    <n v="77"/>
    <s v="Seine-et-Marne"/>
    <x v="3"/>
    <s v="CPGE - TSI"/>
    <x v="0"/>
    <n v="24"/>
    <n v="231"/>
    <n v="22"/>
    <x v="1"/>
    <n v="9.625"/>
    <n v="0.91666666666666663"/>
    <s v="Faible"/>
  </r>
  <r>
    <s v="Lycée Jean Perrin"/>
    <n v="95"/>
    <s v="Val-d'oise"/>
    <x v="3"/>
    <s v="CPGE - TSI"/>
    <x v="0"/>
    <n v="36"/>
    <n v="330"/>
    <n v="19"/>
    <x v="1"/>
    <n v="9.1666666666666661"/>
    <n v="0.52777777777777779"/>
    <s v="Faible"/>
  </r>
  <r>
    <s v="Lycée Jacques Amyot"/>
    <n v="77"/>
    <s v="Seine-et-Marne"/>
    <x v="3"/>
    <s v="CPGE - ECG -  - Mathématiques approfondies + HGG"/>
    <x v="0"/>
    <n v="35"/>
    <n v="295"/>
    <n v="13"/>
    <x v="1"/>
    <n v="8.4285714285714288"/>
    <n v="0.37142857142857144"/>
    <s v="Faible"/>
  </r>
  <r>
    <s v="Lycée D'Arsonval"/>
    <n v="94"/>
    <s v="Val-de-Marne"/>
    <x v="3"/>
    <s v="CPGE - TPC"/>
    <x v="0"/>
    <n v="24"/>
    <n v="189"/>
    <n v="24"/>
    <x v="2"/>
    <n v="7.875"/>
    <n v="1"/>
    <s v="Faible"/>
  </r>
  <r>
    <s v="Lycée Bossuet"/>
    <n v="77"/>
    <s v="Seine-et-Marne"/>
    <x v="3"/>
    <s v="CPGE - Lettres"/>
    <x v="0"/>
    <n v="26"/>
    <n v="182"/>
    <n v="13"/>
    <x v="1"/>
    <n v="7"/>
    <n v="0.5"/>
    <s v="Faible"/>
  </r>
  <r>
    <s v="Lycée Jean VILAR"/>
    <n v="77"/>
    <s v="Seine-et-Marne"/>
    <x v="3"/>
    <s v="CPGE - Lettres"/>
    <x v="0"/>
    <n v="24"/>
    <n v="160"/>
    <n v="17"/>
    <x v="1"/>
    <n v="6.666666666666667"/>
    <n v="0.70833333333333337"/>
    <s v="Faible"/>
  </r>
  <r>
    <s v="Maison d'éducation de la Légion d'honneur"/>
    <n v="93"/>
    <s v="Seine-Saint-Denis"/>
    <x v="3"/>
    <s v="CPGE - Lettres"/>
    <x v="0"/>
    <n v="20"/>
    <n v="112"/>
    <n v="20"/>
    <x v="2"/>
    <n v="5.6"/>
    <n v="1"/>
    <s v="Faible"/>
  </r>
  <r>
    <s v="Lycée Elisa Lemonnier"/>
    <n v="75"/>
    <s v="Paris"/>
    <x v="3"/>
    <s v="CPGE - ECT - Option technologique - (en 3 ans, destinée aux bacs professionnels)"/>
    <x v="0"/>
    <n v="30"/>
    <n v="162"/>
    <n v="31"/>
    <x v="0"/>
    <n v="5.4"/>
    <n v="1.0333333333333334"/>
    <s v="Faible"/>
  </r>
  <r>
    <s v="Lycée Chaptal"/>
    <n v="75"/>
    <s v="Paris"/>
    <x v="3"/>
    <s v="CPGE - TSI - (en 3 ans, destinée aux bacs professionnels)"/>
    <x v="0"/>
    <n v="30"/>
    <n v="135"/>
    <n v="26"/>
    <x v="0"/>
    <n v="4.5"/>
    <n v="0.8666666666666667"/>
    <s v="Faible"/>
  </r>
  <r>
    <s v="EDC Paris Business School"/>
    <n v="92"/>
    <s v="Hauts-de-Seine"/>
    <x v="4"/>
    <s v="Formation des écoles de commerce et de management"/>
    <x v="0"/>
    <n v="10"/>
    <n v="3093"/>
    <n v="5"/>
    <x v="2"/>
    <n v="309.3"/>
    <n v="0.5"/>
    <s v="Très forte"/>
  </r>
  <r>
    <s v="ESCE Courbevoie"/>
    <n v="92"/>
    <s v="Hauts-de-Seine"/>
    <x v="4"/>
    <s v="Formation des écoles de commerce et de management"/>
    <x v="0"/>
    <n v="6"/>
    <n v="1215"/>
    <n v="1"/>
    <x v="2"/>
    <n v="202.5"/>
    <n v="0.16666666666666666"/>
    <s v="Très forte"/>
  </r>
  <r>
    <s v="ESCE Courbevoie"/>
    <n v="92"/>
    <s v="Hauts-de-Seine"/>
    <x v="4"/>
    <s v="Formation des écoles de commerce et de management"/>
    <x v="0"/>
    <n v="25"/>
    <n v="4046"/>
    <n v="8"/>
    <x v="2"/>
    <n v="161.84"/>
    <n v="0.32"/>
    <s v="Très forte"/>
  </r>
  <r>
    <s v="EDC Paris Business School"/>
    <n v="92"/>
    <s v="Hauts-de-Seine"/>
    <x v="4"/>
    <s v="Formation des écoles de commerce et de management"/>
    <x v="0"/>
    <n v="25"/>
    <n v="4042"/>
    <n v="10"/>
    <x v="2"/>
    <n v="161.68"/>
    <n v="0.4"/>
    <s v="Très forte"/>
  </r>
  <r>
    <s v="ESCE Courbevoie"/>
    <n v="92"/>
    <s v="Hauts-de-Seine"/>
    <x v="4"/>
    <s v="Formation des écoles de commerce et de management"/>
    <x v="0"/>
    <n v="25"/>
    <n v="4001"/>
    <n v="4"/>
    <x v="2"/>
    <n v="160.04"/>
    <n v="0.16"/>
    <s v="Très forte"/>
  </r>
  <r>
    <s v="EDC Paris Business School"/>
    <n v="92"/>
    <s v="Hauts-de-Seine"/>
    <x v="4"/>
    <s v="Formation des écoles de commerce et de management"/>
    <x v="0"/>
    <n v="25"/>
    <n v="3599"/>
    <n v="9"/>
    <x v="2"/>
    <n v="143.96"/>
    <n v="0.36"/>
    <s v="Très forte"/>
  </r>
  <r>
    <s v="EDC Paris Business School"/>
    <n v="92"/>
    <s v="Hauts-de-Seine"/>
    <x v="4"/>
    <s v="Formation des écoles de commerce et de management"/>
    <x v="0"/>
    <n v="30"/>
    <n v="4136"/>
    <n v="9"/>
    <x v="2"/>
    <n v="137.86666666666667"/>
    <n v="0.3"/>
    <s v="Très forte"/>
  </r>
  <r>
    <s v="ESCE Courbevoie"/>
    <n v="92"/>
    <s v="Hauts-de-Seine"/>
    <x v="4"/>
    <s v="Formation des écoles de commerce et de management"/>
    <x v="0"/>
    <n v="20"/>
    <n v="2519"/>
    <n v="0"/>
    <x v="2"/>
    <n v="125.95"/>
    <n v="0"/>
    <s v="Très forte"/>
  </r>
  <r>
    <s v="ESCE Courbevoie"/>
    <n v="92"/>
    <s v="Hauts-de-Seine"/>
    <x v="4"/>
    <s v="Formation des écoles de commerce et de management"/>
    <x v="0"/>
    <n v="29"/>
    <n v="3567"/>
    <n v="8"/>
    <x v="2"/>
    <n v="123"/>
    <n v="0.27586206896551724"/>
    <s v="Très forte"/>
  </r>
  <r>
    <s v="Ecole de management de Normandie - Campus de Paris Clichy"/>
    <n v="92"/>
    <s v="Hauts-de-Seine"/>
    <x v="4"/>
    <s v="Formation des écoles de commerce et de management"/>
    <x v="0"/>
    <n v="50"/>
    <n v="5129"/>
    <n v="4"/>
    <x v="2"/>
    <n v="102.58"/>
    <n v="0.08"/>
    <s v="Très forte"/>
  </r>
  <r>
    <s v="European Business School Paris"/>
    <n v="75"/>
    <s v="Paris"/>
    <x v="4"/>
    <s v="Formation des écoles de commerce et de management"/>
    <x v="0"/>
    <n v="40"/>
    <n v="3958"/>
    <n v="10"/>
    <x v="0"/>
    <n v="98.95"/>
    <n v="0.25"/>
    <s v="Très forte"/>
  </r>
  <r>
    <s v="PSB Paris School of Business"/>
    <n v="75"/>
    <s v="Paris"/>
    <x v="4"/>
    <s v="Formation des écoles de commerce et de management"/>
    <x v="0"/>
    <n v="40"/>
    <n v="3941"/>
    <n v="10"/>
    <x v="0"/>
    <n v="98.525000000000006"/>
    <n v="0.25"/>
    <s v="Très forte"/>
  </r>
  <r>
    <s v="EXCELIA Campus Cachan"/>
    <n v="94"/>
    <s v="Val-de-Marne"/>
    <x v="4"/>
    <s v="Formation des écoles de commerce et de management"/>
    <x v="0"/>
    <n v="50"/>
    <n v="4791"/>
    <n v="3"/>
    <x v="2"/>
    <n v="95.82"/>
    <n v="0.06"/>
    <s v="Très forte"/>
  </r>
  <r>
    <s v="IPAG Business School - Campus de Paris"/>
    <n v="75"/>
    <s v="Paris"/>
    <x v="4"/>
    <s v="Formation des écoles de commerce et de management"/>
    <x v="0"/>
    <n v="45"/>
    <n v="3899"/>
    <n v="7"/>
    <x v="0"/>
    <n v="86.644444444444446"/>
    <n v="0.15555555555555556"/>
    <s v="Très forte"/>
  </r>
  <r>
    <s v="European Business School Paris"/>
    <n v="75"/>
    <s v="Paris"/>
    <x v="4"/>
    <s v="Formation des écoles de commerce et de management"/>
    <x v="0"/>
    <n v="60"/>
    <n v="5052"/>
    <n v="16"/>
    <x v="0"/>
    <n v="84.2"/>
    <n v="0.26666666666666666"/>
    <s v="Très forte"/>
  </r>
  <r>
    <s v="EDC Paris Business School"/>
    <n v="92"/>
    <s v="Hauts-de-Seine"/>
    <x v="4"/>
    <s v="Formation des écoles de commerce et de management"/>
    <x v="0"/>
    <n v="80"/>
    <n v="4899"/>
    <n v="21"/>
    <x v="2"/>
    <n v="61.237499999999997"/>
    <n v="0.26250000000000001"/>
    <s v="Très forte"/>
  </r>
  <r>
    <s v="ESCE Courbevoie"/>
    <n v="92"/>
    <s v="Hauts-de-Seine"/>
    <x v="4"/>
    <s v="Formation des écoles de commerce et de management"/>
    <x v="0"/>
    <n v="100"/>
    <n v="5402"/>
    <n v="40"/>
    <x v="2"/>
    <n v="54.02"/>
    <n v="0.4"/>
    <s v="Très forte"/>
  </r>
  <r>
    <s v="Kedge Business School - Campus de Paris"/>
    <n v="75"/>
    <s v="Paris"/>
    <x v="4"/>
    <s v="Formation des écoles de commerce et de management"/>
    <x v="0"/>
    <n v="150"/>
    <n v="7493"/>
    <n v="149"/>
    <x v="0"/>
    <n v="49.953333333333333"/>
    <n v="0.99333333333333329"/>
    <s v="Très forte"/>
  </r>
  <r>
    <s v="NEOMA Business School - Campus de Paris"/>
    <n v="75"/>
    <s v="Paris"/>
    <x v="4"/>
    <s v="Formation des écoles de commerce et de management"/>
    <x v="0"/>
    <n v="120"/>
    <n v="4990"/>
    <n v="114"/>
    <x v="0"/>
    <n v="41.583333333333336"/>
    <n v="0.95"/>
    <s v="Très forte"/>
  </r>
  <r>
    <s v="ESSEC Business School"/>
    <n v="95"/>
    <s v="Val-d'oise"/>
    <x v="4"/>
    <s v="Formation des écoles de commerce et de management"/>
    <x v="0"/>
    <n v="180"/>
    <n v="6454"/>
    <n v="162"/>
    <x v="1"/>
    <n v="35.855555555555554"/>
    <n v="0.9"/>
    <s v="Forte"/>
  </r>
  <r>
    <s v="EMLV - École de Management Léonard De Vinci"/>
    <n v="92"/>
    <s v="Hauts-de-Seine"/>
    <x v="4"/>
    <s v="Formation des écoles de commerce et de management"/>
    <x v="0"/>
    <n v="150"/>
    <n v="4841"/>
    <n v="49"/>
    <x v="2"/>
    <n v="32.273333333333333"/>
    <n v="0.32666666666666666"/>
    <s v="Forte"/>
  </r>
  <r>
    <s v="ESSEC Business School"/>
    <n v="95"/>
    <s v="Val-d'oise"/>
    <x v="4"/>
    <s v="Formation des écoles de commerce et de management"/>
    <x v="0"/>
    <n v="290"/>
    <n v="8666"/>
    <n v="304"/>
    <x v="1"/>
    <n v="29.882758620689657"/>
    <n v="1.0482758620689656"/>
    <s v="Forte"/>
  </r>
  <r>
    <s v="IPAG Business School - Campus de Paris"/>
    <n v="75"/>
    <s v="Paris"/>
    <x v="4"/>
    <s v="Formation des écoles de commerce et de management"/>
    <x v="0"/>
    <n v="180"/>
    <n v="5189"/>
    <n v="9"/>
    <x v="0"/>
    <n v="28.827777777777779"/>
    <n v="0.05"/>
    <s v="Forte"/>
  </r>
  <r>
    <s v="AUDENCIA - SAINT-OUEN"/>
    <n v="93"/>
    <s v="Seine-Saint-Denis"/>
    <x v="4"/>
    <s v="Formation des écoles de commerce et de management Bac + 3 - Bachelor in Management"/>
    <x v="0"/>
    <n v="25"/>
    <n v="702"/>
    <n v="25"/>
    <x v="2"/>
    <n v="28.08"/>
    <n v="1"/>
    <s v="Forte"/>
  </r>
  <r>
    <s v="Ecole de management de Normandie - Campus de Paris Clichy"/>
    <n v="92"/>
    <s v="Hauts-de-Seine"/>
    <x v="4"/>
    <s v="Formation des écoles de commerce et de management"/>
    <x v="0"/>
    <n v="180"/>
    <n v="4993"/>
    <n v="136"/>
    <x v="2"/>
    <n v="27.738888888888887"/>
    <n v="0.75555555555555554"/>
    <s v="Forte"/>
  </r>
  <r>
    <s v="NEOMA Business School - Campus de Paris"/>
    <n v="75"/>
    <s v="Paris"/>
    <x v="4"/>
    <s v="Formation des écoles de commerce et de management"/>
    <x v="0"/>
    <n v="280"/>
    <n v="7722"/>
    <n v="339"/>
    <x v="0"/>
    <n v="27.578571428571429"/>
    <n v="1.2107142857142856"/>
    <s v="Forte"/>
  </r>
  <r>
    <s v="PSB Paris School of Business"/>
    <n v="75"/>
    <s v="Paris"/>
    <x v="4"/>
    <s v="Formation des écoles de commerce et de management"/>
    <x v="0"/>
    <n v="260"/>
    <n v="5411"/>
    <n v="58"/>
    <x v="0"/>
    <n v="20.811538461538461"/>
    <n v="0.22307692307692309"/>
    <s v="Forte"/>
  </r>
  <r>
    <s v="Rennes School of Business Paris"/>
    <n v="75"/>
    <s v="Paris"/>
    <x v="4"/>
    <s v="Formation des écoles de commerce et de management Bac + 3 - Bachelor Affaires internationales"/>
    <x v="0"/>
    <n v="60"/>
    <n v="1075"/>
    <n v="12"/>
    <x v="0"/>
    <n v="17.916666666666668"/>
    <n v="0.2"/>
    <s v="Modérée"/>
  </r>
  <r>
    <s v="EMLV - École de Management Léonard De Vinci"/>
    <n v="92"/>
    <s v="Hauts-de-Seine"/>
    <x v="4"/>
    <s v="Formation des écoles de commerce et de management"/>
    <x v="0"/>
    <n v="350"/>
    <n v="6140"/>
    <n v="195"/>
    <x v="2"/>
    <n v="17.542857142857144"/>
    <n v="0.55714285714285716"/>
    <s v="Modérée"/>
  </r>
  <r>
    <s v="Toulouse Business School - Campus de Paris"/>
    <n v="75"/>
    <s v="Paris"/>
    <x v="4"/>
    <s v="Formation des écoles de commerce et de management Bac + 3 - Bachelor en Management"/>
    <x v="0"/>
    <n v="80"/>
    <n v="1360"/>
    <n v="79"/>
    <x v="0"/>
    <n v="17"/>
    <n v="0.98750000000000004"/>
    <s v="Modérée"/>
  </r>
  <r>
    <s v="Ecole de management de Normandie - Campus de Paris Clichy"/>
    <n v="92"/>
    <s v="Hauts-de-Seine"/>
    <x v="4"/>
    <s v="Formation des écoles de commerce et de management Bac + 3 - Bachelor en Management"/>
    <x v="0"/>
    <n v="50"/>
    <n v="814"/>
    <n v="66"/>
    <x v="2"/>
    <n v="16.28"/>
    <n v="1.32"/>
    <s v="Modérée"/>
  </r>
  <r>
    <s v="ISG Paris"/>
    <n v="75"/>
    <s v="Paris"/>
    <x v="4"/>
    <s v="Formation des écoles de commerce et de management Bac + 5 -  Programme Grande Ecole"/>
    <x v="0"/>
    <n v="20"/>
    <n v="321"/>
    <n v="4"/>
    <x v="0"/>
    <n v="16.05"/>
    <n v="0.2"/>
    <s v="Modérée"/>
  </r>
  <r>
    <s v="ISG Paris"/>
    <n v="75"/>
    <s v="Paris"/>
    <x v="4"/>
    <s v="Formation des écoles de commerce et de management Bac + 5 -  Programme Grande Ecole"/>
    <x v="0"/>
    <n v="20"/>
    <n v="311"/>
    <n v="12"/>
    <x v="0"/>
    <n v="15.55"/>
    <n v="0.6"/>
    <s v="Modérée"/>
  </r>
  <r>
    <s v="IPAG Business School - Campus de Paris"/>
    <n v="75"/>
    <s v="Paris"/>
    <x v="4"/>
    <s v="Formation des écoles de commerce et de management Bac + 3 - Bachelor of Business Administration"/>
    <x v="0"/>
    <n v="25"/>
    <n v="375"/>
    <n v="9"/>
    <x v="0"/>
    <n v="15"/>
    <n v="0.36"/>
    <s v="Modérée"/>
  </r>
  <r>
    <s v="ESSCA School of Management - Paris"/>
    <n v="92"/>
    <s v="Hauts-de-Seine"/>
    <x v="4"/>
    <s v="Formation des écoles de commerce et de management Bac + 3 - Bachelor en Management International"/>
    <x v="0"/>
    <n v="90"/>
    <n v="1279"/>
    <n v="53"/>
    <x v="2"/>
    <n v="14.21111111111111"/>
    <n v="0.58888888888888891"/>
    <s v="Modérée"/>
  </r>
  <r>
    <s v="ESSCA School of Management - Paris"/>
    <n v="92"/>
    <s v="Hauts-de-Seine"/>
    <x v="4"/>
    <s v="Formation des écoles de commerce et de management Bac + 5"/>
    <x v="0"/>
    <n v="340"/>
    <n v="4648"/>
    <n v="423"/>
    <x v="2"/>
    <n v="13.670588235294117"/>
    <n v="1.2441176470588236"/>
    <s v="Modérée"/>
  </r>
  <r>
    <s v="Ecole de management de Normandie - Campus de Paris Clichy"/>
    <n v="92"/>
    <s v="Hauts-de-Seine"/>
    <x v="4"/>
    <s v="Formation des écoles de commerce et de management"/>
    <x v="0"/>
    <n v="520"/>
    <n v="6882"/>
    <n v="438"/>
    <x v="2"/>
    <n v="13.234615384615385"/>
    <n v="0.84230769230769231"/>
    <s v="Modérée"/>
  </r>
  <r>
    <s v="INSEEC Paris"/>
    <n v="92"/>
    <s v="Hauts-de-Seine"/>
    <x v="4"/>
    <s v="Formation des écoles de commerce et de management Bac + 4"/>
    <x v="0"/>
    <n v="40"/>
    <n v="452"/>
    <n v="18"/>
    <x v="2"/>
    <n v="11.3"/>
    <n v="0.45"/>
    <s v="Modérée"/>
  </r>
  <r>
    <s v="AUDENCIA - SAINT-OUEN"/>
    <n v="93"/>
    <s v="Seine-Saint-Denis"/>
    <x v="4"/>
    <s v="Formation des écoles de commerce et de management Bac + 3 - Bachelor in Management"/>
    <x v="0"/>
    <n v="105"/>
    <n v="1145"/>
    <n v="115"/>
    <x v="2"/>
    <n v="10.904761904761905"/>
    <n v="1.0952380952380953"/>
    <s v="Modérée"/>
  </r>
  <r>
    <s v="Kedge Business School - Campus de Paris"/>
    <n v="75"/>
    <s v="Paris"/>
    <x v="4"/>
    <s v="Formation des écoles de commerce et de management Bac + 3 - Bachelor Affaires internationales"/>
    <x v="0"/>
    <n v="150"/>
    <n v="1563"/>
    <n v="148"/>
    <x v="0"/>
    <n v="10.42"/>
    <n v="0.98666666666666669"/>
    <s v="Modérée"/>
  </r>
  <r>
    <s v="ISTEC - Ecole Supérieure de Commerce et de Marketing"/>
    <n v="75"/>
    <s v="Paris"/>
    <x v="4"/>
    <s v="Formation des écoles de commerce et de management Bac + 5 - Programme Grandes Ecoles - Grade Master"/>
    <x v="0"/>
    <n v="100"/>
    <n v="1022"/>
    <n v="65"/>
    <x v="0"/>
    <n v="10.220000000000001"/>
    <n v="0.65"/>
    <s v="Modérée"/>
  </r>
  <r>
    <s v="ISG Paris"/>
    <n v="75"/>
    <s v="Paris"/>
    <x v="4"/>
    <s v="Formation des écoles de commerce et de management Bac + 5 -  Programme Grande Ecole"/>
    <x v="0"/>
    <n v="80"/>
    <n v="776"/>
    <n v="47"/>
    <x v="0"/>
    <n v="9.6999999999999993"/>
    <n v="0.58750000000000002"/>
    <s v="Faible"/>
  </r>
  <r>
    <s v="EFREI Paris"/>
    <n v="94"/>
    <s v="Val-de-Marne"/>
    <x v="4"/>
    <s v="Formation des écoles de commerce et de management Bac + 3 - Bachelor Communication digitale et internationale"/>
    <x v="0"/>
    <n v="30"/>
    <n v="290"/>
    <n v="17"/>
    <x v="2"/>
    <n v="9.6666666666666661"/>
    <n v="0.56666666666666665"/>
    <s v="Faible"/>
  </r>
  <r>
    <s v="PSB Paris School of Business"/>
    <n v="75"/>
    <s v="Paris"/>
    <x v="4"/>
    <s v="Formation des écoles de commerce et de management Bac + 3 - International Bachelor in Management"/>
    <x v="0"/>
    <n v="50"/>
    <n v="469"/>
    <n v="44"/>
    <x v="0"/>
    <n v="9.3800000000000008"/>
    <n v="0.88"/>
    <s v="Faible"/>
  </r>
  <r>
    <s v="ISIT - Institut de Management et de Communication Interculturels"/>
    <n v="75"/>
    <s v="Paris"/>
    <x v="4"/>
    <s v="Formation des écoles de commerce et de management Bac + 5 - Juriste linguiste / Droit Etudes Interculturelles"/>
    <x v="0"/>
    <n v="10"/>
    <n v="93"/>
    <n v="9"/>
    <x v="0"/>
    <n v="9.3000000000000007"/>
    <n v="0.9"/>
    <s v="Faible"/>
  </r>
  <r>
    <s v="ISG Paris"/>
    <n v="75"/>
    <s v="Paris"/>
    <x v="4"/>
    <s v="Formation des écoles de commerce et de management Bac + 5 -  Programme Grande Ecole"/>
    <x v="0"/>
    <n v="60"/>
    <n v="557"/>
    <n v="39"/>
    <x v="0"/>
    <n v="9.2833333333333332"/>
    <n v="0.65"/>
    <s v="Faible"/>
  </r>
  <r>
    <s v="ESCP Business School"/>
    <n v="75"/>
    <s v="Paris"/>
    <x v="4"/>
    <s v="Formation des écoles de commerce et de management Bac + 3 - Commerce et entrepreneuriat"/>
    <x v="0"/>
    <n v="200"/>
    <n v="1845"/>
    <n v="203"/>
    <x v="0"/>
    <n v="9.2249999999999996"/>
    <n v="1.0149999999999999"/>
    <s v="Faible"/>
  </r>
  <r>
    <s v="ISG Paris"/>
    <n v="75"/>
    <s v="Paris"/>
    <x v="4"/>
    <s v="Formation des écoles de commerce et de management Bac + 3 - Bachelor en Management International"/>
    <x v="0"/>
    <n v="50"/>
    <n v="459"/>
    <n v="32"/>
    <x v="0"/>
    <n v="9.18"/>
    <n v="0.64"/>
    <s v="Faible"/>
  </r>
  <r>
    <s v="INSEEC Paris"/>
    <n v="92"/>
    <s v="Hauts-de-Seine"/>
    <x v="4"/>
    <s v="Formation des écoles de commerce et de management Bac + 4"/>
    <x v="0"/>
    <n v="30"/>
    <n v="273"/>
    <n v="5"/>
    <x v="2"/>
    <n v="9.1"/>
    <n v="0.16666666666666666"/>
    <s v="Faible"/>
  </r>
  <r>
    <s v="Institut Francais de la Mode (IFM)"/>
    <n v="75"/>
    <s v="Paris"/>
    <x v="4"/>
    <s v="Formation des écoles de commerce et de management Bac + 3 - BSC Chef de projet Mode et des Industries Créatives - Cursus anglophone"/>
    <x v="0"/>
    <n v="40"/>
    <n v="363"/>
    <n v="41"/>
    <x v="0"/>
    <n v="9.0749999999999993"/>
    <n v="1.0249999999999999"/>
    <s v="Faible"/>
  </r>
  <r>
    <s v="IESEG School of Management - Paris La Défense"/>
    <n v="92"/>
    <s v="Hauts-de-Seine"/>
    <x v="4"/>
    <s v="Formation des écoles de commerce et de management Bac + 3 - Bachelor in International Business"/>
    <x v="0"/>
    <n v="120"/>
    <n v="1075"/>
    <n v="109"/>
    <x v="2"/>
    <n v="8.9583333333333339"/>
    <n v="0.90833333333333333"/>
    <s v="Faible"/>
  </r>
  <r>
    <s v="ISG Paris"/>
    <n v="75"/>
    <s v="Paris"/>
    <x v="4"/>
    <s v="Formation des écoles de commerce et de management Bac + 3 - Bachelor en Management International"/>
    <x v="0"/>
    <n v="30"/>
    <n v="268"/>
    <n v="14"/>
    <x v="0"/>
    <n v="8.9333333333333336"/>
    <n v="0.46666666666666667"/>
    <s v="Faible"/>
  </r>
  <r>
    <s v="IESEG School of Management - Paris La Défense"/>
    <n v="92"/>
    <s v="Hauts-de-Seine"/>
    <x v="4"/>
    <s v="Formation des écoles de commerce et de management Bac + 5"/>
    <x v="0"/>
    <n v="570"/>
    <n v="5011"/>
    <n v="627"/>
    <x v="2"/>
    <n v="8.7912280701754391"/>
    <n v="1.1000000000000001"/>
    <s v="Faible"/>
  </r>
  <r>
    <s v="EFREI Paris"/>
    <n v="94"/>
    <s v="Val-de-Marne"/>
    <x v="4"/>
    <s v="Formation des écoles de commerce et de management Bac + 3 - Bachelor Marketing Digital et communication"/>
    <x v="0"/>
    <n v="60"/>
    <n v="516"/>
    <n v="41"/>
    <x v="2"/>
    <n v="8.6"/>
    <n v="0.68333333333333335"/>
    <s v="Faible"/>
  </r>
  <r>
    <s v="ISG Paris"/>
    <n v="75"/>
    <s v="Paris"/>
    <x v="4"/>
    <s v="Formation des écoles de commerce et de management Bac + 3 - Bachelor en Management International"/>
    <x v="0"/>
    <n v="70"/>
    <n v="583"/>
    <n v="47"/>
    <x v="0"/>
    <n v="8.3285714285714292"/>
    <n v="0.67142857142857137"/>
    <s v="Faible"/>
  </r>
  <r>
    <s v="MBS - Campus de Paris"/>
    <n v="75"/>
    <s v="Paris"/>
    <x v="4"/>
    <s v="Formation des écoles de commerce et de management Bac + 3 - Bachelor of International Business Administration (BIBA)"/>
    <x v="0"/>
    <n v="40"/>
    <n v="326"/>
    <n v="0"/>
    <x v="0"/>
    <n v="8.15"/>
    <n v="0"/>
    <s v="Faible"/>
  </r>
  <r>
    <s v="EMLV - École de Management Léonard De Vinci"/>
    <n v="92"/>
    <s v="Hauts-de-Seine"/>
    <x v="4"/>
    <s v="Formation des écoles de commerce et de management Bac + 3 - Bachelor Affaires et Relations Internationales"/>
    <x v="0"/>
    <n v="50"/>
    <n v="394"/>
    <n v="43"/>
    <x v="2"/>
    <n v="7.88"/>
    <n v="0.86"/>
    <s v="Faible"/>
  </r>
  <r>
    <s v="CY ILEPS"/>
    <n v="95"/>
    <s v="Val-d'oise"/>
    <x v="4"/>
    <s v="Bachelor Sport Event and International Marketing Business"/>
    <x v="0"/>
    <n v="20"/>
    <n v="157"/>
    <n v="13"/>
    <x v="1"/>
    <n v="7.85"/>
    <n v="0.65"/>
    <s v="Faible"/>
  </r>
  <r>
    <s v="Ecole Supérieure des Sciences Economiques et Commerciales de Cergy"/>
    <n v="95"/>
    <s v="Val-d'oise"/>
    <x v="4"/>
    <s v="Formation des écoles de commerce et de management Bac + 4 - Diplôme d’études supérieures en Data, IA et Management"/>
    <x v="0"/>
    <n v="60"/>
    <n v="461"/>
    <n v="51"/>
    <x v="1"/>
    <n v="7.6833333333333336"/>
    <n v="0.85"/>
    <s v="Faible"/>
  </r>
  <r>
    <s v="ICD International Business School - Campus de Paris"/>
    <n v="75"/>
    <s v="Paris"/>
    <x v="4"/>
    <s v="Formation des écoles de commerce et de management Bac + 5 - Programme Grande Ecole"/>
    <x v="0"/>
    <n v="25"/>
    <n v="192"/>
    <n v="13"/>
    <x v="0"/>
    <n v="7.68"/>
    <n v="0.52"/>
    <s v="Faible"/>
  </r>
  <r>
    <s v="EXCELIA Campus Cachan"/>
    <n v="94"/>
    <s v="Val-de-Marne"/>
    <x v="4"/>
    <s v="Formation des écoles de commerce et de management Bac + 5 -  Programme Grande école"/>
    <x v="0"/>
    <n v="50"/>
    <n v="378"/>
    <n v="23"/>
    <x v="2"/>
    <n v="7.56"/>
    <n v="0.46"/>
    <s v="Faible"/>
  </r>
  <r>
    <s v="EFREI Paris"/>
    <n v="94"/>
    <s v="Val-de-Marne"/>
    <x v="4"/>
    <s v="Formation des écoles de commerce et de management Bac + 3 - Bachelor Management et stratégie digitale"/>
    <x v="0"/>
    <n v="30"/>
    <n v="210"/>
    <n v="12"/>
    <x v="2"/>
    <n v="7"/>
    <n v="0.4"/>
    <s v="Faible"/>
  </r>
  <r>
    <s v="Institut Mines-Télécom Business School"/>
    <n v="91"/>
    <s v="Essonne"/>
    <x v="4"/>
    <s v="Formation des écoles de commerce et de management Bac + 3 - Bachelor"/>
    <x v="0"/>
    <n v="90"/>
    <n v="597"/>
    <n v="89"/>
    <x v="1"/>
    <n v="6.6333333333333337"/>
    <n v="0.98888888888888893"/>
    <s v="Faible"/>
  </r>
  <r>
    <s v="ICD International Business School - Campus de Paris"/>
    <n v="75"/>
    <s v="Paris"/>
    <x v="4"/>
    <s v="Formation des écoles de commerce et de management Bac + 3 - Bachelor en sciences du management - Diplôme responsable du développement commercial et marketing - Option Event Management"/>
    <x v="0"/>
    <n v="30"/>
    <n v="198"/>
    <n v="14"/>
    <x v="0"/>
    <n v="6.6"/>
    <n v="0.46666666666666667"/>
    <s v="Faible"/>
  </r>
  <r>
    <s v="AUDENCIA - SAINT-OUEN"/>
    <n v="93"/>
    <s v="Seine-Saint-Denis"/>
    <x v="4"/>
    <s v="Double Diplôme - Grade Master - Spécialité Politiques Publiques et Management des Organisations (PPMO)"/>
    <x v="0"/>
    <n v="30"/>
    <n v="197"/>
    <n v="32"/>
    <x v="2"/>
    <n v="6.5666666666666664"/>
    <n v="1.0666666666666667"/>
    <s v="Faible"/>
  </r>
  <r>
    <s v="ASCENCIA Business School - Evry"/>
    <n v="91"/>
    <s v="Essonne"/>
    <x v="4"/>
    <s v="Formation des écoles de commerce et de management Bac + 3 - Bachelor gestion et développement commercial"/>
    <x v="0"/>
    <n v="15"/>
    <n v="98"/>
    <n v="6"/>
    <x v="1"/>
    <n v="6.5333333333333332"/>
    <n v="0.4"/>
    <s v="Faible"/>
  </r>
  <r>
    <s v="EFREI Paris"/>
    <n v="94"/>
    <s v="Val-de-Marne"/>
    <x v="4"/>
    <s v="Formation des écoles de commerce et de management Bac + 3 - Bachelor Ingénierie Marketing Digital"/>
    <x v="0"/>
    <n v="32"/>
    <n v="207"/>
    <n v="10"/>
    <x v="2"/>
    <n v="6.46875"/>
    <n v="0.3125"/>
    <s v="Faible"/>
  </r>
  <r>
    <s v="ASCENCIA Business School"/>
    <n v="77"/>
    <s v="Seine-et-Marne"/>
    <x v="4"/>
    <s v="Formation des écoles de commerce et de management Bac + 3 - Bachelor gestion et développement commercial"/>
    <x v="0"/>
    <n v="15"/>
    <n v="87"/>
    <n v="5"/>
    <x v="1"/>
    <n v="5.8"/>
    <n v="0.33333333333333331"/>
    <s v="Faible"/>
  </r>
  <r>
    <s v="ICD International Business School - Campus de Paris"/>
    <n v="75"/>
    <s v="Paris"/>
    <x v="4"/>
    <s v="Formation des écoles de commerce et de management Bac + 3 - Bachelor en sciences du management - Diplôme responsable du développement commercial et marketing - Option &quot;Business Development"/>
    <x v="0"/>
    <n v="45"/>
    <n v="259"/>
    <n v="24"/>
    <x v="0"/>
    <n v="5.7555555555555555"/>
    <n v="0.53333333333333333"/>
    <s v="Faible"/>
  </r>
  <r>
    <s v="ASCENCIA Business School- Saint-Quentin-en-Yvelines"/>
    <n v="78"/>
    <s v="Yvelines"/>
    <x v="4"/>
    <s v="Formation des écoles de commerce et de management Bac + 3 - Bachelor gestion et développement commercial"/>
    <x v="0"/>
    <n v="15"/>
    <n v="84"/>
    <n v="7"/>
    <x v="1"/>
    <n v="5.6"/>
    <n v="0.46666666666666667"/>
    <s v="Faible"/>
  </r>
  <r>
    <s v="ISTEC - Ecole Supérieure de Commerce et de Marketing"/>
    <n v="75"/>
    <s v="Paris"/>
    <x v="4"/>
    <s v="Formation des écoles de commerce et de management Bac + 3 - Bachelor Commerce et Marketing"/>
    <x v="0"/>
    <n v="250"/>
    <n v="1308"/>
    <n v="122"/>
    <x v="0"/>
    <n v="5.2320000000000002"/>
    <n v="0.48799999999999999"/>
    <s v="Faible"/>
  </r>
  <r>
    <s v="EDC Paris Business School"/>
    <n v="92"/>
    <s v="Hauts-de-Seine"/>
    <x v="4"/>
    <s v="Formation des écoles de commerce et de management Bac + 3 - Bachelor de responsable en gestion et management des entreprises"/>
    <x v="0"/>
    <n v="20"/>
    <n v="104"/>
    <n v="14"/>
    <x v="2"/>
    <n v="5.2"/>
    <n v="0.7"/>
    <s v="Faible"/>
  </r>
  <r>
    <s v="EXCELIA Campus Cachan"/>
    <n v="94"/>
    <s v="Val-de-Marne"/>
    <x v="4"/>
    <s v="Formation des écoles de commerce et de management Bac + 3 - Bachelor en management du tourisme et de l'hôtellerie"/>
    <x v="0"/>
    <n v="20"/>
    <n v="101"/>
    <n v="9"/>
    <x v="2"/>
    <n v="5.05"/>
    <n v="0.45"/>
    <s v="Faible"/>
  </r>
  <r>
    <s v="Institut Supérieur de Commerce de Paris"/>
    <n v="75"/>
    <s v="Paris"/>
    <x v="4"/>
    <s v="Formation des écoles de commerce et de management Bac + 4 - International BBA cursus anglophone"/>
    <x v="0"/>
    <n v="30"/>
    <n v="145"/>
    <n v="11"/>
    <x v="0"/>
    <n v="4.833333333333333"/>
    <n v="0.36666666666666664"/>
    <s v="Faible"/>
  </r>
  <r>
    <s v="EDC Paris Business School"/>
    <n v="92"/>
    <s v="Hauts-de-Seine"/>
    <x v="4"/>
    <s v="Formation des écoles de commerce et de management Bac + 3 - Bachelor de responsable en gestion et management des entreprises"/>
    <x v="0"/>
    <n v="60"/>
    <n v="290"/>
    <n v="39"/>
    <x v="2"/>
    <n v="4.833333333333333"/>
    <n v="0.65"/>
    <s v="Faible"/>
  </r>
  <r>
    <s v="IPAG Business School - Campus de Paris"/>
    <n v="75"/>
    <s v="Paris"/>
    <x v="4"/>
    <s v="Formation des écoles de commerce et de management Bac + 3 - Programme Bachelor in Management"/>
    <x v="0"/>
    <n v="120"/>
    <n v="573"/>
    <n v="41"/>
    <x v="0"/>
    <n v="4.7750000000000004"/>
    <n v="0.34166666666666667"/>
    <s v="Faible"/>
  </r>
  <r>
    <s v="PSB Paris School of Business"/>
    <n v="75"/>
    <s v="Paris"/>
    <x v="4"/>
    <s v="Formation des écoles de commerce et de management Bac + 3 - International Bachelor in Management"/>
    <x v="0"/>
    <n v="200"/>
    <n v="838"/>
    <n v="83"/>
    <x v="0"/>
    <n v="4.1900000000000004"/>
    <n v="0.41499999999999998"/>
    <s v="Faible"/>
  </r>
  <r>
    <s v="Institut de gestion sociale"/>
    <n v="75"/>
    <s v="Paris"/>
    <x v="4"/>
    <s v="Formation des écoles de commerce et de management Bac + 3 - Bachelor RH et Transformation Digitale"/>
    <x v="0"/>
    <n v="18"/>
    <n v="74"/>
    <n v="9"/>
    <x v="0"/>
    <n v="4.1111111111111107"/>
    <n v="0.5"/>
    <s v="Faible"/>
  </r>
  <r>
    <s v="ISIT - Institut de Management et de Communication Interculturels"/>
    <n v="75"/>
    <s v="Paris"/>
    <x v="4"/>
    <s v="Formation des écoles de commerce et de management Bac + 5 - Juriste linguiste /  Droit et Etudes Multilingues"/>
    <x v="0"/>
    <n v="35"/>
    <n v="124"/>
    <n v="35"/>
    <x v="0"/>
    <n v="3.5428571428571427"/>
    <n v="1"/>
    <s v="Faible"/>
  </r>
  <r>
    <s v="Ecole Supérieure de Gestion et Finance"/>
    <n v="92"/>
    <s v="Hauts-de-Seine"/>
    <x v="4"/>
    <s v="Formation des écoles de commerce et de management Bac + 3 - Bachelor en Finance"/>
    <x v="0"/>
    <n v="30"/>
    <n v="106"/>
    <n v="5"/>
    <x v="2"/>
    <n v="3.5333333333333332"/>
    <n v="0.16666666666666666"/>
    <s v="Faible"/>
  </r>
  <r>
    <s v="Ascencia Business School - Paris-la-Défense"/>
    <n v="92"/>
    <s v="Hauts-de-Seine"/>
    <x v="4"/>
    <s v="Formation des écoles de commerce et de management Bac + 3 - Bachelor gestion et développement commercial"/>
    <x v="0"/>
    <n v="50"/>
    <n v="176"/>
    <n v="12"/>
    <x v="2"/>
    <n v="3.52"/>
    <n v="0.24"/>
    <s v="Faible"/>
  </r>
  <r>
    <s v="EMLV - École de Management Léonard De Vinci"/>
    <n v="92"/>
    <s v="Hauts-de-Seine"/>
    <x v="4"/>
    <s v="Formation des écoles de commerce et de management Bac + 3 - Bachelor Digital et International Business"/>
    <x v="0"/>
    <n v="80"/>
    <n v="275"/>
    <n v="22"/>
    <x v="2"/>
    <n v="3.4375"/>
    <n v="0.27500000000000002"/>
    <s v="Faible"/>
  </r>
  <r>
    <s v="ICN Business School"/>
    <n v="92"/>
    <s v="Hauts-de-Seine"/>
    <x v="4"/>
    <s v="Formation des écoles de commerce et de management Bac + 3 - ICN Bachelor en management (dit Sup'Est)"/>
    <x v="0"/>
    <n v="120"/>
    <n v="407"/>
    <n v="30"/>
    <x v="2"/>
    <n v="3.3916666666666666"/>
    <n v="0.25"/>
    <s v="Faible"/>
  </r>
  <r>
    <s v="Institut Supérieur de Commerce de Paris"/>
    <n v="75"/>
    <s v="Paris"/>
    <x v="4"/>
    <s v="Formation des écoles de commerce et de management Bac + 3 - Bachelor en management"/>
    <x v="0"/>
    <n v="200"/>
    <n v="676"/>
    <n v="72"/>
    <x v="0"/>
    <n v="3.38"/>
    <n v="0.36"/>
    <s v="Faible"/>
  </r>
  <r>
    <s v="ICN Business School"/>
    <n v="92"/>
    <s v="Hauts-de-Seine"/>
    <x v="4"/>
    <s v="Formation des écoles de commerce et de management Bac + 3 - Diplôme de manager international- IBBA"/>
    <x v="0"/>
    <n v="40"/>
    <n v="135"/>
    <n v="8"/>
    <x v="2"/>
    <n v="3.375"/>
    <n v="0.2"/>
    <s v="Faible"/>
  </r>
  <r>
    <s v="ISIT - Institut de Management et de Communication Interculturels"/>
    <n v="75"/>
    <s v="Paris"/>
    <x v="4"/>
    <s v="Formation des écoles de commerce et de management Bac + 5 - Programme Grandes Ecoles - Management - Communication"/>
    <x v="0"/>
    <n v="60"/>
    <n v="199"/>
    <n v="12"/>
    <x v="0"/>
    <n v="3.3166666666666669"/>
    <n v="0.2"/>
    <s v="Faible"/>
  </r>
  <r>
    <s v="EGC SUP de V - Paris"/>
    <n v="75"/>
    <s v="Paris"/>
    <x v="4"/>
    <s v="Formation des écoles de commerce et de management Bac + 3 - Bachelor Marketing, Vente et Gestion"/>
    <x v="0"/>
    <n v="50"/>
    <n v="163"/>
    <n v="16"/>
    <x v="0"/>
    <n v="3.26"/>
    <n v="0.32"/>
    <s v="Faible"/>
  </r>
  <r>
    <s v="EFREI Paris"/>
    <n v="94"/>
    <s v="Val-de-Marne"/>
    <x v="4"/>
    <s v="Formation des écoles de commerce et de management Bac + 3 - Bachelor Business et nouvelles technologies"/>
    <x v="0"/>
    <n v="30"/>
    <n v="96"/>
    <n v="11"/>
    <x v="2"/>
    <n v="3.2"/>
    <n v="0.36666666666666664"/>
    <s v="Faible"/>
  </r>
  <r>
    <s v="Ecole supérieure libre des sciences commerciales appliquées"/>
    <n v="75"/>
    <s v="Paris"/>
    <x v="4"/>
    <s v="Formation des écoles de commerce et de management Bac + 3 - Bachelor finance"/>
    <x v="0"/>
    <n v="50"/>
    <n v="151"/>
    <n v="27"/>
    <x v="0"/>
    <n v="3.02"/>
    <n v="0.54"/>
    <s v="Faible"/>
  </r>
  <r>
    <s v="Ecole Supérieure des Sciences Economiques et Commerciales de Cergy"/>
    <n v="95"/>
    <s v="Val-d'oise"/>
    <x v="4"/>
    <s v="Formation des écoles de commerce et de management Bac + 3 - Bachelor ACT - Apprendre à conduire les transitions"/>
    <x v="0"/>
    <n v="70"/>
    <n v="211"/>
    <n v="23"/>
    <x v="1"/>
    <n v="3.0142857142857142"/>
    <n v="0.32857142857142857"/>
    <s v="Faible"/>
  </r>
  <r>
    <s v="ICD International Business School - Campus de Paris"/>
    <n v="75"/>
    <s v="Paris"/>
    <x v="4"/>
    <s v="Formation des écoles de commerce et de management Bac + 5 - Programme Grande Ecole"/>
    <x v="0"/>
    <n v="10"/>
    <n v="26"/>
    <n v="0"/>
    <x v="0"/>
    <n v="2.6"/>
    <n v="0"/>
    <s v="Faible"/>
  </r>
  <r>
    <s v="PSB Paris School of Business"/>
    <n v="75"/>
    <s v="Paris"/>
    <x v="4"/>
    <s v="Formation des écoles de commerce et de management Bac + 3 - Tech for Management"/>
    <x v="0"/>
    <n v="40"/>
    <n v="75"/>
    <n v="2"/>
    <x v="0"/>
    <n v="1.875"/>
    <n v="0.05"/>
    <s v="Faible"/>
  </r>
  <r>
    <s v="éklore-ed – CFA St Denis – CCI Pau Béarn"/>
    <n v="93"/>
    <s v="Seine-Saint-Denis"/>
    <x v="4"/>
    <s v="Formation des écoles de commerce et de management Bac + 3 - Bachelor Business Management"/>
    <x v="0"/>
    <n v="30"/>
    <n v="51"/>
    <n v="11"/>
    <x v="2"/>
    <n v="1.7"/>
    <n v="0.36666666666666664"/>
    <s v="Faible"/>
  </r>
  <r>
    <s v="EGC Sup de V - Saint-Germain-en-Laye"/>
    <n v="78"/>
    <s v="Yvelines"/>
    <x v="4"/>
    <s v="Formation des écoles de commerce et de management Bac + 3 - Bachelor Marketing, Vente et Gestion"/>
    <x v="0"/>
    <n v="50"/>
    <n v="81"/>
    <n v="22"/>
    <x v="1"/>
    <n v="1.62"/>
    <n v="0.44"/>
    <s v="Faible"/>
  </r>
  <r>
    <s v="IDRAC Business School - Campus de PARIS"/>
    <n v="92"/>
    <s v="Hauts-de-Seine"/>
    <x v="4"/>
    <s v="Formation des écoles de commerce et de management Bac + 3"/>
    <x v="0"/>
    <n v="30"/>
    <n v="34"/>
    <n v="0"/>
    <x v="2"/>
    <n v="1.1333333333333333"/>
    <n v="0"/>
    <s v="Faible"/>
  </r>
  <r>
    <s v="IDRAC Business School - Campus de PARIS"/>
    <n v="92"/>
    <s v="Hauts-de-Seine"/>
    <x v="4"/>
    <s v="Formation des écoles de commerce et de management Bac + 3"/>
    <x v="0"/>
    <n v="300"/>
    <n v="305"/>
    <n v="22"/>
    <x v="2"/>
    <n v="1.0166666666666666"/>
    <n v="7.3333333333333334E-2"/>
    <s v="Faible"/>
  </r>
  <r>
    <s v="Sup Galilée Paris"/>
    <n v="93"/>
    <s v="Seine-Saint-Denis"/>
    <x v="5"/>
    <s v="Formation d'ingénieur Bac + 5 - Bac général"/>
    <x v="0"/>
    <n v="16"/>
    <n v="6288"/>
    <n v="17"/>
    <x v="2"/>
    <n v="393"/>
    <n v="1.0625"/>
    <s v="Très forte"/>
  </r>
  <r>
    <s v="ISEN YNCREA OUEST"/>
    <n v="92"/>
    <s v="Hauts-de-Seine"/>
    <x v="5"/>
    <s v="Formation d'ingénieur Bac + 5 - Bacs généraux - 2 Sciences"/>
    <x v="0"/>
    <n v="8"/>
    <n v="1977"/>
    <n v="1"/>
    <x v="2"/>
    <n v="247.125"/>
    <n v="0.125"/>
    <s v="Très forte"/>
  </r>
  <r>
    <s v="ESEO Paris - Vélizy"/>
    <n v="78"/>
    <s v="Yvelines"/>
    <x v="5"/>
    <s v="Formation d'ingénieur Bac + 5 - Bacs généraux - 2 Sciences"/>
    <x v="0"/>
    <n v="10"/>
    <n v="2286"/>
    <n v="7"/>
    <x v="1"/>
    <n v="228.6"/>
    <n v="0.7"/>
    <s v="Très forte"/>
  </r>
  <r>
    <s v="Polytech Sorbonne"/>
    <n v="75"/>
    <s v="Paris"/>
    <x v="5"/>
    <s v="Formation d'ingénieur Bac + 5 - Bac général"/>
    <x v="0"/>
    <n v="32"/>
    <n v="6430"/>
    <n v="32"/>
    <x v="0"/>
    <n v="200.9375"/>
    <n v="1"/>
    <s v="Très forte"/>
  </r>
  <r>
    <s v="ISTY UVSQ Paris-Saclay"/>
    <n v="78"/>
    <s v="Yvelines"/>
    <x v="5"/>
    <s v="Formation d'ingénieur Bac + 5 - Bac général"/>
    <x v="0"/>
    <n v="35"/>
    <n v="6836"/>
    <n v="32"/>
    <x v="1"/>
    <n v="195.31428571428572"/>
    <n v="0.91428571428571426"/>
    <s v="Très forte"/>
  </r>
  <r>
    <s v="ESEO Paris - Vélizy"/>
    <n v="78"/>
    <s v="Yvelines"/>
    <x v="5"/>
    <s v="Formation d'ingénieur Bac + 5 - Bacs généraux - 2 Sciences"/>
    <x v="0"/>
    <n v="14"/>
    <n v="2279"/>
    <n v="3"/>
    <x v="1"/>
    <n v="162.78571428571428"/>
    <n v="0.21428571428571427"/>
    <s v="Très forte"/>
  </r>
  <r>
    <s v="ISEN YNCREA OUEST"/>
    <n v="92"/>
    <s v="Hauts-de-Seine"/>
    <x v="5"/>
    <s v="Formation d'ingénieur Bac + 5 - Bacs généraux - 2 Sciences"/>
    <x v="0"/>
    <n v="12"/>
    <n v="1705"/>
    <n v="10"/>
    <x v="2"/>
    <n v="142.08333333333334"/>
    <n v="0.83333333333333337"/>
    <s v="Très forte"/>
  </r>
  <r>
    <s v="Sup Galilée Paris"/>
    <n v="93"/>
    <s v="Seine-Saint-Denis"/>
    <x v="5"/>
    <s v="Formation d'ingénieur Bac + 5 - Bac général"/>
    <x v="0"/>
    <n v="52"/>
    <n v="7382"/>
    <n v="46"/>
    <x v="2"/>
    <n v="141.96153846153845"/>
    <n v="0.88461538461538458"/>
    <s v="Très forte"/>
  </r>
  <r>
    <s v="ISEN YNCREA OUEST"/>
    <n v="92"/>
    <s v="Hauts-de-Seine"/>
    <x v="5"/>
    <s v="Formation d'ingénieur Bac + 5 - Bacs généraux - 2 Sciences"/>
    <x v="0"/>
    <n v="20"/>
    <n v="2443"/>
    <n v="10"/>
    <x v="2"/>
    <n v="122.15"/>
    <n v="0.5"/>
    <s v="Très forte"/>
  </r>
  <r>
    <s v="ISEP Paris"/>
    <n v="75"/>
    <s v="Paris"/>
    <x v="5"/>
    <s v="Formation d'ingénieur Bac + 5 - Bacs généraux - 2 Sciences"/>
    <x v="0"/>
    <n v="25"/>
    <n v="2898"/>
    <n v="39"/>
    <x v="0"/>
    <n v="115.92"/>
    <n v="1.56"/>
    <s v="Très forte"/>
  </r>
  <r>
    <s v="ESEO Paris - Vélizy"/>
    <n v="78"/>
    <s v="Yvelines"/>
    <x v="5"/>
    <s v="Formation d'ingénieur Bac + 5 - Bacs technologiques"/>
    <x v="0"/>
    <n v="1"/>
    <n v="103"/>
    <n v="2"/>
    <x v="1"/>
    <n v="103"/>
    <n v="2"/>
    <s v="Très forte"/>
  </r>
  <r>
    <s v="Polytech Sorbonne"/>
    <n v="75"/>
    <s v="Paris"/>
    <x v="5"/>
    <s v="Formation d'ingénieur Bac + 5 - Bac général"/>
    <x v="0"/>
    <n v="145"/>
    <n v="12831"/>
    <n v="139"/>
    <x v="0"/>
    <n v="88.489655172413791"/>
    <n v="0.95862068965517244"/>
    <s v="Très forte"/>
  </r>
  <r>
    <s v="ISEP Paris"/>
    <n v="75"/>
    <s v="Paris"/>
    <x v="5"/>
    <s v="Formation d'ingénieur Bac + 5 - Bacs généraux - 2 Sciences"/>
    <x v="0"/>
    <n v="25"/>
    <n v="2175"/>
    <n v="9"/>
    <x v="0"/>
    <n v="87"/>
    <n v="0.36"/>
    <s v="Très forte"/>
  </r>
  <r>
    <s v="Polytech Paris-Saclay"/>
    <n v="91"/>
    <s v="Essonne"/>
    <x v="5"/>
    <s v="Formation d'ingénieur Bac + 5 - Bac général"/>
    <x v="0"/>
    <n v="150"/>
    <n v="12048"/>
    <n v="136"/>
    <x v="1"/>
    <n v="80.319999999999993"/>
    <n v="0.90666666666666662"/>
    <s v="Très forte"/>
  </r>
  <r>
    <s v="ESTACA Paris-Saclay (Saint-Quentin-en-Yvelines)"/>
    <n v="78"/>
    <s v="Yvelines"/>
    <x v="5"/>
    <s v="Formation d'ingénieur Bac + 5 - Voie d'accès réservée aux BAC +1 uniquement"/>
    <x v="0"/>
    <n v="5"/>
    <n v="388"/>
    <n v="4"/>
    <x v="1"/>
    <n v="77.599999999999994"/>
    <n v="0.8"/>
    <s v="Très forte"/>
  </r>
  <r>
    <s v="ESIEA Paris"/>
    <n v="94"/>
    <s v="Val-de-Marne"/>
    <x v="5"/>
    <s v="Formation d'ingénieur Bac + 5 - Bacs généraux - 2 Sciences"/>
    <x v="0"/>
    <n v="36"/>
    <n v="2566"/>
    <n v="22"/>
    <x v="2"/>
    <n v="71.277777777777771"/>
    <n v="0.61111111111111116"/>
    <s v="Très forte"/>
  </r>
  <r>
    <s v="CentraleSupélec"/>
    <n v="91"/>
    <s v="Essonne"/>
    <x v="5"/>
    <s v="Formation Bac + 3 - Bachelor en sciences et ingénierie - Ingénierie généraliste, en partenariat avec l'université Mc Gill"/>
    <x v="0"/>
    <n v="10"/>
    <n v="707"/>
    <n v="9"/>
    <x v="1"/>
    <n v="70.7"/>
    <n v="0.9"/>
    <s v="Très forte"/>
  </r>
  <r>
    <s v="EFREI Paris"/>
    <n v="94"/>
    <s v="Val-de-Marne"/>
    <x v="5"/>
    <s v="Formation d'ingénieur Bac + 5 - Bacs généraux - 2 Sciences"/>
    <x v="0"/>
    <n v="30"/>
    <n v="1859"/>
    <n v="4"/>
    <x v="2"/>
    <n v="61.966666666666669"/>
    <n v="0.13333333333333333"/>
    <s v="Très forte"/>
  </r>
  <r>
    <s v="ISEP Paris"/>
    <n v="75"/>
    <s v="Paris"/>
    <x v="5"/>
    <s v="Formation d'ingénieur Bac + 5 - Bacs généraux - 2 Sciences"/>
    <x v="0"/>
    <n v="40"/>
    <n v="2422"/>
    <n v="27"/>
    <x v="0"/>
    <n v="60.55"/>
    <n v="0.67500000000000004"/>
    <s v="Très forte"/>
  </r>
  <r>
    <s v="EFREI Paris"/>
    <n v="94"/>
    <s v="Val-de-Marne"/>
    <x v="5"/>
    <s v="Formation d'ingénieur Bac + 5 - Bacs généraux - 2 Sciences"/>
    <x v="0"/>
    <n v="30"/>
    <n v="1666"/>
    <n v="17"/>
    <x v="2"/>
    <n v="55.533333333333331"/>
    <n v="0.56666666666666665"/>
    <s v="Très forte"/>
  </r>
  <r>
    <s v="I.U.T de Villetaneuse - Université Sorbonne Paris Nord"/>
    <n v="93"/>
    <s v="Seine-Saint-Denis"/>
    <x v="5"/>
    <s v="Formation d'ingénieur Bac + 5 - bac STI2D"/>
    <x v="0"/>
    <n v="3"/>
    <n v="165"/>
    <n v="2"/>
    <x v="2"/>
    <n v="55"/>
    <n v="0.66666666666666663"/>
    <s v="Très forte"/>
  </r>
  <r>
    <s v="ISEP Paris"/>
    <n v="75"/>
    <s v="Paris"/>
    <x v="5"/>
    <s v="Formation d'ingénieur Bac + 5 - Bacs généraux - 2 Sciences"/>
    <x v="0"/>
    <n v="60"/>
    <n v="3112"/>
    <n v="46"/>
    <x v="0"/>
    <n v="51.866666666666667"/>
    <n v="0.76666666666666672"/>
    <s v="Très forte"/>
  </r>
  <r>
    <s v="ESEO Paris - Vélizy"/>
    <n v="78"/>
    <s v="Yvelines"/>
    <x v="5"/>
    <s v="Formation d'ingénieur Bac + 5 - Bacs généraux - 1 Science"/>
    <x v="0"/>
    <n v="1"/>
    <n v="51"/>
    <n v="0"/>
    <x v="1"/>
    <n v="51"/>
    <n v="0"/>
    <s v="Très forte"/>
  </r>
  <r>
    <s v="I.U.T de Villetaneuse - Université Sorbonne Paris Nord"/>
    <n v="93"/>
    <s v="Seine-Saint-Denis"/>
    <x v="5"/>
    <s v="Formation d'ingénieur Bac + 5 - bac STI2D"/>
    <x v="0"/>
    <n v="3"/>
    <n v="144"/>
    <n v="1"/>
    <x v="2"/>
    <n v="48"/>
    <n v="0.33333333333333331"/>
    <s v="Très forte"/>
  </r>
  <r>
    <s v="ESEO Paris - Vélizy"/>
    <n v="78"/>
    <s v="Yvelines"/>
    <x v="5"/>
    <s v="Formation d'ingénieur Bac + 5 - Bacs généraux - 1 Science"/>
    <x v="0"/>
    <n v="1"/>
    <n v="46"/>
    <n v="0"/>
    <x v="1"/>
    <n v="46"/>
    <n v="0"/>
    <s v="Très forte"/>
  </r>
  <r>
    <s v="IPSA Paris"/>
    <n v="94"/>
    <s v="Val-de-Marne"/>
    <x v="5"/>
    <s v="Formation d'ingénieur Bac + 5 - Bac Série générale"/>
    <x v="0"/>
    <n v="50"/>
    <n v="2023"/>
    <n v="68"/>
    <x v="2"/>
    <n v="40.46"/>
    <n v="1.36"/>
    <s v="Très forte"/>
  </r>
  <r>
    <s v="I.U.T de Villetaneuse - Université Sorbonne Paris Nord"/>
    <n v="93"/>
    <s v="Seine-Saint-Denis"/>
    <x v="5"/>
    <s v="Formation d'ingénieur Bac + 5 - bac STI2D"/>
    <x v="0"/>
    <n v="3"/>
    <n v="116"/>
    <n v="1"/>
    <x v="2"/>
    <n v="38.666666666666664"/>
    <n v="0.33333333333333331"/>
    <s v="Forte"/>
  </r>
  <r>
    <s v="ESITC Paris"/>
    <n v="94"/>
    <s v="Val-de-Marne"/>
    <x v="5"/>
    <s v="Formation d'ingénieur Bac + 5 - Bacs généraux - 2 Sciences"/>
    <x v="0"/>
    <n v="50"/>
    <n v="1866"/>
    <n v="42"/>
    <x v="2"/>
    <n v="37.32"/>
    <n v="0.84"/>
    <s v="Forte"/>
  </r>
  <r>
    <s v="I.U.T de Villetaneuse - Université Sorbonne Paris Nord"/>
    <n v="93"/>
    <s v="Seine-Saint-Denis"/>
    <x v="5"/>
    <s v="Formation d'ingénieur Bac + 5 - bac STI2D"/>
    <x v="0"/>
    <n v="3"/>
    <n v="111"/>
    <n v="0"/>
    <x v="2"/>
    <n v="37"/>
    <n v="0"/>
    <s v="Forte"/>
  </r>
  <r>
    <s v="ESME Sudria Paris"/>
    <n v="75"/>
    <s v="Paris"/>
    <x v="5"/>
    <s v="Formation d'ingénieur Bac + 5 - Bac Série générale"/>
    <x v="0"/>
    <n v="55"/>
    <n v="1886"/>
    <n v="57"/>
    <x v="0"/>
    <n v="34.290909090909089"/>
    <n v="1.0363636363636364"/>
    <s v="Forte"/>
  </r>
  <r>
    <s v="SupBiotech Paris"/>
    <n v="94"/>
    <s v="Val-de-Marne"/>
    <x v="5"/>
    <s v="Formation d'ingénieur Bac + 5 - Bac Série générale"/>
    <x v="0"/>
    <n v="36"/>
    <n v="1186"/>
    <n v="37"/>
    <x v="2"/>
    <n v="32.944444444444443"/>
    <n v="1.0277777777777777"/>
    <s v="Forte"/>
  </r>
  <r>
    <s v="ESIEA Paris"/>
    <n v="94"/>
    <s v="Val-de-Marne"/>
    <x v="5"/>
    <s v="Formation d'ingénieur Bac + 5 - Bacs généraux - 2 Sciences"/>
    <x v="0"/>
    <n v="110"/>
    <n v="3567"/>
    <n v="72"/>
    <x v="2"/>
    <n v="32.427272727272729"/>
    <n v="0.65454545454545454"/>
    <s v="Forte"/>
  </r>
  <r>
    <s v="EPF Paris-Cachan"/>
    <n v="94"/>
    <s v="Val-de-Marne"/>
    <x v="5"/>
    <s v="Formation d'ingénieur Bac + 5 - Voie d'accès réservée aux BAC +1 uniquement"/>
    <x v="0"/>
    <n v="10"/>
    <n v="324"/>
    <n v="10"/>
    <x v="2"/>
    <n v="32.4"/>
    <n v="1"/>
    <s v="Forte"/>
  </r>
  <r>
    <s v="ESTACA Paris-Saclay (Saint-Quentin-en-Yvelines)"/>
    <n v="78"/>
    <s v="Yvelines"/>
    <x v="5"/>
    <s v="Formation d'ingénieur Bac + 5 - Bac série générale avec la spécialité Maths en Terminale + une spécialité scientifique"/>
    <x v="0"/>
    <n v="230"/>
    <n v="7377"/>
    <n v="237"/>
    <x v="1"/>
    <n v="32.073913043478264"/>
    <n v="1.0304347826086957"/>
    <s v="Forte"/>
  </r>
  <r>
    <s v="ISEP Paris"/>
    <n v="75"/>
    <s v="Paris"/>
    <x v="5"/>
    <s v="Formation d'ingénieur Bac + 5 - Bacs généraux - 2 Sciences"/>
    <x v="0"/>
    <n v="85"/>
    <n v="2471"/>
    <n v="43"/>
    <x v="0"/>
    <n v="29.070588235294117"/>
    <n v="0.50588235294117645"/>
    <s v="Forte"/>
  </r>
  <r>
    <s v="ESILV - Paris la Défense"/>
    <n v="92"/>
    <s v="Hauts-de-Seine"/>
    <x v="5"/>
    <s v="Formation d'ingénieur Bac + 5 - Bac Série générale avec la spécialité Maths en Terminale + une spécialité non scientifique"/>
    <x v="0"/>
    <n v="3"/>
    <n v="87"/>
    <n v="4"/>
    <x v="2"/>
    <n v="29"/>
    <n v="1.3333333333333333"/>
    <s v="Forte"/>
  </r>
  <r>
    <s v="CY TECH - Université de Cergy-Pontoise"/>
    <n v="95"/>
    <s v="Val-d'oise"/>
    <x v="5"/>
    <s v="Formation d'ingénieur Bac + 5"/>
    <x v="0"/>
    <n v="13"/>
    <n v="376"/>
    <n v="15"/>
    <x v="1"/>
    <n v="28.923076923076923"/>
    <n v="1.1538461538461537"/>
    <s v="Forte"/>
  </r>
  <r>
    <s v="CY TECH - Université de Cergy-Pontoise"/>
    <n v="95"/>
    <s v="Val-d'oise"/>
    <x v="5"/>
    <s v="Formation d'ingénieur Bac + 5"/>
    <x v="0"/>
    <n v="13"/>
    <n v="374"/>
    <n v="13"/>
    <x v="1"/>
    <n v="28.76923076923077"/>
    <n v="1"/>
    <s v="Forte"/>
  </r>
  <r>
    <s v="ICAM Grand Paris Sud"/>
    <n v="77"/>
    <s v="Seine-et-Marne"/>
    <x v="5"/>
    <s v="Formation d'ingénieur Bac + 5"/>
    <x v="0"/>
    <n v="50"/>
    <n v="1426"/>
    <n v="51"/>
    <x v="1"/>
    <n v="28.52"/>
    <n v="1.02"/>
    <s v="Forte"/>
  </r>
  <r>
    <s v="ISEN YNCREA OUEST"/>
    <n v="92"/>
    <s v="Hauts-de-Seine"/>
    <x v="5"/>
    <s v="Formation d'ingénieur Bac + 5 - Bacs technologiques"/>
    <x v="0"/>
    <n v="4"/>
    <n v="109"/>
    <n v="0"/>
    <x v="2"/>
    <n v="27.25"/>
    <n v="0"/>
    <s v="Forte"/>
  </r>
  <r>
    <s v="I.U.T de Saint-Denis - Université Paris 13"/>
    <n v="93"/>
    <s v="Seine-Saint-Denis"/>
    <x v="5"/>
    <s v="Formation d'ingénieur Bac + 5 - bac STI2D"/>
    <x v="0"/>
    <n v="4"/>
    <n v="105"/>
    <n v="0"/>
    <x v="2"/>
    <n v="26.25"/>
    <n v="0"/>
    <s v="Forte"/>
  </r>
  <r>
    <s v="EPF Paris-Cachan"/>
    <n v="94"/>
    <s v="Val-de-Marne"/>
    <x v="5"/>
    <s v="Formation d'ingénieur Bac + 5 - Bac série générale avec la spécialité Maths en Terminale + une spécialité scientifique"/>
    <x v="0"/>
    <n v="235"/>
    <n v="6045"/>
    <n v="248"/>
    <x v="2"/>
    <n v="25.723404255319149"/>
    <n v="1.0553191489361702"/>
    <s v="Forte"/>
  </r>
  <r>
    <s v="CY TECH - Université de Cergy-Pontoise"/>
    <n v="95"/>
    <s v="Val-d'oise"/>
    <x v="5"/>
    <s v="Formation d'ingénieur Bac + 5"/>
    <x v="0"/>
    <n v="25"/>
    <n v="643"/>
    <n v="26"/>
    <x v="1"/>
    <n v="25.72"/>
    <n v="1.04"/>
    <s v="Forte"/>
  </r>
  <r>
    <s v="ESIEE Paris"/>
    <n v="93"/>
    <s v="Seine-Saint-Denis"/>
    <x v="5"/>
    <s v="Formation Bac + 3 - Bachelor Informatique et technologies de l’information, Parcours Bachelor en Economie, Sciences et Technologies multimédia (BESTm)"/>
    <x v="0"/>
    <n v="60"/>
    <n v="1521"/>
    <n v="29"/>
    <x v="2"/>
    <n v="25.35"/>
    <n v="0.48333333333333334"/>
    <s v="Forte"/>
  </r>
  <r>
    <s v="ESIEA Paris"/>
    <n v="94"/>
    <s v="Val-de-Marne"/>
    <x v="5"/>
    <s v="Formation d'ingénieur Bac + 5 - Bacs technologiques"/>
    <x v="0"/>
    <n v="6"/>
    <n v="151"/>
    <n v="2"/>
    <x v="2"/>
    <n v="25.166666666666668"/>
    <n v="0.33333333333333331"/>
    <s v="Forte"/>
  </r>
  <r>
    <s v="ICAM Grand Paris Sud"/>
    <n v="77"/>
    <s v="Seine-et-Marne"/>
    <x v="5"/>
    <s v="Formation d'ingénieur Bac + 5"/>
    <x v="0"/>
    <n v="32"/>
    <n v="788"/>
    <n v="18"/>
    <x v="1"/>
    <n v="24.625"/>
    <n v="0.5625"/>
    <s v="Forte"/>
  </r>
  <r>
    <s v="EPITA Paris"/>
    <n v="94"/>
    <s v="Val-de-Marne"/>
    <x v="5"/>
    <s v="Formation d'ingénieur Bac + 5 - Bac Série générale"/>
    <x v="0"/>
    <n v="65"/>
    <n v="1520"/>
    <n v="63"/>
    <x v="2"/>
    <n v="23.384615384615383"/>
    <n v="0.96923076923076923"/>
    <s v="Forte"/>
  </r>
  <r>
    <s v="ESIEA Paris"/>
    <n v="94"/>
    <s v="Val-de-Marne"/>
    <x v="5"/>
    <s v="Formation d'ingénieur Bac + 5 - Bacs généraux - 1 Science"/>
    <x v="0"/>
    <n v="3"/>
    <n v="68"/>
    <n v="2"/>
    <x v="2"/>
    <n v="22.666666666666668"/>
    <n v="0.66666666666666663"/>
    <s v="Forte"/>
  </r>
  <r>
    <s v="CY TECH - Université de Cergy-Pontoise"/>
    <n v="95"/>
    <s v="Val-d'oise"/>
    <x v="5"/>
    <s v="Formation d'ingénieur Bac + 5"/>
    <x v="0"/>
    <n v="30"/>
    <n v="640"/>
    <n v="33"/>
    <x v="1"/>
    <n v="21.333333333333332"/>
    <n v="1.1000000000000001"/>
    <s v="Forte"/>
  </r>
  <r>
    <s v="EFREI Paris"/>
    <n v="94"/>
    <s v="Val-de-Marne"/>
    <x v="5"/>
    <s v="Formation d'ingénieur Bac + 5 - Bacs généraux - 2 Sciences"/>
    <x v="0"/>
    <n v="180"/>
    <n v="3717"/>
    <n v="192"/>
    <x v="2"/>
    <n v="20.65"/>
    <n v="1.0666666666666667"/>
    <s v="Forte"/>
  </r>
  <r>
    <s v="ESIEA Paris"/>
    <n v="94"/>
    <s v="Val-de-Marne"/>
    <x v="5"/>
    <s v="Formation d'ingénieur Bac + 5 - Bacs généraux - 1 Science"/>
    <x v="0"/>
    <n v="5"/>
    <n v="102"/>
    <n v="1"/>
    <x v="2"/>
    <n v="20.399999999999999"/>
    <n v="0.2"/>
    <s v="Forte"/>
  </r>
  <r>
    <s v="CY TECH - Université de Cergy-Pontoise"/>
    <n v="95"/>
    <s v="Val-d'oise"/>
    <x v="5"/>
    <s v="Formation d'ingénieur Bac + 5 - Double diplôme : ingénieur CY Tech + diplôme établissement partenaire"/>
    <x v="0"/>
    <n v="20"/>
    <n v="408"/>
    <n v="21"/>
    <x v="1"/>
    <n v="20.399999999999999"/>
    <n v="1.05"/>
    <s v="Forte"/>
  </r>
  <r>
    <s v="EPITA Paris"/>
    <n v="94"/>
    <s v="Val-de-Marne"/>
    <x v="5"/>
    <s v="Formation d'ingénieur Bac + 5 - Bac Série générale"/>
    <x v="0"/>
    <n v="86"/>
    <n v="1746"/>
    <n v="65"/>
    <x v="2"/>
    <n v="20.302325581395348"/>
    <n v="0.7558139534883721"/>
    <s v="Forte"/>
  </r>
  <r>
    <s v="Lycée La Salle Passy Buzenval"/>
    <n v="92"/>
    <s v="Hauts-de-Seine"/>
    <x v="5"/>
    <s v="Formation d'ingénieur Bac + 5 - Série générale"/>
    <x v="0"/>
    <n v="48"/>
    <n v="964"/>
    <n v="51"/>
    <x v="2"/>
    <n v="20.083333333333332"/>
    <n v="1.0625"/>
    <s v="Forte"/>
  </r>
  <r>
    <s v="ESIEA Paris"/>
    <n v="94"/>
    <s v="Val-de-Marne"/>
    <x v="5"/>
    <s v="Formation Bac + 3"/>
    <x v="0"/>
    <n v="28"/>
    <n v="551"/>
    <n v="28"/>
    <x v="2"/>
    <n v="19.678571428571427"/>
    <n v="1"/>
    <s v="Modérée"/>
  </r>
  <r>
    <s v="EFREI Paris"/>
    <n v="94"/>
    <s v="Val-de-Marne"/>
    <x v="5"/>
    <s v="Formation d'ingénieur Bac + 5 - Bacs généraux - 2 Sciences"/>
    <x v="0"/>
    <n v="120"/>
    <n v="2234"/>
    <n v="103"/>
    <x v="2"/>
    <n v="18.616666666666667"/>
    <n v="0.85833333333333328"/>
    <s v="Modérée"/>
  </r>
  <r>
    <s v="ESILV - Paris la Défense"/>
    <n v="92"/>
    <s v="Hauts-de-Seine"/>
    <x v="5"/>
    <s v="Formation d'ingénieur Bac + 5 - Bac série générale avec la spécialité Maths en Terminale + une spécialité scientifique"/>
    <x v="0"/>
    <n v="387"/>
    <n v="7146"/>
    <n v="397"/>
    <x v="2"/>
    <n v="18.465116279069768"/>
    <n v="1.0258397932816536"/>
    <s v="Modérée"/>
  </r>
  <r>
    <s v="CY TECH - Université de Cergy-Pontoise"/>
    <n v="95"/>
    <s v="Val-d'oise"/>
    <x v="5"/>
    <s v="Formation d'ingénieur Bac + 5"/>
    <x v="0"/>
    <n v="25"/>
    <n v="461"/>
    <n v="30"/>
    <x v="1"/>
    <n v="18.440000000000001"/>
    <n v="1.2"/>
    <s v="Modérée"/>
  </r>
  <r>
    <s v="EPITA Paris"/>
    <n v="94"/>
    <s v="Val-de-Marne"/>
    <x v="5"/>
    <s v="Formation Bac + 3"/>
    <x v="0"/>
    <n v="20"/>
    <n v="356"/>
    <n v="3"/>
    <x v="2"/>
    <n v="17.8"/>
    <n v="0.15"/>
    <s v="Modérée"/>
  </r>
  <r>
    <s v="EFREI Paris"/>
    <n v="94"/>
    <s v="Val-de-Marne"/>
    <x v="5"/>
    <s v="Formation Bac + 3"/>
    <x v="0"/>
    <n v="30"/>
    <n v="534"/>
    <n v="18"/>
    <x v="2"/>
    <n v="17.8"/>
    <n v="0.6"/>
    <s v="Modérée"/>
  </r>
  <r>
    <s v="CY TECH - Université de Cergy-Pontoise"/>
    <n v="95"/>
    <s v="Val-d'oise"/>
    <x v="5"/>
    <s v="Formation d'ingénieur Bac + 5"/>
    <x v="0"/>
    <n v="50"/>
    <n v="849"/>
    <n v="53"/>
    <x v="1"/>
    <n v="16.98"/>
    <n v="1.06"/>
    <s v="Modérée"/>
  </r>
  <r>
    <s v="EFREI Paris"/>
    <n v="94"/>
    <s v="Val-de-Marne"/>
    <x v="5"/>
    <s v="Formation Bac + 3"/>
    <x v="0"/>
    <n v="30"/>
    <n v="508"/>
    <n v="34"/>
    <x v="2"/>
    <n v="16.933333333333334"/>
    <n v="1.1333333333333333"/>
    <s v="Modérée"/>
  </r>
  <r>
    <s v="Ecole Nationale Supérieure de l'Electronique et de ses Applications"/>
    <n v="95"/>
    <s v="Val-d'oise"/>
    <x v="5"/>
    <s v="Formation Bac + 3 - Bachelor en sciences et ingénierie - technologies de l'information et société"/>
    <x v="0"/>
    <n v="32"/>
    <n v="527"/>
    <n v="25"/>
    <x v="1"/>
    <n v="16.46875"/>
    <n v="0.78125"/>
    <s v="Modérée"/>
  </r>
  <r>
    <s v="EBI"/>
    <n v="95"/>
    <s v="Val-d'oise"/>
    <x v="5"/>
    <s v="Formation d'ingénieur Bac + 5 - Bacs généraux - 2 Sciences"/>
    <x v="0"/>
    <n v="120"/>
    <n v="1962"/>
    <n v="99"/>
    <x v="1"/>
    <n v="16.350000000000001"/>
    <n v="0.82499999999999996"/>
    <s v="Modérée"/>
  </r>
  <r>
    <s v="EBI"/>
    <n v="95"/>
    <s v="Val-d'oise"/>
    <x v="5"/>
    <s v="Formation d'ingénieur Bac + 5 - Bacs technologiques"/>
    <x v="0"/>
    <n v="3"/>
    <n v="49"/>
    <n v="3"/>
    <x v="1"/>
    <n v="16.333333333333332"/>
    <n v="1"/>
    <s v="Modérée"/>
  </r>
  <r>
    <s v="ESME Sudria Paris"/>
    <n v="75"/>
    <s v="Paris"/>
    <x v="5"/>
    <s v="Formation d'ingénieur Bac + 5 - Bac Série générale"/>
    <x v="0"/>
    <n v="200"/>
    <n v="3254"/>
    <n v="225"/>
    <x v="0"/>
    <n v="16.27"/>
    <n v="1.125"/>
    <s v="Modérée"/>
  </r>
  <r>
    <s v="ESIEE Paris"/>
    <n v="93"/>
    <s v="Seine-Saint-Denis"/>
    <x v="5"/>
    <s v="Formation d'ingénieur Bac + 5 - Bacs généraux - 2 Sciences"/>
    <x v="0"/>
    <n v="250"/>
    <n v="3927"/>
    <n v="256"/>
    <x v="2"/>
    <n v="15.708"/>
    <n v="1.024"/>
    <s v="Modérée"/>
  </r>
  <r>
    <s v="IPSA Paris"/>
    <n v="94"/>
    <s v="Val-de-Marne"/>
    <x v="5"/>
    <s v="Formation d'ingénieur Bac + 5 - Bac Série générale"/>
    <x v="0"/>
    <n v="220"/>
    <n v="3439"/>
    <n v="325"/>
    <x v="2"/>
    <n v="15.631818181818181"/>
    <n v="1.4772727272727273"/>
    <s v="Modérée"/>
  </r>
  <r>
    <s v="SupBiotech Paris"/>
    <n v="94"/>
    <s v="Val-de-Marne"/>
    <x v="5"/>
    <s v="Formation d'ingénieur Bac + 5 - Bac Série générale"/>
    <x v="0"/>
    <n v="120"/>
    <n v="1825"/>
    <n v="125"/>
    <x v="2"/>
    <n v="15.208333333333334"/>
    <n v="1.0416666666666667"/>
    <s v="Modérée"/>
  </r>
  <r>
    <s v="ISEP Paris"/>
    <n v="75"/>
    <s v="Paris"/>
    <x v="5"/>
    <s v="Formation d'ingénieur Bac + 5 - Bacs technologiques"/>
    <x v="0"/>
    <n v="10"/>
    <n v="148"/>
    <n v="11"/>
    <x v="0"/>
    <n v="14.8"/>
    <n v="1.1000000000000001"/>
    <s v="Modérée"/>
  </r>
  <r>
    <s v="ESITC Paris"/>
    <n v="94"/>
    <s v="Val-de-Marne"/>
    <x v="5"/>
    <s v="Formation d'ingénieur Bac + 5 - Bacs technologiques"/>
    <x v="0"/>
    <n v="5"/>
    <n v="72"/>
    <n v="4"/>
    <x v="2"/>
    <n v="14.4"/>
    <n v="0.8"/>
    <s v="Modérée"/>
  </r>
  <r>
    <s v="EPITA Paris"/>
    <n v="94"/>
    <s v="Val-de-Marne"/>
    <x v="5"/>
    <s v="Formation Bac + 3"/>
    <x v="0"/>
    <n v="30"/>
    <n v="432"/>
    <n v="33"/>
    <x v="2"/>
    <n v="14.4"/>
    <n v="1.1000000000000001"/>
    <s v="Modérée"/>
  </r>
  <r>
    <s v="ICAM Grand Paris Sud"/>
    <n v="77"/>
    <s v="Seine-et-Marne"/>
    <x v="5"/>
    <s v="Formation d'ingénieur Bac + 5"/>
    <x v="0"/>
    <n v="60"/>
    <n v="863"/>
    <n v="62"/>
    <x v="1"/>
    <n v="14.383333333333333"/>
    <n v="1.0333333333333334"/>
    <s v="Modérée"/>
  </r>
  <r>
    <s v="ISEP Paris"/>
    <n v="75"/>
    <s v="Paris"/>
    <x v="5"/>
    <s v="Formation Bac + 3"/>
    <x v="0"/>
    <n v="35"/>
    <n v="493"/>
    <n v="34"/>
    <x v="0"/>
    <n v="14.085714285714285"/>
    <n v="0.97142857142857142"/>
    <s v="Modérée"/>
  </r>
  <r>
    <s v="ESILV - Paris la Défense"/>
    <n v="92"/>
    <s v="Hauts-de-Seine"/>
    <x v="5"/>
    <s v="Formation Bac + 3 - Bachelors - Bacs séries générale, STI2D, STAV, STL, ST2S, bacs pros identifiés"/>
    <x v="0"/>
    <n v="25"/>
    <n v="334"/>
    <n v="20"/>
    <x v="2"/>
    <n v="13.36"/>
    <n v="0.8"/>
    <s v="Modérée"/>
  </r>
  <r>
    <s v="ECE Paris"/>
    <n v="75"/>
    <s v="Paris"/>
    <x v="5"/>
    <s v="Formation d'ingénieur Bac + 5 - Bac série générale avec la spécialité Maths en Terminale + une spécialité scientifique"/>
    <x v="0"/>
    <n v="495"/>
    <n v="6452"/>
    <n v="490"/>
    <x v="0"/>
    <n v="13.034343434343434"/>
    <n v="0.98989898989898994"/>
    <s v="Modérée"/>
  </r>
  <r>
    <s v="EPITA Paris"/>
    <n v="94"/>
    <s v="Val-de-Marne"/>
    <x v="5"/>
    <s v="Formation d'ingénieur Bac + 5 - Bac Série générale"/>
    <x v="0"/>
    <n v="240"/>
    <n v="2894"/>
    <n v="306"/>
    <x v="2"/>
    <n v="12.058333333333334"/>
    <n v="1.2749999999999999"/>
    <s v="Modérée"/>
  </r>
  <r>
    <s v="ISEN YNCREA OUEST"/>
    <n v="92"/>
    <s v="Hauts-de-Seine"/>
    <x v="5"/>
    <s v="Formation d'ingénieur Bac + 5 - Bacs généraux - 1 Science"/>
    <x v="0"/>
    <n v="5"/>
    <n v="60"/>
    <n v="0"/>
    <x v="2"/>
    <n v="12"/>
    <n v="0"/>
    <s v="Modérée"/>
  </r>
  <r>
    <s v="ESME Sudria"/>
    <n v="75"/>
    <s v="Paris"/>
    <x v="5"/>
    <s v="Formation Bac + 3 - Bachelor en sciences et ingénierie"/>
    <x v="0"/>
    <n v="25"/>
    <n v="294"/>
    <n v="12"/>
    <x v="0"/>
    <n v="11.76"/>
    <n v="0.48"/>
    <s v="Modérée"/>
  </r>
  <r>
    <s v="ESILV - Paris la Défense"/>
    <n v="92"/>
    <s v="Hauts-de-Seine"/>
    <x v="5"/>
    <s v="Formation Bac + 3 - Bachelors - Bacs séries générale, STI2D, STAV, STL, ST2S, bacs pros identifiés"/>
    <x v="0"/>
    <n v="55"/>
    <n v="575"/>
    <n v="64"/>
    <x v="2"/>
    <n v="10.454545454545455"/>
    <n v="1.1636363636363636"/>
    <s v="Modérée"/>
  </r>
  <r>
    <s v="ESIEE Paris"/>
    <n v="93"/>
    <s v="Seine-Saint-Denis"/>
    <x v="5"/>
    <s v="Formation d'ingénieur Bac + 5 - Bacs technologiques"/>
    <x v="0"/>
    <n v="15"/>
    <n v="154"/>
    <n v="15"/>
    <x v="2"/>
    <n v="10.266666666666667"/>
    <n v="1"/>
    <s v="Modérée"/>
  </r>
  <r>
    <s v="ESILV - Paris la Défense"/>
    <n v="92"/>
    <s v="Hauts-de-Seine"/>
    <x v="5"/>
    <s v="Formation d'ingénieur Bac + 5 - Bac Série STI2D"/>
    <x v="0"/>
    <n v="25"/>
    <n v="255"/>
    <n v="27"/>
    <x v="2"/>
    <n v="10.199999999999999"/>
    <n v="1.08"/>
    <s v="Modérée"/>
  </r>
  <r>
    <s v="ESIEE Paris"/>
    <n v="93"/>
    <s v="Seine-Saint-Denis"/>
    <x v="5"/>
    <s v="Formation d'ingénieur Bac + 5 - Bacs généraux - 1 Science"/>
    <x v="0"/>
    <n v="10"/>
    <n v="101"/>
    <n v="6"/>
    <x v="2"/>
    <n v="10.1"/>
    <n v="0.6"/>
    <s v="Modérée"/>
  </r>
  <r>
    <s v="ESILV - Paris la Défense"/>
    <n v="92"/>
    <s v="Hauts-de-Seine"/>
    <x v="5"/>
    <s v="Formation d'ingénieur Bac + 5 - Voie d'accès réservée aux BAC +1 uniquement"/>
    <x v="0"/>
    <n v="40"/>
    <n v="398"/>
    <n v="34"/>
    <x v="2"/>
    <n v="9.9499999999999993"/>
    <n v="0.85"/>
    <s v="Faible"/>
  </r>
  <r>
    <s v="ESIEE-IT - CCI PARIS ILE DE FRANCE - Pontoise"/>
    <n v="95"/>
    <s v="Val-d'oise"/>
    <x v="5"/>
    <s v="Formation d'ingénieur Bac + 5"/>
    <x v="0"/>
    <n v="70"/>
    <n v="671"/>
    <n v="46"/>
    <x v="1"/>
    <n v="9.5857142857142854"/>
    <n v="0.65714285714285714"/>
    <s v="Faible"/>
  </r>
  <r>
    <s v="ISEP Paris"/>
    <n v="75"/>
    <s v="Paris"/>
    <x v="5"/>
    <s v="Formation Bac + 3"/>
    <x v="0"/>
    <n v="25"/>
    <n v="237"/>
    <n v="16"/>
    <x v="0"/>
    <n v="9.48"/>
    <n v="0.64"/>
    <s v="Faible"/>
  </r>
  <r>
    <s v="ISEP Paris"/>
    <n v="75"/>
    <s v="Paris"/>
    <x v="5"/>
    <s v="Formation d'ingénieur Bac + 5 - Bacs généraux - 1 Science"/>
    <x v="0"/>
    <n v="10"/>
    <n v="89"/>
    <n v="4"/>
    <x v="0"/>
    <n v="8.9"/>
    <n v="0.4"/>
    <s v="Faible"/>
  </r>
  <r>
    <s v="CESI Ecole d’Ingénieurs"/>
    <n v="92"/>
    <s v="Hauts-de-Seine"/>
    <x v="5"/>
    <s v="Formation d'ingénieur Bac + 5 - Cycle Préparatoire Intégré - Spécialité Généraliste, BTP, Informatique, Systèmes embarqués"/>
    <x v="0"/>
    <n v="170"/>
    <n v="1500"/>
    <n v="114"/>
    <x v="2"/>
    <n v="8.8235294117647065"/>
    <n v="0.6705882352941176"/>
    <s v="Faible"/>
  </r>
  <r>
    <s v="EBI"/>
    <n v="95"/>
    <s v="Val-d'oise"/>
    <x v="5"/>
    <s v="Formation d'ingénieur Bac + 5 - Bacs généraux - 1 Science"/>
    <x v="0"/>
    <n v="4"/>
    <n v="35"/>
    <n v="2"/>
    <x v="1"/>
    <n v="8.75"/>
    <n v="0.5"/>
    <s v="Faible"/>
  </r>
  <r>
    <s v="ESEO Paris - Vélizy"/>
    <n v="78"/>
    <s v="Yvelines"/>
    <x v="5"/>
    <s v="Formation d'ingénieur Bac + 5 - Bacs technologiques"/>
    <x v="0"/>
    <n v="10"/>
    <n v="87"/>
    <n v="0"/>
    <x v="1"/>
    <n v="8.6999999999999993"/>
    <n v="0"/>
    <s v="Faible"/>
  </r>
  <r>
    <s v="EFREI Paris"/>
    <n v="94"/>
    <s v="Val-de-Marne"/>
    <x v="5"/>
    <s v="Formation Bac + 3 - Bachelor Cybersécurité et Ethical Hacking"/>
    <x v="0"/>
    <n v="70"/>
    <n v="598"/>
    <n v="68"/>
    <x v="2"/>
    <n v="8.5428571428571427"/>
    <n v="0.97142857142857142"/>
    <s v="Faible"/>
  </r>
  <r>
    <s v="CY TECH - Université de Cergy-Pontoise"/>
    <n v="95"/>
    <s v="Val-d'oise"/>
    <x v="5"/>
    <s v="Formation d'ingénieur Bac + 5"/>
    <x v="0"/>
    <n v="111"/>
    <n v="932"/>
    <n v="116"/>
    <x v="1"/>
    <n v="8.3963963963963959"/>
    <n v="1.045045045045045"/>
    <s v="Faible"/>
  </r>
  <r>
    <s v="EPF Paris-Cachan"/>
    <n v="94"/>
    <s v="Val-de-Marne"/>
    <x v="5"/>
    <s v="Formation Bac + 3 - Bachelors - Bacs séries générale, STI2D, STAV, STL, ST2S, bacs pros identifiés"/>
    <x v="0"/>
    <n v="28"/>
    <n v="227"/>
    <n v="6"/>
    <x v="2"/>
    <n v="8.1071428571428577"/>
    <n v="0.21428571428571427"/>
    <s v="Faible"/>
  </r>
  <r>
    <s v="ESITC Paris"/>
    <n v="94"/>
    <s v="Val-de-Marne"/>
    <x v="5"/>
    <s v="Formation d'ingénieur Bac + 5 - Bacs généraux - 1 Science"/>
    <x v="0"/>
    <n v="5"/>
    <n v="40"/>
    <n v="5"/>
    <x v="2"/>
    <n v="8"/>
    <n v="1"/>
    <s v="Faible"/>
  </r>
  <r>
    <s v="ECE Paris"/>
    <n v="75"/>
    <s v="Paris"/>
    <x v="5"/>
    <s v="Formation d'ingénieur Bac + 5 - Voie d'accès réservée aux BAC +1 uniquement"/>
    <x v="0"/>
    <n v="50"/>
    <n v="396"/>
    <n v="37"/>
    <x v="0"/>
    <n v="7.92"/>
    <n v="0.74"/>
    <s v="Faible"/>
  </r>
  <r>
    <s v="Sciences Po Saint-Germain-en-Laye – Institut d'études politiques"/>
    <n v="78"/>
    <s v="Yvelines"/>
    <x v="5"/>
    <s v="Formation d'ingénieur Bac + 5 - Double diplôme : ingénieur CY Tech + diplôme établissement partenaire"/>
    <x v="0"/>
    <n v="25"/>
    <n v="196"/>
    <n v="12"/>
    <x v="1"/>
    <n v="7.84"/>
    <n v="0.48"/>
    <s v="Faible"/>
  </r>
  <r>
    <s v="EBI"/>
    <n v="95"/>
    <s v="Val-d'oise"/>
    <x v="5"/>
    <s v="Formation Bac + 3"/>
    <x v="0"/>
    <n v="25"/>
    <n v="190"/>
    <n v="10"/>
    <x v="1"/>
    <n v="7.6"/>
    <n v="0.4"/>
    <s v="Faible"/>
  </r>
  <r>
    <s v="ESILV - Paris la Défense"/>
    <n v="92"/>
    <s v="Hauts-de-Seine"/>
    <x v="5"/>
    <s v="Formation Bac + 3 - Bachelors - Voie d'accès réservée aux BAC +1 uniquement"/>
    <x v="0"/>
    <n v="10"/>
    <n v="76"/>
    <n v="7"/>
    <x v="2"/>
    <n v="7.6"/>
    <n v="0.7"/>
    <s v="Faible"/>
  </r>
  <r>
    <s v="ECE Paris"/>
    <n v="75"/>
    <s v="Paris"/>
    <x v="5"/>
    <s v="Formation d'ingénieur Bac + 5 - Bac Série STI2D"/>
    <x v="0"/>
    <n v="30"/>
    <n v="226"/>
    <n v="32"/>
    <x v="0"/>
    <n v="7.5333333333333332"/>
    <n v="1.0666666666666667"/>
    <s v="Faible"/>
  </r>
  <r>
    <s v="ECAM EPMI"/>
    <n v="95"/>
    <s v="Val-d'oise"/>
    <x v="5"/>
    <s v="Formation d'ingénieur Bac + 5 - Série générale"/>
    <x v="0"/>
    <n v="120"/>
    <n v="892"/>
    <n v="74"/>
    <x v="1"/>
    <n v="7.4333333333333336"/>
    <n v="0.6166666666666667"/>
    <s v="Faible"/>
  </r>
  <r>
    <s v="ECAM-EPMI site de Cachan"/>
    <n v="94"/>
    <s v="Val-de-Marne"/>
    <x v="5"/>
    <s v="Formation d'ingénieur Bac + 5 - Série générale"/>
    <x v="0"/>
    <n v="120"/>
    <n v="810"/>
    <n v="30"/>
    <x v="2"/>
    <n v="6.75"/>
    <n v="0.25"/>
    <s v="Faible"/>
  </r>
  <r>
    <s v="EPITA Paris"/>
    <n v="94"/>
    <s v="Val-de-Marne"/>
    <x v="5"/>
    <s v="Formation Bac + 3"/>
    <x v="0"/>
    <n v="95"/>
    <n v="602"/>
    <n v="49"/>
    <x v="2"/>
    <n v="6.3368421052631581"/>
    <n v="0.51578947368421058"/>
    <s v="Faible"/>
  </r>
  <r>
    <s v="EFREI Paris"/>
    <n v="94"/>
    <s v="Val-de-Marne"/>
    <x v="5"/>
    <s v="Formation Bac + 3 - Bachelor Développeur web et application"/>
    <x v="0"/>
    <n v="60"/>
    <n v="365"/>
    <n v="34"/>
    <x v="2"/>
    <n v="6.083333333333333"/>
    <n v="0.56666666666666665"/>
    <s v="Faible"/>
  </r>
  <r>
    <s v="EPF Paris-Cachan"/>
    <n v="94"/>
    <s v="Val-de-Marne"/>
    <x v="5"/>
    <s v="Formation Bac + 3 - Bachelors - Voie d'accès réservée aux BAC +1 uniquement"/>
    <x v="0"/>
    <n v="5"/>
    <n v="30"/>
    <n v="0"/>
    <x v="2"/>
    <n v="6"/>
    <n v="0"/>
    <s v="Faible"/>
  </r>
  <r>
    <s v="ESME Sudria"/>
    <n v="75"/>
    <s v="Paris"/>
    <x v="5"/>
    <s v="Formation Bac + 3 - Bachelor en sciences et ingénierie"/>
    <x v="0"/>
    <n v="40"/>
    <n v="232"/>
    <n v="6"/>
    <x v="0"/>
    <n v="5.8"/>
    <n v="0.15"/>
    <s v="Faible"/>
  </r>
  <r>
    <s v="Lycée La Salle Passy Buzenval"/>
    <n v="92"/>
    <s v="Hauts-de-Seine"/>
    <x v="5"/>
    <s v="Formation d'ingénieur Bac + 5 - Série STI2D"/>
    <x v="0"/>
    <n v="24"/>
    <n v="136"/>
    <n v="18"/>
    <x v="2"/>
    <n v="5.666666666666667"/>
    <n v="0.75"/>
    <s v="Faible"/>
  </r>
  <r>
    <s v="SupBiotech Paris"/>
    <n v="94"/>
    <s v="Val-de-Marne"/>
    <x v="5"/>
    <s v="Formation Bac + 3 - Bachelor en Sciences et Ingénierie - Biotechnologies"/>
    <x v="0"/>
    <n v="30"/>
    <n v="167"/>
    <n v="24"/>
    <x v="2"/>
    <n v="5.5666666666666664"/>
    <n v="0.8"/>
    <s v="Faible"/>
  </r>
  <r>
    <s v="CY Ecole de Design"/>
    <n v="78"/>
    <s v="Yvelines"/>
    <x v="5"/>
    <s v="Formation d'ingénieur Bac + 5 - Double diplôme : ingénieur CY Tech + diplôme établissement partenaire"/>
    <x v="0"/>
    <n v="38"/>
    <n v="211"/>
    <n v="35"/>
    <x v="1"/>
    <n v="5.5526315789473681"/>
    <n v="0.92105263157894735"/>
    <s v="Faible"/>
  </r>
  <r>
    <s v="EPF Paris-Cachan"/>
    <n v="94"/>
    <s v="Val-de-Marne"/>
    <x v="5"/>
    <s v="Formation d'ingénieur Bac + 5 - Bac Série générale"/>
    <x v="0"/>
    <n v="20"/>
    <n v="111"/>
    <n v="22"/>
    <x v="2"/>
    <n v="5.55"/>
    <n v="1.1000000000000001"/>
    <s v="Faible"/>
  </r>
  <r>
    <s v="EPF Paris-Cachan"/>
    <n v="94"/>
    <s v="Val-de-Marne"/>
    <x v="5"/>
    <s v="Formation d'ingénieur Bac + 5 - Bac Série générale avec la spécialité Maths en Terminale + une spécialité non scientifique"/>
    <x v="0"/>
    <n v="15"/>
    <n v="81"/>
    <n v="6"/>
    <x v="2"/>
    <n v="5.4"/>
    <n v="0.4"/>
    <s v="Faible"/>
  </r>
  <r>
    <s v="EFREI Paris"/>
    <n v="94"/>
    <s v="Val-de-Marne"/>
    <x v="5"/>
    <s v="Formation d'ingénieur Bac + 5 - Bacs technologiques"/>
    <x v="0"/>
    <n v="32"/>
    <n v="158"/>
    <n v="20"/>
    <x v="2"/>
    <n v="4.9375"/>
    <n v="0.625"/>
    <s v="Faible"/>
  </r>
  <r>
    <s v="ECE Paris"/>
    <n v="75"/>
    <s v="Paris"/>
    <x v="5"/>
    <s v="Formation d'ingénieur Bac + 5 - Bac Série générale avec la spécialité Maths en Terminale + une spécialité non scientifique"/>
    <x v="0"/>
    <n v="20"/>
    <n v="92"/>
    <n v="20"/>
    <x v="0"/>
    <n v="4.5999999999999996"/>
    <n v="1"/>
    <s v="Faible"/>
  </r>
  <r>
    <s v="ESILV - Paris la Défense"/>
    <n v="92"/>
    <s v="Hauts-de-Seine"/>
    <x v="5"/>
    <s v="Formation Bac + 3 - Bachelors - Voie d'accès réservée aux BAC +1 uniquement"/>
    <x v="0"/>
    <n v="10"/>
    <n v="45"/>
    <n v="4"/>
    <x v="2"/>
    <n v="4.5"/>
    <n v="0.4"/>
    <s v="Faible"/>
  </r>
  <r>
    <s v="EPF Paris-Cachan"/>
    <n v="94"/>
    <s v="Val-de-Marne"/>
    <x v="5"/>
    <s v="Formation d'ingénieur Bac + 5 - Bac Série générale - Programme ParityLab – procédure réservée aux candidates féminines"/>
    <x v="0"/>
    <n v="25"/>
    <n v="105"/>
    <n v="23"/>
    <x v="2"/>
    <n v="4.2"/>
    <n v="0.92"/>
    <s v="Faible"/>
  </r>
  <r>
    <s v="EPF Paris-Cachan"/>
    <n v="94"/>
    <s v="Val-de-Marne"/>
    <x v="5"/>
    <s v="Formation d'ingénieur Bac + 5 - Bac Série générale"/>
    <x v="0"/>
    <n v="20"/>
    <n v="74"/>
    <n v="16"/>
    <x v="2"/>
    <n v="3.7"/>
    <n v="0.8"/>
    <s v="Faible"/>
  </r>
  <r>
    <s v="ECE Paris"/>
    <n v="75"/>
    <s v="Paris"/>
    <x v="5"/>
    <s v="Formation d'ingénieur Bac + 5 - Bac Série générale avec 2 spécialités scientifiques mais sans la spécialité Maths en Terminale"/>
    <x v="0"/>
    <n v="15"/>
    <n v="51"/>
    <n v="10"/>
    <x v="0"/>
    <n v="3.4"/>
    <n v="0.66666666666666663"/>
    <s v="Faible"/>
  </r>
  <r>
    <s v="ECAM EPMI"/>
    <n v="95"/>
    <s v="Val-d'oise"/>
    <x v="5"/>
    <s v="Formation d'ingénieur Bac + 5 - Série STI2D"/>
    <x v="0"/>
    <n v="35"/>
    <n v="113"/>
    <n v="10"/>
    <x v="1"/>
    <n v="3.2285714285714286"/>
    <n v="0.2857142857142857"/>
    <s v="Faible"/>
  </r>
  <r>
    <s v="EFREI Paris"/>
    <n v="94"/>
    <s v="Val-de-Marne"/>
    <x v="5"/>
    <s v="Formation d'ingénieur Bac + 5 - Bacs généraux - 1 Science"/>
    <x v="0"/>
    <n v="32"/>
    <n v="102"/>
    <n v="24"/>
    <x v="2"/>
    <n v="3.1875"/>
    <n v="0.75"/>
    <s v="Faible"/>
  </r>
  <r>
    <s v="ECAM-EPMI site de Cachan"/>
    <n v="94"/>
    <s v="Val-de-Marne"/>
    <x v="5"/>
    <s v="Formation d'ingénieur Bac + 5 - Série STI2D"/>
    <x v="0"/>
    <n v="35"/>
    <n v="100"/>
    <n v="8"/>
    <x v="2"/>
    <n v="2.8571428571428572"/>
    <n v="0.22857142857142856"/>
    <s v="Faible"/>
  </r>
  <r>
    <s v="ESA - Ecole Supérieure des Agricultures (Paris-St Quentin)"/>
    <n v="78"/>
    <s v="Yvelines"/>
    <x v="5"/>
    <s v="Formation d'ingénieur Bac + 5 - Bacs généraux"/>
    <x v="0"/>
    <n v="80"/>
    <n v="207"/>
    <n v="14"/>
    <x v="1"/>
    <n v="2.5874999999999999"/>
    <n v="0.17499999999999999"/>
    <s v="Faible"/>
  </r>
  <r>
    <s v="SupBiotech Paris"/>
    <n v="94"/>
    <s v="Val-de-Marne"/>
    <x v="5"/>
    <s v="Formation d'ingénieur Bac + 5 - Bac STL"/>
    <x v="0"/>
    <n v="10"/>
    <n v="24"/>
    <n v="4"/>
    <x v="2"/>
    <n v="2.4"/>
    <n v="0.4"/>
    <s v="Faible"/>
  </r>
  <r>
    <s v="ESA - Ecole Supérieure des Agricultures (Paris-St Quentin)"/>
    <n v="78"/>
    <s v="Yvelines"/>
    <x v="5"/>
    <s v="Formation Bac + 3 - Bachelor en sciences et ingénierie, spécialité Agroécologie et Systèmes Alimentaires"/>
    <x v="0"/>
    <n v="25"/>
    <n v="57"/>
    <n v="0"/>
    <x v="1"/>
    <n v="2.2799999999999998"/>
    <n v="0"/>
    <s v="Faible"/>
  </r>
  <r>
    <s v="ESA - Ecole Supérieure des Agricultures (Paris-St Quentin)"/>
    <n v="78"/>
    <s v="Yvelines"/>
    <x v="5"/>
    <s v="Formation d'ingénieur Bac + 5 - Bacs technologiques"/>
    <x v="0"/>
    <n v="20"/>
    <n v="15"/>
    <n v="1"/>
    <x v="1"/>
    <n v="0.75"/>
    <n v="0.05"/>
    <s v="Faible"/>
  </r>
  <r>
    <s v="Lycée La Salle Passy Buzenval"/>
    <n v="92"/>
    <s v="Hauts-de-Seine"/>
    <x v="5"/>
    <s v="Formation d'ingénieur Bac + 5 - Autres Séries"/>
    <x v="0"/>
    <n v="4"/>
    <n v="2"/>
    <n v="0"/>
    <x v="2"/>
    <n v="0.5"/>
    <n v="0"/>
    <s v="Faible"/>
  </r>
  <r>
    <s v="ECAM EPMI"/>
    <n v="95"/>
    <s v="Val-d'oise"/>
    <x v="5"/>
    <s v="Formation d'ingénieur Bac + 5 - Autres Séries"/>
    <x v="0"/>
    <n v="20"/>
    <n v="2"/>
    <n v="0"/>
    <x v="1"/>
    <n v="0.1"/>
    <n v="0"/>
    <s v="Faible"/>
  </r>
  <r>
    <s v="ECAM-EPMI site de Cachan"/>
    <n v="94"/>
    <s v="Val-de-Marne"/>
    <x v="5"/>
    <s v="Formation d'ingénieur Bac + 5 - Autres Séries"/>
    <x v="0"/>
    <n v="20"/>
    <n v="2"/>
    <n v="0"/>
    <x v="2"/>
    <n v="0.1"/>
    <n v="0"/>
    <s v="Faible"/>
  </r>
  <r>
    <s v="Lycée Pierre Brossolette"/>
    <n v="94"/>
    <s v="Val-de-Marne"/>
    <x v="6"/>
    <s v="D.E Educateur Spécialisé"/>
    <x v="0"/>
    <n v="18"/>
    <n v="1430"/>
    <n v="14"/>
    <x v="2"/>
    <n v="79.444444444444443"/>
    <n v="0.77777777777777779"/>
    <s v="Très forte"/>
  </r>
  <r>
    <s v="ETSUP"/>
    <n v="75"/>
    <s v="Paris"/>
    <x v="6"/>
    <s v="D.E Educateur Spécialisé"/>
    <x v="0"/>
    <n v="25"/>
    <n v="776"/>
    <n v="0"/>
    <x v="0"/>
    <n v="31.04"/>
    <n v="0"/>
    <s v="Forte"/>
  </r>
  <r>
    <s v="Ecole de service social de la CRAMIF"/>
    <n v="75"/>
    <s v="Paris"/>
    <x v="6"/>
    <s v="D.E Assistant de Service Social"/>
    <x v="0"/>
    <n v="15"/>
    <n v="339"/>
    <n v="11"/>
    <x v="0"/>
    <n v="22.6"/>
    <n v="0.73333333333333328"/>
    <s v="Forte"/>
  </r>
  <r>
    <s v="Institut de travail social et de recherches sociales - Montrouge"/>
    <n v="92"/>
    <s v="Hauts-de-Seine"/>
    <x v="6"/>
    <s v="D.E Educateur de Jeunes Enfants"/>
    <x v="0"/>
    <n v="30"/>
    <n v="495"/>
    <n v="25"/>
    <x v="2"/>
    <n v="16.5"/>
    <n v="0.83333333333333337"/>
    <s v="Modérée"/>
  </r>
  <r>
    <s v="CENTRE FORMATION SAINT-HONORE"/>
    <n v="75"/>
    <s v="Paris"/>
    <x v="6"/>
    <s v="D.E Educateur Spécialisé"/>
    <x v="0"/>
    <n v="45"/>
    <n v="723"/>
    <n v="44"/>
    <x v="0"/>
    <n v="16.066666666666666"/>
    <n v="0.97777777777777775"/>
    <s v="Modérée"/>
  </r>
  <r>
    <s v="Institut de travail social et de recherches sociales - Montrouge"/>
    <n v="92"/>
    <s v="Hauts-de-Seine"/>
    <x v="6"/>
    <s v="D.E Assistant de Service Social"/>
    <x v="0"/>
    <n v="24"/>
    <n v="382"/>
    <n v="27"/>
    <x v="2"/>
    <n v="15.916666666666666"/>
    <n v="1.125"/>
    <s v="Modérée"/>
  </r>
  <r>
    <s v="ETSUP"/>
    <n v="75"/>
    <s v="Paris"/>
    <x v="6"/>
    <s v="D.E Educateur Technique Spécialisé"/>
    <x v="0"/>
    <n v="10"/>
    <n v="155"/>
    <n v="0"/>
    <x v="0"/>
    <n v="15.5"/>
    <n v="0"/>
    <s v="Modérée"/>
  </r>
  <r>
    <s v="Institut de Travail Social et de Recherche Sociale Neuilly-sur-Marne"/>
    <n v="93"/>
    <s v="Seine-Saint-Denis"/>
    <x v="6"/>
    <s v="D.E Assistant de Service Social"/>
    <x v="0"/>
    <n v="24"/>
    <n v="357"/>
    <n v="23"/>
    <x v="2"/>
    <n v="14.875"/>
    <n v="0.95833333333333337"/>
    <s v="Modérée"/>
  </r>
  <r>
    <s v="CEMEA ILE-DE-FRANCE-CFPES"/>
    <n v="93"/>
    <s v="Seine-Saint-Denis"/>
    <x v="6"/>
    <s v="D.E Educateur Spécialisé"/>
    <x v="0"/>
    <n v="38"/>
    <n v="519"/>
    <n v="38"/>
    <x v="2"/>
    <n v="13.657894736842104"/>
    <n v="1"/>
    <s v="Modérée"/>
  </r>
  <r>
    <s v="IRTS Paris Ile-de-France"/>
    <n v="75"/>
    <s v="Paris"/>
    <x v="6"/>
    <s v="D.E Educateur de Jeunes Enfants"/>
    <x v="0"/>
    <n v="53"/>
    <n v="701"/>
    <n v="45"/>
    <x v="0"/>
    <n v="13.226415094339623"/>
    <n v="0.84905660377358494"/>
    <s v="Modérée"/>
  </r>
  <r>
    <s v="Institut de travail social et de recherches sociales - Montrouge"/>
    <n v="92"/>
    <s v="Hauts-de-Seine"/>
    <x v="6"/>
    <s v="D.E Educateur Spécialisé"/>
    <x v="0"/>
    <n v="83"/>
    <n v="1017"/>
    <n v="87"/>
    <x v="2"/>
    <n v="12.253012048192771"/>
    <n v="1.0481927710843373"/>
    <s v="Modérée"/>
  </r>
  <r>
    <s v="Institut de Travail Social et de Recherche Sociale Neuilly-sur-Marne"/>
    <n v="93"/>
    <s v="Seine-Saint-Denis"/>
    <x v="6"/>
    <s v="D.E Educateur Spécialisé"/>
    <x v="0"/>
    <n v="78"/>
    <n v="954"/>
    <n v="79"/>
    <x v="2"/>
    <n v="12.23076923076923"/>
    <n v="1.0128205128205128"/>
    <s v="Modérée"/>
  </r>
  <r>
    <s v="ETSUP"/>
    <n v="75"/>
    <s v="Paris"/>
    <x v="6"/>
    <s v="D.E Educateur de Jeunes Enfants"/>
    <x v="0"/>
    <n v="38"/>
    <n v="463"/>
    <n v="0"/>
    <x v="0"/>
    <n v="12.184210526315789"/>
    <n v="0"/>
    <s v="Modérée"/>
  </r>
  <r>
    <s v="EFPP"/>
    <n v="75"/>
    <s v="Paris"/>
    <x v="6"/>
    <s v="D.E Educateur Spécialisé"/>
    <x v="0"/>
    <n v="55"/>
    <n v="670"/>
    <n v="53"/>
    <x v="0"/>
    <n v="12.181818181818182"/>
    <n v="0.96363636363636362"/>
    <s v="Modérée"/>
  </r>
  <r>
    <s v="EFPP"/>
    <n v="75"/>
    <s v="Paris"/>
    <x v="6"/>
    <s v="D.E Educateur de Jeunes Enfants"/>
    <x v="0"/>
    <n v="43"/>
    <n v="505"/>
    <n v="32"/>
    <x v="0"/>
    <n v="11.744186046511627"/>
    <n v="0.7441860465116279"/>
    <s v="Modérée"/>
  </r>
  <r>
    <s v="IRTS Île-de-France - Site de Melun"/>
    <n v="77"/>
    <s v="Seine-et-Marne"/>
    <x v="6"/>
    <s v="D.E Educateur de Jeunes Enfants"/>
    <x v="0"/>
    <n v="28"/>
    <n v="326"/>
    <n v="28"/>
    <x v="1"/>
    <n v="11.642857142857142"/>
    <n v="1"/>
    <s v="Modérée"/>
  </r>
  <r>
    <s v="ECOLE NORMALE SOCIALE"/>
    <n v="75"/>
    <s v="Paris"/>
    <x v="6"/>
    <s v="D.E Assistant de Service Social"/>
    <x v="0"/>
    <n v="45"/>
    <n v="489"/>
    <n v="27"/>
    <x v="0"/>
    <n v="10.866666666666667"/>
    <n v="0.6"/>
    <s v="Modérée"/>
  </r>
  <r>
    <s v="EPSS - Ecole Pratique de Service Social"/>
    <n v="95"/>
    <s v="Val-d'oise"/>
    <x v="6"/>
    <s v="D.E Educateur de Jeunes Enfants"/>
    <x v="0"/>
    <n v="40"/>
    <n v="430"/>
    <n v="33"/>
    <x v="1"/>
    <n v="10.75"/>
    <n v="0.82499999999999996"/>
    <s v="Modérée"/>
  </r>
  <r>
    <s v="IRTS Paris Ile-de-France"/>
    <n v="75"/>
    <s v="Paris"/>
    <x v="6"/>
    <s v="D.E Educateur Spécialisé"/>
    <x v="0"/>
    <n v="117"/>
    <n v="1200"/>
    <n v="118"/>
    <x v="0"/>
    <n v="10.256410256410257"/>
    <n v="1.0085470085470085"/>
    <s v="Modérée"/>
  </r>
  <r>
    <s v="IRTS Île-de-France - Site de Melun"/>
    <n v="77"/>
    <s v="Seine-et-Marne"/>
    <x v="6"/>
    <s v="D.E Educateur Spécialisé"/>
    <x v="0"/>
    <n v="52"/>
    <n v="522"/>
    <n v="49"/>
    <x v="1"/>
    <n v="10.038461538461538"/>
    <n v="0.94230769230769229"/>
    <s v="Modérée"/>
  </r>
  <r>
    <s v="EPSS - Ecole Pratique de Service Social"/>
    <n v="95"/>
    <s v="Val-d'oise"/>
    <x v="6"/>
    <s v="D.E Educateur Spécialisé"/>
    <x v="0"/>
    <n v="60"/>
    <n v="570"/>
    <n v="54"/>
    <x v="1"/>
    <n v="9.5"/>
    <n v="0.9"/>
    <s v="Faible"/>
  </r>
  <r>
    <s v="BUC RESSOURCES"/>
    <n v="78"/>
    <s v="Yvelines"/>
    <x v="6"/>
    <s v="D.E Educateur de Jeunes Enfants"/>
    <x v="0"/>
    <n v="23"/>
    <n v="209"/>
    <n v="24"/>
    <x v="1"/>
    <n v="9.0869565217391308"/>
    <n v="1.0434782608695652"/>
    <s v="Faible"/>
  </r>
  <r>
    <s v="IRTS Île-de-France - Site de Melun"/>
    <n v="77"/>
    <s v="Seine-et-Marne"/>
    <x v="6"/>
    <s v="D.E Assistant de Service Social"/>
    <x v="0"/>
    <n v="23"/>
    <n v="202"/>
    <n v="23"/>
    <x v="1"/>
    <n v="8.7826086956521738"/>
    <n v="1"/>
    <s v="Faible"/>
  </r>
  <r>
    <s v="EPSS - Ecole Pratique de Service Social"/>
    <n v="95"/>
    <s v="Val-d'oise"/>
    <x v="6"/>
    <s v="D.E Assistant de Service Social"/>
    <x v="0"/>
    <n v="30"/>
    <n v="262"/>
    <n v="24"/>
    <x v="1"/>
    <n v="8.7333333333333325"/>
    <n v="0.8"/>
    <s v="Faible"/>
  </r>
  <r>
    <s v="Institut de Travail Social et de Recherche Sociale Neuilly-sur-Marne"/>
    <n v="93"/>
    <s v="Seine-Saint-Denis"/>
    <x v="6"/>
    <s v="D.E Educateur de Jeunes Enfants"/>
    <x v="0"/>
    <n v="49"/>
    <n v="422"/>
    <n v="42"/>
    <x v="2"/>
    <n v="8.612244897959183"/>
    <n v="0.8571428571428571"/>
    <s v="Faible"/>
  </r>
  <r>
    <s v="IRFASE"/>
    <n v="91"/>
    <s v="Essonne"/>
    <x v="6"/>
    <s v="D.E Educateur de Jeunes Enfants"/>
    <x v="0"/>
    <n v="45"/>
    <n v="363"/>
    <n v="47"/>
    <x v="1"/>
    <n v="8.0666666666666664"/>
    <n v="1.0444444444444445"/>
    <s v="Faible"/>
  </r>
  <r>
    <s v="IRTS Paris Ile-de-France"/>
    <n v="75"/>
    <s v="Paris"/>
    <x v="6"/>
    <s v="D.E Assistant de Service Social"/>
    <x v="0"/>
    <n v="55"/>
    <n v="422"/>
    <n v="54"/>
    <x v="0"/>
    <n v="7.6727272727272728"/>
    <n v="0.98181818181818181"/>
    <s v="Faible"/>
  </r>
  <r>
    <s v="CERPE"/>
    <n v="93"/>
    <s v="Seine-Saint-Denis"/>
    <x v="6"/>
    <s v="D.E Educateur de Jeunes Enfants"/>
    <x v="0"/>
    <n v="55"/>
    <n v="407"/>
    <n v="49"/>
    <x v="2"/>
    <n v="7.4"/>
    <n v="0.89090909090909087"/>
    <s v="Faible"/>
  </r>
  <r>
    <s v="ETSUP"/>
    <n v="75"/>
    <s v="Paris"/>
    <x v="6"/>
    <s v="D.E Assistant de Service Social"/>
    <x v="0"/>
    <n v="55"/>
    <n v="393"/>
    <n v="0"/>
    <x v="0"/>
    <n v="7.1454545454545455"/>
    <n v="0"/>
    <s v="Faible"/>
  </r>
  <r>
    <s v="Institut de Travail Social et de Recherche Sociale - Meaux"/>
    <n v="77"/>
    <s v="Seine-et-Marne"/>
    <x v="6"/>
    <s v="D.E Educateur Spécialisé"/>
    <x v="0"/>
    <n v="25"/>
    <n v="175"/>
    <n v="18"/>
    <x v="1"/>
    <n v="7"/>
    <n v="0.72"/>
    <s v="Faible"/>
  </r>
  <r>
    <s v="Ecole du Travail Social Paris Croix Saint-Simon"/>
    <n v="75"/>
    <s v="Paris"/>
    <x v="6"/>
    <s v="D.E Assistant de Service Social"/>
    <x v="0"/>
    <n v="41"/>
    <n v="282"/>
    <n v="42"/>
    <x v="0"/>
    <n v="6.8780487804878048"/>
    <n v="1.024390243902439"/>
    <s v="Faible"/>
  </r>
  <r>
    <s v="IRFASE"/>
    <n v="91"/>
    <s v="Essonne"/>
    <x v="6"/>
    <s v="D.E Assistant de Service Social"/>
    <x v="0"/>
    <n v="45"/>
    <n v="270"/>
    <n v="44"/>
    <x v="1"/>
    <n v="6"/>
    <n v="0.97777777777777775"/>
    <s v="Faible"/>
  </r>
  <r>
    <s v="CENTRE FORMATION SAINT-HONORE"/>
    <n v="75"/>
    <s v="Paris"/>
    <x v="6"/>
    <s v="D.E Educateur de Jeunes Enfants"/>
    <x v="0"/>
    <n v="110"/>
    <n v="652"/>
    <n v="98"/>
    <x v="0"/>
    <n v="5.9272727272727277"/>
    <n v="0.89090909090909087"/>
    <s v="Faible"/>
  </r>
  <r>
    <s v="IRFASE"/>
    <n v="91"/>
    <s v="Essonne"/>
    <x v="6"/>
    <s v="D.E Educateur Spécialisé"/>
    <x v="0"/>
    <n v="110"/>
    <n v="619"/>
    <n v="116"/>
    <x v="1"/>
    <n v="5.627272727272727"/>
    <n v="1.0545454545454545"/>
    <s v="Faible"/>
  </r>
  <r>
    <s v="BUC RESSOURCES"/>
    <n v="78"/>
    <s v="Yvelines"/>
    <x v="6"/>
    <s v="D.E Assistant de Service Social"/>
    <x v="0"/>
    <n v="35"/>
    <n v="174"/>
    <n v="18"/>
    <x v="1"/>
    <n v="4.9714285714285715"/>
    <n v="0.51428571428571423"/>
    <s v="Faible"/>
  </r>
  <r>
    <s v="CENTRE DE FORMATION L'HORIZON"/>
    <n v="92"/>
    <s v="Hauts-de-Seine"/>
    <x v="6"/>
    <s v="D.E Educateur de Jeunes Enfants"/>
    <x v="0"/>
    <n v="70"/>
    <n v="345"/>
    <n v="48"/>
    <x v="2"/>
    <n v="4.9285714285714288"/>
    <n v="0.68571428571428572"/>
    <s v="Faible"/>
  </r>
  <r>
    <s v="BUC RESSOURCES"/>
    <n v="78"/>
    <s v="Yvelines"/>
    <x v="6"/>
    <s v="D.E Educateur Spécialisé"/>
    <x v="0"/>
    <n v="116"/>
    <n v="562"/>
    <n v="87"/>
    <x v="1"/>
    <n v="4.8448275862068968"/>
    <n v="0.75"/>
    <s v="Faible"/>
  </r>
  <r>
    <s v="IFSI du CHI de Villeneuve-St-Georges"/>
    <n v="94"/>
    <s v="Val-de-Marne"/>
    <x v="7"/>
    <s v="D.E Infirmier"/>
    <x v="0"/>
    <n v="57"/>
    <n v="7668"/>
    <n v="55"/>
    <x v="2"/>
    <n v="134.52631578947367"/>
    <n v="0.96491228070175439"/>
    <s v="Très forte"/>
  </r>
  <r>
    <s v="IFSI Paris Croix Saint-Simon"/>
    <n v="75"/>
    <s v="Paris"/>
    <x v="7"/>
    <s v="D.E Infirmier"/>
    <x v="0"/>
    <n v="75"/>
    <n v="9303"/>
    <n v="67"/>
    <x v="0"/>
    <n v="124.04"/>
    <n v="0.89333333333333331"/>
    <s v="Très forte"/>
  </r>
  <r>
    <s v="IFSI Diaconesses Reuilly"/>
    <n v="75"/>
    <s v="Paris"/>
    <x v="7"/>
    <s v="D.E Infirmier"/>
    <x v="0"/>
    <n v="77"/>
    <n v="8880"/>
    <n v="73"/>
    <x v="0"/>
    <n v="115.32467532467533"/>
    <n v="0.94805194805194803"/>
    <s v="Très forte"/>
  </r>
  <r>
    <s v="IFSI CH de Gonesse"/>
    <n v="95"/>
    <s v="Val-d'oise"/>
    <x v="7"/>
    <s v="D.E Infirmier"/>
    <x v="0"/>
    <n v="70"/>
    <n v="6777"/>
    <n v="70"/>
    <x v="1"/>
    <n v="96.814285714285717"/>
    <n v="1"/>
    <s v="Très forte"/>
  </r>
  <r>
    <s v="IFSI C.A.S.H. de Nanterre"/>
    <n v="92"/>
    <s v="Hauts-de-Seine"/>
    <x v="7"/>
    <s v="D.E Infirmier"/>
    <x v="0"/>
    <n v="90"/>
    <n v="8663"/>
    <n v="88"/>
    <x v="2"/>
    <n v="96.25555555555556"/>
    <n v="0.97777777777777775"/>
    <s v="Très forte"/>
  </r>
  <r>
    <s v="IFSI Louise Couve"/>
    <n v="93"/>
    <s v="Seine-Saint-Denis"/>
    <x v="7"/>
    <s v="D.E Infirmier"/>
    <x v="0"/>
    <n v="64"/>
    <n v="6114"/>
    <n v="61"/>
    <x v="2"/>
    <n v="95.53125"/>
    <n v="0.953125"/>
    <s v="Très forte"/>
  </r>
  <r>
    <s v="IFSI Campus Picpus (AP-HP)"/>
    <n v="75"/>
    <s v="Paris"/>
    <x v="7"/>
    <s v="D.E Infirmier"/>
    <x v="0"/>
    <n v="124"/>
    <n v="11757"/>
    <n v="122"/>
    <x v="0"/>
    <n v="94.814516129032256"/>
    <n v="0.9838709677419355"/>
    <s v="Très forte"/>
  </r>
  <r>
    <s v="IFSI de l'Hôpital NOVO - site de Beaumont"/>
    <n v="95"/>
    <s v="Val-d'oise"/>
    <x v="7"/>
    <s v="D.E Infirmier"/>
    <x v="0"/>
    <n v="65"/>
    <n v="6146"/>
    <n v="64"/>
    <x v="1"/>
    <n v="94.553846153846152"/>
    <n v="0.98461538461538467"/>
    <s v="Très forte"/>
  </r>
  <r>
    <s v="IFSI- GH Paris St Joseph"/>
    <n v="75"/>
    <s v="Paris"/>
    <x v="7"/>
    <s v="D.E Infirmier"/>
    <x v="0"/>
    <n v="102"/>
    <n v="9488"/>
    <n v="104"/>
    <x v="0"/>
    <n v="93.019607843137251"/>
    <n v="1.0196078431372548"/>
    <s v="Très forte"/>
  </r>
  <r>
    <s v="IFSI Camille Claudel CH Argenteuil"/>
    <n v="95"/>
    <s v="Val-d'oise"/>
    <x v="7"/>
    <s v="D.E Infirmier"/>
    <x v="0"/>
    <n v="80"/>
    <n v="7389"/>
    <n v="80"/>
    <x v="1"/>
    <n v="92.362499999999997"/>
    <n v="1"/>
    <s v="Très forte"/>
  </r>
  <r>
    <s v="IFSI de l'Hôpital NOVO - site de Pontoise"/>
    <n v="95"/>
    <s v="Val-d'oise"/>
    <x v="7"/>
    <s v="D.E Infirmier"/>
    <x v="0"/>
    <n v="75"/>
    <n v="6838"/>
    <n v="75"/>
    <x v="1"/>
    <n v="91.173333333333332"/>
    <n v="1"/>
    <s v="Très forte"/>
  </r>
  <r>
    <s v="IFSI Bichat (AP-HP)"/>
    <n v="75"/>
    <s v="Paris"/>
    <x v="7"/>
    <s v="D.E Infirmier"/>
    <x v="0"/>
    <n v="120"/>
    <n v="10925"/>
    <n v="109"/>
    <x v="0"/>
    <n v="91.041666666666671"/>
    <n v="0.90833333333333333"/>
    <s v="Très forte"/>
  </r>
  <r>
    <s v="IFSI EPS Ville Evrard"/>
    <n v="93"/>
    <s v="Seine-Saint-Denis"/>
    <x v="7"/>
    <s v="D.E Infirmier"/>
    <x v="0"/>
    <n v="72"/>
    <n v="6268"/>
    <n v="72"/>
    <x v="2"/>
    <n v="87.055555555555557"/>
    <n v="1"/>
    <s v="Très forte"/>
  </r>
  <r>
    <s v="IFSI Croix Rouge Française Paris"/>
    <n v="75"/>
    <s v="Paris"/>
    <x v="7"/>
    <s v="D.E Infirmier"/>
    <x v="0"/>
    <n v="121"/>
    <n v="10325"/>
    <n v="106"/>
    <x v="0"/>
    <n v="85.330578512396698"/>
    <n v="0.87603305785123964"/>
    <s v="Très forte"/>
  </r>
  <r>
    <s v="IFSI de l'Inst Hosp Franco-Britannique"/>
    <n v="92"/>
    <s v="Hauts-de-Seine"/>
    <x v="7"/>
    <s v="D.E Infirmier"/>
    <x v="0"/>
    <n v="89"/>
    <n v="7292"/>
    <n v="81"/>
    <x v="2"/>
    <n v="81.932584269662925"/>
    <n v="0.9101123595505618"/>
    <s v="Très forte"/>
  </r>
  <r>
    <s v="IFSI CH Robert Ballanger"/>
    <n v="93"/>
    <s v="Seine-Saint-Denis"/>
    <x v="7"/>
    <s v="D.E Infirmier"/>
    <x v="0"/>
    <n v="86"/>
    <n v="6801"/>
    <n v="83"/>
    <x v="2"/>
    <n v="79.081395348837205"/>
    <n v="0.96511627906976749"/>
    <s v="Très forte"/>
  </r>
  <r>
    <s v="IFSI Croix Saint-Simon"/>
    <n v="93"/>
    <s v="Seine-Saint-Denis"/>
    <x v="7"/>
    <s v="D.E Infirmier"/>
    <x v="0"/>
    <n v="100"/>
    <n v="7897"/>
    <n v="94"/>
    <x v="2"/>
    <n v="78.97"/>
    <n v="0.94"/>
    <s v="Très forte"/>
  </r>
  <r>
    <s v="IFSI Beaujon René Auffray (AP-HP)"/>
    <n v="92"/>
    <s v="Hauts-de-Seine"/>
    <x v="7"/>
    <s v="D.E Infirmier"/>
    <x v="0"/>
    <n v="102"/>
    <n v="8009"/>
    <n v="101"/>
    <x v="2"/>
    <n v="78.519607843137251"/>
    <n v="0.99019607843137258"/>
    <s v="Très forte"/>
  </r>
  <r>
    <s v="IFSI CH de Saint-Denis"/>
    <n v="93"/>
    <s v="Seine-Saint-Denis"/>
    <x v="7"/>
    <s v="D.E Infirmier"/>
    <x v="0"/>
    <n v="97"/>
    <n v="7460"/>
    <n v="96"/>
    <x v="2"/>
    <n v="76.907216494845358"/>
    <n v="0.98969072164948457"/>
    <s v="Très forte"/>
  </r>
  <r>
    <s v="IFSI Hôpital Stell"/>
    <n v="92"/>
    <s v="Hauts-de-Seine"/>
    <x v="7"/>
    <s v="D.E Infirmier"/>
    <x v="0"/>
    <n v="94"/>
    <n v="7163"/>
    <n v="95"/>
    <x v="2"/>
    <n v="76.202127659574472"/>
    <n v="1.0106382978723405"/>
    <s v="Très forte"/>
  </r>
  <r>
    <s v="IFSI Louis Mourier (AP-HP)"/>
    <n v="92"/>
    <s v="Hauts-de-Seine"/>
    <x v="7"/>
    <s v="D.E Infirmier"/>
    <x v="0"/>
    <n v="100"/>
    <n v="7415"/>
    <n v="101"/>
    <x v="2"/>
    <n v="74.150000000000006"/>
    <n v="1.01"/>
    <s v="Très forte"/>
  </r>
  <r>
    <s v="IFSI Virginie Olivier CH Sainte Anne"/>
    <n v="75"/>
    <s v="Paris"/>
    <x v="7"/>
    <s v="D.E Infirmier"/>
    <x v="0"/>
    <n v="131"/>
    <n v="9555"/>
    <n v="131"/>
    <x v="0"/>
    <n v="72.938931297709928"/>
    <n v="1"/>
    <s v="Très forte"/>
  </r>
  <r>
    <s v="IFSI Jean Baptiste Pussin"/>
    <n v="94"/>
    <s v="Val-de-Marne"/>
    <x v="7"/>
    <s v="D.E Infirmier"/>
    <x v="0"/>
    <n v="87"/>
    <n v="6317"/>
    <n v="84"/>
    <x v="2"/>
    <n v="72.609195402298852"/>
    <n v="0.96551724137931039"/>
    <s v="Très forte"/>
  </r>
  <r>
    <s v="IFSI CH Paul Guiraud"/>
    <n v="94"/>
    <s v="Val-de-Marne"/>
    <x v="7"/>
    <s v="D.E Infirmier"/>
    <x v="0"/>
    <n v="88"/>
    <n v="6275"/>
    <n v="79"/>
    <x v="2"/>
    <n v="71.306818181818187"/>
    <n v="0.89772727272727271"/>
    <s v="Très forte"/>
  </r>
  <r>
    <s v="IFSI Françoise Dolto"/>
    <n v="95"/>
    <s v="Val-d'oise"/>
    <x v="7"/>
    <s v="D.E Infirmier"/>
    <x v="0"/>
    <n v="91"/>
    <n v="6329"/>
    <n v="98"/>
    <x v="1"/>
    <n v="69.549450549450555"/>
    <n v="1.0769230769230769"/>
    <s v="Très forte"/>
  </r>
  <r>
    <s v="IFSI Saint Louis (AP-HP)"/>
    <n v="75"/>
    <s v="Paris"/>
    <x v="7"/>
    <s v="D.E Infirmier"/>
    <x v="0"/>
    <n v="141"/>
    <n v="9744"/>
    <n v="151"/>
    <x v="0"/>
    <n v="69.106382978723403"/>
    <n v="1.0709219858156029"/>
    <s v="Très forte"/>
  </r>
  <r>
    <s v="IFSI Antoine Beclere (AP-HP)"/>
    <n v="92"/>
    <s v="Hauts-de-Seine"/>
    <x v="7"/>
    <s v="D.E Infirmier"/>
    <x v="0"/>
    <n v="100"/>
    <n v="5740"/>
    <n v="103"/>
    <x v="2"/>
    <n v="57.4"/>
    <n v="1.03"/>
    <s v="Très forte"/>
  </r>
  <r>
    <s v="IFSI Séraphine de Senlis - CH Les Murets"/>
    <n v="94"/>
    <s v="Val-de-Marne"/>
    <x v="7"/>
    <s v="D.E Infirmier"/>
    <x v="0"/>
    <n v="79"/>
    <n v="4303"/>
    <n v="79"/>
    <x v="2"/>
    <n v="54.468354430379748"/>
    <n v="1"/>
    <s v="Très forte"/>
  </r>
  <r>
    <s v="IFSI Tenon (AP-HP)"/>
    <n v="75"/>
    <s v="Paris"/>
    <x v="7"/>
    <s v="D.E Infirmier"/>
    <x v="0"/>
    <n v="210"/>
    <n v="11399"/>
    <n v="205"/>
    <x v="0"/>
    <n v="54.280952380952378"/>
    <n v="0.97619047619047616"/>
    <s v="Très forte"/>
  </r>
  <r>
    <s v="IFSI CH Barthélemy Durand"/>
    <n v="91"/>
    <s v="Essonne"/>
    <x v="7"/>
    <s v="D.E Infirmier"/>
    <x v="0"/>
    <n v="87"/>
    <n v="4595"/>
    <n v="83"/>
    <x v="1"/>
    <n v="52.816091954022987"/>
    <n v="0.95402298850574707"/>
    <s v="Très forte"/>
  </r>
  <r>
    <s v="IFSI GH Nord Essonne"/>
    <n v="91"/>
    <s v="Essonne"/>
    <x v="7"/>
    <s v="D.E Infirmier"/>
    <x v="0"/>
    <n v="105"/>
    <n v="5148"/>
    <n v="104"/>
    <x v="1"/>
    <n v="49.028571428571432"/>
    <n v="0.99047619047619051"/>
    <s v="Très forte"/>
  </r>
  <r>
    <s v="IFSI Grand Hôpital Est Francilien-Site de Formation Coulommiers"/>
    <n v="77"/>
    <s v="Seine-et-Marne"/>
    <x v="7"/>
    <s v="D.E Infirmier"/>
    <x v="0"/>
    <n v="70"/>
    <n v="3317"/>
    <n v="64"/>
    <x v="1"/>
    <n v="47.385714285714286"/>
    <n v="0.91428571428571426"/>
    <s v="Très forte"/>
  </r>
  <r>
    <s v="IFSI Pitié Salpetrière (AP-HP)"/>
    <n v="75"/>
    <s v="Paris"/>
    <x v="7"/>
    <s v="D.E Infirmier"/>
    <x v="0"/>
    <n v="278"/>
    <n v="13001"/>
    <n v="275"/>
    <x v="0"/>
    <n v="46.766187050359711"/>
    <n v="0.98920863309352514"/>
    <s v="Très forte"/>
  </r>
  <r>
    <s v="IFSI Grand Hôpital Est Francilien-Site de Formation Meaux"/>
    <n v="77"/>
    <s v="Seine-et-Marne"/>
    <x v="7"/>
    <s v="D.E Infirmier"/>
    <x v="0"/>
    <n v="85"/>
    <n v="3882"/>
    <n v="82"/>
    <x v="1"/>
    <n v="45.670588235294119"/>
    <n v="0.96470588235294119"/>
    <s v="Très forte"/>
  </r>
  <r>
    <s v="IFSI Croix Rouge Française Mantes La Jolie"/>
    <n v="78"/>
    <s v="Yvelines"/>
    <x v="7"/>
    <s v="D.E Infirmier"/>
    <x v="0"/>
    <n v="129"/>
    <n v="5841"/>
    <n v="117"/>
    <x v="1"/>
    <n v="45.279069767441861"/>
    <n v="0.90697674418604646"/>
    <s v="Très forte"/>
  </r>
  <r>
    <s v="IFSI CH André Mignot Versailles"/>
    <n v="78"/>
    <s v="Yvelines"/>
    <x v="7"/>
    <s v="D.E Infirmier"/>
    <x v="0"/>
    <n v="75"/>
    <n v="3344"/>
    <n v="79"/>
    <x v="1"/>
    <n v="44.586666666666666"/>
    <n v="1.0533333333333332"/>
    <s v="Très forte"/>
  </r>
  <r>
    <s v="IFSI du CH de Provins"/>
    <n v="77"/>
    <s v="Seine-et-Marne"/>
    <x v="7"/>
    <s v="D.E Infirmier"/>
    <x v="0"/>
    <n v="70"/>
    <n v="3120"/>
    <n v="69"/>
    <x v="1"/>
    <n v="44.571428571428569"/>
    <n v="0.98571428571428577"/>
    <s v="Très forte"/>
  </r>
  <r>
    <s v="IFSI Emile Roux (AP-HP)"/>
    <n v="94"/>
    <s v="Val-de-Marne"/>
    <x v="7"/>
    <s v="D.E Infirmier"/>
    <x v="0"/>
    <n v="105"/>
    <n v="4663"/>
    <n v="116"/>
    <x v="2"/>
    <n v="44.409523809523812"/>
    <n v="1.1047619047619048"/>
    <s v="Très forte"/>
  </r>
  <r>
    <s v="IFSI CH Intercommunal Meulan-Les Mureaux (CHimm)"/>
    <n v="78"/>
    <s v="Yvelines"/>
    <x v="7"/>
    <s v="D.E Infirmier"/>
    <x v="0"/>
    <n v="58"/>
    <n v="2516"/>
    <n v="58"/>
    <x v="1"/>
    <n v="43.379310344827587"/>
    <n v="1"/>
    <s v="Très forte"/>
  </r>
  <r>
    <s v="IFSI Léonie Chaptal"/>
    <n v="95"/>
    <s v="Val-d'oise"/>
    <x v="7"/>
    <s v="D.E Infirmier"/>
    <x v="0"/>
    <n v="155"/>
    <n v="6680"/>
    <n v="149"/>
    <x v="1"/>
    <n v="43.096774193548384"/>
    <n v="0.96129032258064517"/>
    <s v="Très forte"/>
  </r>
  <r>
    <s v="IFSI Avicenne - Jean Verdier (AP-HP)"/>
    <n v="93"/>
    <s v="Seine-Saint-Denis"/>
    <x v="7"/>
    <s v="D.E Infirmier"/>
    <x v="0"/>
    <n v="175"/>
    <n v="7486"/>
    <n v="174"/>
    <x v="2"/>
    <n v="42.777142857142856"/>
    <n v="0.99428571428571433"/>
    <s v="Très forte"/>
  </r>
  <r>
    <s v="IFSI Barthélemy Durand Sur Orge"/>
    <n v="91"/>
    <s v="Essonne"/>
    <x v="7"/>
    <s v="D.E Infirmier"/>
    <x v="0"/>
    <n v="123"/>
    <n v="5251"/>
    <n v="119"/>
    <x v="1"/>
    <n v="42.691056910569102"/>
    <n v="0.96747967479674801"/>
    <s v="Très forte"/>
  </r>
  <r>
    <s v="IFSI CH Marc Jacquet Melun"/>
    <n v="77"/>
    <s v="Seine-et-Marne"/>
    <x v="7"/>
    <s v="D.E Infirmier"/>
    <x v="0"/>
    <n v="102"/>
    <n v="4304"/>
    <n v="97"/>
    <x v="1"/>
    <n v="42.196078431372548"/>
    <n v="0.9509803921568627"/>
    <s v="Très forte"/>
  </r>
  <r>
    <s v="I.F.S.I. du centre hospitalier du sud Seine-et-Marne (rentrée en février)"/>
    <n v="77"/>
    <s v="Seine-et-Marne"/>
    <x v="7"/>
    <s v="D.E Infirmier"/>
    <x v="0"/>
    <n v="82"/>
    <n v="3438"/>
    <n v="70"/>
    <x v="1"/>
    <n v="41.926829268292686"/>
    <n v="0.85365853658536583"/>
    <s v="Très forte"/>
  </r>
  <r>
    <s v="IFSI de l'Hôpital Foch"/>
    <n v="92"/>
    <s v="Hauts-de-Seine"/>
    <x v="7"/>
    <s v="D.E Infirmier"/>
    <x v="0"/>
    <n v="85"/>
    <n v="3367"/>
    <n v="85"/>
    <x v="2"/>
    <n v="39.611764705882351"/>
    <n v="1"/>
    <s v="Forte"/>
  </r>
  <r>
    <s v="IFSI Institut de Formation Interhospitalier Théodore Simon"/>
    <n v="93"/>
    <s v="Seine-Saint-Denis"/>
    <x v="7"/>
    <s v="D.E Infirmier"/>
    <x v="0"/>
    <n v="166"/>
    <n v="6378"/>
    <n v="164"/>
    <x v="2"/>
    <n v="38.421686746987952"/>
    <n v="0.98795180722891562"/>
    <s v="Forte"/>
  </r>
  <r>
    <s v="IFSI du CH de Rambouillet"/>
    <n v="78"/>
    <s v="Yvelines"/>
    <x v="7"/>
    <s v="D.E Infirmier"/>
    <x v="0"/>
    <n v="70"/>
    <n v="2644"/>
    <n v="74"/>
    <x v="1"/>
    <n v="37.771428571428572"/>
    <n v="1.0571428571428572"/>
    <s v="Forte"/>
  </r>
  <r>
    <s v="I.F.S.I. du centre hospitalier du sud Seine-et-Marne (rentrée en septembre)"/>
    <n v="77"/>
    <s v="Seine-et-Marne"/>
    <x v="7"/>
    <s v="D.E Infirmier"/>
    <x v="0"/>
    <n v="89"/>
    <n v="3349"/>
    <n v="82"/>
    <x v="1"/>
    <n v="37.629213483146067"/>
    <n v="0.9213483146067416"/>
    <s v="Forte"/>
  </r>
  <r>
    <s v="IFSI du CHI de Poissy Saint Germain-En-Laye"/>
    <n v="78"/>
    <s v="Yvelines"/>
    <x v="7"/>
    <s v="D.E Infirmier"/>
    <x v="0"/>
    <n v="85"/>
    <n v="3197"/>
    <n v="89"/>
    <x v="1"/>
    <n v="37.611764705882351"/>
    <n v="1.0470588235294118"/>
    <s v="Forte"/>
  </r>
  <r>
    <s v="IFSI Charles Foix (AP-HP)"/>
    <n v="94"/>
    <s v="Val-de-Marne"/>
    <x v="7"/>
    <s v="D.E Infirmier"/>
    <x v="0"/>
    <n v="234"/>
    <n v="8485"/>
    <n v="222"/>
    <x v="2"/>
    <n v="36.260683760683762"/>
    <n v="0.94871794871794868"/>
    <s v="Forte"/>
  </r>
  <r>
    <s v="IFSI Ambroise Paré (AP-HP)"/>
    <n v="92"/>
    <s v="Hauts-de-Seine"/>
    <x v="7"/>
    <s v="D.E Infirmier"/>
    <x v="0"/>
    <n v="103"/>
    <n v="3659"/>
    <n v="103"/>
    <x v="2"/>
    <n v="35.524271844660191"/>
    <n v="1"/>
    <s v="Forte"/>
  </r>
  <r>
    <s v="IFSI MGEN de La Verrière"/>
    <n v="78"/>
    <s v="Yvelines"/>
    <x v="7"/>
    <s v="D.E Infirmier"/>
    <x v="0"/>
    <n v="69"/>
    <n v="2429"/>
    <n v="66"/>
    <x v="1"/>
    <n v="35.20289855072464"/>
    <n v="0.95652173913043481"/>
    <s v="Forte"/>
  </r>
  <r>
    <s v="Etablissement hospitalier Centre hospitalier Sud Francilien"/>
    <n v="91"/>
    <s v="Essonne"/>
    <x v="7"/>
    <s v="D.E Infirmier"/>
    <x v="0"/>
    <n v="177"/>
    <n v="5832"/>
    <n v="176"/>
    <x v="1"/>
    <n v="32.949152542372879"/>
    <n v="0.99435028248587576"/>
    <s v="Forte"/>
  </r>
  <r>
    <s v="IFSI Bicetre (AP-HP)"/>
    <n v="94"/>
    <s v="Val-de-Marne"/>
    <x v="7"/>
    <s v="D.E Infirmier"/>
    <x v="0"/>
    <n v="224"/>
    <n v="6895"/>
    <n v="218"/>
    <x v="2"/>
    <n v="30.78125"/>
    <n v="0.9732142857142857"/>
    <s v="Forte"/>
  </r>
  <r>
    <s v="IFSI Henri Mondor (AP-HP)"/>
    <n v="94"/>
    <s v="Val-de-Marne"/>
    <x v="7"/>
    <s v="D.E Infirmier"/>
    <x v="0"/>
    <n v="219"/>
    <n v="6679"/>
    <n v="221"/>
    <x v="2"/>
    <n v="30.49771689497717"/>
    <n v="1.0091324200913243"/>
    <s v="Forte"/>
  </r>
  <r>
    <s v="IFSI Grand Hôpital Est Francilien - Site de Formation Serris"/>
    <n v="77"/>
    <s v="Seine-et-Marne"/>
    <x v="7"/>
    <s v="D.E Infirmier"/>
    <x v="0"/>
    <n v="118"/>
    <n v="3589"/>
    <n v="121"/>
    <x v="1"/>
    <n v="30.415254237288135"/>
    <n v="1.0254237288135593"/>
    <s v="Forte"/>
  </r>
  <r>
    <s v="IFSI Raymond Poincaré (AP-HP)"/>
    <n v="92"/>
    <s v="Hauts-de-Seine"/>
    <x v="7"/>
    <s v="D.E Infirmier"/>
    <x v="0"/>
    <n v="113"/>
    <n v="3151"/>
    <n v="113"/>
    <x v="2"/>
    <n v="27.884955752212388"/>
    <n v="1"/>
    <s v="Forte"/>
  </r>
  <r>
    <s v="Université Paris Cité"/>
    <n v="75"/>
    <s v="Paris"/>
    <x v="8"/>
    <s v="Double licence - Sciences biomédicales / Psychologie - Sciences biomédicales / Psychologie parcours Sciences Psychologiques"/>
    <x v="0"/>
    <n v="6"/>
    <n v="1492"/>
    <n v="6"/>
    <x v="0"/>
    <n v="248.66666666666666"/>
    <n v="1"/>
    <s v="Très forte"/>
  </r>
  <r>
    <s v="Université Paris Cité"/>
    <n v="75"/>
    <s v="Paris"/>
    <x v="8"/>
    <s v="Double licence - Mathématiques / Physique -"/>
    <x v="0"/>
    <n v="24"/>
    <n v="4944"/>
    <n v="22"/>
    <x v="0"/>
    <n v="206"/>
    <n v="0.91666666666666663"/>
    <s v="Très forte"/>
  </r>
  <r>
    <s v="Université Sorbonne Paris Nord"/>
    <n v="93"/>
    <s v="Seine-Saint-Denis"/>
    <x v="8"/>
    <s v="Double licence - Economie et gestion / Géographie et aménagement - Double licence Economie-Géographie"/>
    <x v="0"/>
    <n v="14"/>
    <n v="2423"/>
    <n v="11"/>
    <x v="2"/>
    <n v="173.07142857142858"/>
    <n v="0.7857142857142857"/>
    <s v="Très forte"/>
  </r>
  <r>
    <s v="Université Paris Cité"/>
    <n v="75"/>
    <s v="Paris"/>
    <x v="8"/>
    <s v="Double licence - Informatique / Droit - Informatique / Droit"/>
    <x v="0"/>
    <n v="10"/>
    <n v="1604"/>
    <n v="10"/>
    <x v="0"/>
    <n v="160.4"/>
    <n v="1"/>
    <s v="Très forte"/>
  </r>
  <r>
    <s v="Université Sorbonne Paris Nord"/>
    <n v="93"/>
    <s v="Seine-Saint-Denis"/>
    <x v="8"/>
    <s v="Double licence - Droit / Economie et gestion - Double Licence Droit - Economie et gestion"/>
    <x v="0"/>
    <n v="32"/>
    <n v="4175"/>
    <n v="34"/>
    <x v="2"/>
    <n v="130.46875"/>
    <n v="1.0625"/>
    <s v="Très forte"/>
  </r>
  <r>
    <s v="Université Paris Panthéon Assas"/>
    <n v="75"/>
    <s v="Paris"/>
    <x v="8"/>
    <s v="Licence - Double diplôme - Licence Droit - Droits français et de Common Law"/>
    <x v="0"/>
    <n v="10"/>
    <n v="1301"/>
    <n v="10"/>
    <x v="0"/>
    <n v="130.1"/>
    <n v="1"/>
    <s v="Très forte"/>
  </r>
  <r>
    <s v="Université Paris- Est-Créteil Val de Marne - UPEC (Paris 12)"/>
    <n v="94"/>
    <s v="Val-de-Marne"/>
    <x v="8"/>
    <s v="Licence - Double diplôme - Licence Economie et gestion - Double diplôme Licence Informatique et management et Diplôme universitaire Innovation et cybersécurité"/>
    <x v="0"/>
    <n v="30"/>
    <n v="3598"/>
    <n v="30"/>
    <x v="2"/>
    <n v="119.93333333333334"/>
    <n v="1"/>
    <s v="Très forte"/>
  </r>
  <r>
    <s v="Université Paris 1 Panthéon Sorbonne"/>
    <n v="75"/>
    <s v="Paris"/>
    <x v="8"/>
    <s v="Double licence - Histoire / Gestion - Histoire - Gestion"/>
    <x v="0"/>
    <n v="30"/>
    <n v="3591"/>
    <n v="28"/>
    <x v="0"/>
    <n v="119.7"/>
    <n v="0.93333333333333335"/>
    <s v="Très forte"/>
  </r>
  <r>
    <s v="Université Paris Cité"/>
    <n v="75"/>
    <s v="Paris"/>
    <x v="8"/>
    <s v="Double licence - Langues, littératures et civilisations étrangères et régionales / Informatique - Double licence Informatique-Japonais - Campus Grands Moulins"/>
    <x v="0"/>
    <n v="10"/>
    <n v="1171"/>
    <n v="9"/>
    <x v="0"/>
    <n v="117.1"/>
    <n v="0.9"/>
    <s v="Très forte"/>
  </r>
  <r>
    <s v="Sorbonne université"/>
    <n v="75"/>
    <s v="Paris"/>
    <x v="8"/>
    <s v="Licence - Double diplôme - Licence Chimie - Double diplôme Sciences et Journalisme - Licence Sciences - Bachelor Communication et Journalisme"/>
    <x v="0"/>
    <n v="15"/>
    <n v="1729"/>
    <n v="11"/>
    <x v="0"/>
    <n v="115.26666666666667"/>
    <n v="0.73333333333333328"/>
    <s v="Très forte"/>
  </r>
  <r>
    <s v="Université Paris Panthéon Assas"/>
    <n v="75"/>
    <s v="Paris"/>
    <x v="8"/>
    <s v="Double licence - Science politique / Droit -"/>
    <x v="0"/>
    <n v="35"/>
    <n v="4023"/>
    <n v="35"/>
    <x v="0"/>
    <n v="114.94285714285714"/>
    <n v="1"/>
    <s v="Très forte"/>
  </r>
  <r>
    <s v="Université Paris 1 Panthéon Sorbonne"/>
    <n v="75"/>
    <s v="Paris"/>
    <x v="8"/>
    <s v="Double licence - Droit / Science politique - Droit - Science Politique"/>
    <x v="0"/>
    <n v="60"/>
    <n v="6655"/>
    <n v="60"/>
    <x v="0"/>
    <n v="110.91666666666667"/>
    <n v="1"/>
    <s v="Très forte"/>
  </r>
  <r>
    <s v="Université Paris-Saclay - Campus de Versailles"/>
    <n v="78"/>
    <s v="Yvelines"/>
    <x v="8"/>
    <s v="Licence - Double diplôme - Licence Mathématiques, Physique et Sciences pour l'Ingénieur - Mathématiques, Physique et Applications"/>
    <x v="0"/>
    <n v="35"/>
    <n v="3661"/>
    <n v="31"/>
    <x v="1"/>
    <n v="104.6"/>
    <n v="0.88571428571428568"/>
    <s v="Très forte"/>
  </r>
  <r>
    <s v="Université Paris Cité"/>
    <n v="75"/>
    <s v="Paris"/>
    <x v="8"/>
    <s v="Double licence - Sciences biomédicales / Mathématiques - Sciences biomédicales / Mathématiques"/>
    <x v="0"/>
    <n v="6"/>
    <n v="616"/>
    <n v="6"/>
    <x v="0"/>
    <n v="102.66666666666667"/>
    <n v="1"/>
    <s v="Très forte"/>
  </r>
  <r>
    <s v="CY Cergy Paris Université"/>
    <n v="95"/>
    <s v="Val-d'oise"/>
    <x v="8"/>
    <s v="Double licence - Mathématiques / Informatique - Double Licence en Mathématiques et Informatique"/>
    <x v="0"/>
    <n v="25"/>
    <n v="2455"/>
    <n v="19"/>
    <x v="1"/>
    <n v="98.2"/>
    <n v="0.76"/>
    <s v="Très forte"/>
  </r>
  <r>
    <s v="Université Paris 1 Panthéon Sorbonne"/>
    <n v="75"/>
    <s v="Paris"/>
    <x v="8"/>
    <s v="Licence - Double diplôme - Licence Gestion - Collège de Management de la Sorbonne"/>
    <x v="0"/>
    <n v="30"/>
    <n v="2879"/>
    <n v="29"/>
    <x v="0"/>
    <n v="95.966666666666669"/>
    <n v="0.96666666666666667"/>
    <s v="Très forte"/>
  </r>
  <r>
    <s v="Université Paris 1 Panthéon Sorbonne"/>
    <n v="75"/>
    <s v="Paris"/>
    <x v="8"/>
    <s v="Licence - Science politique"/>
    <x v="1"/>
    <n v="90"/>
    <n v="8456"/>
    <n v="90"/>
    <x v="0"/>
    <n v="93.955555555555549"/>
    <n v="1"/>
    <s v="Très forte"/>
  </r>
  <r>
    <s v="Université Paris 1 Panthéon Sorbonne"/>
    <n v="75"/>
    <s v="Paris"/>
    <x v="8"/>
    <s v="Double licence - Science politique / Economie - Science Politique - Economie"/>
    <x v="0"/>
    <n v="30"/>
    <n v="2752"/>
    <n v="30"/>
    <x v="0"/>
    <n v="91.733333333333334"/>
    <n v="1"/>
    <s v="Très forte"/>
  </r>
  <r>
    <s v="Université Paris- Est-Créteil Val de Marne - UPEC (Paris 12)"/>
    <n v="94"/>
    <s v="Val-de-Marne"/>
    <x v="8"/>
    <s v="Double licence - Mathématiques / Physique - Mathématiques et Physique"/>
    <x v="0"/>
    <n v="20"/>
    <n v="1776"/>
    <n v="20"/>
    <x v="2"/>
    <n v="88.8"/>
    <n v="1"/>
    <s v="Très forte"/>
  </r>
  <r>
    <s v="Université Paris Nanterre"/>
    <n v="92"/>
    <s v="Hauts-de-Seine"/>
    <x v="8"/>
    <s v="Licence - Economie et gestion - Parcours Economie et gestion - cursus international intégré franco-allemand"/>
    <x v="0"/>
    <n v="20"/>
    <n v="1752"/>
    <n v="20"/>
    <x v="2"/>
    <n v="87.6"/>
    <n v="1"/>
    <s v="Très forte"/>
  </r>
  <r>
    <s v="Université Paris-Saclay, Campus d'Orsay"/>
    <n v="91"/>
    <s v="Essonne"/>
    <x v="8"/>
    <s v="Licence - Double diplôme - Licence Mathématiques, Physique et Sciences pour l'Ingénieur - Licence Double-Diplôme Mathématiques, Physique"/>
    <x v="0"/>
    <n v="50"/>
    <n v="4167"/>
    <n v="51"/>
    <x v="1"/>
    <n v="83.34"/>
    <n v="1.02"/>
    <s v="Très forte"/>
  </r>
  <r>
    <s v="Université Paris Cité"/>
    <n v="75"/>
    <s v="Paris"/>
    <x v="8"/>
    <s v="Double licence - Sciences biomédicales / Droit - Sciences biomédicales / Droit"/>
    <x v="0"/>
    <n v="6"/>
    <n v="498"/>
    <n v="6"/>
    <x v="0"/>
    <n v="83"/>
    <n v="1"/>
    <s v="Très forte"/>
  </r>
  <r>
    <s v="Sorbonne université"/>
    <n v="75"/>
    <s v="Paris"/>
    <x v="8"/>
    <s v="Double licence - LETTRES - INFORMATIQUE"/>
    <x v="0"/>
    <n v="16"/>
    <n v="1328"/>
    <n v="14"/>
    <x v="0"/>
    <n v="83"/>
    <n v="0.875"/>
    <s v="Très forte"/>
  </r>
  <r>
    <s v="Université Sorbonne Nouvelle Paris 3"/>
    <n v="75"/>
    <s v="Paris"/>
    <x v="8"/>
    <s v="Licence - Portail Langues, littératures et civilisations étrangères et régionales - Licence LLCER Arabe (renforcé OU mineures)"/>
    <x v="1"/>
    <n v="2"/>
    <n v="165"/>
    <n v="2"/>
    <x v="0"/>
    <n v="82.5"/>
    <n v="1"/>
    <s v="Très forte"/>
  </r>
  <r>
    <s v="Université Sorbonne Nouvelle Paris 3"/>
    <n v="75"/>
    <s v="Paris"/>
    <x v="8"/>
    <s v="Licence - Cinéma et Audiovisuel - Parcours Cinéma et Audiovisuel - Mineure Théâtre"/>
    <x v="1"/>
    <n v="40"/>
    <n v="3250"/>
    <n v="40"/>
    <x v="0"/>
    <n v="81.25"/>
    <n v="1"/>
    <s v="Très forte"/>
  </r>
  <r>
    <s v="Université Paris Nanterre"/>
    <n v="92"/>
    <s v="Hauts-de-Seine"/>
    <x v="8"/>
    <s v="Double licence - Langues, littératures et civilisations étrangères et régionales / Langues, littératures et civilisations étrangères et régionales - Double Licence mention Langues, littératures et civilisations étrangères et régionales (LLCER) [Anglais] - mention LLCER [Espagnol]"/>
    <x v="0"/>
    <n v="10"/>
    <n v="811"/>
    <n v="10"/>
    <x v="2"/>
    <n v="81.099999999999994"/>
    <n v="1"/>
    <s v="Très forte"/>
  </r>
  <r>
    <s v="CY Cergy Paris Université"/>
    <n v="95"/>
    <s v="Val-d'oise"/>
    <x v="8"/>
    <s v="Double licence - Mathématiques / Physique - Licence Mathématiques-Physique"/>
    <x v="0"/>
    <n v="15"/>
    <n v="1187"/>
    <n v="12"/>
    <x v="1"/>
    <n v="79.13333333333334"/>
    <n v="0.8"/>
    <s v="Très forte"/>
  </r>
  <r>
    <s v="Université Paris- Est-Créteil Val de Marne - UPEC (Paris 12)"/>
    <n v="94"/>
    <s v="Val-de-Marne"/>
    <x v="8"/>
    <s v="Licence - Droit - Parcours Carrières publiques"/>
    <x v="0"/>
    <n v="30"/>
    <n v="2373"/>
    <n v="29"/>
    <x v="2"/>
    <n v="79.099999999999994"/>
    <n v="0.96666666666666667"/>
    <s v="Très forte"/>
  </r>
  <r>
    <s v="Université Gustave Eiffel"/>
    <n v="77"/>
    <s v="Seine-et-Marne"/>
    <x v="8"/>
    <s v="Double licence - Mathématiques / Physique, chimie -  Double licence Mathématiques - Physique, chimie"/>
    <x v="0"/>
    <n v="13"/>
    <n v="1026"/>
    <n v="14"/>
    <x v="1"/>
    <n v="78.92307692307692"/>
    <n v="1.0769230769230769"/>
    <s v="Très forte"/>
  </r>
  <r>
    <s v="Université Paris-Saclay, Campus d’Evry"/>
    <n v="91"/>
    <s v="Essonne"/>
    <x v="8"/>
    <s v="Licence - Double diplôme - Licence Droit, Economie - Parcours Licence Double-Diplôme Droit, Economie"/>
    <x v="0"/>
    <n v="45"/>
    <n v="3512"/>
    <n v="40"/>
    <x v="1"/>
    <n v="78.044444444444451"/>
    <n v="0.88888888888888884"/>
    <s v="Très forte"/>
  </r>
  <r>
    <s v="Université Paris- Est-Créteil Val de Marne - UPEC (Paris 12)"/>
    <n v="94"/>
    <s v="Val-de-Marne"/>
    <x v="8"/>
    <s v="Licence - Sciences de la vie et de la terre - Parcours International Biologie Santé"/>
    <x v="0"/>
    <n v="25"/>
    <n v="1947"/>
    <n v="25"/>
    <x v="2"/>
    <n v="77.88"/>
    <n v="1"/>
    <s v="Très forte"/>
  </r>
  <r>
    <s v="Université Paris-Saclay, Campus d’Evry"/>
    <n v="91"/>
    <s v="Essonne"/>
    <x v="8"/>
    <s v="Licence - Double diplôme - Licence Droit, Informatique - Parcours Licence Double-Diplôme Droit, Informatique"/>
    <x v="0"/>
    <n v="30"/>
    <n v="2333"/>
    <n v="29"/>
    <x v="1"/>
    <n v="77.766666666666666"/>
    <n v="0.96666666666666667"/>
    <s v="Très forte"/>
  </r>
  <r>
    <s v="Sorbonne université"/>
    <n v="75"/>
    <s v="Paris"/>
    <x v="8"/>
    <s v="Double licence - Géographie et aménagement / Histoire de l'art et archéologie - ARCHEOLOGIE  - GEOGRAPHIE"/>
    <x v="0"/>
    <n v="20"/>
    <n v="1547"/>
    <n v="19"/>
    <x v="0"/>
    <n v="77.349999999999994"/>
    <n v="0.95"/>
    <s v="Très forte"/>
  </r>
  <r>
    <s v="Université Paris 1 Panthéon Sorbonne"/>
    <n v="75"/>
    <s v="Paris"/>
    <x v="8"/>
    <s v="Licence - Droit - Parcours Droits français et anglais"/>
    <x v="0"/>
    <n v="15"/>
    <n v="1116"/>
    <n v="14"/>
    <x v="0"/>
    <n v="74.400000000000006"/>
    <n v="0.93333333333333335"/>
    <s v="Très forte"/>
  </r>
  <r>
    <s v="Université Paris Nanterre"/>
    <n v="92"/>
    <s v="Hauts-de-Seine"/>
    <x v="8"/>
    <s v="Double licence - Economie et gestion / Mathématiques et informatique appliquées aux sciences humaines et sociales - Double Licence mention Economie et gestion [Gestion] - mention MIASHS [Informatique]"/>
    <x v="0"/>
    <n v="35"/>
    <n v="2586"/>
    <n v="34"/>
    <x v="2"/>
    <n v="73.885714285714286"/>
    <n v="0.97142857142857142"/>
    <s v="Très forte"/>
  </r>
  <r>
    <s v="Université Paris Cité"/>
    <n v="75"/>
    <s v="Paris"/>
    <x v="8"/>
    <s v="Licence - Portail Sciences de la vie"/>
    <x v="1"/>
    <n v="130"/>
    <n v="9520"/>
    <n v="130"/>
    <x v="0"/>
    <n v="73.230769230769226"/>
    <n v="1"/>
    <s v="Très forte"/>
  </r>
  <r>
    <s v="Université Paris Cité"/>
    <n v="75"/>
    <s v="Paris"/>
    <x v="8"/>
    <s v="Double licence - Physique, chimie / Physique - Double licence Physique Chimie"/>
    <x v="0"/>
    <n v="32"/>
    <n v="2289"/>
    <n v="30"/>
    <x v="0"/>
    <n v="71.53125"/>
    <n v="0.9375"/>
    <s v="Très forte"/>
  </r>
  <r>
    <s v="Université Paris- Est-Créteil Val de Marne - UPEC (Paris 12)"/>
    <n v="94"/>
    <s v="Val-de-Marne"/>
    <x v="8"/>
    <s v="Licence - Informatique"/>
    <x v="1"/>
    <n v="58"/>
    <n v="4091"/>
    <n v="58"/>
    <x v="2"/>
    <n v="70.534482758620683"/>
    <n v="1"/>
    <s v="Très forte"/>
  </r>
  <r>
    <s v="Université Paris Panthéon Assas"/>
    <n v="75"/>
    <s v="Paris"/>
    <x v="8"/>
    <s v="Licence - Science politique"/>
    <x v="1"/>
    <n v="120"/>
    <n v="8319"/>
    <n v="119"/>
    <x v="0"/>
    <n v="69.325000000000003"/>
    <n v="0.9916666666666667"/>
    <s v="Très forte"/>
  </r>
  <r>
    <s v="Université Paris Cité"/>
    <n v="75"/>
    <s v="Paris"/>
    <x v="8"/>
    <s v="Licence - Portail Sciences de la terre - Terre / Envrionnement"/>
    <x v="0"/>
    <n v="20"/>
    <n v="1385"/>
    <n v="20"/>
    <x v="0"/>
    <n v="69.25"/>
    <n v="1"/>
    <s v="Très forte"/>
  </r>
  <r>
    <s v="Université Paris- Est-Créteil Val de Marne - UPEC (Paris 12)"/>
    <n v="94"/>
    <s v="Val-de-Marne"/>
    <x v="8"/>
    <s v="Double licence - Histoire / Science politique - Histoire / Science politique"/>
    <x v="0"/>
    <n v="20"/>
    <n v="1336"/>
    <n v="20"/>
    <x v="2"/>
    <n v="66.8"/>
    <n v="1"/>
    <s v="Très forte"/>
  </r>
  <r>
    <s v="Université Paris Panthéon Assas"/>
    <n v="75"/>
    <s v="Paris"/>
    <x v="8"/>
    <s v="Double licence - Droit / Economie et gestion -"/>
    <x v="0"/>
    <n v="35"/>
    <n v="2241"/>
    <n v="35"/>
    <x v="0"/>
    <n v="64.028571428571425"/>
    <n v="1"/>
    <s v="Très forte"/>
  </r>
  <r>
    <s v="Université Sorbonne Nouvelle Paris 3"/>
    <n v="75"/>
    <s v="Paris"/>
    <x v="8"/>
    <s v="Double licence - Etudes théâtrales / Cinéma et Audiovisuel - Double licence Cinéma et audiovisuel (CAV) / Etudes théâtrales"/>
    <x v="1"/>
    <n v="30"/>
    <n v="1918"/>
    <n v="28"/>
    <x v="0"/>
    <n v="63.93333333333333"/>
    <n v="0.93333333333333335"/>
    <s v="Très forte"/>
  </r>
  <r>
    <s v="Université Paris Nanterre - Ville-d'Avray"/>
    <n v="92"/>
    <s v="Hauts-de-Seine"/>
    <x v="8"/>
    <s v="Licence - Sciences pour l'ingénieur"/>
    <x v="1"/>
    <n v="24"/>
    <n v="1513"/>
    <n v="24"/>
    <x v="2"/>
    <n v="63.041666666666664"/>
    <n v="1"/>
    <s v="Très forte"/>
  </r>
  <r>
    <s v="Université Paris Cité"/>
    <n v="75"/>
    <s v="Paris"/>
    <x v="8"/>
    <s v="Licence - Portail Psychologie - Psychologie et Humanités"/>
    <x v="1"/>
    <n v="160"/>
    <n v="9996"/>
    <n v="157"/>
    <x v="0"/>
    <n v="62.475000000000001"/>
    <n v="0.98124999999999996"/>
    <s v="Très forte"/>
  </r>
  <r>
    <s v="Université Sorbonne Paris Nord"/>
    <n v="93"/>
    <s v="Seine-Saint-Denis"/>
    <x v="8"/>
    <s v="Double licence - Informatique / Mathématiques - Double Licence Informatique/Mathématiques"/>
    <x v="0"/>
    <n v="45"/>
    <n v="2721"/>
    <n v="39"/>
    <x v="2"/>
    <n v="60.466666666666669"/>
    <n v="0.8666666666666667"/>
    <s v="Très forte"/>
  </r>
  <r>
    <s v="Université Paris- Est-Créteil Val de Marne - UPEC (Paris 12)"/>
    <n v="94"/>
    <s v="Val-de-Marne"/>
    <x v="8"/>
    <s v="Licence - Portail Langues, littératures et civilisations étrangères et régionales - Anglais"/>
    <x v="1"/>
    <n v="14"/>
    <n v="846"/>
    <n v="14"/>
    <x v="2"/>
    <n v="60.428571428571431"/>
    <n v="1"/>
    <s v="Très forte"/>
  </r>
  <r>
    <s v="Université Paris 8"/>
    <n v="93"/>
    <s v="Seine-Saint-Denis"/>
    <x v="8"/>
    <s v="Licence - Informatique"/>
    <x v="1"/>
    <n v="65"/>
    <n v="3904"/>
    <n v="64"/>
    <x v="2"/>
    <n v="60.061538461538461"/>
    <n v="0.98461538461538467"/>
    <s v="Très forte"/>
  </r>
  <r>
    <s v="Université Paris Cité"/>
    <n v="75"/>
    <s v="Paris"/>
    <x v="8"/>
    <s v="Licence - Sciences et Techniques des Activités Physiques et Sportives - Parcours Kiné"/>
    <x v="1"/>
    <n v="60"/>
    <n v="3585"/>
    <n v="60"/>
    <x v="0"/>
    <n v="59.75"/>
    <n v="1"/>
    <s v="Très forte"/>
  </r>
  <r>
    <s v="Université Paris Cité"/>
    <n v="75"/>
    <s v="Paris"/>
    <x v="8"/>
    <s v="Double licence - Informatique / Mathématiques - Mathématiques et informatique fondamentales - Campus Grands Moulins"/>
    <x v="0"/>
    <n v="57"/>
    <n v="3390"/>
    <n v="59"/>
    <x v="0"/>
    <n v="59.473684210526315"/>
    <n v="1.0350877192982457"/>
    <s v="Très forte"/>
  </r>
  <r>
    <s v="Université Paris 1 Panthéon Sorbonne"/>
    <n v="75"/>
    <s v="Paris"/>
    <x v="8"/>
    <s v="Double licence - Philosophie / Science politique - Philosophie - Science Politique"/>
    <x v="0"/>
    <n v="30"/>
    <n v="1778"/>
    <n v="30"/>
    <x v="0"/>
    <n v="59.266666666666666"/>
    <n v="1"/>
    <s v="Très forte"/>
  </r>
  <r>
    <s v="Université Paris Panthéon Assas"/>
    <n v="75"/>
    <s v="Paris"/>
    <x v="8"/>
    <s v="Licence - Double diplôme - Licence Economie et gestion - Collège d'économie filière ingénierie en analyse économique"/>
    <x v="0"/>
    <n v="35"/>
    <n v="2046"/>
    <n v="36"/>
    <x v="0"/>
    <n v="58.457142857142856"/>
    <n v="1.0285714285714285"/>
    <s v="Très forte"/>
  </r>
  <r>
    <s v="Université Paris Cité"/>
    <n v="75"/>
    <s v="Paris"/>
    <x v="8"/>
    <s v="Licence - Sciences de la vie et de la terre"/>
    <x v="1"/>
    <n v="43"/>
    <n v="2511"/>
    <n v="40"/>
    <x v="0"/>
    <n v="58.395348837209305"/>
    <n v="0.93023255813953487"/>
    <s v="Très forte"/>
  </r>
  <r>
    <s v="Sorbonne université"/>
    <n v="75"/>
    <s v="Paris"/>
    <x v="8"/>
    <s v="Double licence - Histoire / Information et communication - Histoire et Médias"/>
    <x v="0"/>
    <n v="25"/>
    <n v="1446"/>
    <n v="24"/>
    <x v="0"/>
    <n v="57.84"/>
    <n v="0.96"/>
    <s v="Très forte"/>
  </r>
  <r>
    <s v="Sorbonne université"/>
    <n v="75"/>
    <s v="Paris"/>
    <x v="8"/>
    <s v="Licence - Portail Chimie - Sciences et Chinois"/>
    <x v="0"/>
    <n v="12"/>
    <n v="686"/>
    <n v="12"/>
    <x v="0"/>
    <n v="57.166666666666664"/>
    <n v="1"/>
    <s v="Très forte"/>
  </r>
  <r>
    <s v="Université Paris 1 Panthéon Sorbonne"/>
    <n v="75"/>
    <s v="Paris"/>
    <x v="8"/>
    <s v="Double licence - Histoire / Science politique - Histoire - Science Politique"/>
    <x v="0"/>
    <n v="100"/>
    <n v="5684"/>
    <n v="102"/>
    <x v="0"/>
    <n v="56.84"/>
    <n v="1.02"/>
    <s v="Très forte"/>
  </r>
  <r>
    <s v="Université Paris Panthéon Assas"/>
    <n v="75"/>
    <s v="Paris"/>
    <x v="8"/>
    <s v="Licence - Gestion"/>
    <x v="1"/>
    <n v="32"/>
    <n v="1814"/>
    <n v="32"/>
    <x v="0"/>
    <n v="56.6875"/>
    <n v="1"/>
    <s v="Très forte"/>
  </r>
  <r>
    <s v="Université Paris Cité"/>
    <n v="75"/>
    <s v="Paris"/>
    <x v="8"/>
    <s v="Licence - Sciences de l'éducation et de la formation - Parcours Encadrement éducatif et lien social"/>
    <x v="1"/>
    <n v="25"/>
    <n v="1416"/>
    <n v="25"/>
    <x v="0"/>
    <n v="56.64"/>
    <n v="1"/>
    <s v="Très forte"/>
  </r>
  <r>
    <s v="Ecole Universitaire de premier cycle - Campus d'Orsay Université Paris-Saclay"/>
    <n v="91"/>
    <s v="Essonne"/>
    <x v="8"/>
    <s v="Licence - Portail Sciences de la vie - Biologie-Chimie-Sciences de la Terre (BCST) - parcours préparation à l'entrée à des Ecoles de Kinésithérapie en IDF"/>
    <x v="1"/>
    <n v="20"/>
    <n v="1130"/>
    <n v="19"/>
    <x v="1"/>
    <n v="56.5"/>
    <n v="0.95"/>
    <s v="Très forte"/>
  </r>
  <r>
    <s v="Université Paris Panthéon Assas"/>
    <n v="75"/>
    <s v="Paris"/>
    <x v="8"/>
    <s v="Licence - Information et communication"/>
    <x v="1"/>
    <n v="65"/>
    <n v="3660"/>
    <n v="65"/>
    <x v="0"/>
    <n v="56.307692307692307"/>
    <n v="1"/>
    <s v="Très forte"/>
  </r>
  <r>
    <s v="Université Sorbonne Nouvelle Paris 3"/>
    <n v="75"/>
    <s v="Paris"/>
    <x v="8"/>
    <s v="Licence - Cinéma et Audiovisuel - Parcours Cinéma et Audiovisuel - Mineure Lettres"/>
    <x v="1"/>
    <n v="30"/>
    <n v="1681"/>
    <n v="30"/>
    <x v="0"/>
    <n v="56.033333333333331"/>
    <n v="1"/>
    <s v="Très forte"/>
  </r>
  <r>
    <s v="Université Sorbonne Nouvelle Paris 3"/>
    <n v="75"/>
    <s v="Paris"/>
    <x v="8"/>
    <s v="Licence - Portail Lettres - (Renforcé ou mineures)"/>
    <x v="1"/>
    <n v="27"/>
    <n v="1496"/>
    <n v="26"/>
    <x v="0"/>
    <n v="55.407407407407405"/>
    <n v="0.96296296296296291"/>
    <s v="Très forte"/>
  </r>
  <r>
    <s v="Université Paris-Saclay, Campus d’Evry"/>
    <n v="91"/>
    <s v="Essonne"/>
    <x v="8"/>
    <s v="Licence - Double diplôme - Licence Informatique, Sciences de la vie - Parcours Licence Double-Diplôme Informatique, Sciences de la vie"/>
    <x v="0"/>
    <n v="30"/>
    <n v="1644"/>
    <n v="33"/>
    <x v="1"/>
    <n v="54.8"/>
    <n v="1.1000000000000001"/>
    <s v="Très forte"/>
  </r>
  <r>
    <s v="Université Paris Cité"/>
    <n v="75"/>
    <s v="Paris"/>
    <x v="8"/>
    <s v="Licence - Portail Chimie"/>
    <x v="1"/>
    <n v="64"/>
    <n v="3469"/>
    <n v="72"/>
    <x v="0"/>
    <n v="54.203125"/>
    <n v="1.125"/>
    <s v="Très forte"/>
  </r>
  <r>
    <s v="CY Cergy Paris Université"/>
    <n v="95"/>
    <s v="Val-d'oise"/>
    <x v="8"/>
    <s v="Licence - Double diplôme - Licence Economie et gestion - Licence Economie et gestion + DU Innovation by Design"/>
    <x v="0"/>
    <n v="21"/>
    <n v="1130"/>
    <n v="23"/>
    <x v="1"/>
    <n v="53.80952380952381"/>
    <n v="1.0952380952380953"/>
    <s v="Très forte"/>
  </r>
  <r>
    <s v="Université Paris Cité"/>
    <n v="75"/>
    <s v="Paris"/>
    <x v="8"/>
    <s v="Licence - Langues étrangères appliquées - Parcours Bi-disciplinaire : Information Communication - Anglais / Espagnol"/>
    <x v="0"/>
    <n v="20"/>
    <n v="1074"/>
    <n v="20"/>
    <x v="0"/>
    <n v="53.7"/>
    <n v="1"/>
    <s v="Très forte"/>
  </r>
  <r>
    <s v="Université Paris Cité"/>
    <n v="75"/>
    <s v="Paris"/>
    <x v="8"/>
    <s v="Double licence - Droit / Economie et gestion - Droit / Economie et gestion"/>
    <x v="0"/>
    <n v="33"/>
    <n v="1769"/>
    <n v="34"/>
    <x v="0"/>
    <n v="53.606060606060609"/>
    <n v="1.0303030303030303"/>
    <s v="Très forte"/>
  </r>
  <r>
    <s v="Ecole Universitaire de premier cycle - Campus d'Orsay Université Paris-Saclay"/>
    <n v="91"/>
    <s v="Essonne"/>
    <x v="8"/>
    <s v="Licence - Portail Mathématiques-Physique (MP)"/>
    <x v="1"/>
    <n v="105"/>
    <n v="5616"/>
    <n v="108"/>
    <x v="1"/>
    <n v="53.485714285714288"/>
    <n v="1.0285714285714285"/>
    <s v="Très forte"/>
  </r>
  <r>
    <s v="Université Paris- Est-Créteil Val de Marne - UPEC (Paris 12)"/>
    <n v="94"/>
    <s v="Val-de-Marne"/>
    <x v="8"/>
    <s v="Licence - Sciences de l'éducation et de la formation - Parcours Préparatoire au Professorat des Ecoles (PPPE)"/>
    <x v="1"/>
    <n v="35"/>
    <n v="1867"/>
    <n v="35"/>
    <x v="2"/>
    <n v="53.342857142857142"/>
    <n v="1"/>
    <s v="Très forte"/>
  </r>
  <r>
    <s v="Université Paris Panthéon Assas"/>
    <n v="75"/>
    <s v="Paris"/>
    <x v="8"/>
    <s v="Double licence - Droit / Histoire - Droit et Histoire"/>
    <x v="0"/>
    <n v="35"/>
    <n v="1865"/>
    <n v="34"/>
    <x v="0"/>
    <n v="53.285714285714285"/>
    <n v="0.97142857142857142"/>
    <s v="Très forte"/>
  </r>
  <r>
    <s v="Université Paris Cité"/>
    <n v="75"/>
    <s v="Paris"/>
    <x v="8"/>
    <s v="Licence - Portail Economie et gestion"/>
    <x v="1"/>
    <n v="223"/>
    <n v="11806"/>
    <n v="221"/>
    <x v="0"/>
    <n v="52.941704035874437"/>
    <n v="0.99103139013452912"/>
    <s v="Très forte"/>
  </r>
  <r>
    <s v="Université Paris-Saclay, Campus d'Orsay"/>
    <n v="91"/>
    <s v="Essonne"/>
    <x v="8"/>
    <s v="Licence - Double diplôme - Licence STAPS, Sciences pour l'ingénieur - Licence Double-Diplôme STAPS, Sciences pour l'Ingénieur"/>
    <x v="0"/>
    <n v="25"/>
    <n v="1311"/>
    <n v="25"/>
    <x v="1"/>
    <n v="52.44"/>
    <n v="1"/>
    <s v="Très forte"/>
  </r>
  <r>
    <s v="Université Paris Cité"/>
    <n v="75"/>
    <s v="Paris"/>
    <x v="8"/>
    <s v="Licence - Portail Sciences biomédicales"/>
    <x v="1"/>
    <n v="160"/>
    <n v="8384"/>
    <n v="162"/>
    <x v="0"/>
    <n v="52.4"/>
    <n v="1.0125"/>
    <s v="Très forte"/>
  </r>
  <r>
    <s v="Université Paris 1 Panthéon Sorbonne"/>
    <n v="75"/>
    <s v="Paris"/>
    <x v="8"/>
    <s v="Double licence - Cinéma / Gestion - Cinéma : pratique et esthétique - Gestion"/>
    <x v="0"/>
    <n v="35"/>
    <n v="1830"/>
    <n v="34"/>
    <x v="0"/>
    <n v="52.285714285714285"/>
    <n v="0.97142857142857142"/>
    <s v="Très forte"/>
  </r>
  <r>
    <s v="Sorbonne université"/>
    <n v="75"/>
    <s v="Paris"/>
    <x v="8"/>
    <s v="Licence - Portail Mathématiques, Physique, Mécanique"/>
    <x v="1"/>
    <n v="155"/>
    <n v="8038"/>
    <n v="153"/>
    <x v="0"/>
    <n v="51.858064516129033"/>
    <n v="0.98709677419354835"/>
    <s v="Très forte"/>
  </r>
  <r>
    <s v="Université Paris Panthéon Assas"/>
    <n v="75"/>
    <s v="Paris"/>
    <x v="8"/>
    <s v="Double licence - Science politique / Economie et gestion -"/>
    <x v="0"/>
    <n v="35"/>
    <n v="1815"/>
    <n v="35"/>
    <x v="0"/>
    <n v="51.857142857142854"/>
    <n v="1"/>
    <s v="Très forte"/>
  </r>
  <r>
    <s v="Université Paris Cité"/>
    <n v="75"/>
    <s v="Paris"/>
    <x v="8"/>
    <s v="Double licence - Informatique / Sciences de la vie - Double licence Informatique - Biologie - Campus Grands Moulins"/>
    <x v="0"/>
    <n v="16"/>
    <n v="824"/>
    <n v="15"/>
    <x v="0"/>
    <n v="51.5"/>
    <n v="0.9375"/>
    <s v="Très forte"/>
  </r>
  <r>
    <s v="Université Paris-Saclay, Campus d'Orsay"/>
    <n v="91"/>
    <s v="Essonne"/>
    <x v="8"/>
    <s v="Licence - Double diplôme - Licence Economie, Mathématiques - Parcours Licence Double-Diplôme Economie, Mathématiques"/>
    <x v="0"/>
    <n v="30"/>
    <n v="1539"/>
    <n v="30"/>
    <x v="1"/>
    <n v="51.3"/>
    <n v="1"/>
    <s v="Très forte"/>
  </r>
  <r>
    <s v="Université Paris- Est-Créteil Val de Marne - UPEC (Paris 12)"/>
    <n v="94"/>
    <s v="Val-de-Marne"/>
    <x v="8"/>
    <s v="Licence - Double diplôme - Licence Economie et gestion - Double diplôme Licence Management international - Diplôme universitaire Compétences en management - site de Créteil"/>
    <x v="0"/>
    <n v="33"/>
    <n v="1687"/>
    <n v="35"/>
    <x v="2"/>
    <n v="51.121212121212125"/>
    <n v="1.0606060606060606"/>
    <s v="Très forte"/>
  </r>
  <r>
    <s v="Université Paris Nanterre"/>
    <n v="92"/>
    <s v="Hauts-de-Seine"/>
    <x v="8"/>
    <s v="Licence - Information et communication"/>
    <x v="1"/>
    <n v="50"/>
    <n v="2517"/>
    <n v="49"/>
    <x v="2"/>
    <n v="50.34"/>
    <n v="0.98"/>
    <s v="Très forte"/>
  </r>
  <r>
    <s v="Université Paris Nanterre"/>
    <n v="92"/>
    <s v="Hauts-de-Seine"/>
    <x v="8"/>
    <s v="Licence - Science politique"/>
    <x v="1"/>
    <n v="130"/>
    <n v="6508"/>
    <n v="131"/>
    <x v="2"/>
    <n v="50.061538461538461"/>
    <n v="1.0076923076923077"/>
    <s v="Très forte"/>
  </r>
  <r>
    <s v="Université Paris Cité"/>
    <n v="75"/>
    <s v="Paris"/>
    <x v="8"/>
    <s v="Licence - Portail Mathématiques - Mathématiques fondamentales et appliquées - Campus Grands Moulins"/>
    <x v="1"/>
    <n v="63"/>
    <n v="3153"/>
    <n v="58"/>
    <x v="0"/>
    <n v="50.047619047619051"/>
    <n v="0.92063492063492058"/>
    <s v="Très forte"/>
  </r>
  <r>
    <s v="Université Paris Cité"/>
    <n v="75"/>
    <s v="Paris"/>
    <x v="8"/>
    <s v="Double licence - Sciences de la terre / Langues, littératures et civilisations étrangères et régionales - Double licence Sciences de la terre - LLCER Japonais ou Chinois (ASTER)"/>
    <x v="0"/>
    <n v="15"/>
    <n v="748"/>
    <n v="5"/>
    <x v="0"/>
    <n v="49.866666666666667"/>
    <n v="0.33333333333333331"/>
    <s v="Très forte"/>
  </r>
  <r>
    <s v="Université Paris Nanterre"/>
    <n v="92"/>
    <s v="Hauts-de-Seine"/>
    <x v="8"/>
    <s v="Licence - Portail Droit français - Droit étranger - Droit français - common law"/>
    <x v="0"/>
    <n v="25"/>
    <n v="1243"/>
    <n v="25"/>
    <x v="2"/>
    <n v="49.72"/>
    <n v="1"/>
    <s v="Très forte"/>
  </r>
  <r>
    <s v="Université Paris 8"/>
    <n v="93"/>
    <s v="Seine-Saint-Denis"/>
    <x v="8"/>
    <s v="Double licence - Histoire / Langues, littératures et civilisations étrangères et régionales -  Parcours Mondes anglophones"/>
    <x v="0"/>
    <n v="35"/>
    <n v="1698"/>
    <n v="42"/>
    <x v="2"/>
    <n v="48.514285714285712"/>
    <n v="1.2"/>
    <s v="Très forte"/>
  </r>
  <r>
    <s v="Université Paris Panthéon Assas"/>
    <n v="75"/>
    <s v="Paris"/>
    <x v="8"/>
    <s v="Licence - Double diplôme - Licence Droit - Droits français et espagnol"/>
    <x v="0"/>
    <n v="14"/>
    <n v="675"/>
    <n v="14"/>
    <x v="0"/>
    <n v="48.214285714285715"/>
    <n v="1"/>
    <s v="Très forte"/>
  </r>
  <r>
    <s v="Université Paris- Est-Créteil Val de Marne - UPEC (Paris 12)"/>
    <n v="94"/>
    <s v="Val-de-Marne"/>
    <x v="8"/>
    <s v="Double licence - Mathématiques / Informatique - Mathématiques et Informatique"/>
    <x v="0"/>
    <n v="24"/>
    <n v="1156"/>
    <n v="22"/>
    <x v="2"/>
    <n v="48.166666666666664"/>
    <n v="0.91666666666666663"/>
    <s v="Très forte"/>
  </r>
  <r>
    <s v="Ecole Universitaire de premier cycle - Campus d'Orsay Université Paris-Saclay"/>
    <n v="91"/>
    <s v="Essonne"/>
    <x v="8"/>
    <s v="Licence - Portail Mathématiques-Informatique (MI)"/>
    <x v="1"/>
    <n v="75"/>
    <n v="3591"/>
    <n v="93"/>
    <x v="1"/>
    <n v="47.88"/>
    <n v="1.24"/>
    <s v="Très forte"/>
  </r>
  <r>
    <s v="Université Paris-Saclay, Campus d'Orsay"/>
    <n v="91"/>
    <s v="Essonne"/>
    <x v="8"/>
    <s v="Licence - Double diplôme - Licence Informatique, Mathématiques - Licence Double-Diplôme Informatique, Mathématiques"/>
    <x v="0"/>
    <n v="50"/>
    <n v="2355"/>
    <n v="50"/>
    <x v="1"/>
    <n v="47.1"/>
    <n v="1"/>
    <s v="Très forte"/>
  </r>
  <r>
    <s v="Université Paris- Est-Créteil Val de Marne - UPEC (Paris 12)"/>
    <n v="94"/>
    <s v="Val-de-Marne"/>
    <x v="8"/>
    <s v="Licence - Chimie, Sciences de la vie - Parcours International Chimie-Biologie"/>
    <x v="0"/>
    <n v="25"/>
    <n v="1176"/>
    <n v="25"/>
    <x v="2"/>
    <n v="47.04"/>
    <n v="1"/>
    <s v="Très fort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20"/>
    <n v="937"/>
    <n v="20"/>
    <x v="0"/>
    <n v="46.85"/>
    <n v="1"/>
    <s v="Très forte"/>
  </r>
  <r>
    <s v="Université Paris-Saclay, Campus d'Orsay"/>
    <n v="91"/>
    <s v="Essonne"/>
    <x v="8"/>
    <s v="Licence - Double diplôme - Licence Chimie, Sciences de la vie - Licence Double-Diplôme Chimie, Sciences de la Vie"/>
    <x v="0"/>
    <n v="25"/>
    <n v="1165"/>
    <n v="22"/>
    <x v="1"/>
    <n v="46.6"/>
    <n v="0.88"/>
    <s v="Très forte"/>
  </r>
  <r>
    <s v="Institut Catholique de Paris (ICP)- Campus de Paris"/>
    <n v="75"/>
    <s v="Paris"/>
    <x v="8"/>
    <s v="Licence - Double diplôme - Licence Sciences sociales - Economie, Science Politique, Sociologie (ESPS) + Bachelor Science politique, Géopolitique, Humanités"/>
    <x v="0"/>
    <n v="40"/>
    <n v="1856"/>
    <n v="38"/>
    <x v="0"/>
    <n v="46.4"/>
    <n v="0.95"/>
    <s v="Très forte"/>
  </r>
  <r>
    <s v="Université Paris 1 Panthéon Sorbonne"/>
    <n v="75"/>
    <s v="Paris"/>
    <x v="8"/>
    <s v="Double licence - Droit / Economie - Droit - Economie"/>
    <x v="0"/>
    <n v="60"/>
    <n v="2718"/>
    <n v="58"/>
    <x v="0"/>
    <n v="45.3"/>
    <n v="0.96666666666666667"/>
    <s v="Très forte"/>
  </r>
  <r>
    <s v="Université Paris Panthéon Assas"/>
    <n v="75"/>
    <s v="Paris"/>
    <x v="8"/>
    <s v="Licence - Double diplôme - Licence Economie et gestion - Collège d'économie filière économie et droit"/>
    <x v="0"/>
    <n v="35"/>
    <n v="1576"/>
    <n v="35"/>
    <x v="0"/>
    <n v="45.028571428571432"/>
    <n v="1"/>
    <s v="Très forte"/>
  </r>
  <r>
    <s v="Université Paris 1 Panthéon Sorbonne"/>
    <n v="75"/>
    <s v="Paris"/>
    <x v="8"/>
    <s v="Licence - Double diplôme - Licence Droit - Collège de Droit de la Sorbonne"/>
    <x v="0"/>
    <n v="50"/>
    <n v="2246"/>
    <n v="50"/>
    <x v="0"/>
    <n v="44.92"/>
    <n v="1"/>
    <s v="Très forte"/>
  </r>
  <r>
    <s v="Université Panthéon- Assas Paris2 - Antenne Melun"/>
    <n v="77"/>
    <s v="Seine-et-Marne"/>
    <x v="8"/>
    <s v="Licence - Double diplôme - Licence Economie et gestion - Cursus Étoile"/>
    <x v="0"/>
    <n v="20"/>
    <n v="896"/>
    <n v="20"/>
    <x v="1"/>
    <n v="44.8"/>
    <n v="1"/>
    <s v="Très forte"/>
  </r>
  <r>
    <s v="Université Sorbonne Nouvelle Paris 3"/>
    <n v="75"/>
    <s v="Paris"/>
    <x v="8"/>
    <s v="Licence - Portail Lettres - Entièrement en distanciel (Renforcé ou mineures) - Entièrement en distanciel"/>
    <x v="1"/>
    <n v="9"/>
    <n v="398"/>
    <n v="9"/>
    <x v="0"/>
    <n v="44.222222222222221"/>
    <n v="1"/>
    <s v="Très forte"/>
  </r>
  <r>
    <s v="Université Sorbonne Nouvelle Paris 3"/>
    <n v="75"/>
    <s v="Paris"/>
    <x v="8"/>
    <s v="Licence - Information et communication - Parcours Licence Information et Communication renforcé"/>
    <x v="1"/>
    <n v="70"/>
    <n v="3080"/>
    <n v="69"/>
    <x v="0"/>
    <n v="44"/>
    <n v="0.98571428571428577"/>
    <s v="Très forte"/>
  </r>
  <r>
    <s v="Sorbonne université"/>
    <n v="75"/>
    <s v="Paris"/>
    <x v="8"/>
    <s v="Double licence - Sciences - Philosophie"/>
    <x v="0"/>
    <n v="24"/>
    <n v="1042"/>
    <n v="24"/>
    <x v="0"/>
    <n v="43.416666666666664"/>
    <n v="1"/>
    <s v="Très forte"/>
  </r>
  <r>
    <s v="Université Paris- Est-Créteil Val de Marne - UPEC (Paris 12)"/>
    <n v="94"/>
    <s v="Val-de-Marne"/>
    <x v="8"/>
    <s v="Licence - Sciences et Techniques des Activités Physiques et Sportives - Parcours Kinésithérapie - site de Créteil"/>
    <x v="1"/>
    <n v="65"/>
    <n v="2822"/>
    <n v="65"/>
    <x v="2"/>
    <n v="43.415384615384617"/>
    <n v="1"/>
    <s v="Très forte"/>
  </r>
  <r>
    <s v="Sorbonne université"/>
    <n v="75"/>
    <s v="Paris"/>
    <x v="8"/>
    <s v="Licence - Double diplôme - Licence Physique - Parcours monodisciplinaire intensif de physique SPRINT"/>
    <x v="0"/>
    <n v="16"/>
    <n v="691"/>
    <n v="18"/>
    <x v="0"/>
    <n v="43.1875"/>
    <n v="1.125"/>
    <s v="Très forte"/>
  </r>
  <r>
    <s v="Université Paris-Saclay, Campus d'Orsay"/>
    <n v="91"/>
    <s v="Essonne"/>
    <x v="8"/>
    <s v="Licence - Double diplôme - Licence Sciences de la Terre et Sciences Physiques - Licence Double-Diplôme Géosciences, Physique"/>
    <x v="0"/>
    <n v="25"/>
    <n v="1074"/>
    <n v="25"/>
    <x v="1"/>
    <n v="42.96"/>
    <n v="1"/>
    <s v="Très forte"/>
  </r>
  <r>
    <s v="IPC-Facultés Libres de Philosophie et de Psycholog"/>
    <n v="75"/>
    <s v="Paris"/>
    <x v="8"/>
    <s v="Licence - Psychologie"/>
    <x v="0"/>
    <n v="50"/>
    <n v="2131"/>
    <n v="47"/>
    <x v="0"/>
    <n v="42.62"/>
    <n v="0.94"/>
    <s v="Très forte"/>
  </r>
  <r>
    <s v="Université Paris- Est-Créteil Val de Marne - UPEC (Paris 12)"/>
    <n v="94"/>
    <s v="Val-de-Marne"/>
    <x v="8"/>
    <s v="Licence - Portail Chimie"/>
    <x v="1"/>
    <n v="28"/>
    <n v="1193"/>
    <n v="27"/>
    <x v="2"/>
    <n v="42.607142857142854"/>
    <n v="0.9642857142857143"/>
    <s v="Très forte"/>
  </r>
  <r>
    <s v="Université d'Evry Val d'Essonne"/>
    <n v="91"/>
    <s v="Essonne"/>
    <x v="8"/>
    <s v="Double licence - Mathématiques / Economie et gestion -  DOUBLE LICENCE MATHEMATIQUES-ECONOMIE"/>
    <x v="0"/>
    <n v="35"/>
    <n v="1488"/>
    <n v="32"/>
    <x v="1"/>
    <n v="42.514285714285712"/>
    <n v="0.91428571428571426"/>
    <s v="Très forte"/>
  </r>
  <r>
    <s v="Université Paris Nanterre"/>
    <n v="92"/>
    <s v="Hauts-de-Seine"/>
    <x v="8"/>
    <s v="Licence - Portail Santé et société - Santé et sciences humaines et sociales"/>
    <x v="1"/>
    <n v="35"/>
    <n v="1482"/>
    <n v="35"/>
    <x v="2"/>
    <n v="42.342857142857142"/>
    <n v="1"/>
    <s v="Très forte"/>
  </r>
  <r>
    <s v="Institut Catholique de Paris (ICP)- Campus de Paris"/>
    <n v="75"/>
    <s v="Paris"/>
    <x v="8"/>
    <s v="Licence - Double diplôme - Licence Histoire - Histoire - Science politique + Bachelor Science politique, Géopolitique, Humanités"/>
    <x v="0"/>
    <n v="40"/>
    <n v="1692"/>
    <n v="38"/>
    <x v="0"/>
    <n v="42.3"/>
    <n v="0.95"/>
    <s v="Très forte"/>
  </r>
  <r>
    <s v="Université Paris Cité"/>
    <n v="75"/>
    <s v="Paris"/>
    <x v="8"/>
    <s v="Double licence - Sciences biomédicales / Economie et gestion - Sciences biomédicales / Economie et gestion"/>
    <x v="0"/>
    <n v="6"/>
    <n v="253"/>
    <n v="5"/>
    <x v="0"/>
    <n v="42.166666666666664"/>
    <n v="0.83333333333333337"/>
    <s v="Très forte"/>
  </r>
  <r>
    <s v="Université Sorbonne Paris Nord"/>
    <n v="93"/>
    <s v="Seine-Saint-Denis"/>
    <x v="8"/>
    <s v="Double licence - Géographie et aménagement / Histoire - Double Licence Histoire-Géographie"/>
    <x v="0"/>
    <n v="25"/>
    <n v="1048"/>
    <n v="21"/>
    <x v="2"/>
    <n v="41.92"/>
    <n v="0.84"/>
    <s v="Très forte"/>
  </r>
  <r>
    <s v="Université Sorbonne Nouvelle Paris 3"/>
    <n v="75"/>
    <s v="Paris"/>
    <x v="8"/>
    <s v="Licence - Portail Langues, littératures et civilisations étrangères et régionales - Licence LLCER Anglais (renforcé ou mineures) - Entièrement en distanciel"/>
    <x v="1"/>
    <n v="20"/>
    <n v="836"/>
    <n v="20"/>
    <x v="0"/>
    <n v="41.8"/>
    <n v="1"/>
    <s v="Très forte"/>
  </r>
  <r>
    <s v="Sorbonne université"/>
    <n v="75"/>
    <s v="Paris"/>
    <x v="8"/>
    <s v="Licence - Portail Mathématiques, Informatique"/>
    <x v="1"/>
    <n v="200"/>
    <n v="8360"/>
    <n v="197"/>
    <x v="0"/>
    <n v="41.8"/>
    <n v="0.98499999999999999"/>
    <s v="Très forte"/>
  </r>
  <r>
    <s v="Université Paris- Est-Créteil Val de Marne - UPEC (Paris 12)"/>
    <n v="94"/>
    <s v="Val-de-Marne"/>
    <x v="8"/>
    <s v="Double licence - Histoire / Langues, littératures et civilisations étrangères et régionales - Histoire -Espagnol"/>
    <x v="0"/>
    <n v="5"/>
    <n v="208"/>
    <n v="5"/>
    <x v="2"/>
    <n v="41.6"/>
    <n v="1"/>
    <s v="Très forte"/>
  </r>
  <r>
    <s v="Université Paris 8"/>
    <n v="93"/>
    <s v="Seine-Saint-Denis"/>
    <x v="8"/>
    <s v="Double licence - Histoire / Science politique - Histoire / Science politique"/>
    <x v="0"/>
    <n v="36"/>
    <n v="1497"/>
    <n v="35"/>
    <x v="2"/>
    <n v="41.583333333333336"/>
    <n v="0.97222222222222221"/>
    <s v="Très forte"/>
  </r>
  <r>
    <s v="Université Paris Panthéon Assas"/>
    <n v="75"/>
    <s v="Paris"/>
    <x v="8"/>
    <s v="Double licence - Droit / Histoire de l'art et archéologie - Droit et Histoire de l'Art"/>
    <x v="0"/>
    <n v="35"/>
    <n v="1455"/>
    <n v="35"/>
    <x v="0"/>
    <n v="41.571428571428569"/>
    <n v="1"/>
    <s v="Très forte"/>
  </r>
  <r>
    <s v="Université Paris Cité"/>
    <n v="75"/>
    <s v="Paris"/>
    <x v="8"/>
    <s v="Licence - Portail Economie - Sciences Economiques et Sociales"/>
    <x v="1"/>
    <n v="85"/>
    <n v="3530"/>
    <n v="86"/>
    <x v="0"/>
    <n v="41.529411764705884"/>
    <n v="1.0117647058823529"/>
    <s v="Très forte"/>
  </r>
  <r>
    <s v="Sorbonne université"/>
    <n v="75"/>
    <s v="Paris"/>
    <x v="8"/>
    <s v="Double licence - Histoire - Sciences"/>
    <x v="0"/>
    <n v="20"/>
    <n v="829"/>
    <n v="19"/>
    <x v="0"/>
    <n v="41.45"/>
    <n v="0.95"/>
    <s v="Très forte"/>
  </r>
  <r>
    <s v="Université Paris Panthéon Assas"/>
    <n v="75"/>
    <s v="Paris"/>
    <x v="8"/>
    <s v="Licence - Economie et gestion - Parcours Economie gestion"/>
    <x v="1"/>
    <n v="410"/>
    <n v="16868"/>
    <n v="410"/>
    <x v="0"/>
    <n v="41.141463414634146"/>
    <n v="1"/>
    <s v="Très forte"/>
  </r>
  <r>
    <s v="Université Sorbonne Nouvelle Paris 3"/>
    <n v="75"/>
    <s v="Paris"/>
    <x v="8"/>
    <s v="Licence - Cinéma et Audiovisuel - Parcours Cinéma et Audiovisuel - Mineure Arts et Médias"/>
    <x v="1"/>
    <n v="120"/>
    <n v="4932"/>
    <n v="119"/>
    <x v="0"/>
    <n v="41.1"/>
    <n v="0.9916666666666667"/>
    <s v="Très forte"/>
  </r>
  <r>
    <s v="CY Cergy Paris Université"/>
    <n v="95"/>
    <s v="Val-d'oise"/>
    <x v="8"/>
    <s v="Licence - Double diplôme - Licence Sciences de la vie - Licence Sciences de la vie + DU Science forensique"/>
    <x v="1"/>
    <n v="18"/>
    <n v="738"/>
    <n v="18"/>
    <x v="1"/>
    <n v="41"/>
    <n v="1"/>
    <s v="Très forte"/>
  </r>
  <r>
    <s v="Université Paris Panthéon Assas"/>
    <n v="75"/>
    <s v="Paris"/>
    <x v="8"/>
    <s v="Licence - Double diplôme - Licence Droit - Droits français et allemand - programme Sarrebruck"/>
    <x v="0"/>
    <n v="15"/>
    <n v="612"/>
    <n v="14"/>
    <x v="0"/>
    <n v="40.799999999999997"/>
    <n v="0.93333333333333335"/>
    <s v="Très forte"/>
  </r>
  <r>
    <s v="Université Sorbonne Nouvelle Paris 3"/>
    <n v="75"/>
    <s v="Paris"/>
    <x v="8"/>
    <s v="Licence - Information et communication - Parcours Information-Communication - Mineure Arts et Médias"/>
    <x v="1"/>
    <n v="85"/>
    <n v="3404"/>
    <n v="85"/>
    <x v="0"/>
    <n v="40.047058823529412"/>
    <n v="1"/>
    <s v="Très forte"/>
  </r>
  <r>
    <s v="Université Paris Cité"/>
    <n v="75"/>
    <s v="Paris"/>
    <x v="8"/>
    <s v="Licence - Portail Physique"/>
    <x v="1"/>
    <n v="90"/>
    <n v="3588"/>
    <n v="85"/>
    <x v="0"/>
    <n v="39.866666666666667"/>
    <n v="0.94444444444444442"/>
    <s v="Forte"/>
  </r>
  <r>
    <s v="Université Paris- Est-Créteil Val de Marne - UPEC (Paris 12)"/>
    <n v="94"/>
    <s v="Val-de-Marne"/>
    <x v="8"/>
    <s v="Licence - Administration et Echanges internationaux - Parcours International Business"/>
    <x v="0"/>
    <n v="90"/>
    <n v="3583"/>
    <n v="89"/>
    <x v="2"/>
    <n v="39.81111111111111"/>
    <n v="0.98888888888888893"/>
    <s v="Forte"/>
  </r>
  <r>
    <s v="Sorbonne université"/>
    <n v="75"/>
    <s v="Paris"/>
    <x v="8"/>
    <s v="Double Licence - Sciences - Droit"/>
    <x v="0"/>
    <n v="32"/>
    <n v="1265"/>
    <n v="30"/>
    <x v="0"/>
    <n v="39.53125"/>
    <n v="0.9375"/>
    <s v="Forte"/>
  </r>
  <r>
    <s v="Sorbonne université"/>
    <n v="75"/>
    <s v="Paris"/>
    <x v="8"/>
    <s v="Licence - Portail Électronique, Informatique"/>
    <x v="1"/>
    <n v="65"/>
    <n v="2560"/>
    <n v="65"/>
    <x v="0"/>
    <n v="39.384615384615387"/>
    <n v="1"/>
    <s v="Forte"/>
  </r>
  <r>
    <s v="Université Paris Panthéon Assas"/>
    <n v="75"/>
    <s v="Paris"/>
    <x v="8"/>
    <s v="Licence - Double diplôme - Licence Droit - Droits français et suisse"/>
    <x v="0"/>
    <n v="15"/>
    <n v="590"/>
    <n v="15"/>
    <x v="0"/>
    <n v="39.333333333333336"/>
    <n v="1"/>
    <s v="Forte"/>
  </r>
  <r>
    <s v="Université Paris Cité"/>
    <n v="75"/>
    <s v="Paris"/>
    <x v="8"/>
    <s v="Licence - Chimie - Parcours Mineure Biologie"/>
    <x v="1"/>
    <n v="32"/>
    <n v="1251"/>
    <n v="31"/>
    <x v="0"/>
    <n v="39.09375"/>
    <n v="0.96875"/>
    <s v="Forte"/>
  </r>
  <r>
    <s v="Université Sorbonne Nouvelle Paris 3"/>
    <n v="75"/>
    <s v="Paris"/>
    <x v="8"/>
    <s v="Licence - Portail Etudes théâtrales - Renforcé ou mineures"/>
    <x v="1"/>
    <n v="40"/>
    <n v="1550"/>
    <n v="39"/>
    <x v="0"/>
    <n v="38.75"/>
    <n v="0.97499999999999998"/>
    <s v="Forte"/>
  </r>
  <r>
    <s v="Université Sorbonne Paris Nord"/>
    <n v="93"/>
    <s v="Seine-Saint-Denis"/>
    <x v="8"/>
    <s v="Licence - Informatique"/>
    <x v="1"/>
    <n v="145"/>
    <n v="5597"/>
    <n v="136"/>
    <x v="2"/>
    <n v="38.6"/>
    <n v="0.93793103448275861"/>
    <s v="Forte"/>
  </r>
  <r>
    <s v="Université Paris- Est-Créteil Val de Marne - UPEC (Paris 12)"/>
    <n v="94"/>
    <s v="Val-de-Marne"/>
    <x v="8"/>
    <s v="Double licence - Histoire / Langues, littératures et civilisations étrangères et régionales - Histoire -Anglais"/>
    <x v="0"/>
    <n v="38"/>
    <n v="1457"/>
    <n v="35"/>
    <x v="2"/>
    <n v="38.342105263157897"/>
    <n v="0.92105263157894735"/>
    <s v="Forte"/>
  </r>
  <r>
    <s v="Université Sorbonne Nouvelle Paris 3"/>
    <n v="75"/>
    <s v="Paris"/>
    <x v="8"/>
    <s v="Licence - Portail Langues, littératures et civilisations étrangères et régionales - Licence LLCER Anglais (renforcé ou mineures) - Entièrement en distanciel"/>
    <x v="1"/>
    <n v="19"/>
    <n v="728"/>
    <n v="18"/>
    <x v="0"/>
    <n v="38.315789473684212"/>
    <n v="0.94736842105263153"/>
    <s v="Forte"/>
  </r>
  <r>
    <s v="CY Cergy Paris Université"/>
    <n v="95"/>
    <s v="Val-d'oise"/>
    <x v="8"/>
    <s v="Double licence - Droit / Economie et gestion - Double licence Droit / Economie et gestion"/>
    <x v="0"/>
    <n v="70"/>
    <n v="2671"/>
    <n v="68"/>
    <x v="1"/>
    <n v="38.157142857142858"/>
    <n v="0.97142857142857142"/>
    <s v="Forte"/>
  </r>
  <r>
    <s v="Université Gustave Eiffel"/>
    <n v="77"/>
    <s v="Seine-et-Marne"/>
    <x v="8"/>
    <s v="Double licence - Mathématiques / Informatique - Double licence Mathématiques - Informatique"/>
    <x v="1"/>
    <n v="18"/>
    <n v="683"/>
    <n v="18"/>
    <x v="1"/>
    <n v="37.944444444444443"/>
    <n v="1"/>
    <s v="Forte"/>
  </r>
  <r>
    <s v="Université Paris Nanterre"/>
    <n v="92"/>
    <s v="Hauts-de-Seine"/>
    <x v="8"/>
    <s v="Double licence - Sciences du langage / Langues, littératures et civilisations étrangères et régionales - Double Licence mention Sciences du langage - mention Langues, littératures et civilisations étrangères et régionales [Espagnol]"/>
    <x v="0"/>
    <n v="10"/>
    <n v="369"/>
    <n v="10"/>
    <x v="2"/>
    <n v="36.9"/>
    <n v="1"/>
    <s v="Forte"/>
  </r>
  <r>
    <s v="Université Paris-Saclay - Campus de Versailles"/>
    <n v="78"/>
    <s v="Yvelines"/>
    <x v="8"/>
    <s v="Licence - Double diplôme - Licence Chimie, Sciences de la vie - Licence Double-Diplôme Chimie, Sciences de la Vie"/>
    <x v="0"/>
    <n v="32"/>
    <n v="1180"/>
    <n v="29"/>
    <x v="1"/>
    <n v="36.875"/>
    <n v="0.90625"/>
    <s v="Fort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50"/>
    <n v="1800"/>
    <n v="50"/>
    <x v="0"/>
    <n v="36"/>
    <n v="1"/>
    <s v="Forte"/>
  </r>
  <r>
    <s v="Université Paris Nanterre"/>
    <n v="92"/>
    <s v="Hauts-de-Seine"/>
    <x v="8"/>
    <s v="Double licence - Economie et gestion / Mathématiques et informatique appliquées aux sciences humaines et sociales - Double Licence mention Economie et gestion [Economie] - mention MIASHS [Mathématiques]"/>
    <x v="0"/>
    <n v="35"/>
    <n v="1256"/>
    <n v="33"/>
    <x v="2"/>
    <n v="35.885714285714286"/>
    <n v="0.94285714285714284"/>
    <s v="Forte"/>
  </r>
  <r>
    <s v="CY Cergy Paris Université"/>
    <n v="95"/>
    <s v="Val-d'oise"/>
    <x v="8"/>
    <s v="Licence - Double diplôme - Licence Economie et gestion - Licence 1 Economie et gestion + DU Agir pour la transition (en 5 ans)"/>
    <x v="0"/>
    <n v="40"/>
    <n v="1415"/>
    <n v="33"/>
    <x v="1"/>
    <n v="35.375"/>
    <n v="0.82499999999999996"/>
    <s v="Forte"/>
  </r>
  <r>
    <s v="CY Cergy Paris Université - INSPÉ de l’académie de Versailles"/>
    <n v="92"/>
    <s v="Hauts-de-Seine"/>
    <x v="8"/>
    <s v="Licence - Sciences de l'éducation et de la formation - Parcours Préparatoire au Professorat des Ecoles (PPPE)"/>
    <x v="1"/>
    <n v="34"/>
    <n v="1195"/>
    <n v="31"/>
    <x v="2"/>
    <n v="35.147058823529413"/>
    <n v="0.91176470588235292"/>
    <s v="Forte"/>
  </r>
  <r>
    <s v="Université Paris Cité"/>
    <n v="75"/>
    <s v="Paris"/>
    <x v="8"/>
    <s v="Licence - Langues étrangères appliquées - Parcours Monde asiatique : travail, cultures et sociétés - Anglais / Japonais"/>
    <x v="0"/>
    <n v="30"/>
    <n v="1029"/>
    <n v="29"/>
    <x v="0"/>
    <n v="34.299999999999997"/>
    <n v="0.96666666666666667"/>
    <s v="Forte"/>
  </r>
  <r>
    <s v="Université Paris 1 Panthéon Sorbonne"/>
    <n v="75"/>
    <s v="Paris"/>
    <x v="8"/>
    <s v="Double licence - Philosophie / Histoire - Philosophie - Histoire"/>
    <x v="0"/>
    <n v="20"/>
    <n v="675"/>
    <n v="19"/>
    <x v="0"/>
    <n v="33.75"/>
    <n v="0.95"/>
    <s v="Forte"/>
  </r>
  <r>
    <s v="Université de Versailles - Saint Quentin en Yvelines"/>
    <n v="78"/>
    <s v="Yvelines"/>
    <x v="8"/>
    <s v="Licence - Sciences pour la santé - Parcours Rééducation Réadaptation"/>
    <x v="1"/>
    <n v="30"/>
    <n v="1001"/>
    <n v="30"/>
    <x v="1"/>
    <n v="33.366666666666667"/>
    <n v="1"/>
    <s v="Forte"/>
  </r>
  <r>
    <s v="Université Paris Nanterre"/>
    <n v="92"/>
    <s v="Hauts-de-Seine"/>
    <x v="8"/>
    <s v="Licence - Droit français - Droit étranger - Parcours Droit français - droit russe"/>
    <x v="0"/>
    <n v="30"/>
    <n v="994"/>
    <n v="30"/>
    <x v="2"/>
    <n v="33.133333333333333"/>
    <n v="1"/>
    <s v="Forte"/>
  </r>
  <r>
    <s v="Sorbonne université"/>
    <n v="75"/>
    <s v="Paris"/>
    <x v="8"/>
    <s v="Licence - Portail Physique, Chimie"/>
    <x v="1"/>
    <n v="165"/>
    <n v="5462"/>
    <n v="162"/>
    <x v="0"/>
    <n v="33.103030303030302"/>
    <n v="0.98181818181818181"/>
    <s v="Forte"/>
  </r>
  <r>
    <s v="Université Paris 1 Panthéon Sorbonne"/>
    <n v="75"/>
    <s v="Paris"/>
    <x v="8"/>
    <s v="Licence - Cinéma - Parcours Cinéma : pratique et esthétique"/>
    <x v="1"/>
    <n v="122"/>
    <n v="3993"/>
    <n v="122"/>
    <x v="0"/>
    <n v="32.729508196721312"/>
    <n v="1"/>
    <s v="Forte"/>
  </r>
  <r>
    <s v="Université Paris Nanterre"/>
    <n v="92"/>
    <s v="Hauts-de-Seine"/>
    <x v="8"/>
    <s v="Licence - Economie et gestion - Parcours Economie et gestion - cursus international franco-anglais"/>
    <x v="0"/>
    <n v="90"/>
    <n v="2925"/>
    <n v="88"/>
    <x v="2"/>
    <n v="32.5"/>
    <n v="0.97777777777777775"/>
    <s v="Forte"/>
  </r>
  <r>
    <s v="Université Sorbonne Paris Nord - Antenne de Bobigny"/>
    <n v="93"/>
    <s v="Seine-Saint-Denis"/>
    <x v="8"/>
    <s v="Licence - Portail Sciences de la vie"/>
    <x v="1"/>
    <n v="165"/>
    <n v="5344"/>
    <n v="162"/>
    <x v="2"/>
    <n v="32.38787878787879"/>
    <n v="0.98181818181818181"/>
    <s v="Forte"/>
  </r>
  <r>
    <s v="Université de Versailles - Saint Quentin en Yvelines"/>
    <n v="78"/>
    <s v="Yvelines"/>
    <x v="8"/>
    <s v="Licence - Droit - Parcours Droit International"/>
    <x v="0"/>
    <n v="48"/>
    <n v="1552"/>
    <n v="48"/>
    <x v="1"/>
    <n v="32.333333333333336"/>
    <n v="1"/>
    <s v="Forte"/>
  </r>
  <r>
    <s v="Ecole Universitaire de premier cycle - Campus d'Orsay Université Paris-Saclay"/>
    <n v="91"/>
    <s v="Essonne"/>
    <x v="8"/>
    <s v="Licence - Portail Economie et gestion"/>
    <x v="1"/>
    <n v="170"/>
    <n v="5493"/>
    <n v="169"/>
    <x v="1"/>
    <n v="32.311764705882354"/>
    <n v="0.99411764705882355"/>
    <s v="Forte"/>
  </r>
  <r>
    <s v="Université Sorbonne Nouvelle Paris 3"/>
    <n v="75"/>
    <s v="Paris"/>
    <x v="8"/>
    <s v="Licence - Portail Lettres - (Renforcé ou mineures)"/>
    <x v="1"/>
    <n v="14"/>
    <n v="452"/>
    <n v="14"/>
    <x v="0"/>
    <n v="32.285714285714285"/>
    <n v="1"/>
    <s v="Forte"/>
  </r>
  <r>
    <s v="Institut d'études politiques de Fontainebleau - UPEC"/>
    <n v="77"/>
    <s v="Seine-et-Marne"/>
    <x v="8"/>
    <s v="Licence - Portail Science politique - Parcours Science politique internationale"/>
    <x v="1"/>
    <n v="75"/>
    <n v="2408"/>
    <n v="74"/>
    <x v="1"/>
    <n v="32.106666666666669"/>
    <n v="0.98666666666666669"/>
    <s v="Forte"/>
  </r>
  <r>
    <s v="Université Paris Cité"/>
    <n v="75"/>
    <s v="Paris"/>
    <x v="8"/>
    <s v="Licence - Sciences de l'éducation et de la formation - Parcours Professorat des écoles"/>
    <x v="1"/>
    <n v="55"/>
    <n v="1758"/>
    <n v="57"/>
    <x v="0"/>
    <n v="31.963636363636365"/>
    <n v="1.0363636363636364"/>
    <s v="Forte"/>
  </r>
  <r>
    <s v="Université Paris 8"/>
    <n v="93"/>
    <s v="Seine-Saint-Denis"/>
    <x v="8"/>
    <s v="Licence - Science politique"/>
    <x v="1"/>
    <n v="125"/>
    <n v="3955"/>
    <n v="122"/>
    <x v="2"/>
    <n v="31.64"/>
    <n v="0.97599999999999998"/>
    <s v="Forte"/>
  </r>
  <r>
    <s v="Université Paris Nanterre"/>
    <n v="92"/>
    <s v="Hauts-de-Seine"/>
    <x v="8"/>
    <s v="Licence - Economie et gestion - Parcours Cursus master en ingénierie (CMI) : Data science for social Sciences"/>
    <x v="0"/>
    <n v="35"/>
    <n v="1103"/>
    <n v="35"/>
    <x v="2"/>
    <n v="31.514285714285716"/>
    <n v="1"/>
    <s v="Forte"/>
  </r>
  <r>
    <s v="INALCO"/>
    <n v="75"/>
    <s v="Paris"/>
    <x v="8"/>
    <s v="Double licence - Langues, littératures et civilisations étrangères et régionales / Langues, littératures et civilisations étrangères et régionales - ARABE - HEBREU"/>
    <x v="0"/>
    <n v="10"/>
    <n v="314"/>
    <n v="9"/>
    <x v="0"/>
    <n v="31.4"/>
    <n v="0.9"/>
    <s v="Forte"/>
  </r>
  <r>
    <s v="Université Paris Cité"/>
    <n v="75"/>
    <s v="Paris"/>
    <x v="8"/>
    <s v="Licence - Lettres - Parcours Lettres et Arts"/>
    <x v="0"/>
    <n v="70"/>
    <n v="2198"/>
    <n v="69"/>
    <x v="0"/>
    <n v="31.4"/>
    <n v="0.98571428571428577"/>
    <s v="Forte"/>
  </r>
  <r>
    <s v="Université Paris Cité"/>
    <n v="75"/>
    <s v="Paris"/>
    <x v="8"/>
    <s v="Licence - Arts du spectacle - Parcours Cinéma"/>
    <x v="0"/>
    <n v="77"/>
    <n v="2389"/>
    <n v="81"/>
    <x v="0"/>
    <n v="31.025974025974026"/>
    <n v="1.051948051948052"/>
    <s v="Forte"/>
  </r>
  <r>
    <s v="Ecole Universitaire de premier cycle - Campus d'Orsay Université Paris-Saclay"/>
    <n v="91"/>
    <s v="Essonne"/>
    <x v="8"/>
    <s v="Licence - Sciences et Techniques des Activités Physiques et Sportives - Parcours STAPS - Préparation à l'entrée à l'Ecole de Kinésithérapie et de Rééducation de Saint Maurice et à certains IFMK d'Ile de France"/>
    <x v="1"/>
    <n v="65"/>
    <n v="2011"/>
    <n v="65"/>
    <x v="1"/>
    <n v="30.938461538461539"/>
    <n v="1"/>
    <s v="Forte"/>
  </r>
  <r>
    <s v="Université de Versailles - Saint Quentin en Yvelines"/>
    <n v="78"/>
    <s v="Yvelines"/>
    <x v="8"/>
    <s v="Licence - Portail Science politique"/>
    <x v="1"/>
    <n v="57"/>
    <n v="1756"/>
    <n v="57"/>
    <x v="1"/>
    <n v="30.807017543859651"/>
    <n v="1"/>
    <s v="Forte"/>
  </r>
  <r>
    <s v="Université Sorbonne Paris Nord"/>
    <n v="93"/>
    <s v="Seine-Saint-Denis"/>
    <x v="8"/>
    <s v="Licence - Psychologie"/>
    <x v="1"/>
    <n v="300"/>
    <n v="9221"/>
    <n v="281"/>
    <x v="2"/>
    <n v="30.736666666666668"/>
    <n v="0.93666666666666665"/>
    <s v="Forte"/>
  </r>
  <r>
    <s v="Université Paris 1 Panthéon Sorbonne"/>
    <n v="75"/>
    <s v="Paris"/>
    <x v="8"/>
    <s v="Licence - Gestion - Parcours International Track"/>
    <x v="1"/>
    <n v="90"/>
    <n v="2766"/>
    <n v="90"/>
    <x v="0"/>
    <n v="30.733333333333334"/>
    <n v="1"/>
    <s v="Forte"/>
  </r>
  <r>
    <s v="Université Sorbonne Nouvelle Paris 3"/>
    <n v="75"/>
    <s v="Paris"/>
    <x v="8"/>
    <s v="Licence - Portail Langues, littératures et civilisations étrangères et régionales - Licence LLCER Arabe (renforcé OU mineures)"/>
    <x v="1"/>
    <n v="3"/>
    <n v="92"/>
    <n v="3"/>
    <x v="0"/>
    <n v="30.666666666666668"/>
    <n v="1"/>
    <s v="Forte"/>
  </r>
  <r>
    <s v="Université Gustave Eiffel"/>
    <n v="77"/>
    <s v="Seine-et-Marne"/>
    <x v="8"/>
    <s v="Licence - Arts - Parcours Cinéma et audiovisuel"/>
    <x v="0"/>
    <n v="70"/>
    <n v="2126"/>
    <n v="69"/>
    <x v="1"/>
    <n v="30.37142857142857"/>
    <n v="0.98571428571428577"/>
    <s v="Forte"/>
  </r>
  <r>
    <s v="Université Paris- Est-Créteil Val de Marne - UPEC (Paris 12)"/>
    <n v="94"/>
    <s v="Val-de-Marne"/>
    <x v="8"/>
    <s v="Double licence - Histoire / Géographie et aménagement - Histoire - Géographie et aménagement"/>
    <x v="0"/>
    <n v="33"/>
    <n v="1002"/>
    <n v="32"/>
    <x v="2"/>
    <n v="30.363636363636363"/>
    <n v="0.96969696969696972"/>
    <s v="Forte"/>
  </r>
  <r>
    <s v="Université Paris Cité"/>
    <n v="75"/>
    <s v="Paris"/>
    <x v="8"/>
    <s v="Licence - Portail Mathématiques et informatique appliquées aux sciences humaines et sociales"/>
    <x v="1"/>
    <n v="86"/>
    <n v="2607"/>
    <n v="85"/>
    <x v="0"/>
    <n v="30.313953488372093"/>
    <n v="0.98837209302325579"/>
    <s v="Forte"/>
  </r>
  <r>
    <s v="Université Paris- Est-Créteil Val de Marne - UPEC (Paris 12)"/>
    <n v="94"/>
    <s v="Val-de-Marne"/>
    <x v="8"/>
    <s v="Licence - Portail Sciences pour l'ingénieur"/>
    <x v="1"/>
    <n v="78"/>
    <n v="2361"/>
    <n v="76"/>
    <x v="2"/>
    <n v="30.26923076923077"/>
    <n v="0.97435897435897434"/>
    <s v="Forte"/>
  </r>
  <r>
    <s v="Université Paris 1 Panthéon Sorbonne"/>
    <n v="75"/>
    <s v="Paris"/>
    <x v="8"/>
    <s v="Double licence - Droit / Histoire - Droit - Histoire"/>
    <x v="0"/>
    <n v="60"/>
    <n v="1814"/>
    <n v="61"/>
    <x v="0"/>
    <n v="30.233333333333334"/>
    <n v="1.0166666666666666"/>
    <s v="Forte"/>
  </r>
  <r>
    <s v="Université Paris- Est-Créteil Val de Marne - UPEC (Paris 12)"/>
    <n v="94"/>
    <s v="Val-de-Marne"/>
    <x v="8"/>
    <s v="Double licence - Histoire / Philosophie - Histoire -Philosophie"/>
    <x v="0"/>
    <n v="25"/>
    <n v="755"/>
    <n v="27"/>
    <x v="2"/>
    <n v="30.2"/>
    <n v="1.08"/>
    <s v="Forte"/>
  </r>
  <r>
    <s v="Université Paris Cité"/>
    <n v="75"/>
    <s v="Paris"/>
    <x v="8"/>
    <s v="Licence - Portail Mathématiques - Mathématiques et Informatique - Campus Saint-Germain-des-Prés"/>
    <x v="1"/>
    <n v="200"/>
    <n v="5990"/>
    <n v="199"/>
    <x v="0"/>
    <n v="29.95"/>
    <n v="0.995"/>
    <s v="Forte"/>
  </r>
  <r>
    <s v="Université Sorbonne Paris Nord"/>
    <n v="93"/>
    <s v="Seine-Saint-Denis"/>
    <x v="8"/>
    <s v="Licence - Economie et gestion - Parcours Langues renforcées, anglais et coréen"/>
    <x v="1"/>
    <n v="25"/>
    <n v="744"/>
    <n v="22"/>
    <x v="2"/>
    <n v="29.76"/>
    <n v="0.88"/>
    <s v="Forte"/>
  </r>
  <r>
    <s v="Université Paris-Saclay, Campus d'Orsay"/>
    <n v="91"/>
    <s v="Essonne"/>
    <x v="8"/>
    <s v="Licence - Double diplôme - Licence Physique, chimie - Parcours Licence Double-Diplôme Physique, Chimie"/>
    <x v="0"/>
    <n v="50"/>
    <n v="1463"/>
    <n v="44"/>
    <x v="1"/>
    <n v="29.26"/>
    <n v="0.88"/>
    <s v="Forte"/>
  </r>
  <r>
    <s v="EIVP - Ecole des ingénieurs de la ville de Paris"/>
    <n v="75"/>
    <s v="Paris"/>
    <x v="8"/>
    <s v="Licence - Génie urbain"/>
    <x v="1"/>
    <n v="20"/>
    <n v="583"/>
    <n v="18"/>
    <x v="0"/>
    <n v="29.15"/>
    <n v="0.9"/>
    <s v="Forte"/>
  </r>
  <r>
    <s v="Université Paris Cité"/>
    <n v="75"/>
    <s v="Paris"/>
    <x v="8"/>
    <s v="Licence - Informatique - Parcours Informatique fondamentale - Campus Grands Moulins"/>
    <x v="1"/>
    <n v="120"/>
    <n v="3492"/>
    <n v="120"/>
    <x v="0"/>
    <n v="29.1"/>
    <n v="1"/>
    <s v="Forte"/>
  </r>
  <r>
    <s v="Ecole Universitaire de premier cycle - Campus d'Orsay Université Paris-Saclay"/>
    <n v="91"/>
    <s v="Essonne"/>
    <x v="8"/>
    <s v="Licence - Double diplôme - Licence Economie et gestion - Parcours Langues et Civilisations - option Anglais et Allemand"/>
    <x v="0"/>
    <n v="20"/>
    <n v="578"/>
    <n v="20"/>
    <x v="1"/>
    <n v="28.9"/>
    <n v="1"/>
    <s v="Fort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36"/>
    <n v="1030"/>
    <n v="35"/>
    <x v="0"/>
    <n v="28.611111111111111"/>
    <n v="0.97222222222222221"/>
    <s v="Forte"/>
  </r>
  <r>
    <s v="Université Sorbonne Nouvelle Paris 3"/>
    <n v="75"/>
    <s v="Paris"/>
    <x v="8"/>
    <s v="Licence - Portail Lettres - (Renforcé ou mineures)"/>
    <x v="1"/>
    <n v="33"/>
    <n v="942"/>
    <n v="32"/>
    <x v="0"/>
    <n v="28.545454545454547"/>
    <n v="0.96969696969696972"/>
    <s v="Forte"/>
  </r>
  <r>
    <s v="Université Paris Cité"/>
    <n v="75"/>
    <s v="Paris"/>
    <x v="8"/>
    <s v="Licence - Lettres - Parcours Lettres, Edition et Métiers de l'écrit"/>
    <x v="1"/>
    <n v="30"/>
    <n v="854"/>
    <n v="30"/>
    <x v="0"/>
    <n v="28.466666666666665"/>
    <n v="1"/>
    <s v="Forte"/>
  </r>
  <r>
    <s v="Université Paris- Est-Créteil Val de Marne - UPEC (Paris 12)"/>
    <n v="94"/>
    <s v="Val-de-Marne"/>
    <x v="8"/>
    <s v="Double licence - Histoire / Lettres - Histoire -Lettres"/>
    <x v="0"/>
    <n v="33"/>
    <n v="935"/>
    <n v="31"/>
    <x v="2"/>
    <n v="28.333333333333332"/>
    <n v="0.93939393939393945"/>
    <s v="Forte"/>
  </r>
  <r>
    <s v="Université Paris Nanterre"/>
    <n v="92"/>
    <s v="Hauts-de-Seine"/>
    <x v="8"/>
    <s v="Double licence - Langues, littératures et civilisations étrangères et régionales / Langues, littératures et civilisations étrangères et régionales - Double Licence mention Langues, littératures et civilisations étrangères et régionales (LLCER) [Anglais] - mention LLCER [Italien]"/>
    <x v="0"/>
    <n v="10"/>
    <n v="283"/>
    <n v="9"/>
    <x v="2"/>
    <n v="28.3"/>
    <n v="0.9"/>
    <s v="Forte"/>
  </r>
  <r>
    <s v="Université Paris Nanterre"/>
    <n v="92"/>
    <s v="Hauts-de-Seine"/>
    <x v="8"/>
    <s v="Licence - Administration économique et sociale"/>
    <x v="1"/>
    <n v="285"/>
    <n v="7876"/>
    <n v="284"/>
    <x v="2"/>
    <n v="27.635087719298244"/>
    <n v="0.99649122807017543"/>
    <s v="Forte"/>
  </r>
  <r>
    <s v="Université Paris Cité"/>
    <n v="75"/>
    <s v="Paris"/>
    <x v="8"/>
    <s v="Licence - Lettres / Histoire"/>
    <x v="1"/>
    <n v="15"/>
    <n v="414"/>
    <n v="14"/>
    <x v="0"/>
    <n v="27.6"/>
    <n v="0.93333333333333335"/>
    <s v="Forte"/>
  </r>
  <r>
    <s v="Université Paris Nanterre"/>
    <n v="92"/>
    <s v="Hauts-de-Seine"/>
    <x v="8"/>
    <s v="Double licence - Sciences du langage / Langues, littératures et civilisations étrangères et régionales - Double Licence mention Sciences du langage - mention Langues, littératures et civilisations étrangères et régionales [Anglais]"/>
    <x v="0"/>
    <n v="10"/>
    <n v="274"/>
    <n v="10"/>
    <x v="2"/>
    <n v="27.4"/>
    <n v="1"/>
    <s v="Forte"/>
  </r>
  <r>
    <s v="Université Paris- Est-Créteil Val de Marne - UPEC (Paris 12)"/>
    <n v="94"/>
    <s v="Val-de-Marne"/>
    <x v="8"/>
    <s v="Licence - Portail Sciences de la vie et de la terre - Parcours Sciences de la vie et de la terre"/>
    <x v="1"/>
    <n v="155"/>
    <n v="4245"/>
    <n v="153"/>
    <x v="2"/>
    <n v="27.387096774193548"/>
    <n v="0.98709677419354835"/>
    <s v="Forte"/>
  </r>
  <r>
    <s v="Université Paris Nanterre"/>
    <n v="92"/>
    <s v="Hauts-de-Seine"/>
    <x v="8"/>
    <s v="Licence - Economie et gestion"/>
    <x v="1"/>
    <n v="430"/>
    <n v="11740"/>
    <n v="424"/>
    <x v="2"/>
    <n v="27.302325581395348"/>
    <n v="0.98604651162790702"/>
    <s v="Forte"/>
  </r>
  <r>
    <s v="Université Paris- Est-Créteil Val de Marne - UPEC (Paris 12)"/>
    <n v="94"/>
    <s v="Val-de-Marne"/>
    <x v="8"/>
    <s v="Licence - Administration et Echanges internationaux - Parcours Europe"/>
    <x v="0"/>
    <n v="90"/>
    <n v="2454"/>
    <n v="90"/>
    <x v="2"/>
    <n v="27.266666666666666"/>
    <n v="1"/>
    <s v="Forte"/>
  </r>
  <r>
    <s v="Ecole Universitaire de premier cycle - Campus d'Orsay Université Paris-Saclay"/>
    <n v="91"/>
    <s v="Essonne"/>
    <x v="8"/>
    <s v="Licence - Portail Droit - Parcours Droit"/>
    <x v="1"/>
    <n v="155"/>
    <n v="4213"/>
    <n v="162"/>
    <x v="1"/>
    <n v="27.180645161290322"/>
    <n v="1.0451612903225806"/>
    <s v="Forte"/>
  </r>
  <r>
    <s v="Université Paris 8"/>
    <n v="93"/>
    <s v="Seine-Saint-Denis"/>
    <x v="8"/>
    <s v="Licence - Psychologie"/>
    <x v="1"/>
    <n v="295"/>
    <n v="8015"/>
    <n v="290"/>
    <x v="2"/>
    <n v="27.16949152542373"/>
    <n v="0.98305084745762716"/>
    <s v="Forte"/>
  </r>
  <r>
    <s v="Sorbonne université"/>
    <n v="75"/>
    <s v="Paris"/>
    <x v="8"/>
    <s v="Licence - Portail Sciences de la Vie, Chimie, Sciences de la Terre"/>
    <x v="1"/>
    <n v="320"/>
    <n v="8675"/>
    <n v="316"/>
    <x v="0"/>
    <n v="27.109375"/>
    <n v="0.98750000000000004"/>
    <s v="Forte"/>
  </r>
  <r>
    <s v="Université Paris 1 Panthéon Sorbonne"/>
    <n v="75"/>
    <s v="Paris"/>
    <x v="8"/>
    <s v="Licence - Arts plastiques - Parcours Préparatoire au Professorat des Ecoles (PPPE)"/>
    <x v="1"/>
    <n v="25"/>
    <n v="674"/>
    <n v="25"/>
    <x v="0"/>
    <n v="26.96"/>
    <n v="1"/>
    <s v="Forte"/>
  </r>
  <r>
    <s v="Université Paris- Est-Créteil Val de Marne - UPEC (Paris 12)"/>
    <n v="94"/>
    <s v="Val-de-Marne"/>
    <x v="8"/>
    <s v="Double licence - Langues, littératures et civilisations étrangères et régionales / Langues, littératures et civilisations étrangères et régionales -  Allemand - Interculturalité et relations internationales - Anglais"/>
    <x v="0"/>
    <n v="10"/>
    <n v="269"/>
    <n v="8"/>
    <x v="2"/>
    <n v="26.9"/>
    <n v="0.8"/>
    <s v="Forte"/>
  </r>
  <r>
    <s v="Université Sorbonne Nouvelle Paris 3"/>
    <n v="75"/>
    <s v="Paris"/>
    <x v="8"/>
    <s v="Licence - Portail Lettres - (Renforcé ou mineures)"/>
    <x v="1"/>
    <n v="28"/>
    <n v="752"/>
    <n v="27"/>
    <x v="0"/>
    <n v="26.857142857142858"/>
    <n v="0.9642857142857143"/>
    <s v="Forte"/>
  </r>
  <r>
    <s v="Université Paris Nanterre"/>
    <n v="92"/>
    <s v="Hauts-de-Seine"/>
    <x v="8"/>
    <s v="Licence - Géographie et aménagement - Parcours Cursus master en ingénierie (CMI) : Transition, territoires, participation"/>
    <x v="0"/>
    <n v="20"/>
    <n v="537"/>
    <n v="19"/>
    <x v="2"/>
    <n v="26.85"/>
    <n v="0.95"/>
    <s v="Forte"/>
  </r>
  <r>
    <s v="Université Paris Nanterre"/>
    <n v="92"/>
    <s v="Hauts-de-Seine"/>
    <x v="8"/>
    <s v="Double licence - Droit / Economie et gestion - Double licence mention Droit - mention Economie et gestion"/>
    <x v="0"/>
    <n v="105"/>
    <n v="2810"/>
    <n v="103"/>
    <x v="2"/>
    <n v="26.761904761904763"/>
    <n v="0.98095238095238091"/>
    <s v="Forte"/>
  </r>
  <r>
    <s v="Université Paris 1 Panthéon Sorbonne"/>
    <n v="75"/>
    <s v="Paris"/>
    <x v="8"/>
    <s v="Double licence - Droit / Histoire de l'art et archéologie - Droit - Histoire de l'art et archéologie"/>
    <x v="0"/>
    <n v="60"/>
    <n v="1601"/>
    <n v="59"/>
    <x v="0"/>
    <n v="26.683333333333334"/>
    <n v="0.98333333333333328"/>
    <s v="Forte"/>
  </r>
  <r>
    <s v="Université Paris Panthéon Assas"/>
    <n v="75"/>
    <s v="Paris"/>
    <x v="8"/>
    <s v="Licence - Double diplôme - Licence Droit - Droits français et italien - Rome"/>
    <x v="0"/>
    <n v="10"/>
    <n v="266"/>
    <n v="10"/>
    <x v="0"/>
    <n v="26.6"/>
    <n v="1"/>
    <s v="Forte"/>
  </r>
  <r>
    <s v="Université Paris Nanterre"/>
    <n v="92"/>
    <s v="Hauts-de-Seine"/>
    <x v="8"/>
    <s v="Licence - Portail Psychologie"/>
    <x v="1"/>
    <n v="560"/>
    <n v="14871"/>
    <n v="559"/>
    <x v="2"/>
    <n v="26.555357142857144"/>
    <n v="0.99821428571428572"/>
    <s v="Forte"/>
  </r>
  <r>
    <s v="Université Sorbonne Nouvelle Paris 3"/>
    <n v="75"/>
    <s v="Paris"/>
    <x v="8"/>
    <s v="Double licence - Lettres / Philosophie - Double Licence Lettres / Philosophie"/>
    <x v="1"/>
    <n v="40"/>
    <n v="1062"/>
    <n v="38"/>
    <x v="0"/>
    <n v="26.55"/>
    <n v="0.95"/>
    <s v="Forte"/>
  </r>
  <r>
    <s v="Université Paris- Est-Créteil Val de Marne - UPEC (Paris 12)"/>
    <n v="94"/>
    <s v="Val-de-Marne"/>
    <x v="8"/>
    <s v="Licence - Portail Lettres - Parcours Lettres modernes"/>
    <x v="1"/>
    <n v="16"/>
    <n v="421"/>
    <n v="19"/>
    <x v="2"/>
    <n v="26.3125"/>
    <n v="1.1875"/>
    <s v="Forte"/>
  </r>
  <r>
    <s v="Université Sorbonne Nouvelle Paris 3"/>
    <n v="75"/>
    <s v="Paris"/>
    <x v="8"/>
    <s v="Licence - Portail Lettres - Entièrement en distanciel (Renforcé ou mineures) - Entièrement en distanciel"/>
    <x v="1"/>
    <n v="18"/>
    <n v="473"/>
    <n v="18"/>
    <x v="0"/>
    <n v="26.277777777777779"/>
    <n v="1"/>
    <s v="Forte"/>
  </r>
  <r>
    <s v="Université Gustave Eiffel"/>
    <n v="77"/>
    <s v="Seine-et-Marne"/>
    <x v="8"/>
    <s v="Licence - Physique, chimie - Parcours Sciences physiques - Anglais"/>
    <x v="0"/>
    <n v="15"/>
    <n v="394"/>
    <n v="15"/>
    <x v="1"/>
    <n v="26.266666666666666"/>
    <n v="1"/>
    <s v="Forte"/>
  </r>
  <r>
    <s v="Université Paris Cité"/>
    <n v="75"/>
    <s v="Paris"/>
    <x v="8"/>
    <s v="Licence - Portail Droit"/>
    <x v="1"/>
    <n v="567"/>
    <n v="14879"/>
    <n v="564"/>
    <x v="0"/>
    <n v="26.241622574955908"/>
    <n v="0.99470899470899465"/>
    <s v="Forte"/>
  </r>
  <r>
    <s v="Université Paris Panthéon Assas"/>
    <n v="75"/>
    <s v="Paris"/>
    <x v="8"/>
    <s v="Licence - Double diplôme - Licence Droit - Licence droit Collège de droit"/>
    <x v="0"/>
    <n v="75"/>
    <n v="1961"/>
    <n v="74"/>
    <x v="0"/>
    <n v="26.146666666666668"/>
    <n v="0.98666666666666669"/>
    <s v="Forte"/>
  </r>
  <r>
    <s v="Université Sorbonne Nouvelle Paris 3"/>
    <n v="75"/>
    <s v="Paris"/>
    <x v="8"/>
    <s v="Double licence - Langues, littératures et civilisations étrangères et régionales / Langues, littératures et civilisations étrangères et régionales - Double licence LLCER Espagnol / LLCER Portugais (Langues associées)"/>
    <x v="0"/>
    <n v="10"/>
    <n v="261"/>
    <n v="10"/>
    <x v="0"/>
    <n v="26.1"/>
    <n v="1"/>
    <s v="Forte"/>
  </r>
  <r>
    <s v="Université Paris Nanterre"/>
    <n v="92"/>
    <s v="Hauts-de-Seine"/>
    <x v="8"/>
    <s v="Double licence - Histoire / Histoire de l'art et archéologie - Double licence mention Histoire - mention Histoire de l'art et archéologie"/>
    <x v="0"/>
    <n v="15"/>
    <n v="391"/>
    <n v="15"/>
    <x v="2"/>
    <n v="26.066666666666666"/>
    <n v="1"/>
    <s v="Forte"/>
  </r>
  <r>
    <s v="Université Paris 1 Panthéon Sorbonne"/>
    <n v="75"/>
    <s v="Paris"/>
    <x v="8"/>
    <s v="Licence - Droit"/>
    <x v="1"/>
    <n v="745"/>
    <n v="19404"/>
    <n v="747"/>
    <x v="0"/>
    <n v="26.045637583892617"/>
    <n v="1.0026845637583892"/>
    <s v="Forte"/>
  </r>
  <r>
    <s v="Sorbonne université"/>
    <n v="75"/>
    <s v="Paris"/>
    <x v="8"/>
    <s v="Double licence - Philosophie / Sociologie - PHILOSOPHIE - SOCIOLOGIE"/>
    <x v="0"/>
    <n v="30"/>
    <n v="781"/>
    <n v="30"/>
    <x v="0"/>
    <n v="26.033333333333335"/>
    <n v="1"/>
    <s v="Forte"/>
  </r>
  <r>
    <s v="Université Paris 1 Panthéon Sorbonne"/>
    <n v="75"/>
    <s v="Paris"/>
    <x v="8"/>
    <s v="Double licence - Droit / Géographie et aménagement - Droit - Géographie"/>
    <x v="0"/>
    <n v="30"/>
    <n v="776"/>
    <n v="31"/>
    <x v="0"/>
    <n v="25.866666666666667"/>
    <n v="1.0333333333333334"/>
    <s v="Forte"/>
  </r>
  <r>
    <s v="Sorbonne université"/>
    <n v="75"/>
    <s v="Paris"/>
    <x v="8"/>
    <s v="Double licence - Lettres / Langues, littératures et civilisations étrangères et régionales - Lettres - LLCER Anglais"/>
    <x v="0"/>
    <n v="40"/>
    <n v="1026"/>
    <n v="38"/>
    <x v="0"/>
    <n v="25.65"/>
    <n v="0.95"/>
    <s v="Forte"/>
  </r>
  <r>
    <s v="Université Paris 1 Panthéon Sorbonne"/>
    <n v="75"/>
    <s v="Paris"/>
    <x v="8"/>
    <s v="Double licence - Economie / Histoire - Economie - Histoire"/>
    <x v="0"/>
    <n v="30"/>
    <n v="768"/>
    <n v="28"/>
    <x v="0"/>
    <n v="25.6"/>
    <n v="0.93333333333333335"/>
    <s v="Forte"/>
  </r>
  <r>
    <s v="Université Paris- Est-Créteil Val de Marne - UPEC (Paris 12)"/>
    <n v="94"/>
    <s v="Val-de-Marne"/>
    <x v="8"/>
    <s v="Double licence - Histoire / Langues, littératures et civilisations étrangères et régionales - Allemand - Interculturalité et relations internationales"/>
    <x v="0"/>
    <n v="5"/>
    <n v="128"/>
    <n v="4"/>
    <x v="2"/>
    <n v="25.6"/>
    <n v="0.8"/>
    <s v="Forte"/>
  </r>
  <r>
    <s v="Université Paris Nanterre"/>
    <n v="92"/>
    <s v="Hauts-de-Seine"/>
    <x v="8"/>
    <s v="Double licence - Histoire / Géographie et aménagement - Double-licence mention Histoire - mention Géographie aménagement"/>
    <x v="0"/>
    <n v="15"/>
    <n v="382"/>
    <n v="15"/>
    <x v="2"/>
    <n v="25.466666666666665"/>
    <n v="1"/>
    <s v="Forte"/>
  </r>
  <r>
    <s v="Université Paris Cité"/>
    <n v="75"/>
    <s v="Paris"/>
    <x v="8"/>
    <s v="Licence - Portail Sciences et Techniques des Activités Physiques et Sportives"/>
    <x v="1"/>
    <n v="270"/>
    <n v="6849"/>
    <n v="268"/>
    <x v="0"/>
    <n v="25.366666666666667"/>
    <n v="0.99259259259259258"/>
    <s v="Forte"/>
  </r>
  <r>
    <s v="Sorbonne université"/>
    <n v="75"/>
    <s v="Paris"/>
    <x v="8"/>
    <s v="Licence - Langues étrangères appliquées - Parcours LEA (Langues Etrangères Appliquées) (2 langues : Anglais et Espagnol)"/>
    <x v="0"/>
    <n v="70"/>
    <n v="1775"/>
    <n v="68"/>
    <x v="0"/>
    <n v="25.357142857142858"/>
    <n v="0.97142857142857142"/>
    <s v="Forte"/>
  </r>
  <r>
    <s v="Université Paris Cité"/>
    <n v="75"/>
    <s v="Paris"/>
    <x v="8"/>
    <s v="Licence - Portail Psychologie - Sciences Psychologiques"/>
    <x v="1"/>
    <n v="620"/>
    <n v="15677"/>
    <n v="618"/>
    <x v="0"/>
    <n v="25.285483870967742"/>
    <n v="0.99677419354838714"/>
    <s v="Forte"/>
  </r>
  <r>
    <s v="IPC-Facultés Libres de Philosophie et de Psycholog"/>
    <n v="75"/>
    <s v="Paris"/>
    <x v="8"/>
    <s v="Double licence - Philosophie / Psychologie - Double licence Philosophie - Psychologie"/>
    <x v="0"/>
    <n v="25"/>
    <n v="631"/>
    <n v="24"/>
    <x v="0"/>
    <n v="25.24"/>
    <n v="0.96"/>
    <s v="Forte"/>
  </r>
  <r>
    <s v="Université Paris Cité"/>
    <n v="75"/>
    <s v="Paris"/>
    <x v="8"/>
    <s v="Double licence - Histoire / Langues, littératures et civilisations étrangères et régionales - Histoire / Etudes Japonaises"/>
    <x v="0"/>
    <n v="10"/>
    <n v="249"/>
    <n v="10"/>
    <x v="0"/>
    <n v="24.9"/>
    <n v="1"/>
    <s v="Forte"/>
  </r>
  <r>
    <s v="Université Paris 1 Panthéon Sorbonne"/>
    <n v="75"/>
    <s v="Paris"/>
    <x v="8"/>
    <s v="Licence - Administration économique et sociale"/>
    <x v="1"/>
    <n v="379"/>
    <n v="9413"/>
    <n v="381"/>
    <x v="0"/>
    <n v="24.836411609498679"/>
    <n v="1.0052770448548813"/>
    <s v="Fort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8"/>
    <n v="198"/>
    <n v="8"/>
    <x v="0"/>
    <n v="24.75"/>
    <n v="1"/>
    <s v="Forte"/>
  </r>
  <r>
    <s v="Université Sorbonne Nouvelle Paris 3"/>
    <n v="75"/>
    <s v="Paris"/>
    <x v="8"/>
    <s v="Licence - Portail Etudes théâtrales - Renforcé ou mineures"/>
    <x v="1"/>
    <n v="30"/>
    <n v="740"/>
    <n v="30"/>
    <x v="0"/>
    <n v="24.666666666666668"/>
    <n v="1"/>
    <s v="Forte"/>
  </r>
  <r>
    <s v="Université Paris 1 Panthéon Sorbonne"/>
    <n v="75"/>
    <s v="Paris"/>
    <x v="8"/>
    <s v="Double licence - Histoire / Histoire de l'art et archéologie - Histoire - Histoire de l'art et Archéologie"/>
    <x v="0"/>
    <n v="60"/>
    <n v="1467"/>
    <n v="60"/>
    <x v="0"/>
    <n v="24.45"/>
    <n v="1"/>
    <s v="Forte"/>
  </r>
  <r>
    <s v="Université Paris Cité"/>
    <n v="75"/>
    <s v="Paris"/>
    <x v="8"/>
    <s v="Licence - Sociologie"/>
    <x v="1"/>
    <n v="100"/>
    <n v="2439"/>
    <n v="99"/>
    <x v="0"/>
    <n v="24.39"/>
    <n v="0.99"/>
    <s v="Forte"/>
  </r>
  <r>
    <s v="Université de Cergy-Pontoise - CY SUP"/>
    <n v="95"/>
    <s v="Val-d'oise"/>
    <x v="8"/>
    <s v="Double licence - Economie et gestion / Langues étrangères appliquées - Double licence Economie et gestion / LEA anglais espagnol ou anglais allemand (au choix) + DU Economics and Corporate English + Certification Ecotopia"/>
    <x v="0"/>
    <n v="36"/>
    <n v="874"/>
    <n v="35"/>
    <x v="1"/>
    <n v="24.277777777777779"/>
    <n v="0.97222222222222221"/>
    <s v="Forte"/>
  </r>
  <r>
    <s v="Université Paris Nanterre"/>
    <n v="92"/>
    <s v="Hauts-de-Seine"/>
    <x v="8"/>
    <s v="Licence - Langues étrangères appliquées - Parcours Arabe - Anglais"/>
    <x v="1"/>
    <n v="21"/>
    <n v="505"/>
    <n v="21"/>
    <x v="2"/>
    <n v="24.047619047619047"/>
    <n v="1"/>
    <s v="Forte"/>
  </r>
  <r>
    <s v="Sorbonne université"/>
    <n v="75"/>
    <s v="Paris"/>
    <x v="8"/>
    <s v="Double licence - Langues, littératures et civilisations étrangères et régionales / Langues, littératures et civilisations étrangères et régionales - LLCER ANGLAIS - LLCER ESPAGNOL"/>
    <x v="0"/>
    <n v="15"/>
    <n v="354"/>
    <n v="14"/>
    <x v="0"/>
    <n v="23.6"/>
    <n v="0.93333333333333335"/>
    <s v="Forte"/>
  </r>
  <r>
    <s v="Université Sorbonne Nouvelle Paris 3"/>
    <n v="75"/>
    <s v="Paris"/>
    <x v="8"/>
    <s v="Licence - Langues étrangères appliquées - Parcours LEA Anglais - Arabe"/>
    <x v="1"/>
    <n v="30"/>
    <n v="705"/>
    <n v="30"/>
    <x v="0"/>
    <n v="23.5"/>
    <n v="1"/>
    <s v="Forte"/>
  </r>
  <r>
    <s v="Université Sorbonne Nouvelle Paris 3"/>
    <n v="75"/>
    <s v="Paris"/>
    <x v="8"/>
    <s v="Licence - Cinéma et Audiovisuel - Parcours Licence 1 Cinéma et Audiovisuel renforcé"/>
    <x v="1"/>
    <n v="180"/>
    <n v="4225"/>
    <n v="177"/>
    <x v="0"/>
    <n v="23.472222222222221"/>
    <n v="0.98333333333333328"/>
    <s v="Forte"/>
  </r>
  <r>
    <s v="Université Paris 1 Panthéon Sorbonne"/>
    <n v="75"/>
    <s v="Paris"/>
    <x v="8"/>
    <s v="Double licence - Droit / Gestion - Droit - Gestion"/>
    <x v="0"/>
    <n v="50"/>
    <n v="1173"/>
    <n v="49"/>
    <x v="0"/>
    <n v="23.46"/>
    <n v="0.98"/>
    <s v="Forte"/>
  </r>
  <r>
    <s v="Université Paris Nanterre"/>
    <n v="92"/>
    <s v="Hauts-de-Seine"/>
    <x v="8"/>
    <s v="Double licence - Langues, littératures et civilisations étrangères et régionales / Langues, littératures et civilisations étrangères et régionales - Double Licence mention Langues, littératures et civilisations étrangères et régionales (LLCER) Anglais] - mention LLCER [Portugais]"/>
    <x v="0"/>
    <n v="10"/>
    <n v="233"/>
    <n v="10"/>
    <x v="2"/>
    <n v="23.3"/>
    <n v="1"/>
    <s v="Forte"/>
  </r>
  <r>
    <s v="Université Paris- Est- Créteil Val de Marne UPEC - Antenne de Sénart"/>
    <n v="77"/>
    <s v="Seine-et-Marne"/>
    <x v="8"/>
    <s v="Licence - Double diplôme - Licence Economie et gestion - Double diplôme Licence Management international - Diplôme universitaire Compétences en management - site de Sénart"/>
    <x v="0"/>
    <n v="32"/>
    <n v="745"/>
    <n v="32"/>
    <x v="1"/>
    <n v="23.28125"/>
    <n v="1"/>
    <s v="Fort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14"/>
    <n v="320"/>
    <n v="14"/>
    <x v="0"/>
    <n v="22.857142857142858"/>
    <n v="1"/>
    <s v="Forte"/>
  </r>
  <r>
    <s v="Université Paris Nanterre"/>
    <n v="92"/>
    <s v="Hauts-de-Seine"/>
    <x v="8"/>
    <s v="Double licence - Droit / Histoire - Double Licence mention Droit - mention Histoire"/>
    <x v="0"/>
    <n v="35"/>
    <n v="799"/>
    <n v="33"/>
    <x v="2"/>
    <n v="22.828571428571429"/>
    <n v="0.94285714285714284"/>
    <s v="Forte"/>
  </r>
  <r>
    <s v="Université Sorbonne Nouvelle Paris 3"/>
    <n v="75"/>
    <s v="Paris"/>
    <x v="8"/>
    <s v="Double licence - Langues, littératures et civilisations étrangères et régionales / Philosophie - Double licence 1 LLCER Anglais / Philosophie (avec Université Paris 1 - Panthéon Sorbonne)"/>
    <x v="0"/>
    <n v="30"/>
    <n v="683"/>
    <n v="28"/>
    <x v="0"/>
    <n v="22.766666666666666"/>
    <n v="0.93333333333333335"/>
    <s v="Forte"/>
  </r>
  <r>
    <s v="Université Paris 1 Panthéon Sorbonne"/>
    <n v="75"/>
    <s v="Paris"/>
    <x v="8"/>
    <s v="Licence - Sciences sociales"/>
    <x v="1"/>
    <n v="105"/>
    <n v="2372"/>
    <n v="103"/>
    <x v="0"/>
    <n v="22.590476190476192"/>
    <n v="0.98095238095238091"/>
    <s v="Fort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8"/>
    <n v="180"/>
    <n v="8"/>
    <x v="0"/>
    <n v="22.5"/>
    <n v="1"/>
    <s v="Forte"/>
  </r>
  <r>
    <s v="Université de Cergy-Pontoise - CY SUP"/>
    <n v="95"/>
    <s v="Val-d'oise"/>
    <x v="8"/>
    <s v="Licence - Sciences de l'éducation et de la formation - Parcours Enseignement, éducation et formation"/>
    <x v="1"/>
    <n v="35"/>
    <n v="783"/>
    <n v="41"/>
    <x v="1"/>
    <n v="22.37142857142857"/>
    <n v="1.1714285714285715"/>
    <s v="Forte"/>
  </r>
  <r>
    <s v="Université Paris Nanterre"/>
    <n v="92"/>
    <s v="Hauts-de-Seine"/>
    <x v="8"/>
    <s v="Double licence - Histoire de l'art et archéologie / Sciences de l'Homme, Anthropologie, Ethnologie - Double licence mention Histoire de l'art et archéologie  - mention Sciences de l'Homme, Antropologie, Ethnologie"/>
    <x v="0"/>
    <n v="30"/>
    <n v="669"/>
    <n v="30"/>
    <x v="2"/>
    <n v="22.3"/>
    <n v="1"/>
    <s v="Forte"/>
  </r>
  <r>
    <s v="Université Paris Nanterre"/>
    <n v="92"/>
    <s v="Hauts-de-Seine"/>
    <x v="8"/>
    <s v="Licence - Sciences sociales"/>
    <x v="1"/>
    <n v="112"/>
    <n v="2490"/>
    <n v="110"/>
    <x v="2"/>
    <n v="22.232142857142858"/>
    <n v="0.9821428571428571"/>
    <s v="Forte"/>
  </r>
  <r>
    <s v="Ecole Universitaire de premier cycle - Campus d'Orsay Université Paris-Saclay"/>
    <n v="91"/>
    <s v="Essonne"/>
    <x v="8"/>
    <s v="Licence - Portail Sciences pour l'ingénieur - Sciences et Technologies - Institut Villebon-Charpak"/>
    <x v="0"/>
    <n v="30"/>
    <n v="664"/>
    <n v="30"/>
    <x v="1"/>
    <n v="22.133333333333333"/>
    <n v="1"/>
    <s v="Forte"/>
  </r>
  <r>
    <s v="Sorbonne université"/>
    <n v="75"/>
    <s v="Paris"/>
    <x v="8"/>
    <s v="Double licence - LLCER / Sciences - LLCER : ALLEMAND NON DEBUTANT - SCIENCES"/>
    <x v="0"/>
    <n v="16"/>
    <n v="354"/>
    <n v="11"/>
    <x v="0"/>
    <n v="22.125"/>
    <n v="0.6875"/>
    <s v="Forte"/>
  </r>
  <r>
    <s v="Université Paris Nanterre"/>
    <n v="92"/>
    <s v="Hauts-de-Seine"/>
    <x v="8"/>
    <s v="Double licence - Droit / Histoire de l'art et archéologie - Double licence mention Droit - mention Histoire de l'art et archéologie"/>
    <x v="0"/>
    <n v="30"/>
    <n v="663"/>
    <n v="29"/>
    <x v="2"/>
    <n v="22.1"/>
    <n v="0.96666666666666667"/>
    <s v="Forte"/>
  </r>
  <r>
    <s v="Université Paris Cité"/>
    <n v="75"/>
    <s v="Paris"/>
    <x v="8"/>
    <s v="Licence - Physique - Parcours Enseigner la Physique-Chimie"/>
    <x v="1"/>
    <n v="10"/>
    <n v="221"/>
    <n v="9"/>
    <x v="0"/>
    <n v="22.1"/>
    <n v="0.9"/>
    <s v="Forte"/>
  </r>
  <r>
    <s v="Unité de Formation et de Recherche de Sciences de l' Université de Versailles Saint Quentin en Yvelines"/>
    <n v="78"/>
    <s v="Yvelines"/>
    <x v="8"/>
    <s v="Licence - Portail Mathématiques Informatique (MI)"/>
    <x v="1"/>
    <n v="78"/>
    <n v="1708"/>
    <n v="76"/>
    <x v="1"/>
    <n v="21.897435897435898"/>
    <n v="0.97435897435897434"/>
    <s v="Forte"/>
  </r>
  <r>
    <s v="Université Paris Nanterre"/>
    <n v="92"/>
    <s v="Hauts-de-Seine"/>
    <x v="8"/>
    <s v="Licence - Double diplôme - Licence Humanités - Double diplôme Licence mention Humanités [Humanités et arts du spectacle] - Diplôme d'université (DU) Cultures, langues et rhétorique 1"/>
    <x v="0"/>
    <n v="30"/>
    <n v="656"/>
    <n v="30"/>
    <x v="2"/>
    <n v="21.866666666666667"/>
    <n v="1"/>
    <s v="Forte"/>
  </r>
  <r>
    <s v="Université Paris-Saclay, Campus d'Orsay"/>
    <n v="91"/>
    <s v="Essonne"/>
    <x v="8"/>
    <s v="Licence - Double diplôme - Licence Mathématiques, Sciences de la vie - Licence Double-Diplôme Mathématiques, Sciences de la vie"/>
    <x v="0"/>
    <n v="24"/>
    <n v="523"/>
    <n v="25"/>
    <x v="1"/>
    <n v="21.791666666666668"/>
    <n v="1.0416666666666667"/>
    <s v="Forte"/>
  </r>
  <r>
    <s v="Unité de Formation et de Recherche de Sciences de l' Université de Versailles Saint Quentin en Yvelines"/>
    <n v="78"/>
    <s v="Yvelines"/>
    <x v="8"/>
    <s v="Licence - Portail Mathématiques Physique Chimie (MPC)"/>
    <x v="1"/>
    <n v="120"/>
    <n v="2602"/>
    <n v="115"/>
    <x v="1"/>
    <n v="21.683333333333334"/>
    <n v="0.95833333333333337"/>
    <s v="Forte"/>
  </r>
  <r>
    <s v="Université Paris- Est-Créteil Val de Marne - UPEC (Paris 12)"/>
    <n v="94"/>
    <s v="Val-de-Marne"/>
    <x v="8"/>
    <s v="Licence - Mathématiques"/>
    <x v="1"/>
    <n v="78"/>
    <n v="1686"/>
    <n v="76"/>
    <x v="2"/>
    <n v="21.615384615384617"/>
    <n v="0.97435897435897434"/>
    <s v="Forte"/>
  </r>
  <r>
    <s v="Université Paris 8"/>
    <n v="93"/>
    <s v="Seine-Saint-Denis"/>
    <x v="8"/>
    <s v="Licence - Mathématiques"/>
    <x v="1"/>
    <n v="50"/>
    <n v="1077"/>
    <n v="57"/>
    <x v="2"/>
    <n v="21.54"/>
    <n v="1.1399999999999999"/>
    <s v="Forte"/>
  </r>
  <r>
    <s v="Université Sorbonne Nouvelle Paris 3"/>
    <n v="75"/>
    <s v="Paris"/>
    <x v="8"/>
    <s v="Licence - Portail Lettres - (Renforcé ou mineures)"/>
    <x v="1"/>
    <n v="28"/>
    <n v="593"/>
    <n v="28"/>
    <x v="0"/>
    <n v="21.178571428571427"/>
    <n v="1"/>
    <s v="Forte"/>
  </r>
  <r>
    <s v="Université Sorbonne Paris Nord"/>
    <n v="93"/>
    <s v="Seine-Saint-Denis"/>
    <x v="8"/>
    <s v="Licence - Sciences pour l'ingénieur"/>
    <x v="1"/>
    <n v="75"/>
    <n v="1586"/>
    <n v="72"/>
    <x v="2"/>
    <n v="21.146666666666668"/>
    <n v="0.96"/>
    <s v="Forte"/>
  </r>
  <r>
    <s v="Institut Catholique de Paris (ICP)- Campus de Paris"/>
    <n v="75"/>
    <s v="Paris"/>
    <x v="8"/>
    <s v="Double licence - Droit / Philosophie -"/>
    <x v="0"/>
    <n v="30"/>
    <n v="633"/>
    <n v="30"/>
    <x v="0"/>
    <n v="21.1"/>
    <n v="1"/>
    <s v="Forte"/>
  </r>
  <r>
    <s v="Université Paris 8"/>
    <n v="93"/>
    <s v="Seine-Saint-Denis"/>
    <x v="8"/>
    <s v="Licence - Administration économique et sociale"/>
    <x v="1"/>
    <n v="250"/>
    <n v="5274"/>
    <n v="248"/>
    <x v="2"/>
    <n v="21.096"/>
    <n v="0.99199999999999999"/>
    <s v="Forte"/>
  </r>
  <r>
    <s v="Université Paris Nanterre"/>
    <n v="92"/>
    <s v="Hauts-de-Seine"/>
    <x v="8"/>
    <s v="Double licence - Droit / Philosophie - Double licence mention Droit - mention Philosophie"/>
    <x v="0"/>
    <n v="25"/>
    <n v="527"/>
    <n v="24"/>
    <x v="2"/>
    <n v="21.08"/>
    <n v="0.96"/>
    <s v="Forte"/>
  </r>
  <r>
    <s v="Université Sorbonne Nouvelle Paris 3"/>
    <n v="75"/>
    <s v="Paris"/>
    <x v="8"/>
    <s v="Licence - Information et communication - Parcours Information-Communication - Mineure Lettres"/>
    <x v="1"/>
    <n v="53"/>
    <n v="1116"/>
    <n v="52"/>
    <x v="0"/>
    <n v="21.056603773584907"/>
    <n v="0.98113207547169812"/>
    <s v="Forte"/>
  </r>
  <r>
    <s v="Ecole Universitaire de premier cycle - Campus de Sceaux Université Paris-Saclay"/>
    <n v="92"/>
    <s v="Hauts-de-Seine"/>
    <x v="8"/>
    <s v="Licence - Double diplôme - Licence Droit - Parcours Langues et Civilisations - option Anglais et Espagnol"/>
    <x v="0"/>
    <n v="20"/>
    <n v="420"/>
    <n v="19"/>
    <x v="2"/>
    <n v="21"/>
    <n v="0.95"/>
    <s v="Forte"/>
  </r>
  <r>
    <s v="Université Paris Nanterre"/>
    <n v="92"/>
    <s v="Hauts-de-Seine"/>
    <x v="8"/>
    <s v="Licence - Lettres - Parcours Préparatoire au Professorat des Ecoles (PPPE)"/>
    <x v="1"/>
    <n v="30"/>
    <n v="629"/>
    <n v="29"/>
    <x v="2"/>
    <n v="20.966666666666665"/>
    <n v="0.96666666666666667"/>
    <s v="Forte"/>
  </r>
  <r>
    <s v="Sorbonne université"/>
    <n v="75"/>
    <s v="Paris"/>
    <x v="8"/>
    <s v="Double licence - Histoire / Langues, littératures et civilisations étrangères et régionales - HISTOIRE - LLCER ARABE"/>
    <x v="0"/>
    <n v="40"/>
    <n v="838"/>
    <n v="39"/>
    <x v="0"/>
    <n v="20.95"/>
    <n v="0.97499999999999998"/>
    <s v="Forte"/>
  </r>
  <r>
    <s v="Université Paris Cité"/>
    <n v="75"/>
    <s v="Paris"/>
    <x v="8"/>
    <s v="Licence - Portail Sciences sociales"/>
    <x v="1"/>
    <n v="250"/>
    <n v="5233"/>
    <n v="244"/>
    <x v="0"/>
    <n v="20.931999999999999"/>
    <n v="0.97599999999999998"/>
    <s v="Forte"/>
  </r>
  <r>
    <s v="Université Paris 1 Panthéon Sorbonne"/>
    <n v="75"/>
    <s v="Paris"/>
    <x v="8"/>
    <s v="Licence - Economie"/>
    <x v="1"/>
    <n v="500"/>
    <n v="10453"/>
    <n v="499"/>
    <x v="0"/>
    <n v="20.905999999999999"/>
    <n v="0.998"/>
    <s v="Forte"/>
  </r>
  <r>
    <s v="Université Paris- Est-Créteil Val de Marne - UPEC (Paris 12)"/>
    <n v="94"/>
    <s v="Val-de-Marne"/>
    <x v="8"/>
    <s v="Licence - Portail Sciences et Techniques des Activités Physiques et Sportives - STAPS - site de Créteil"/>
    <x v="1"/>
    <n v="206"/>
    <n v="4305"/>
    <n v="201"/>
    <x v="2"/>
    <n v="20.898058252427184"/>
    <n v="0.97572815533980584"/>
    <s v="Forte"/>
  </r>
  <r>
    <s v="Université Paris 1 Panthéon Sorbonne"/>
    <n v="75"/>
    <s v="Paris"/>
    <x v="8"/>
    <s v="Licence - Droit - Parcours Droits français et espagnol"/>
    <x v="0"/>
    <n v="25"/>
    <n v="522"/>
    <n v="25"/>
    <x v="0"/>
    <n v="20.88"/>
    <n v="1"/>
    <s v="Forte"/>
  </r>
  <r>
    <s v="Université Paris Nanterre"/>
    <n v="92"/>
    <s v="Hauts-de-Seine"/>
    <x v="8"/>
    <s v="Licence - Portail Droit français - Droit étranger - Droit français - common law"/>
    <x v="0"/>
    <n v="115"/>
    <n v="2397"/>
    <n v="113"/>
    <x v="2"/>
    <n v="20.843478260869563"/>
    <n v="0.9826086956521739"/>
    <s v="Forte"/>
  </r>
  <r>
    <s v="Université Paris Nanterre"/>
    <n v="92"/>
    <s v="Hauts-de-Seine"/>
    <x v="8"/>
    <s v="Licence - Double diplôme - Licence Humanités - Double diplôme Licence mention Humanités [Humanités classiques, art et patrimoine] - Diplôme d'université (DU) Cultures, langues et rhétorique 1"/>
    <x v="0"/>
    <n v="30"/>
    <n v="625"/>
    <n v="30"/>
    <x v="2"/>
    <n v="20.833333333333332"/>
    <n v="1"/>
    <s v="Forte"/>
  </r>
  <r>
    <s v="Université Paris 1 Panthéon Sorbonne"/>
    <n v="75"/>
    <s v="Paris"/>
    <x v="8"/>
    <s v="Double licence - Droit / Philosophie - Droit - Philosophie"/>
    <x v="0"/>
    <n v="60"/>
    <n v="1225"/>
    <n v="59"/>
    <x v="0"/>
    <n v="20.416666666666668"/>
    <n v="0.98333333333333328"/>
    <s v="Forte"/>
  </r>
  <r>
    <s v="Université Paris Nanterre"/>
    <n v="92"/>
    <s v="Hauts-de-Seine"/>
    <x v="8"/>
    <s v="Licence - Double diplôme - Licence Humanités - Double diplôme Licence mention Humanités [Humanités, droit, sciences politiques et économie]- Diplôme d'université (DU) Cultures, langues et rhétorique 1"/>
    <x v="0"/>
    <n v="60"/>
    <n v="1224"/>
    <n v="60"/>
    <x v="2"/>
    <n v="20.399999999999999"/>
    <n v="1"/>
    <s v="Forte"/>
  </r>
  <r>
    <s v="Université Sorbonne Paris Nord"/>
    <n v="93"/>
    <s v="Seine-Saint-Denis"/>
    <x v="8"/>
    <s v="Licence - Portail Economie et gestion"/>
    <x v="1"/>
    <n v="300"/>
    <n v="6095"/>
    <n v="296"/>
    <x v="2"/>
    <n v="20.316666666666666"/>
    <n v="0.98666666666666669"/>
    <s v="Forte"/>
  </r>
  <r>
    <s v="Ecole Universitaire de premier cycle - Campus d'Orsay Université Paris-Saclay"/>
    <n v="91"/>
    <s v="Essonne"/>
    <x v="8"/>
    <s v="Licence - Double diplôme - Licence Economie et gestion - Parcours Langues et Civilisations - option Anglais et Espagnol"/>
    <x v="0"/>
    <n v="20"/>
    <n v="403"/>
    <n v="20"/>
    <x v="1"/>
    <n v="20.149999999999999"/>
    <n v="1"/>
    <s v="Forte"/>
  </r>
  <r>
    <s v="Sorbonne université"/>
    <n v="75"/>
    <s v="Paris"/>
    <x v="8"/>
    <s v="Licence - Langues, littératures et civilisations étrangères et régionales - Parcours Préparatoire au Professorat des Ecoles (PPPE) - Anglais"/>
    <x v="1"/>
    <n v="30"/>
    <n v="604"/>
    <n v="29"/>
    <x v="0"/>
    <n v="20.133333333333333"/>
    <n v="0.96666666666666667"/>
    <s v="Forte"/>
  </r>
  <r>
    <s v="Université Paris 8"/>
    <n v="93"/>
    <s v="Seine-Saint-Denis"/>
    <x v="8"/>
    <s v="Licence - Cinéma"/>
    <x v="1"/>
    <n v="190"/>
    <n v="3819"/>
    <n v="188"/>
    <x v="2"/>
    <n v="20.100000000000001"/>
    <n v="0.98947368421052628"/>
    <s v="Forte"/>
  </r>
  <r>
    <s v="Université d'Evry Val d'Essonne"/>
    <n v="91"/>
    <s v="Essonne"/>
    <x v="8"/>
    <s v="Licence - Portail Mathématiques - Mathématiques-Physique"/>
    <x v="1"/>
    <n v="45"/>
    <n v="904"/>
    <n v="45"/>
    <x v="1"/>
    <n v="20.088888888888889"/>
    <n v="1"/>
    <s v="Forte"/>
  </r>
  <r>
    <s v="Université Sorbonne Nouvelle Paris 3"/>
    <n v="75"/>
    <s v="Paris"/>
    <x v="8"/>
    <s v="Licence - Portail Langues, littératures et civilisations étrangères et régionales - Licence LLCER Portugais (renforcé OU mineures)"/>
    <x v="1"/>
    <n v="1"/>
    <n v="20"/>
    <n v="1"/>
    <x v="0"/>
    <n v="20"/>
    <n v="1"/>
    <s v="Forte"/>
  </r>
  <r>
    <s v="Université Paris Panthéon Assas"/>
    <n v="75"/>
    <s v="Paris"/>
    <x v="8"/>
    <s v="Licence - Droit"/>
    <x v="1"/>
    <n v="972"/>
    <n v="19316"/>
    <n v="970"/>
    <x v="0"/>
    <n v="19.872427983539094"/>
    <n v="0.99794238683127567"/>
    <s v="Modérée"/>
  </r>
  <r>
    <s v="Université Paris 1 Panthéon Sorbonne"/>
    <n v="75"/>
    <s v="Paris"/>
    <x v="8"/>
    <s v="Licence - Philosophie - Parcours Philosophie - sociologie"/>
    <x v="1"/>
    <n v="30"/>
    <n v="595"/>
    <n v="30"/>
    <x v="0"/>
    <n v="19.833333333333332"/>
    <n v="1"/>
    <s v="Modérée"/>
  </r>
  <r>
    <s v="Université Paris Nanterre"/>
    <n v="92"/>
    <s v="Hauts-de-Seine"/>
    <x v="8"/>
    <s v="Licence - Double diplôme - Licence Humanités - Double diplôme Licence mention Humanités [Humanités et sciences humaines] - Diplôme d'université (DU) Cultures, langues et rhétorique 1"/>
    <x v="0"/>
    <n v="60"/>
    <n v="1171"/>
    <n v="60"/>
    <x v="2"/>
    <n v="19.516666666666666"/>
    <n v="1"/>
    <s v="Modérée"/>
  </r>
  <r>
    <s v="Université Paris 1 Panthéon Sorbonne"/>
    <n v="75"/>
    <s v="Paris"/>
    <x v="8"/>
    <s v="Double licence - Histoire / Lettres - Double licence - Histoire / Lettres"/>
    <x v="0"/>
    <n v="30"/>
    <n v="585"/>
    <n v="30"/>
    <x v="0"/>
    <n v="19.5"/>
    <n v="1"/>
    <s v="Modérée"/>
  </r>
  <r>
    <s v="Université Paris Nanterre"/>
    <n v="92"/>
    <s v="Hauts-de-Seine"/>
    <x v="8"/>
    <s v="Double licence - Langues, littératures et civilisations étrangères et régionales / Langues, littératures et civilisations étrangères et régionales - Double Licence mention Langues, littératures et civilisations étrangères et régionales (LLCER) [Anglais] - mention LLCER [Allemand]"/>
    <x v="0"/>
    <n v="10"/>
    <n v="195"/>
    <n v="9"/>
    <x v="2"/>
    <n v="19.5"/>
    <n v="0.9"/>
    <s v="Modérée"/>
  </r>
  <r>
    <s v="Université Paris 8"/>
    <n v="93"/>
    <s v="Seine-Saint-Denis"/>
    <x v="8"/>
    <s v="Licence - Portail Economie et gestion"/>
    <x v="1"/>
    <n v="215"/>
    <n v="4167"/>
    <n v="212"/>
    <x v="2"/>
    <n v="19.381395348837209"/>
    <n v="0.98604651162790702"/>
    <s v="Modérée"/>
  </r>
  <r>
    <s v="Sorbonne université"/>
    <n v="75"/>
    <s v="Paris"/>
    <x v="8"/>
    <s v="Licence - Langues étrangères appliquées - Parcours LEA (Langues Etrangères Appliquées) ( 2 langues : HORS anglais)"/>
    <x v="0"/>
    <n v="45"/>
    <n v="871"/>
    <n v="31"/>
    <x v="0"/>
    <n v="19.355555555555554"/>
    <n v="0.68888888888888888"/>
    <s v="Modérée"/>
  </r>
  <r>
    <s v="Université Sorbonne Nouvelle Paris 3"/>
    <n v="75"/>
    <s v="Paris"/>
    <x v="8"/>
    <s v="Licence - Etudes européennes et internationales - Parcours Licence 1 Etude européennes et internationales"/>
    <x v="1"/>
    <n v="120"/>
    <n v="2317"/>
    <n v="119"/>
    <x v="0"/>
    <n v="19.308333333333334"/>
    <n v="0.9916666666666667"/>
    <s v="Modérée"/>
  </r>
  <r>
    <s v="Université Sorbonne Paris Nord"/>
    <n v="93"/>
    <s v="Seine-Saint-Denis"/>
    <x v="8"/>
    <s v="Licence - Science politique - Parcours Sociologie politique"/>
    <x v="1"/>
    <n v="120"/>
    <n v="2317"/>
    <n v="104"/>
    <x v="2"/>
    <n v="19.308333333333334"/>
    <n v="0.8666666666666667"/>
    <s v="Modérée"/>
  </r>
  <r>
    <s v="Université Paris 1 Panthéon Sorbonne"/>
    <n v="75"/>
    <s v="Paris"/>
    <x v="8"/>
    <s v="Double licence - Géographie et aménagement / Histoire - Géographie - Histoire"/>
    <x v="0"/>
    <n v="20"/>
    <n v="386"/>
    <n v="20"/>
    <x v="0"/>
    <n v="19.3"/>
    <n v="1"/>
    <s v="Modérée"/>
  </r>
  <r>
    <s v="Université Paris Nanterre"/>
    <n v="92"/>
    <s v="Hauts-de-Seine"/>
    <x v="8"/>
    <s v="Licence - Mathématiques et informatique appliquées aux sciences humaines et sociales"/>
    <x v="1"/>
    <n v="70"/>
    <n v="1342"/>
    <n v="69"/>
    <x v="2"/>
    <n v="19.171428571428571"/>
    <n v="0.98571428571428577"/>
    <s v="Modérée"/>
  </r>
  <r>
    <s v="Université Paris- Est-Créteil Val de Marne - UPEC (Paris 12)"/>
    <n v="94"/>
    <s v="Val-de-Marne"/>
    <x v="8"/>
    <s v="Licence - Economie et gestion"/>
    <x v="1"/>
    <n v="430"/>
    <n v="8118"/>
    <n v="427"/>
    <x v="2"/>
    <n v="18.879069767441859"/>
    <n v="0.99302325581395345"/>
    <s v="Modérée"/>
  </r>
  <r>
    <s v="Université Paris- Est-Créteil Val de Marne - UPEC (Paris 12)"/>
    <n v="94"/>
    <s v="Val-de-Marne"/>
    <x v="8"/>
    <s v="Licence - Administration et Echanges internationaux - Parcours Amérique du Nord"/>
    <x v="0"/>
    <n v="90"/>
    <n v="1693"/>
    <n v="89"/>
    <x v="2"/>
    <n v="18.81111111111111"/>
    <n v="0.98888888888888893"/>
    <s v="Modérée"/>
  </r>
  <r>
    <s v="Université Sorbonne Nouvelle Paris 3"/>
    <n v="75"/>
    <s v="Paris"/>
    <x v="8"/>
    <s v="Licence - Portail Langues, littératures et civilisations étrangères et régionales - Licence LLCER Anglais (renforcé ou mineures) - Entièrement en distanciel"/>
    <x v="1"/>
    <n v="35"/>
    <n v="649"/>
    <n v="34"/>
    <x v="0"/>
    <n v="18.542857142857144"/>
    <n v="0.97142857142857142"/>
    <s v="Modérée"/>
  </r>
  <r>
    <s v="Université Paris- Est-Créteil Val de Marne - UPEC (Paris 12)"/>
    <n v="94"/>
    <s v="Val-de-Marne"/>
    <x v="8"/>
    <s v="Licence - Portail Chimie, Sciences de la vie - Chimie - Biologie"/>
    <x v="1"/>
    <n v="175"/>
    <n v="3215"/>
    <n v="171"/>
    <x v="2"/>
    <n v="18.37142857142857"/>
    <n v="0.97714285714285709"/>
    <s v="Modérée"/>
  </r>
  <r>
    <s v="Université Paris 8"/>
    <n v="93"/>
    <s v="Seine-Saint-Denis"/>
    <x v="8"/>
    <s v="Licence - Sciences de l'éducation et de la formation"/>
    <x v="1"/>
    <n v="105"/>
    <n v="1920"/>
    <n v="105"/>
    <x v="2"/>
    <n v="18.285714285714285"/>
    <n v="1"/>
    <s v="Modérée"/>
  </r>
  <r>
    <s v="Université Sorbonne Paris Nord"/>
    <n v="93"/>
    <s v="Seine-Saint-Denis"/>
    <x v="8"/>
    <s v="Licence - Administration économique et sociale"/>
    <x v="1"/>
    <n v="250"/>
    <n v="4549"/>
    <n v="234"/>
    <x v="2"/>
    <n v="18.196000000000002"/>
    <n v="0.93600000000000005"/>
    <s v="Modérée"/>
  </r>
  <r>
    <s v="Université Paris Nanterre"/>
    <n v="92"/>
    <s v="Hauts-de-Seine"/>
    <x v="8"/>
    <s v="Licence - Economie et gestion - Parcours international franco-espagnol Equateur"/>
    <x v="0"/>
    <n v="15"/>
    <n v="271"/>
    <n v="15"/>
    <x v="2"/>
    <n v="18.066666666666666"/>
    <n v="1"/>
    <s v="Modérée"/>
  </r>
  <r>
    <s v="Sorbonne université"/>
    <n v="75"/>
    <s v="Paris"/>
    <x v="8"/>
    <s v="Licence - Portail Langues, littératures et civilisations étrangères et régionales - LLCER :  ANGLAIS"/>
    <x v="1"/>
    <n v="145"/>
    <n v="2594"/>
    <n v="142"/>
    <x v="0"/>
    <n v="17.889655172413793"/>
    <n v="0.97931034482758617"/>
    <s v="Modérée"/>
  </r>
  <r>
    <s v="Université Paris Nanterre"/>
    <n v="92"/>
    <s v="Hauts-de-Seine"/>
    <x v="8"/>
    <s v="Licence - Sciences de l'éducation et de la formation - Parcours Accompagnement socio-éducatif et formation"/>
    <x v="1"/>
    <n v="90"/>
    <n v="1602"/>
    <n v="87"/>
    <x v="2"/>
    <n v="17.8"/>
    <n v="0.96666666666666667"/>
    <s v="Modérée"/>
  </r>
  <r>
    <s v="Université Paris- Est-Créteil Val de Marne - UPEC (Paris 12)"/>
    <n v="94"/>
    <s v="Val-de-Marne"/>
    <x v="8"/>
    <s v="Licence - Droit"/>
    <x v="1"/>
    <n v="500"/>
    <n v="8884"/>
    <n v="498"/>
    <x v="2"/>
    <n v="17.768000000000001"/>
    <n v="0.996"/>
    <s v="Modérée"/>
  </r>
  <r>
    <s v="Université Sorbonne Nouvelle Paris 3"/>
    <n v="75"/>
    <s v="Paris"/>
    <x v="8"/>
    <s v="Licence - Portail Langues, littératures et civilisations étrangères et régionales - Licence LLCER Arabe (renforcé OU mineures)"/>
    <x v="1"/>
    <n v="8"/>
    <n v="142"/>
    <n v="8"/>
    <x v="0"/>
    <n v="17.75"/>
    <n v="1"/>
    <s v="Modérée"/>
  </r>
  <r>
    <s v="Université Paris- Est-Créteil Val de Marne - UPEC (Paris 12)"/>
    <n v="94"/>
    <s v="Val-de-Marne"/>
    <x v="8"/>
    <s v="Licence - Sciences de l'éducation et de la formation - Parcours Intervention sociale et insertion-formation"/>
    <x v="1"/>
    <n v="50"/>
    <n v="886"/>
    <n v="50"/>
    <x v="2"/>
    <n v="17.72"/>
    <n v="1"/>
    <s v="Modérée"/>
  </r>
  <r>
    <s v="Sorbonne université"/>
    <n v="75"/>
    <s v="Paris"/>
    <x v="8"/>
    <s v="Licence - Portail Sciences de l'ingénieur : Électronique, Mécanique"/>
    <x v="1"/>
    <n v="155"/>
    <n v="2721"/>
    <n v="154"/>
    <x v="0"/>
    <n v="17.554838709677419"/>
    <n v="0.99354838709677418"/>
    <s v="Modérée"/>
  </r>
  <r>
    <s v="Université de Cergy-Pontoise - CY SUP"/>
    <n v="95"/>
    <s v="Val-d'oise"/>
    <x v="8"/>
    <s v="Licence - Langues étrangères appliquées - Parcours Langues Étrangères Appliquées Anglais Japonais"/>
    <x v="0"/>
    <n v="65"/>
    <n v="1126"/>
    <n v="64"/>
    <x v="1"/>
    <n v="17.323076923076922"/>
    <n v="0.98461538461538467"/>
    <s v="Modérée"/>
  </r>
  <r>
    <s v="Université Paris- Est-Créteil Val de Marne - UPEC (Paris 12)"/>
    <n v="94"/>
    <s v="Val-de-Marne"/>
    <x v="8"/>
    <s v="Licence - Physique"/>
    <x v="1"/>
    <n v="58"/>
    <n v="1002"/>
    <n v="56"/>
    <x v="2"/>
    <n v="17.275862068965516"/>
    <n v="0.96551724137931039"/>
    <s v="Modérée"/>
  </r>
  <r>
    <s v="Université Paris 1 Panthéon Sorbonne"/>
    <n v="75"/>
    <s v="Paris"/>
    <x v="8"/>
    <s v="Licence - Mathématiques et informatique appliquées aux sciences humaines et sociales - Parcours MIASHS"/>
    <x v="1"/>
    <n v="187"/>
    <n v="3229"/>
    <n v="187"/>
    <x v="0"/>
    <n v="17.267379679144383"/>
    <n v="1"/>
    <s v="Modérée"/>
  </r>
  <r>
    <s v="Université Paris Panthéon Assas"/>
    <n v="75"/>
    <s v="Paris"/>
    <x v="8"/>
    <s v="Licence - Double diplôme - Licence Droit - Droits français et italien - Padoue"/>
    <x v="0"/>
    <n v="10"/>
    <n v="172"/>
    <n v="10"/>
    <x v="0"/>
    <n v="17.2"/>
    <n v="1"/>
    <s v="Modérée"/>
  </r>
  <r>
    <s v="Université Paris Cité"/>
    <n v="75"/>
    <s v="Paris"/>
    <x v="8"/>
    <s v="Licence - Portail Langues, littératures et civilisations étrangères et régionales - LLCER Anglais"/>
    <x v="1"/>
    <n v="200"/>
    <n v="3438"/>
    <n v="197"/>
    <x v="0"/>
    <n v="17.190000000000001"/>
    <n v="0.98499999999999999"/>
    <s v="Modérée"/>
  </r>
  <r>
    <s v="Université Sorbonne Paris Nord"/>
    <n v="93"/>
    <s v="Seine-Saint-Denis"/>
    <x v="8"/>
    <s v="Licence - Mathématiques"/>
    <x v="1"/>
    <n v="135"/>
    <n v="2315"/>
    <n v="124"/>
    <x v="2"/>
    <n v="17.148148148148149"/>
    <n v="0.91851851851851851"/>
    <s v="Modérée"/>
  </r>
  <r>
    <s v="Sorbonne université"/>
    <n v="75"/>
    <s v="Paris"/>
    <x v="8"/>
    <s v="Double licence - Histoire / Langues, littératures et civilisations étrangères et régionales - HISTOIRE - LLCER ANGLAIS"/>
    <x v="0"/>
    <n v="65"/>
    <n v="1111"/>
    <n v="63"/>
    <x v="0"/>
    <n v="17.092307692307692"/>
    <n v="0.96923076923076923"/>
    <s v="Modérée"/>
  </r>
  <r>
    <s v="Université de Cergy-Pontoise - CY SUP"/>
    <n v="95"/>
    <s v="Val-d'oise"/>
    <x v="8"/>
    <s v="Licence - Lettres - Parcours Lettres et Arts Vivants (théâtre)"/>
    <x v="0"/>
    <n v="15"/>
    <n v="256"/>
    <n v="14"/>
    <x v="1"/>
    <n v="17.066666666666666"/>
    <n v="0.93333333333333335"/>
    <s v="Modérée"/>
  </r>
  <r>
    <s v="Ecole Universitaire de premier cycle - Campus d'Evry Université Paris-Saclay"/>
    <n v="91"/>
    <s v="Essonne"/>
    <x v="8"/>
    <s v="Licence - Administration économique et sociale"/>
    <x v="1"/>
    <n v="180"/>
    <n v="3068"/>
    <n v="180"/>
    <x v="1"/>
    <n v="17.044444444444444"/>
    <n v="1"/>
    <s v="Modéré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50"/>
    <n v="851"/>
    <n v="49"/>
    <x v="0"/>
    <n v="17.02"/>
    <n v="0.98"/>
    <s v="Modérée"/>
  </r>
  <r>
    <s v="Université Paris- Est-Créteil Val de Marne - UPEC (Paris 12)"/>
    <n v="94"/>
    <s v="Val-de-Marne"/>
    <x v="8"/>
    <s v="Licence - Double diplôme - Licence Droit - Juriste International"/>
    <x v="0"/>
    <n v="80"/>
    <n v="1356"/>
    <n v="90"/>
    <x v="2"/>
    <n v="16.95"/>
    <n v="1.125"/>
    <s v="Modérée"/>
  </r>
  <r>
    <s v="Université Paris 1 Panthéon Sorbonne"/>
    <n v="75"/>
    <s v="Paris"/>
    <x v="8"/>
    <s v="Double licence - Géographie et aménagement / Economie - Géographie - Economie"/>
    <x v="0"/>
    <n v="30"/>
    <n v="508"/>
    <n v="30"/>
    <x v="0"/>
    <n v="16.933333333333334"/>
    <n v="1"/>
    <s v="Modérée"/>
  </r>
  <r>
    <s v="Université Paris Nanterre"/>
    <n v="92"/>
    <s v="Hauts-de-Seine"/>
    <x v="8"/>
    <s v="Licence - Humanités - Parcours Humanités et danse - Entièrement en distanciel"/>
    <x v="0"/>
    <n v="15"/>
    <n v="254"/>
    <n v="16"/>
    <x v="2"/>
    <n v="16.933333333333334"/>
    <n v="1.0666666666666667"/>
    <s v="Modérée"/>
  </r>
  <r>
    <s v="Institut d'études politiques de Paris - Sciences Po"/>
    <n v="75"/>
    <s v="Paris"/>
    <x v="8"/>
    <s v="Licence - Double diplôme - Licence Mathématiques et informatique appliquées aux sciences humaines et sociales - Mathématiques appliquées et Sciences sociales"/>
    <x v="0"/>
    <n v="20"/>
    <n v="338"/>
    <n v="20"/>
    <x v="0"/>
    <n v="16.899999999999999"/>
    <n v="1"/>
    <s v="Modérée"/>
  </r>
  <r>
    <s v="Université Paris Nanterre"/>
    <n v="92"/>
    <s v="Hauts-de-Seine"/>
    <x v="8"/>
    <s v="Licence - Droit"/>
    <x v="1"/>
    <n v="778"/>
    <n v="13114"/>
    <n v="778"/>
    <x v="2"/>
    <n v="16.8560411311054"/>
    <n v="1"/>
    <s v="Modérée"/>
  </r>
  <r>
    <s v="Université Paris-Saclay - Campus de Versailles"/>
    <n v="78"/>
    <s v="Yvelines"/>
    <x v="8"/>
    <s v="Licence - Double diplôme - Licence Informatique, Sciences de la vie - Licence Double-Diplôme Sciences de la Vie, Informatique"/>
    <x v="0"/>
    <n v="32"/>
    <n v="537"/>
    <n v="31"/>
    <x v="1"/>
    <n v="16.78125"/>
    <n v="0.96875"/>
    <s v="Modéré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130"/>
    <n v="2176"/>
    <n v="128"/>
    <x v="0"/>
    <n v="16.738461538461539"/>
    <n v="0.98461538461538467"/>
    <s v="Modérée"/>
  </r>
  <r>
    <s v="Institut d'études politiques de Paris - Sciences Po"/>
    <n v="75"/>
    <s v="Paris"/>
    <x v="8"/>
    <s v="Licence - Double diplôme - Licence Histoire - Humanités littéraires et Sciences sociales / Filière Histoire"/>
    <x v="0"/>
    <n v="31"/>
    <n v="518"/>
    <n v="31"/>
    <x v="0"/>
    <n v="16.70967741935484"/>
    <n v="1"/>
    <s v="Modérée"/>
  </r>
  <r>
    <s v="Institut Catholique de Paris (ICP)- Campus de Paris"/>
    <n v="75"/>
    <s v="Paris"/>
    <x v="8"/>
    <s v="Licence - Sciences sociales - Parcours Economie, Science Politique, Sociologie (ESPS)"/>
    <x v="0"/>
    <n v="220"/>
    <n v="3669"/>
    <n v="244"/>
    <x v="0"/>
    <n v="16.677272727272726"/>
    <n v="1.1090909090909091"/>
    <s v="Modérée"/>
  </r>
  <r>
    <s v="Université Gustave Eiffel"/>
    <n v="77"/>
    <s v="Seine-et-Marne"/>
    <x v="8"/>
    <s v="Licence - Arts - Parcours Etudes visuelles, médias et arts numériques"/>
    <x v="0"/>
    <n v="60"/>
    <n v="1000"/>
    <n v="59"/>
    <x v="1"/>
    <n v="16.666666666666668"/>
    <n v="0.98333333333333328"/>
    <s v="Modérée"/>
  </r>
  <r>
    <s v="Université Paris Nanterre"/>
    <n v="92"/>
    <s v="Hauts-de-Seine"/>
    <x v="8"/>
    <s v="Licence - Economie et gestion - Parcours international franco-espagnol"/>
    <x v="0"/>
    <n v="30"/>
    <n v="499"/>
    <n v="30"/>
    <x v="2"/>
    <n v="16.633333333333333"/>
    <n v="1"/>
    <s v="Modérée"/>
  </r>
  <r>
    <s v="Université Paris Nanterre"/>
    <n v="92"/>
    <s v="Hauts-de-Seine"/>
    <x v="8"/>
    <s v="Licence - Histoire"/>
    <x v="1"/>
    <n v="92"/>
    <n v="1518"/>
    <n v="90"/>
    <x v="2"/>
    <n v="16.5"/>
    <n v="0.97826086956521741"/>
    <s v="Modérée"/>
  </r>
  <r>
    <s v="Université Paris Nanterre"/>
    <n v="92"/>
    <s v="Hauts-de-Seine"/>
    <x v="8"/>
    <s v="Licence - Sociologie"/>
    <x v="1"/>
    <n v="170"/>
    <n v="2804"/>
    <n v="168"/>
    <x v="2"/>
    <n v="16.494117647058822"/>
    <n v="0.9882352941176471"/>
    <s v="Modérée"/>
  </r>
  <r>
    <s v="Ecole Universitaire de premier cycle - Campus de Sceaux Université Paris-Saclay"/>
    <n v="92"/>
    <s v="Hauts-de-Seine"/>
    <x v="8"/>
    <s v="Licence - Double diplôme - Licence Droit - Parcours Law and Advisory"/>
    <x v="0"/>
    <n v="30"/>
    <n v="494"/>
    <n v="34"/>
    <x v="2"/>
    <n v="16.466666666666665"/>
    <n v="1.1333333333333333"/>
    <s v="Modérée"/>
  </r>
  <r>
    <s v="Sorbonne université"/>
    <n v="75"/>
    <s v="Paris"/>
    <x v="8"/>
    <s v="Double licence - Histoire / Langues, littératures et civilisations étrangères et régionales - LLCER Espagnol - Histoire"/>
    <x v="0"/>
    <n v="40"/>
    <n v="654"/>
    <n v="40"/>
    <x v="0"/>
    <n v="16.350000000000001"/>
    <n v="1"/>
    <s v="Modérée"/>
  </r>
  <r>
    <s v="Ecole Universitaire de premier cycle - Campus d'Orsay Université Paris-Saclay"/>
    <n v="91"/>
    <s v="Essonne"/>
    <x v="8"/>
    <s v="Licence - Portail Physique-Chimie-Sciences de la Terre (PCST)"/>
    <x v="1"/>
    <n v="75"/>
    <n v="1217"/>
    <n v="75"/>
    <x v="1"/>
    <n v="16.226666666666667"/>
    <n v="1"/>
    <s v="Modérée"/>
  </r>
  <r>
    <s v="Université d'Evry Val d'Essonne"/>
    <n v="91"/>
    <s v="Essonne"/>
    <x v="8"/>
    <s v="Licence - Portail Mathématiques - Mathématiques-Informatique"/>
    <x v="1"/>
    <n v="110"/>
    <n v="1777"/>
    <n v="106"/>
    <x v="1"/>
    <n v="16.154545454545456"/>
    <n v="0.96363636363636362"/>
    <s v="Modérée"/>
  </r>
  <r>
    <s v="Université Paris Cité"/>
    <n v="75"/>
    <s v="Paris"/>
    <x v="8"/>
    <s v="Double licence - Economie / Géographie et aménagement - Double licence Economie Géographie"/>
    <x v="0"/>
    <n v="13"/>
    <n v="210"/>
    <n v="11"/>
    <x v="0"/>
    <n v="16.153846153846153"/>
    <n v="0.84615384615384615"/>
    <s v="Modérée"/>
  </r>
  <r>
    <s v="Université Paris- Est-Créteil Val de Marne - UPEC (Paris 12)"/>
    <n v="94"/>
    <s v="Val-de-Marne"/>
    <x v="8"/>
    <s v="Licence - Double diplôme - Licence Administration et Echanges internationaux - Green Business"/>
    <x v="0"/>
    <n v="90"/>
    <n v="1447"/>
    <n v="89"/>
    <x v="2"/>
    <n v="16.077777777777779"/>
    <n v="0.98888888888888893"/>
    <s v="Modérée"/>
  </r>
  <r>
    <s v="Université Paris- Est-Créteil Val de Marne - UPEC (Paris 12)"/>
    <n v="94"/>
    <s v="Val-de-Marne"/>
    <x v="8"/>
    <s v="Licence - Portail Langues, littératures et civilisations étrangères et régionales - Espagnol"/>
    <x v="1"/>
    <n v="10"/>
    <n v="160"/>
    <n v="10"/>
    <x v="2"/>
    <n v="16"/>
    <n v="1"/>
    <s v="Modérée"/>
  </r>
  <r>
    <s v="Université Paris Nanterre"/>
    <n v="92"/>
    <s v="Hauts-de-Seine"/>
    <x v="8"/>
    <s v="Licence - Portail Sciences et Techniques des Activités Physiques et Sportives"/>
    <x v="1"/>
    <n v="390"/>
    <n v="6233"/>
    <n v="389"/>
    <x v="2"/>
    <n v="15.982051282051282"/>
    <n v="0.99743589743589745"/>
    <s v="Modérée"/>
  </r>
  <r>
    <s v="Université Paris 1 Panthéon Sorbonne"/>
    <n v="75"/>
    <s v="Paris"/>
    <x v="8"/>
    <s v="Licence - Economie - Parcours International Track"/>
    <x v="1"/>
    <n v="250"/>
    <n v="3987"/>
    <n v="248"/>
    <x v="0"/>
    <n v="15.948"/>
    <n v="0.99199999999999999"/>
    <s v="Modérée"/>
  </r>
  <r>
    <s v="Université Paris Cité"/>
    <n v="75"/>
    <s v="Paris"/>
    <x v="8"/>
    <s v="Licence - Double diplôme - Licence Histoire - Histoire- Cursus intégré franco-allemand avec l'université de Bielefeld"/>
    <x v="0"/>
    <n v="10"/>
    <n v="159"/>
    <n v="5"/>
    <x v="0"/>
    <n v="15.9"/>
    <n v="0.5"/>
    <s v="Modérée"/>
  </r>
  <r>
    <s v="Université Gustave Eiffel"/>
    <n v="77"/>
    <s v="Seine-et-Marne"/>
    <x v="8"/>
    <s v="Licence - Portail Sciences et Techniques des Activités Physiques et Sportives"/>
    <x v="1"/>
    <n v="175"/>
    <n v="2777"/>
    <n v="173"/>
    <x v="1"/>
    <n v="15.868571428571428"/>
    <n v="0.98857142857142855"/>
    <s v="Modérée"/>
  </r>
  <r>
    <s v="Ecole Universitaire de premier cycle - Campus d'Orsay Université Paris-Saclay"/>
    <n v="91"/>
    <s v="Essonne"/>
    <x v="8"/>
    <s v="Licence - Portail Chimie - Physique-Chimie-Sciences de la Terre (PCST) - parcours préparation à l'entrée à des Ecoles de Kinésithérapie en IDF"/>
    <x v="1"/>
    <n v="20"/>
    <n v="317"/>
    <n v="20"/>
    <x v="1"/>
    <n v="15.85"/>
    <n v="1"/>
    <s v="Modérée"/>
  </r>
  <r>
    <s v="Université Sorbonne Nouvelle Paris 3"/>
    <n v="75"/>
    <s v="Paris"/>
    <x v="8"/>
    <s v="Licence - Langues étrangères appliquées - Parcours LEA  Anglais - Espagnol"/>
    <x v="1"/>
    <n v="200"/>
    <n v="3168"/>
    <n v="200"/>
    <x v="0"/>
    <n v="15.84"/>
    <n v="1"/>
    <s v="Modérée"/>
  </r>
  <r>
    <s v="Université Sorbonne Paris Nord"/>
    <n v="93"/>
    <s v="Seine-Saint-Denis"/>
    <x v="8"/>
    <s v="Licence - Portail Droit"/>
    <x v="1"/>
    <n v="330"/>
    <n v="5225"/>
    <n v="305"/>
    <x v="2"/>
    <n v="15.833333333333334"/>
    <n v="0.9242424242424242"/>
    <s v="Modérée"/>
  </r>
  <r>
    <s v="Université Sorbonne Paris Nord"/>
    <n v="93"/>
    <s v="Seine-Saint-Denis"/>
    <x v="8"/>
    <s v="Licence - Portail Physique, chimie"/>
    <x v="1"/>
    <n v="95"/>
    <n v="1502"/>
    <n v="92"/>
    <x v="2"/>
    <n v="15.810526315789474"/>
    <n v="0.96842105263157896"/>
    <s v="Modérée"/>
  </r>
  <r>
    <s v="Ecole Universitaire de premier cycle - Campus de Sceaux Université Paris-Saclay"/>
    <n v="92"/>
    <s v="Hauts-de-Seine"/>
    <x v="8"/>
    <s v="Licence - Portail Droit - Parcours Droit"/>
    <x v="1"/>
    <n v="335"/>
    <n v="5291"/>
    <n v="335"/>
    <x v="2"/>
    <n v="15.794029850746268"/>
    <n v="1"/>
    <s v="Modérée"/>
  </r>
  <r>
    <s v="Université Sorbonne Nouvelle Paris 3"/>
    <n v="75"/>
    <s v="Paris"/>
    <x v="8"/>
    <s v="Licence - Portail Lettres - (Renforcé ou mineures)"/>
    <x v="1"/>
    <n v="15"/>
    <n v="236"/>
    <n v="14"/>
    <x v="0"/>
    <n v="15.733333333333333"/>
    <n v="0.93333333333333335"/>
    <s v="Modérée"/>
  </r>
  <r>
    <s v="Université de Cergy-Pontoise - CY SUP"/>
    <n v="95"/>
    <s v="Val-d'oise"/>
    <x v="8"/>
    <s v="Licence - Portail Mathématiques - Mathématiques Informatique Physique et Ingénierie"/>
    <x v="1"/>
    <n v="158"/>
    <n v="2482"/>
    <n v="157"/>
    <x v="1"/>
    <n v="15.708860759493671"/>
    <n v="0.99367088607594933"/>
    <s v="Modérée"/>
  </r>
  <r>
    <s v="Université Gustave Eiffel"/>
    <n v="77"/>
    <s v="Seine-et-Marne"/>
    <x v="8"/>
    <s v="Licence - Economie et gestion"/>
    <x v="1"/>
    <n v="250"/>
    <n v="3922"/>
    <n v="252"/>
    <x v="1"/>
    <n v="15.688000000000001"/>
    <n v="1.008"/>
    <s v="Modérée"/>
  </r>
  <r>
    <s v="Sorbonne université"/>
    <n v="75"/>
    <s v="Paris"/>
    <x v="8"/>
    <s v="Double licence - Langues, littératures et civilisations étrangères et régionales / Langues, littératures et civilisations étrangères et régionales - LLCER ANGLAIS - LLCER NEERLANDAIS"/>
    <x v="0"/>
    <n v="15"/>
    <n v="234"/>
    <n v="11"/>
    <x v="0"/>
    <n v="15.6"/>
    <n v="0.73333333333333328"/>
    <s v="Modéré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10"/>
    <n v="155"/>
    <n v="10"/>
    <x v="0"/>
    <n v="15.5"/>
    <n v="1"/>
    <s v="Modérée"/>
  </r>
  <r>
    <s v="Université Paris Cité"/>
    <n v="75"/>
    <s v="Paris"/>
    <x v="8"/>
    <s v="Licence - Langues, littératures et civilisations étrangères et régionales - Parcours LLCER Etudes Japonaises"/>
    <x v="0"/>
    <n v="120"/>
    <n v="1855"/>
    <n v="118"/>
    <x v="0"/>
    <n v="15.458333333333334"/>
    <n v="0.98333333333333328"/>
    <s v="Modérée"/>
  </r>
  <r>
    <s v="Université Sorbonne Nouvelle Paris 3"/>
    <n v="75"/>
    <s v="Paris"/>
    <x v="8"/>
    <s v="Licence - Portail Lettres - (Renforcé ou mineures)"/>
    <x v="1"/>
    <n v="53"/>
    <n v="818"/>
    <n v="53"/>
    <x v="0"/>
    <n v="15.433962264150944"/>
    <n v="1"/>
    <s v="Modérée"/>
  </r>
  <r>
    <s v="Université Paris- Est-Créteil Val de Marne - UPEC (Paris 12)"/>
    <n v="94"/>
    <s v="Val-de-Marne"/>
    <x v="8"/>
    <s v="Licence - Administration et Echanges internationaux - Parcours Préparatoire au Professorat des Ecoles (PPPE)"/>
    <x v="1"/>
    <n v="30"/>
    <n v="458"/>
    <n v="27"/>
    <x v="2"/>
    <n v="15.266666666666667"/>
    <n v="0.9"/>
    <s v="Modérée"/>
  </r>
  <r>
    <s v="Ecole Universitaire de premier cycle - Campus d'Orsay Université Paris-Saclay"/>
    <n v="91"/>
    <s v="Essonne"/>
    <x v="8"/>
    <s v="Licence - Portail Portail Biologie-Chimie-Sciences de la Terre (BCST)"/>
    <x v="1"/>
    <n v="300"/>
    <n v="4575"/>
    <n v="295"/>
    <x v="1"/>
    <n v="15.25"/>
    <n v="0.98333333333333328"/>
    <s v="Modérée"/>
  </r>
  <r>
    <s v="Institut Catholique de Paris (ICP)- Campus de Paris"/>
    <n v="75"/>
    <s v="Paris"/>
    <x v="8"/>
    <s v="Licence - Droit"/>
    <x v="0"/>
    <n v="230"/>
    <n v="3496"/>
    <n v="258"/>
    <x v="0"/>
    <n v="15.2"/>
    <n v="1.1217391304347826"/>
    <s v="Modérée"/>
  </r>
  <r>
    <s v="Université Sorbonne Paris Nord - Antenne de Bobigny"/>
    <n v="93"/>
    <s v="Seine-Saint-Denis"/>
    <x v="8"/>
    <s v="Licence - Portail Sciences et Techniques des Activités Physiques et Sportives - Sciences et techniques des activités physiques et sportives (STAPS)"/>
    <x v="1"/>
    <n v="300"/>
    <n v="4542"/>
    <n v="289"/>
    <x v="2"/>
    <n v="15.14"/>
    <n v="0.96333333333333337"/>
    <s v="Modérée"/>
  </r>
  <r>
    <s v="Université Paris Nanterre"/>
    <n v="92"/>
    <s v="Hauts-de-Seine"/>
    <x v="8"/>
    <s v="Licence - Droit français - Droit étranger - Parcours Droit français - droit italien"/>
    <x v="0"/>
    <n v="35"/>
    <n v="526"/>
    <n v="35"/>
    <x v="2"/>
    <n v="15.028571428571428"/>
    <n v="1"/>
    <s v="Modérée"/>
  </r>
  <r>
    <s v="Université Sorbonne Nouvelle Paris 3"/>
    <n v="75"/>
    <s v="Paris"/>
    <x v="8"/>
    <s v="Licence - Portail Langues, littératures et civilisations étrangères et régionales - Licence LLCER Anglais (renforcé ou mineures) - Entièrement en distanciel"/>
    <x v="1"/>
    <n v="85"/>
    <n v="1274"/>
    <n v="85"/>
    <x v="0"/>
    <n v="14.988235294117647"/>
    <n v="1"/>
    <s v="Modérée"/>
  </r>
  <r>
    <s v="Université Gustave Eiffel"/>
    <n v="77"/>
    <s v="Seine-et-Marne"/>
    <x v="8"/>
    <s v="Licence - Sciences pour l'ingénieur - Parcours Génie industriel / Ingénierie des organisations / Génie des procédés pour l'environnement"/>
    <x v="1"/>
    <n v="70"/>
    <n v="1042"/>
    <n v="67"/>
    <x v="1"/>
    <n v="14.885714285714286"/>
    <n v="0.95714285714285718"/>
    <s v="Modérée"/>
  </r>
  <r>
    <s v="Sorbonne université"/>
    <n v="75"/>
    <s v="Paris"/>
    <x v="8"/>
    <s v="Licence - Sociologie"/>
    <x v="1"/>
    <n v="135"/>
    <n v="2009"/>
    <n v="132"/>
    <x v="0"/>
    <n v="14.881481481481481"/>
    <n v="0.97777777777777775"/>
    <s v="Modérée"/>
  </r>
  <r>
    <s v="Ecole Universitaire de premier cycle - Campus d'Orsay Université Paris-Saclay"/>
    <n v="91"/>
    <s v="Essonne"/>
    <x v="8"/>
    <s v="Licence - Double diplôme - Licence Economie et gestion - Parcours Langues et Civilisations - option Chinois et Anglais"/>
    <x v="0"/>
    <n v="15"/>
    <n v="223"/>
    <n v="15"/>
    <x v="1"/>
    <n v="14.866666666666667"/>
    <n v="1"/>
    <s v="Modérée"/>
  </r>
  <r>
    <s v="Université Sorbonne Paris Nord"/>
    <n v="93"/>
    <s v="Seine-Saint-Denis"/>
    <x v="8"/>
    <s v="Licence - Information et communication"/>
    <x v="0"/>
    <n v="140"/>
    <n v="2067"/>
    <n v="134"/>
    <x v="2"/>
    <n v="14.764285714285714"/>
    <n v="0.95714285714285718"/>
    <s v="Modérée"/>
  </r>
  <r>
    <s v="Université Paris Nanterre"/>
    <n v="92"/>
    <s v="Hauts-de-Seine"/>
    <x v="8"/>
    <s v="Licence - Histoire de l'art et archéologie - Entièrement en distanciel"/>
    <x v="1"/>
    <n v="80"/>
    <n v="1176"/>
    <n v="79"/>
    <x v="2"/>
    <n v="14.7"/>
    <n v="0.98750000000000004"/>
    <s v="Modérée"/>
  </r>
  <r>
    <s v="Sorbonne université"/>
    <n v="75"/>
    <s v="Paris"/>
    <x v="8"/>
    <s v="Double licence - SCIENCES - MUSICOLOGIE"/>
    <x v="0"/>
    <n v="24"/>
    <n v="352"/>
    <n v="20"/>
    <x v="0"/>
    <n v="14.666666666666666"/>
    <n v="0.83333333333333337"/>
    <s v="Modéré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8"/>
    <n v="116"/>
    <n v="8"/>
    <x v="0"/>
    <n v="14.5"/>
    <n v="1"/>
    <s v="Modérée"/>
  </r>
  <r>
    <s v="Université Paris Nanterre"/>
    <n v="92"/>
    <s v="Hauts-de-Seine"/>
    <x v="8"/>
    <s v="Double licence - Histoire / Langues, littératures et civilisations étrangères et régionales - Double licence mention Histoire - mention Langues, littératures et civilisations étrangères et régionales [Anglais]"/>
    <x v="0"/>
    <n v="30"/>
    <n v="432"/>
    <n v="29"/>
    <x v="2"/>
    <n v="14.4"/>
    <n v="0.96666666666666667"/>
    <s v="Modérée"/>
  </r>
  <r>
    <s v="Université Paris- Est- Créteil Val de Marne UPEC - Antenne de Sénart"/>
    <n v="77"/>
    <s v="Seine-et-Marne"/>
    <x v="8"/>
    <s v="Licence - Sciences et Techniques des Activités Physiques et Sportives - Parcours STAPS - site de Sénart"/>
    <x v="1"/>
    <n v="95"/>
    <n v="1361"/>
    <n v="94"/>
    <x v="1"/>
    <n v="14.326315789473684"/>
    <n v="0.98947368421052628"/>
    <s v="Modérée"/>
  </r>
  <r>
    <s v="Université Paris Nanterre"/>
    <n v="92"/>
    <s v="Hauts-de-Seine"/>
    <x v="8"/>
    <s v="Double licence - Langues, littératures et civilisations étrangères et régionales / Langues, littératures et civilisations étrangères et régionales - Double Licence mention Langues, littératures et civilisations étrangères et régionales (LLCER) [Espagnol] - mention LLCER [Portugais]"/>
    <x v="0"/>
    <n v="10"/>
    <n v="143"/>
    <n v="10"/>
    <x v="2"/>
    <n v="14.3"/>
    <n v="1"/>
    <s v="Modérée"/>
  </r>
  <r>
    <s v="Université Paris 8"/>
    <n v="93"/>
    <s v="Seine-Saint-Denis"/>
    <x v="8"/>
    <s v="Licence - Droit"/>
    <x v="1"/>
    <n v="370"/>
    <n v="5277"/>
    <n v="389"/>
    <x v="2"/>
    <n v="14.262162162162163"/>
    <n v="1.0513513513513513"/>
    <s v="Modérée"/>
  </r>
  <r>
    <s v="Université Paris Cité"/>
    <n v="75"/>
    <s v="Paris"/>
    <x v="8"/>
    <s v="Licence - Langues étrangères appliquées - Parcours Monde asiatique : travail, cultures et sociétés - Anglais / Chinois"/>
    <x v="0"/>
    <n v="37"/>
    <n v="525"/>
    <n v="37"/>
    <x v="0"/>
    <n v="14.189189189189189"/>
    <n v="1"/>
    <s v="Modéré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40"/>
    <n v="567"/>
    <n v="40"/>
    <x v="0"/>
    <n v="14.175000000000001"/>
    <n v="1"/>
    <s v="Modéré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20"/>
    <n v="281"/>
    <n v="20"/>
    <x v="0"/>
    <n v="14.05"/>
    <n v="1"/>
    <s v="Modérée"/>
  </r>
  <r>
    <s v="Sorbonne université"/>
    <n v="75"/>
    <s v="Paris"/>
    <x v="8"/>
    <s v="Double licence - Histoire / Géographie et aménagement - HISTOIRE - GEOGRAPHIE"/>
    <x v="0"/>
    <n v="100"/>
    <n v="1403"/>
    <n v="100"/>
    <x v="0"/>
    <n v="14.03"/>
    <n v="1"/>
    <s v="Modéré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15"/>
    <n v="206"/>
    <n v="15"/>
    <x v="0"/>
    <n v="13.733333333333333"/>
    <n v="1"/>
    <s v="Modérée"/>
  </r>
  <r>
    <s v="Université d'Evry Val d'Essonne"/>
    <n v="91"/>
    <s v="Essonne"/>
    <x v="8"/>
    <s v="Licence - Economie et gestion"/>
    <x v="1"/>
    <n v="170"/>
    <n v="2329"/>
    <n v="169"/>
    <x v="1"/>
    <n v="13.7"/>
    <n v="0.99411764705882355"/>
    <s v="Modérée"/>
  </r>
  <r>
    <s v="Université de Versailles - Saint Quentin en Yvelines"/>
    <n v="78"/>
    <s v="Yvelines"/>
    <x v="8"/>
    <s v="Licence - Portail Economie et Gestion / Gestion"/>
    <x v="1"/>
    <n v="152"/>
    <n v="2047"/>
    <n v="150"/>
    <x v="1"/>
    <n v="13.467105263157896"/>
    <n v="0.98684210526315785"/>
    <s v="Modérée"/>
  </r>
  <r>
    <s v="Université Sorbonne Nouvelle Paris 3"/>
    <n v="75"/>
    <s v="Paris"/>
    <x v="8"/>
    <s v="Licence - Portail Lettres - (Renforcé ou mineures)"/>
    <x v="1"/>
    <n v="20"/>
    <n v="266"/>
    <n v="20"/>
    <x v="0"/>
    <n v="13.3"/>
    <n v="1"/>
    <s v="Modérée"/>
  </r>
  <r>
    <s v="Université Sorbonne Nouvelle Paris 3"/>
    <n v="75"/>
    <s v="Paris"/>
    <x v="8"/>
    <s v="Licence - Portail Langues, littératures et civilisations étrangères et régionales - Licence LLCER Arabe (renforcé OU mineures)"/>
    <x v="1"/>
    <n v="12"/>
    <n v="159"/>
    <n v="12"/>
    <x v="0"/>
    <n v="13.25"/>
    <n v="1"/>
    <s v="Modérée"/>
  </r>
  <r>
    <s v="Université Panthéon- Assas Paris2 - Antenne Melun"/>
    <n v="77"/>
    <s v="Seine-et-Marne"/>
    <x v="8"/>
    <s v="Licence - Double diplôme - Licence Economie et gestion - Sciences numériques pour l'économie et la gestion"/>
    <x v="0"/>
    <n v="20"/>
    <n v="263"/>
    <n v="19"/>
    <x v="1"/>
    <n v="13.15"/>
    <n v="0.95"/>
    <s v="Modérée"/>
  </r>
  <r>
    <s v="Sorbonne université"/>
    <n v="75"/>
    <s v="Paris"/>
    <x v="8"/>
    <s v="Licence - Langues étrangères appliquées - Parcours LEA (Langues Etrangères Appliquées) 2 langues : Anglais et une autre langue, hors Espagnol"/>
    <x v="0"/>
    <n v="185"/>
    <n v="2420"/>
    <n v="183"/>
    <x v="0"/>
    <n v="13.081081081081081"/>
    <n v="0.98918918918918919"/>
    <s v="Modérée"/>
  </r>
  <r>
    <s v="Université Paris 1 Panthéon Sorbonne"/>
    <n v="75"/>
    <s v="Paris"/>
    <x v="8"/>
    <s v="Double licence - Philosophie / Economie - Philosophie - Economie"/>
    <x v="0"/>
    <n v="25"/>
    <n v="327"/>
    <n v="25"/>
    <x v="0"/>
    <n v="13.08"/>
    <n v="1"/>
    <s v="Modérée"/>
  </r>
  <r>
    <s v="Sorbonne université"/>
    <n v="75"/>
    <s v="Paris"/>
    <x v="8"/>
    <s v="Licence - Portail Chimie, Sciences de la Terre, Mécanique"/>
    <x v="1"/>
    <n v="95"/>
    <n v="1241"/>
    <n v="93"/>
    <x v="0"/>
    <n v="13.063157894736841"/>
    <n v="0.97894736842105268"/>
    <s v="Modérée"/>
  </r>
  <r>
    <s v="Université Sorbonne Nouvelle Paris 3"/>
    <n v="75"/>
    <s v="Paris"/>
    <x v="8"/>
    <s v="Licence - Langues, littératures et civilisations étrangères et régionales - Parcours Anglais Culture Economique"/>
    <x v="1"/>
    <n v="65"/>
    <n v="847"/>
    <n v="65"/>
    <x v="0"/>
    <n v="13.030769230769231"/>
    <n v="1"/>
    <s v="Modérée"/>
  </r>
  <r>
    <s v="Université Paris 1 Panthéon Sorbonne"/>
    <n v="75"/>
    <s v="Paris"/>
    <x v="8"/>
    <s v="Licence - Gestion"/>
    <x v="1"/>
    <n v="585"/>
    <n v="7614"/>
    <n v="588"/>
    <x v="0"/>
    <n v="13.015384615384615"/>
    <n v="1.0051282051282051"/>
    <s v="Modérée"/>
  </r>
  <r>
    <s v="Ecole Universitaire de premier cycle - Campus de Guyancourt, Versailles Saint Quentin en Yvelines, Université Paris-Saclay"/>
    <n v="78"/>
    <s v="Yvelines"/>
    <x v="8"/>
    <s v="Licence - Portail Administration économique et sociale"/>
    <x v="1"/>
    <n v="177"/>
    <n v="2302"/>
    <n v="175"/>
    <x v="1"/>
    <n v="13.005649717514125"/>
    <n v="0.98870056497175141"/>
    <s v="Modérée"/>
  </r>
  <r>
    <s v="Université Sorbonne Nouvelle Paris 3"/>
    <n v="75"/>
    <s v="Paris"/>
    <x v="8"/>
    <s v="Licence - Portail Langues, littératures et civilisations étrangères et régionales - Licence LLCER Portugais (renforcé OU mineures)"/>
    <x v="1"/>
    <n v="5"/>
    <n v="64"/>
    <n v="5"/>
    <x v="0"/>
    <n v="12.8"/>
    <n v="1"/>
    <s v="Modérée"/>
  </r>
  <r>
    <s v="Université d'Evry Val d'Essonne"/>
    <n v="91"/>
    <s v="Essonne"/>
    <x v="8"/>
    <s v="Licence - Sciences pour l'ingénieur"/>
    <x v="1"/>
    <n v="112"/>
    <n v="1433"/>
    <n v="111"/>
    <x v="1"/>
    <n v="12.794642857142858"/>
    <n v="0.9910714285714286"/>
    <s v="Modérée"/>
  </r>
  <r>
    <s v="Université Gustave Eiffel"/>
    <n v="77"/>
    <s v="Seine-et-Marne"/>
    <x v="8"/>
    <s v="Licence - Arts - Parcours Musique et métiers du son"/>
    <x v="0"/>
    <n v="70"/>
    <n v="895"/>
    <n v="69"/>
    <x v="1"/>
    <n v="12.785714285714286"/>
    <n v="0.98571428571428577"/>
    <s v="Modérée"/>
  </r>
  <r>
    <s v="Lycée Henri IV"/>
    <n v="75"/>
    <s v="Paris"/>
    <x v="8"/>
    <s v="Licence - Sciences et société - Classe Préparatoire au Professorat des Écoles"/>
    <x v="1"/>
    <n v="30"/>
    <n v="382"/>
    <n v="30"/>
    <x v="0"/>
    <n v="12.733333333333333"/>
    <n v="1"/>
    <s v="Modérée"/>
  </r>
  <r>
    <s v="Université Paris Nanterre"/>
    <n v="92"/>
    <s v="Hauts-de-Seine"/>
    <x v="8"/>
    <s v="Licence - Langues, littératures et civilisations étrangères et régionales - Parcours Etudes européennes et internationales"/>
    <x v="0"/>
    <n v="25"/>
    <n v="315"/>
    <n v="24"/>
    <x v="2"/>
    <n v="12.6"/>
    <n v="0.96"/>
    <s v="Modérée"/>
  </r>
  <r>
    <s v="Institut d'études politiques de Paris - Sciences Po"/>
    <n v="75"/>
    <s v="Paris"/>
    <x v="8"/>
    <s v="Licence - Double diplôme - Licence Mathématiques - Sciences et Sciences sociales / Spécialité Mathématiques"/>
    <x v="0"/>
    <n v="24"/>
    <n v="302"/>
    <n v="23"/>
    <x v="0"/>
    <n v="12.583333333333334"/>
    <n v="0.95833333333333337"/>
    <s v="Modérée"/>
  </r>
  <r>
    <s v="Université Paris Nanterre"/>
    <n v="92"/>
    <s v="Hauts-de-Seine"/>
    <x v="8"/>
    <s v="Licence - Droit français - Droit étranger - Parcours Droit français - droits espagnol et latino-américains"/>
    <x v="0"/>
    <n v="60"/>
    <n v="753"/>
    <n v="59"/>
    <x v="2"/>
    <n v="12.55"/>
    <n v="0.98333333333333328"/>
    <s v="Modérée"/>
  </r>
  <r>
    <s v="Université Paris Cité"/>
    <n v="75"/>
    <s v="Paris"/>
    <x v="8"/>
    <s v="Licence - Langues étrangères appliquées - Parcours Bi-disciplinaire : Information Communication - Anglais / Allemand"/>
    <x v="0"/>
    <n v="10"/>
    <n v="125"/>
    <n v="10"/>
    <x v="0"/>
    <n v="12.5"/>
    <n v="1"/>
    <s v="Modérée"/>
  </r>
  <r>
    <s v="Université Paris 1 Panthéon Sorbonne"/>
    <n v="75"/>
    <s v="Paris"/>
    <x v="8"/>
    <s v="Licence - Arts plastiques"/>
    <x v="1"/>
    <n v="375"/>
    <n v="4687"/>
    <n v="372"/>
    <x v="0"/>
    <n v="12.498666666666667"/>
    <n v="0.99199999999999999"/>
    <s v="Modérée"/>
  </r>
  <r>
    <s v="Sorbonne université"/>
    <n v="75"/>
    <s v="Paris"/>
    <x v="8"/>
    <s v="Double licence - Lettres / Langues, littératures et civilisations étrangères et régionales - Lettres - LLCER Espagnol"/>
    <x v="0"/>
    <n v="50"/>
    <n v="623"/>
    <n v="15"/>
    <x v="0"/>
    <n v="12.46"/>
    <n v="0.3"/>
    <s v="Modérée"/>
  </r>
  <r>
    <s v="Université Paris 8"/>
    <n v="93"/>
    <s v="Seine-Saint-Denis"/>
    <x v="8"/>
    <s v="Licence - Langues étrangères appliquées - Parcours Anglais / Chinois"/>
    <x v="1"/>
    <n v="32"/>
    <n v="398"/>
    <n v="31"/>
    <x v="2"/>
    <n v="12.4375"/>
    <n v="0.96875"/>
    <s v="Modérée"/>
  </r>
  <r>
    <s v="Unité de Formation et de Recherche de Sciences de l' Université de Versailles Saint Quentin en Yvelines"/>
    <n v="78"/>
    <s v="Yvelines"/>
    <x v="8"/>
    <s v="Licence - Portail Portail CB  : Chimie - Biologie"/>
    <x v="1"/>
    <n v="257"/>
    <n v="3182"/>
    <n v="245"/>
    <x v="1"/>
    <n v="12.381322957198444"/>
    <n v="0.953307392996109"/>
    <s v="Modérée"/>
  </r>
  <r>
    <s v="Université de Cergy-Pontoise - CY SUP"/>
    <n v="95"/>
    <s v="Val-d'oise"/>
    <x v="8"/>
    <s v="Licence - Economie et gestion"/>
    <x v="1"/>
    <n v="305"/>
    <n v="3774"/>
    <n v="305"/>
    <x v="1"/>
    <n v="12.373770491803279"/>
    <n v="1"/>
    <s v="Modérée"/>
  </r>
  <r>
    <s v="Université Sorbonne Nouvelle Paris 3"/>
    <n v="75"/>
    <s v="Paris"/>
    <x v="8"/>
    <s v="Licence - Arts - Parcours Médiation culturelle"/>
    <x v="1"/>
    <n v="125"/>
    <n v="1542"/>
    <n v="122"/>
    <x v="0"/>
    <n v="12.336"/>
    <n v="0.97599999999999998"/>
    <s v="Modérée"/>
  </r>
  <r>
    <s v="Université Paris Cité"/>
    <n v="75"/>
    <s v="Paris"/>
    <x v="8"/>
    <s v="Licence - Portail Histoire"/>
    <x v="1"/>
    <n v="175"/>
    <n v="2153"/>
    <n v="183"/>
    <x v="0"/>
    <n v="12.302857142857142"/>
    <n v="1.0457142857142858"/>
    <s v="Modérée"/>
  </r>
  <r>
    <s v="Université Paris Nanterre"/>
    <n v="92"/>
    <s v="Hauts-de-Seine"/>
    <x v="8"/>
    <s v="Licence - Langues étrangères appliquées - Parcours Espagnol - Anglais"/>
    <x v="1"/>
    <n v="170"/>
    <n v="2069"/>
    <n v="169"/>
    <x v="2"/>
    <n v="12.170588235294117"/>
    <n v="0.99411764705882355"/>
    <s v="Modérée"/>
  </r>
  <r>
    <s v="Université Sorbonne Paris Nord"/>
    <n v="93"/>
    <s v="Seine-Saint-Denis"/>
    <x v="8"/>
    <s v="Licence - Langues étrangères appliquées - Parcours Anglais-espagnol"/>
    <x v="1"/>
    <n v="60"/>
    <n v="721"/>
    <n v="55"/>
    <x v="2"/>
    <n v="12.016666666666667"/>
    <n v="0.91666666666666663"/>
    <s v="Modérée"/>
  </r>
  <r>
    <s v="Université Sorbonne Nouvelle Paris 3"/>
    <n v="75"/>
    <s v="Paris"/>
    <x v="8"/>
    <s v="Licence - Portail Langues, littératures et civilisations étrangères et régionales - Licence LLCER Portugais (renforcé OU mineures)"/>
    <x v="1"/>
    <n v="5"/>
    <n v="60"/>
    <n v="5"/>
    <x v="0"/>
    <n v="12"/>
    <n v="1"/>
    <s v="Modérée"/>
  </r>
  <r>
    <s v="Ecole Universitaire de premier cycle - Campus d'Orsay Université Paris-Saclay"/>
    <n v="91"/>
    <s v="Essonne"/>
    <x v="8"/>
    <s v="Licence - Double diplôme - Licence Droit - Parcours Droit, Culture juridique, Environnement"/>
    <x v="1"/>
    <n v="30"/>
    <n v="356"/>
    <n v="31"/>
    <x v="1"/>
    <n v="11.866666666666667"/>
    <n v="1.0333333333333334"/>
    <s v="Modérée"/>
  </r>
  <r>
    <s v="Université d'Evry Val d'Essonne"/>
    <n v="91"/>
    <s v="Essonne"/>
    <x v="8"/>
    <s v="Licence - Portail Sciences de la vie-Chimie"/>
    <x v="1"/>
    <n v="140"/>
    <n v="1659"/>
    <n v="134"/>
    <x v="1"/>
    <n v="11.85"/>
    <n v="0.95714285714285718"/>
    <s v="Modérée"/>
  </r>
  <r>
    <s v="Université Paris Nanterre"/>
    <n v="92"/>
    <s v="Hauts-de-Seine"/>
    <x v="8"/>
    <s v="Licence - Langues, littératures et civilisations étrangères et régionales - Parcours Anglais"/>
    <x v="1"/>
    <n v="158"/>
    <n v="1868"/>
    <n v="151"/>
    <x v="2"/>
    <n v="11.822784810126583"/>
    <n v="0.95569620253164556"/>
    <s v="Modérée"/>
  </r>
  <r>
    <s v="Sorbonne université"/>
    <n v="75"/>
    <s v="Paris"/>
    <x v="8"/>
    <s v="Licence - Lettres, langues - Parcours PLURIDISCIPLINAIRE BILINGUE ANGLAIS, LETTRES, SCIENCES HUMAINES"/>
    <x v="0"/>
    <n v="30"/>
    <n v="351"/>
    <n v="28"/>
    <x v="0"/>
    <n v="11.7"/>
    <n v="0.93333333333333335"/>
    <s v="Modérée"/>
  </r>
  <r>
    <s v="Institut d'études politiques de Paris - Sciences Po"/>
    <n v="75"/>
    <s v="Paris"/>
    <x v="8"/>
    <s v="Licence - Double diplôme - Licence Lettres - Humanités littéraires et Sciences sociales / Filière Lettres"/>
    <x v="0"/>
    <n v="27"/>
    <n v="315"/>
    <n v="27"/>
    <x v="0"/>
    <n v="11.666666666666666"/>
    <n v="1"/>
    <s v="Modérée"/>
  </r>
  <r>
    <s v="Université Sorbonne Nouvelle Paris 3"/>
    <n v="75"/>
    <s v="Paris"/>
    <x v="8"/>
    <s v="Licence - Information et communication - Parcours Information et communication mineure Portugais"/>
    <x v="1"/>
    <n v="18"/>
    <n v="209"/>
    <n v="18"/>
    <x v="0"/>
    <n v="11.611111111111111"/>
    <n v="1"/>
    <s v="Modérée"/>
  </r>
  <r>
    <s v="Université Paris 8"/>
    <n v="93"/>
    <s v="Seine-Saint-Denis"/>
    <x v="8"/>
    <s v="Licence - Langues étrangères appliquées - Parcours Anglais / Espagnol"/>
    <x v="1"/>
    <n v="122"/>
    <n v="1414"/>
    <n v="119"/>
    <x v="2"/>
    <n v="11.590163934426229"/>
    <n v="0.97540983606557374"/>
    <s v="Modérée"/>
  </r>
  <r>
    <s v="Université d'Evry Val d'Essonne"/>
    <n v="91"/>
    <s v="Essonne"/>
    <x v="8"/>
    <s v="Licence - Sciences et Techniques des Activités Physiques et Sportives"/>
    <x v="1"/>
    <n v="155"/>
    <n v="1796"/>
    <n v="157"/>
    <x v="1"/>
    <n v="11.587096774193549"/>
    <n v="1.0129032258064516"/>
    <s v="Modérée"/>
  </r>
  <r>
    <s v="Université de Cergy-Pontoise - CY SUP"/>
    <n v="95"/>
    <s v="Val-d'oise"/>
    <x v="8"/>
    <s v="Licence - Double diplôme - Licence Droit - Droit Anglo-Américain (DU droit anglo-américain)"/>
    <x v="0"/>
    <n v="170"/>
    <n v="1947"/>
    <n v="123"/>
    <x v="1"/>
    <n v="11.452941176470588"/>
    <n v="0.72352941176470587"/>
    <s v="Modérée"/>
  </r>
  <r>
    <s v="Université Sorbonne Nouvelle Paris 3"/>
    <n v="75"/>
    <s v="Paris"/>
    <x v="8"/>
    <s v="Licence - Portail Langues, littératures et civilisations étrangères et régionales - Licence LLCER Anglais (renforcé ou mineures)"/>
    <x v="1"/>
    <n v="6"/>
    <n v="68"/>
    <n v="6"/>
    <x v="0"/>
    <n v="11.333333333333334"/>
    <n v="1"/>
    <s v="Modérée"/>
  </r>
  <r>
    <s v="Université Sorbonne Nouvelle Paris 3"/>
    <n v="75"/>
    <s v="Paris"/>
    <x v="8"/>
    <s v="Licence - Sciences du langage - Parcours Sciences du langage - Mineure au choix (Lettres, DFLES, Anglais) - Entièrement en distanciel"/>
    <x v="1"/>
    <n v="62"/>
    <n v="696"/>
    <n v="61"/>
    <x v="0"/>
    <n v="11.225806451612904"/>
    <n v="0.9838709677419355"/>
    <s v="Modérée"/>
  </r>
  <r>
    <s v="Université Gustave Eiffel"/>
    <n v="77"/>
    <s v="Seine-et-Marne"/>
    <x v="8"/>
    <s v="Licence - Portail Informatique - Portail Informatique / Mathématiques"/>
    <x v="1"/>
    <n v="192"/>
    <n v="2154"/>
    <n v="189"/>
    <x v="1"/>
    <n v="11.21875"/>
    <n v="0.984375"/>
    <s v="Modérée"/>
  </r>
  <r>
    <s v="Université Gustave Eiffel"/>
    <n v="77"/>
    <s v="Seine-et-Marne"/>
    <x v="8"/>
    <s v="Licence - Mathématiques et informatique appliquées aux sciences humaines et sociales - Parcours Mathématiques Appliquées et Sciences Sociales (MASS)"/>
    <x v="1"/>
    <n v="52"/>
    <n v="581"/>
    <n v="51"/>
    <x v="1"/>
    <n v="11.173076923076923"/>
    <n v="0.98076923076923073"/>
    <s v="Modérée"/>
  </r>
  <r>
    <s v="Université Panthéon- Assas Paris2 - Antenne Melun"/>
    <n v="77"/>
    <s v="Seine-et-Marne"/>
    <x v="8"/>
    <s v="Licence - Double diplôme - Licence Droit - Cursus Étoile"/>
    <x v="0"/>
    <n v="25"/>
    <n v="278"/>
    <n v="25"/>
    <x v="1"/>
    <n v="11.12"/>
    <n v="1"/>
    <s v="Modérée"/>
  </r>
  <r>
    <s v="Université Paris Nanterre"/>
    <n v="92"/>
    <s v="Hauts-de-Seine"/>
    <x v="8"/>
    <s v="Licence - Langues étrangères appliquées - Parcours Chinois - Anglais"/>
    <x v="1"/>
    <n v="58"/>
    <n v="640"/>
    <n v="55"/>
    <x v="2"/>
    <n v="11.03448275862069"/>
    <n v="0.94827586206896552"/>
    <s v="Modérée"/>
  </r>
  <r>
    <s v="Université Paris Nanterre"/>
    <n v="92"/>
    <s v="Hauts-de-Seine"/>
    <x v="8"/>
    <s v="Licence - Histoire de l'art et archéologie"/>
    <x v="1"/>
    <n v="127"/>
    <n v="1397"/>
    <n v="124"/>
    <x v="2"/>
    <n v="11"/>
    <n v="0.97637795275590555"/>
    <s v="Modérée"/>
  </r>
  <r>
    <s v="Université Paris Nanterre"/>
    <n v="92"/>
    <s v="Hauts-de-Seine"/>
    <x v="8"/>
    <s v="Licence - Langues, littératures et civilisations étrangères et régionales - Parcours Anglais - Entièrement en distanciel"/>
    <x v="1"/>
    <n v="100"/>
    <n v="1099"/>
    <n v="97"/>
    <x v="2"/>
    <n v="10.99"/>
    <n v="0.97"/>
    <s v="Modérée"/>
  </r>
  <r>
    <s v="Université Paris Cité"/>
    <n v="75"/>
    <s v="Paris"/>
    <x v="8"/>
    <s v="Licence - Géographie et aménagement - Parcours Géographie, Aménagement, Environnement, Développement"/>
    <x v="1"/>
    <n v="82"/>
    <n v="899"/>
    <n v="80"/>
    <x v="0"/>
    <n v="10.963414634146341"/>
    <n v="0.97560975609756095"/>
    <s v="Modérée"/>
  </r>
  <r>
    <s v="Université Paris 1 Panthéon Sorbonne"/>
    <n v="75"/>
    <s v="Paris"/>
    <x v="8"/>
    <s v="Double licence - Histoire / Langues, littératures et civilisations étrangères et régionales - Histoire-Allemand/Etudes germaniques"/>
    <x v="0"/>
    <n v="20"/>
    <n v="219"/>
    <n v="15"/>
    <x v="0"/>
    <n v="10.95"/>
    <n v="0.75"/>
    <s v="Modérée"/>
  </r>
  <r>
    <s v="IPC-Facultés Libres de Philosophie et de Psycholog"/>
    <n v="75"/>
    <s v="Paris"/>
    <x v="8"/>
    <s v="Licence - Philosophie"/>
    <x v="0"/>
    <n v="55"/>
    <n v="595"/>
    <n v="34"/>
    <x v="0"/>
    <n v="10.818181818181818"/>
    <n v="0.61818181818181817"/>
    <s v="Modérée"/>
  </r>
  <r>
    <s v="Université Paris- Est-Créteil Val de Marne - UPEC (Paris 12)"/>
    <n v="94"/>
    <s v="Val-de-Marne"/>
    <x v="8"/>
    <s v="Licence - Administration et Echanges internationaux - Parcours Amérique Latine"/>
    <x v="0"/>
    <n v="80"/>
    <n v="865"/>
    <n v="79"/>
    <x v="2"/>
    <n v="10.8125"/>
    <n v="0.98750000000000004"/>
    <s v="Modérée"/>
  </r>
  <r>
    <s v="Université Paris Cité"/>
    <n v="75"/>
    <s v="Paris"/>
    <x v="8"/>
    <s v="Licence - Portail Langues étrangères appliquées - Santé environnement : Anglais / Espagnol"/>
    <x v="1"/>
    <n v="70"/>
    <n v="756"/>
    <n v="68"/>
    <x v="0"/>
    <n v="10.8"/>
    <n v="0.97142857142857142"/>
    <s v="Modérée"/>
  </r>
  <r>
    <s v="Institut d'études politiques de Paris - Sciences Po"/>
    <n v="75"/>
    <s v="Paris"/>
    <x v="8"/>
    <s v="Licence - Double diplôme - Licence Philosophie - Humanités littéraires et Sciences sociales / Filière Philosophie"/>
    <x v="0"/>
    <n v="27"/>
    <n v="291"/>
    <n v="27"/>
    <x v="0"/>
    <n v="10.777777777777779"/>
    <n v="1"/>
    <s v="Modérée"/>
  </r>
  <r>
    <s v="Université Paris Nanterre"/>
    <n v="92"/>
    <s v="Hauts-de-Seine"/>
    <x v="8"/>
    <s v="Licence - Droit français - Droit étranger - Parcours Droit français - droit allemand"/>
    <x v="0"/>
    <n v="80"/>
    <n v="856"/>
    <n v="79"/>
    <x v="2"/>
    <n v="10.7"/>
    <n v="0.98750000000000004"/>
    <s v="Modérée"/>
  </r>
  <r>
    <s v="Sorbonne université"/>
    <n v="75"/>
    <s v="Paris"/>
    <x v="8"/>
    <s v="Licence - Histoire de l'art et archéologie - Parcours ARCHEOLOGIE ET HISTOIRE DE L'ART"/>
    <x v="1"/>
    <n v="300"/>
    <n v="3203"/>
    <n v="297"/>
    <x v="0"/>
    <n v="10.676666666666666"/>
    <n v="0.99"/>
    <s v="Modérée"/>
  </r>
  <r>
    <s v="Unité de Formation et de Recherche de Sciences de l' Université de Versailles Saint Quentin en Yvelines"/>
    <n v="78"/>
    <s v="Yvelines"/>
    <x v="8"/>
    <s v="Licence - Portail Portail BI : Biologie - Informatique"/>
    <x v="1"/>
    <n v="101"/>
    <n v="1073"/>
    <n v="99"/>
    <x v="1"/>
    <n v="10.623762376237623"/>
    <n v="0.98019801980198018"/>
    <s v="Modérée"/>
  </r>
  <r>
    <s v="Université Paris Nanterre"/>
    <n v="92"/>
    <s v="Hauts-de-Seine"/>
    <x v="8"/>
    <s v="Licence - Langues étrangères appliquées - Parcours Russe - Anglais"/>
    <x v="1"/>
    <n v="20"/>
    <n v="211"/>
    <n v="20"/>
    <x v="2"/>
    <n v="10.55"/>
    <n v="1"/>
    <s v="Modérée"/>
  </r>
  <r>
    <s v="Université Paris Cité"/>
    <n v="75"/>
    <s v="Paris"/>
    <x v="8"/>
    <s v="Licence - Double diplôme - Licence Chimie -  Chimie - Cursus intégré franco-allemand avec l'Université de Bielefeld"/>
    <x v="0"/>
    <n v="15"/>
    <n v="158"/>
    <n v="6"/>
    <x v="0"/>
    <n v="10.533333333333333"/>
    <n v="0.4"/>
    <s v="Modérée"/>
  </r>
  <r>
    <s v="Université Sorbonne Nouvelle Paris 3"/>
    <n v="75"/>
    <s v="Paris"/>
    <x v="8"/>
    <s v="Licence - Portail Lettres - (Renforcé ou mineures)"/>
    <x v="1"/>
    <n v="20"/>
    <n v="208"/>
    <n v="20"/>
    <x v="0"/>
    <n v="10.4"/>
    <n v="1"/>
    <s v="Modérée"/>
  </r>
  <r>
    <s v="Ecole Universitaire de premier cycle - Campus d'Orsay Université Paris-Saclay"/>
    <n v="91"/>
    <s v="Essonne"/>
    <x v="8"/>
    <s v="Licence - Portail Sciences et Techniques des Activités Physiques et Sportives - Tronc Commun STAPS"/>
    <x v="1"/>
    <n v="320"/>
    <n v="3312"/>
    <n v="320"/>
    <x v="1"/>
    <n v="10.35"/>
    <n v="1"/>
    <s v="Modérée"/>
  </r>
  <r>
    <s v="Université Sorbonne Nouvelle Paris 3"/>
    <n v="75"/>
    <s v="Paris"/>
    <x v="8"/>
    <s v="Licence - Portail Lettres - Entièrement en distanciel (Renforcé ou mineures) - Entièrement en distanciel"/>
    <x v="1"/>
    <n v="30"/>
    <n v="308"/>
    <n v="30"/>
    <x v="0"/>
    <n v="10.266666666666667"/>
    <n v="1"/>
    <s v="Modérée"/>
  </r>
  <r>
    <s v="Sorbonne université"/>
    <n v="75"/>
    <s v="Paris"/>
    <x v="8"/>
    <s v="Double licence - Langues, littératures et civilisations étrangères et régionales / Langues, littératures et civilisations étrangères et régionales - LLCER ANGLAIS - LLCER ALLEMAND NON DEBUTANT"/>
    <x v="0"/>
    <n v="20"/>
    <n v="205"/>
    <n v="11"/>
    <x v="0"/>
    <n v="10.25"/>
    <n v="0.55000000000000004"/>
    <s v="Modérée"/>
  </r>
  <r>
    <s v="Université Paris 1 Panthéon Sorbonne"/>
    <n v="75"/>
    <s v="Paris"/>
    <x v="8"/>
    <s v="Licence - Histoire de l'art et archéologie"/>
    <x v="1"/>
    <n v="340"/>
    <n v="3411"/>
    <n v="341"/>
    <x v="0"/>
    <n v="10.032352941176471"/>
    <n v="1.0029411764705882"/>
    <s v="Modérée"/>
  </r>
  <r>
    <s v="Unité de Formation et de Recherche de Sciences de l' Université de Versailles Saint Quentin en Yvelines"/>
    <n v="78"/>
    <s v="Yvelines"/>
    <x v="8"/>
    <s v="Licence - Mathématiques et informatique appliquées aux sciences humaines et sociales - Parcours Mathématiques et informatique Appliquées aux Sciences Humaines Sociales MIASHS"/>
    <x v="1"/>
    <n v="50"/>
    <n v="500"/>
    <n v="49"/>
    <x v="1"/>
    <n v="10"/>
    <n v="0.98"/>
    <s v="Modérée"/>
  </r>
  <r>
    <s v="Université de Versailles - Saint Quentin en Yvelines"/>
    <n v="78"/>
    <s v="Yvelines"/>
    <x v="8"/>
    <s v="Licence - Portail Droit"/>
    <x v="1"/>
    <n v="333"/>
    <n v="3312"/>
    <n v="331"/>
    <x v="1"/>
    <n v="9.9459459459459456"/>
    <n v="0.99399399399399402"/>
    <s v="Faible"/>
  </r>
  <r>
    <s v="Université Gustave Eiffel"/>
    <n v="77"/>
    <s v="Seine-et-Marne"/>
    <x v="8"/>
    <s v="Licence - Physique, chimie"/>
    <x v="1"/>
    <n v="90"/>
    <n v="890"/>
    <n v="89"/>
    <x v="1"/>
    <n v="9.8888888888888893"/>
    <n v="0.98888888888888893"/>
    <s v="Faible"/>
  </r>
  <r>
    <s v="Institut d'études politiques de Fontainebleau - UPEC"/>
    <n v="77"/>
    <s v="Seine-et-Marne"/>
    <x v="8"/>
    <s v="Licence - Science politique - Parcours Préparatoire au Professorat des Ecoles (PPPE)"/>
    <x v="1"/>
    <n v="35"/>
    <n v="344"/>
    <n v="33"/>
    <x v="1"/>
    <n v="9.8285714285714292"/>
    <n v="0.94285714285714284"/>
    <s v="Faible"/>
  </r>
  <r>
    <s v="Ecole Universitaire de premier cycle - Campus de Sceaux Université Paris-Saclay"/>
    <n v="92"/>
    <s v="Hauts-de-Seine"/>
    <x v="8"/>
    <s v="Licence - Double diplôme - Licence Droit - Parcours Langues et Civilisations - option Chinois et Anglais"/>
    <x v="0"/>
    <n v="15"/>
    <n v="147"/>
    <n v="15"/>
    <x v="2"/>
    <n v="9.8000000000000007"/>
    <n v="1"/>
    <s v="Faible"/>
  </r>
  <r>
    <s v="Université Paris Cité"/>
    <n v="75"/>
    <s v="Paris"/>
    <x v="8"/>
    <s v="Licence - Lettres - Parcours Lettres et Humanités"/>
    <x v="1"/>
    <n v="105"/>
    <n v="1020"/>
    <n v="102"/>
    <x v="0"/>
    <n v="9.7142857142857135"/>
    <n v="0.97142857142857142"/>
    <s v="Faible"/>
  </r>
  <r>
    <s v="INALCO"/>
    <n v="75"/>
    <s v="Paris"/>
    <x v="8"/>
    <s v="Licence - Langues, littératures et civilisations étrangères et régionales - Parcours Asie de l’Est - Coréen"/>
    <x v="0"/>
    <n v="140"/>
    <n v="1356"/>
    <n v="139"/>
    <x v="0"/>
    <n v="9.6857142857142851"/>
    <n v="0.99285714285714288"/>
    <s v="Faible"/>
  </r>
  <r>
    <s v="Université Sorbonne Paris Nord - Antenne de Bobigny"/>
    <n v="93"/>
    <s v="Seine-Saint-Denis"/>
    <x v="8"/>
    <s v="Licence - Portail Sciences sanitaires et sociales"/>
    <x v="1"/>
    <n v="190"/>
    <n v="1836"/>
    <n v="177"/>
    <x v="2"/>
    <n v="9.6631578947368428"/>
    <n v="0.93157894736842106"/>
    <s v="Faible"/>
  </r>
  <r>
    <s v="Université de Versailles - Saint Quentin en Yvelines"/>
    <n v="78"/>
    <s v="Yvelines"/>
    <x v="8"/>
    <s v="Double licence - Droit / Langues, littératures et civilisations étrangères et régionales - Droit - LLCER Parcours Anglais"/>
    <x v="0"/>
    <n v="60"/>
    <n v="579"/>
    <n v="60"/>
    <x v="1"/>
    <n v="9.65"/>
    <n v="1"/>
    <s v="Faible"/>
  </r>
  <r>
    <s v="Université Paris- Est-Créteil Val de Marne - UPEC (Paris 12)"/>
    <n v="94"/>
    <s v="Val-de-Marne"/>
    <x v="8"/>
    <s v="Licence - Administration et Echanges internationaux - Parcours Shanghai"/>
    <x v="0"/>
    <n v="90"/>
    <n v="863"/>
    <n v="89"/>
    <x v="2"/>
    <n v="9.5888888888888886"/>
    <n v="0.98888888888888893"/>
    <s v="Faible"/>
  </r>
  <r>
    <s v="Université Sorbonne Nouvelle Paris 3"/>
    <n v="75"/>
    <s v="Paris"/>
    <x v="8"/>
    <s v="Licence - Arts - Parcours Licence 1 Etudes culturelles"/>
    <x v="1"/>
    <n v="125"/>
    <n v="1195"/>
    <n v="125"/>
    <x v="0"/>
    <n v="9.56"/>
    <n v="1"/>
    <s v="Faible"/>
  </r>
  <r>
    <s v="Université Paris Panthéon Assas"/>
    <n v="75"/>
    <s v="Paris"/>
    <x v="8"/>
    <s v="Licence - Double diplôme - Licence Droit - Droits français et allemand - programme BerMüPa"/>
    <x v="0"/>
    <n v="25"/>
    <n v="239"/>
    <n v="25"/>
    <x v="0"/>
    <n v="9.56"/>
    <n v="1"/>
    <s v="Faible"/>
  </r>
  <r>
    <s v="Université Paris 8"/>
    <n v="93"/>
    <s v="Seine-Saint-Denis"/>
    <x v="8"/>
    <s v="Licence - Langues étrangères appliquées - Parcours Arabe / Espagnol"/>
    <x v="1"/>
    <n v="27"/>
    <n v="258"/>
    <n v="25"/>
    <x v="2"/>
    <n v="9.5555555555555554"/>
    <n v="0.92592592592592593"/>
    <s v="Faible"/>
  </r>
  <r>
    <s v="Université Paris Nanterre"/>
    <n v="92"/>
    <s v="Hauts-de-Seine"/>
    <x v="8"/>
    <s v="Licence - Langues étrangères appliquées - Parcours Portugais - Anglais"/>
    <x v="1"/>
    <n v="20"/>
    <n v="191"/>
    <n v="20"/>
    <x v="2"/>
    <n v="9.5500000000000007"/>
    <n v="1"/>
    <s v="Faible"/>
  </r>
  <r>
    <s v="Sorbonne université"/>
    <n v="75"/>
    <s v="Paris"/>
    <x v="8"/>
    <s v="Double licence - Histoire / Langues, littératures et civilisations étrangères et régionales - HISTOIRE - LLCER ETUDES SLAVES"/>
    <x v="0"/>
    <n v="20"/>
    <n v="189"/>
    <n v="17"/>
    <x v="0"/>
    <n v="9.4499999999999993"/>
    <n v="0.85"/>
    <s v="Faible"/>
  </r>
  <r>
    <s v="Université de Cergy-Pontoise - CY SUP"/>
    <n v="95"/>
    <s v="Val-d'oise"/>
    <x v="8"/>
    <s v="Licence - Langues étrangères appliquées - Parcours Langues Étrangères Appliquées Anglais Chinois"/>
    <x v="0"/>
    <n v="32"/>
    <n v="300"/>
    <n v="32"/>
    <x v="1"/>
    <n v="9.375"/>
    <n v="1"/>
    <s v="Faible"/>
  </r>
  <r>
    <s v="Université Paris- Est-Créteil Val de Marne - UPEC (Paris 12)"/>
    <n v="94"/>
    <s v="Val-de-Marne"/>
    <x v="8"/>
    <s v="Licence - Droit - Parcours Européen Jean Monnet"/>
    <x v="0"/>
    <n v="90"/>
    <n v="834"/>
    <n v="90"/>
    <x v="2"/>
    <n v="9.2666666666666675"/>
    <n v="1"/>
    <s v="Faible"/>
  </r>
  <r>
    <s v="Université Sorbonne Nouvelle Paris 3"/>
    <n v="75"/>
    <s v="Paris"/>
    <x v="8"/>
    <s v="Licence - Portail Etudes théâtrales - Renforcé ou mineures"/>
    <x v="1"/>
    <n v="120"/>
    <n v="1098"/>
    <n v="118"/>
    <x v="0"/>
    <n v="9.15"/>
    <n v="0.98333333333333328"/>
    <s v="Faible"/>
  </r>
  <r>
    <s v="Université Sorbonne Nouvelle Paris 3"/>
    <n v="75"/>
    <s v="Paris"/>
    <x v="8"/>
    <s v="Double licence - Etudes théâtrales / Lettres - Double licence 1 Etudes théâtrales-Lettres"/>
    <x v="0"/>
    <n v="36"/>
    <n v="329"/>
    <n v="36"/>
    <x v="0"/>
    <n v="9.1388888888888893"/>
    <n v="1"/>
    <s v="Faible"/>
  </r>
  <r>
    <s v="Université Paris 1 Panthéon Sorbonne"/>
    <n v="75"/>
    <s v="Paris"/>
    <x v="8"/>
    <s v="Licence - Droit - Parcours Droits français et allemand"/>
    <x v="0"/>
    <n v="30"/>
    <n v="272"/>
    <n v="29"/>
    <x v="0"/>
    <n v="9.0666666666666664"/>
    <n v="0.96666666666666667"/>
    <s v="Faible"/>
  </r>
  <r>
    <s v="Institut Catholique de Paris (ICP)- Campus de Paris"/>
    <n v="75"/>
    <s v="Paris"/>
    <x v="8"/>
    <s v="Licence - Histoire - Parcours Histoire-Science politique"/>
    <x v="0"/>
    <n v="220"/>
    <n v="1982"/>
    <n v="239"/>
    <x v="0"/>
    <n v="9.0090909090909097"/>
    <n v="1.0863636363636364"/>
    <s v="Faible"/>
  </r>
  <r>
    <s v="Université Paris 8"/>
    <n v="93"/>
    <s v="Seine-Saint-Denis"/>
    <x v="8"/>
    <s v="Licence - Sociologie"/>
    <x v="1"/>
    <n v="210"/>
    <n v="1878"/>
    <n v="208"/>
    <x v="2"/>
    <n v="8.9428571428571431"/>
    <n v="0.99047619047619051"/>
    <s v="Faible"/>
  </r>
  <r>
    <s v="Université Paris- Est-Créteil Val de Marne - UPEC (Paris 12)"/>
    <n v="94"/>
    <s v="Val-de-Marne"/>
    <x v="8"/>
    <s v="Licence - Portail Administration et Echanges internationaux"/>
    <x v="1"/>
    <n v="650"/>
    <n v="5776"/>
    <n v="647"/>
    <x v="2"/>
    <n v="8.8861538461538458"/>
    <n v="0.99538461538461542"/>
    <s v="Faible"/>
  </r>
  <r>
    <s v="Université Paris Nanterre"/>
    <n v="92"/>
    <s v="Hauts-de-Seine"/>
    <x v="8"/>
    <s v="Licence - Géographie et aménagement"/>
    <x v="1"/>
    <n v="66"/>
    <n v="585"/>
    <n v="66"/>
    <x v="2"/>
    <n v="8.8636363636363633"/>
    <n v="1"/>
    <s v="Faible"/>
  </r>
  <r>
    <s v="Université Sorbonne Nouvelle Paris 3"/>
    <n v="75"/>
    <s v="Paris"/>
    <x v="8"/>
    <s v="Licence - Portail Etudes théâtrales - Renforcé ou mineures"/>
    <x v="1"/>
    <n v="120"/>
    <n v="1053"/>
    <n v="118"/>
    <x v="0"/>
    <n v="8.7750000000000004"/>
    <n v="0.98333333333333328"/>
    <s v="Faible"/>
  </r>
  <r>
    <s v="Université Sorbonne Nouvelle Paris 3"/>
    <n v="75"/>
    <s v="Paris"/>
    <x v="8"/>
    <s v="Licence - Portail Langues, littératures et civilisations étrangères et régionales - Licence LLCER Portugais (renforcé OU mineures)"/>
    <x v="1"/>
    <n v="8"/>
    <n v="69"/>
    <n v="8"/>
    <x v="0"/>
    <n v="8.625"/>
    <n v="1"/>
    <s v="Faible"/>
  </r>
  <r>
    <s v="Université Sorbonne Nouvelle Paris 3"/>
    <n v="75"/>
    <s v="Paris"/>
    <x v="8"/>
    <s v="Licence - Portail Langues, littératures et civilisations étrangères et régionales - Licence LLCER Arabe (renforcé OU mineures)"/>
    <x v="1"/>
    <n v="5"/>
    <n v="43"/>
    <n v="5"/>
    <x v="0"/>
    <n v="8.6"/>
    <n v="1"/>
    <s v="Faible"/>
  </r>
  <r>
    <s v="Université Paris Cité"/>
    <n v="75"/>
    <s v="Paris"/>
    <x v="8"/>
    <s v="Licence - Langues, littératures et civilisations étrangères et régionales - Parcours LLCER Etudes Coréennes"/>
    <x v="0"/>
    <n v="106"/>
    <n v="903"/>
    <n v="105"/>
    <x v="0"/>
    <n v="8.5188679245283012"/>
    <n v="0.99056603773584906"/>
    <s v="Faible"/>
  </r>
  <r>
    <s v="Université de Cergy-Pontoise - CY SUP"/>
    <n v="95"/>
    <s v="Val-d'oise"/>
    <x v="8"/>
    <s v="Licence - Lettres - Parcours Préparatoire au Professorat des Ecoles (PPPE)"/>
    <x v="1"/>
    <n v="35"/>
    <n v="298"/>
    <n v="35"/>
    <x v="1"/>
    <n v="8.5142857142857142"/>
    <n v="1"/>
    <s v="Faible"/>
  </r>
  <r>
    <s v="Institut d'études politiques de Paris - Sciences Po"/>
    <n v="75"/>
    <s v="Paris"/>
    <x v="8"/>
    <s v="Licence - Double diplôme - Licence Sciences de la vie - Sciences et Sciences sociales / Spécialité Sciences de la Vie"/>
    <x v="0"/>
    <n v="16"/>
    <n v="136"/>
    <n v="16"/>
    <x v="0"/>
    <n v="8.5"/>
    <n v="1"/>
    <s v="Faible"/>
  </r>
  <r>
    <s v="Université Paris- Est-Créteil Val de Marne - UPEC (Paris 12)"/>
    <n v="94"/>
    <s v="Val-de-Marne"/>
    <x v="8"/>
    <s v="Licence - Portail Langues, littératures et civilisations étrangères et régionales - Anglais"/>
    <x v="1"/>
    <n v="136"/>
    <n v="1153"/>
    <n v="134"/>
    <x v="2"/>
    <n v="8.4779411764705888"/>
    <n v="0.98529411764705888"/>
    <s v="Faible"/>
  </r>
  <r>
    <s v="Sorbonne université"/>
    <n v="75"/>
    <s v="Paris"/>
    <x v="8"/>
    <s v="Double licence - Philosophie / Langues, littératures et civilisations étrangères et régionales - PHILOSOPHIE - LLCER RUSSE"/>
    <x v="0"/>
    <n v="25"/>
    <n v="208"/>
    <n v="25"/>
    <x v="0"/>
    <n v="8.32"/>
    <n v="1"/>
    <s v="Faible"/>
  </r>
  <r>
    <s v="Sorbonne université"/>
    <n v="75"/>
    <s v="Paris"/>
    <x v="8"/>
    <s v="Licence - Langues, littératures et civilisations étrangères et régionales - Parcours LLCER : ITALIEN MAJEURE NON DEBUTANT / mineure philosophie"/>
    <x v="1"/>
    <n v="10"/>
    <n v="83"/>
    <n v="10"/>
    <x v="0"/>
    <n v="8.3000000000000007"/>
    <n v="1"/>
    <s v="Faible"/>
  </r>
  <r>
    <s v="Ecole Universitaire de premier cycle - Campus de Guyancourt, Versailles Saint Quentin en Yvelines, Université Paris-Saclay"/>
    <n v="78"/>
    <s v="Yvelines"/>
    <x v="8"/>
    <s v="Licence - Sociologie"/>
    <x v="1"/>
    <n v="110"/>
    <n v="910"/>
    <n v="135"/>
    <x v="1"/>
    <n v="8.2727272727272734"/>
    <n v="1.2272727272727273"/>
    <s v="Faibl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20"/>
    <n v="165"/>
    <n v="19"/>
    <x v="0"/>
    <n v="8.25"/>
    <n v="0.95"/>
    <s v="Faible"/>
  </r>
  <r>
    <s v="Université Paris Nanterre"/>
    <n v="92"/>
    <s v="Hauts-de-Seine"/>
    <x v="8"/>
    <s v="Licence - Sciences de l'Homme, Anthropologie, Ethnologie"/>
    <x v="1"/>
    <n v="90"/>
    <n v="731"/>
    <n v="88"/>
    <x v="2"/>
    <n v="8.1222222222222218"/>
    <n v="0.97777777777777775"/>
    <s v="Faible"/>
  </r>
  <r>
    <s v="Université de Cergy-Pontoise - CY SUP"/>
    <n v="95"/>
    <s v="Val-d'oise"/>
    <x v="8"/>
    <s v="Licence - Langues étrangères appliquées - Parcours Langues Étrangères Appliquées Anglais Espagnol"/>
    <x v="1"/>
    <n v="153"/>
    <n v="1241"/>
    <n v="157"/>
    <x v="1"/>
    <n v="8.1111111111111107"/>
    <n v="1.0261437908496731"/>
    <s v="Faible"/>
  </r>
  <r>
    <s v="Université Paris Nanterre"/>
    <n v="92"/>
    <s v="Hauts-de-Seine"/>
    <x v="8"/>
    <s v="Licence - Humanités - Parcours Humanités et Sciences Humaines - Entièrement en distanciel"/>
    <x v="1"/>
    <n v="100"/>
    <n v="809"/>
    <n v="113"/>
    <x v="2"/>
    <n v="8.09"/>
    <n v="1.1299999999999999"/>
    <s v="Faible"/>
  </r>
  <r>
    <s v="Université Paris 8"/>
    <n v="93"/>
    <s v="Seine-Saint-Denis"/>
    <x v="8"/>
    <s v="Licence - Langues étrangères appliquées - Parcours Anglais / Russe"/>
    <x v="1"/>
    <n v="25"/>
    <n v="200"/>
    <n v="22"/>
    <x v="2"/>
    <n v="8"/>
    <n v="0.88"/>
    <s v="Faibl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37"/>
    <n v="296"/>
    <n v="37"/>
    <x v="0"/>
    <n v="8"/>
    <n v="1"/>
    <s v="Faible"/>
  </r>
  <r>
    <s v="Université Paris Nanterre"/>
    <n v="92"/>
    <s v="Hauts-de-Seine"/>
    <x v="8"/>
    <s v="Licence - Philosophie"/>
    <x v="1"/>
    <n v="60"/>
    <n v="474"/>
    <n v="57"/>
    <x v="2"/>
    <n v="7.9"/>
    <n v="0.95"/>
    <s v="Faible"/>
  </r>
  <r>
    <s v="Université Paris 8"/>
    <n v="93"/>
    <s v="Seine-Saint-Denis"/>
    <x v="8"/>
    <s v="Licence - Arts plastiques"/>
    <x v="1"/>
    <n v="300"/>
    <n v="2362"/>
    <n v="292"/>
    <x v="2"/>
    <n v="7.8733333333333331"/>
    <n v="0.97333333333333338"/>
    <s v="Faible"/>
  </r>
  <r>
    <s v="Université Paris Nanterre"/>
    <n v="92"/>
    <s v="Hauts-de-Seine"/>
    <x v="8"/>
    <s v="Licence - Langues étrangères appliquées - Parcours Espagnol-Anglais - Entièrement en distanciel"/>
    <x v="1"/>
    <n v="130"/>
    <n v="1022"/>
    <n v="126"/>
    <x v="2"/>
    <n v="7.8615384615384611"/>
    <n v="0.96923076923076923"/>
    <s v="Faibl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19"/>
    <n v="149"/>
    <n v="19"/>
    <x v="0"/>
    <n v="7.8421052631578947"/>
    <n v="1"/>
    <s v="Faible"/>
  </r>
  <r>
    <s v="Université de Cergy-Pontoise - CY SUP"/>
    <n v="95"/>
    <s v="Val-d'oise"/>
    <x v="8"/>
    <s v="Licence - Portail Physique, chimie - Physique, Chimie, Sciences de la Terre et Ingenierie (PCSTI)"/>
    <x v="1"/>
    <n v="135"/>
    <n v="1052"/>
    <n v="132"/>
    <x v="1"/>
    <n v="7.7925925925925927"/>
    <n v="0.97777777777777775"/>
    <s v="Faible"/>
  </r>
  <r>
    <s v="Université Paris 8"/>
    <n v="93"/>
    <s v="Seine-Saint-Denis"/>
    <x v="8"/>
    <s v="Licence - Langues étrangères appliquées - Parcours Anglais / Italien"/>
    <x v="1"/>
    <n v="32"/>
    <n v="249"/>
    <n v="30"/>
    <x v="2"/>
    <n v="7.78125"/>
    <n v="0.9375"/>
    <s v="Faible"/>
  </r>
  <r>
    <s v="Université Sorbonne Nouvelle Paris 3"/>
    <n v="75"/>
    <s v="Paris"/>
    <x v="8"/>
    <s v="Licence - Langues étrangères appliquées - Parcours LEA  Anglais - Allemand"/>
    <x v="1"/>
    <n v="60"/>
    <n v="464"/>
    <n v="60"/>
    <x v="0"/>
    <n v="7.7333333333333334"/>
    <n v="1"/>
    <s v="Faible"/>
  </r>
  <r>
    <s v="Sorbonne université"/>
    <n v="75"/>
    <s v="Paris"/>
    <x v="8"/>
    <s v="Licence - Lettres - Parcours LETTRES CLASSIQUES"/>
    <x v="1"/>
    <n v="70"/>
    <n v="541"/>
    <n v="67"/>
    <x v="0"/>
    <n v="7.7285714285714286"/>
    <n v="0.95714285714285718"/>
    <s v="Faible"/>
  </r>
  <r>
    <s v="Université Paris Nanterre"/>
    <n v="92"/>
    <s v="Hauts-de-Seine"/>
    <x v="8"/>
    <s v="Licence - Lettres - Parcours Lettres, cultures et échanges internationaux"/>
    <x v="1"/>
    <n v="35"/>
    <n v="270"/>
    <n v="34"/>
    <x v="2"/>
    <n v="7.7142857142857144"/>
    <n v="0.97142857142857142"/>
    <s v="Faible"/>
  </r>
  <r>
    <s v="Université Sorbonne Nouvelle Paris 3"/>
    <n v="75"/>
    <s v="Paris"/>
    <x v="8"/>
    <s v="Licence - Double diplôme - Licence Langues, littératures et civilisations étrangères et régionales - Double diplôme international - Licence Etudes interculturelles franco-allemandes (avec la Freie Universität de Berlin) (Langues associées)"/>
    <x v="0"/>
    <n v="14"/>
    <n v="108"/>
    <n v="13"/>
    <x v="0"/>
    <n v="7.7142857142857144"/>
    <n v="0.9285714285714286"/>
    <s v="Faible"/>
  </r>
  <r>
    <s v="Université Gustave Eiffel"/>
    <n v="77"/>
    <s v="Seine-et-Marne"/>
    <x v="8"/>
    <s v="Licence - Langues étrangères appliquées - Parcours Anglais-Espagnol"/>
    <x v="1"/>
    <n v="130"/>
    <n v="1001"/>
    <n v="126"/>
    <x v="1"/>
    <n v="7.7"/>
    <n v="0.96923076923076923"/>
    <s v="Faible"/>
  </r>
  <r>
    <s v="CY ILEPS"/>
    <n v="95"/>
    <s v="Val-d'oise"/>
    <x v="8"/>
    <s v="Licence - Sciences de l'éducation et de la formation - Parcours Education, enseignement et développement corporel de l’enfant"/>
    <x v="0"/>
    <n v="55"/>
    <n v="423"/>
    <n v="55"/>
    <x v="1"/>
    <n v="7.6909090909090905"/>
    <n v="1"/>
    <s v="Faible"/>
  </r>
  <r>
    <s v="Université Paris- Est- Créteil Val de Marne UPEC - Antenne de Sénart"/>
    <n v="77"/>
    <s v="Seine-et-Marne"/>
    <x v="8"/>
    <s v="Licence - Langues étrangères appliquées - Parcours Langues Etrangères Appliquées Anglais/Espagnol - Site de Sénart"/>
    <x v="1"/>
    <n v="72"/>
    <n v="550"/>
    <n v="71"/>
    <x v="1"/>
    <n v="7.6388888888888893"/>
    <n v="0.98611111111111116"/>
    <s v="Faible"/>
  </r>
  <r>
    <s v="Faculté de Droit campus Issy-les-Moulineaux – Institut Catholique de Lille"/>
    <n v="92"/>
    <s v="Hauts-de-Seine"/>
    <x v="8"/>
    <s v="Licence - Droit - Parcours multilingue, droit européen et comparé"/>
    <x v="0"/>
    <n v="110"/>
    <n v="827"/>
    <n v="113"/>
    <x v="2"/>
    <n v="7.5181818181818185"/>
    <n v="1.0272727272727273"/>
    <s v="Faible"/>
  </r>
  <r>
    <s v="Université Paris 8"/>
    <n v="93"/>
    <s v="Seine-Saint-Denis"/>
    <x v="8"/>
    <s v="Licence - Histoire"/>
    <x v="1"/>
    <n v="130"/>
    <n v="975"/>
    <n v="168"/>
    <x v="2"/>
    <n v="7.5"/>
    <n v="1.2923076923076924"/>
    <s v="Faible"/>
  </r>
  <r>
    <s v="Université Paris Nanterre"/>
    <n v="92"/>
    <s v="Hauts-de-Seine"/>
    <x v="8"/>
    <s v="Licence - Langues étrangères appliquées - Parcours Italien - Anglais"/>
    <x v="1"/>
    <n v="35"/>
    <n v="262"/>
    <n v="34"/>
    <x v="2"/>
    <n v="7.4857142857142858"/>
    <n v="0.97142857142857142"/>
    <s v="Faible"/>
  </r>
  <r>
    <s v="Université de Cergy-Pontoise - CY SUP"/>
    <n v="95"/>
    <s v="Val-d'oise"/>
    <x v="8"/>
    <s v="Licence - Portail Sciences de la vie et de la terre - Biologie et Ingénierie"/>
    <x v="1"/>
    <n v="244"/>
    <n v="1816"/>
    <n v="237"/>
    <x v="1"/>
    <n v="7.442622950819672"/>
    <n v="0.97131147540983609"/>
    <s v="Faible"/>
  </r>
  <r>
    <s v="Université Paris- Est-Créteil Val de Marne - UPEC (Paris 12)"/>
    <n v="94"/>
    <s v="Val-de-Marne"/>
    <x v="8"/>
    <s v="Licence - Portail Philosophie - Parcours Philosophie"/>
    <x v="1"/>
    <n v="50"/>
    <n v="370"/>
    <n v="47"/>
    <x v="2"/>
    <n v="7.4"/>
    <n v="0.94"/>
    <s v="Faible"/>
  </r>
  <r>
    <s v="Université Sorbonne Nouvelle Paris 3"/>
    <n v="75"/>
    <s v="Paris"/>
    <x v="8"/>
    <s v="Licence - Portail Langues, littératures et civilisations étrangères et régionales - Licence LLCER Portugais (renforcé OU mineures)"/>
    <x v="1"/>
    <n v="8"/>
    <n v="59"/>
    <n v="8"/>
    <x v="0"/>
    <n v="7.375"/>
    <n v="1"/>
    <s v="Faible"/>
  </r>
  <r>
    <s v="Université Sorbonne Nouvelle Paris 3"/>
    <n v="75"/>
    <s v="Paris"/>
    <x v="8"/>
    <s v="Licence - Langues, littératures et civilisations étrangères et régionales - Parcours Arabe Grands débutants (Licence en 4 ans)"/>
    <x v="1"/>
    <n v="61"/>
    <n v="449"/>
    <n v="59"/>
    <x v="0"/>
    <n v="7.360655737704918"/>
    <n v="0.96721311475409832"/>
    <s v="Faible"/>
  </r>
  <r>
    <s v="Université Sorbonne Nouvelle Paris 3"/>
    <n v="75"/>
    <s v="Paris"/>
    <x v="8"/>
    <s v="Licence - Portail Langues, littératures et civilisations étrangères et régionales - Licence LLCER Italien (renforcé ou mineures)"/>
    <x v="1"/>
    <n v="11"/>
    <n v="80"/>
    <n v="11"/>
    <x v="0"/>
    <n v="7.2727272727272725"/>
    <n v="1"/>
    <s v="Faible"/>
  </r>
  <r>
    <s v="Université Paris-Saclay, Campus d'Orsay"/>
    <n v="91"/>
    <s v="Essonne"/>
    <x v="8"/>
    <s v="Licence - Portail Droit, Sciences et Innovation - Licence Double-Diplôme Droit, Sciences et Innovation"/>
    <x v="0"/>
    <n v="15"/>
    <n v="109"/>
    <n v="16"/>
    <x v="1"/>
    <n v="7.2666666666666666"/>
    <n v="1.0666666666666667"/>
    <s v="Faible"/>
  </r>
  <r>
    <s v="Université Paris 8"/>
    <n v="93"/>
    <s v="Seine-Saint-Denis"/>
    <x v="8"/>
    <s v="Licence - Portail Lettres - Littérature : création littéraire et écritures du monde"/>
    <x v="1"/>
    <n v="130"/>
    <n v="942"/>
    <n v="124"/>
    <x v="2"/>
    <n v="7.2461538461538462"/>
    <n v="0.9538461538461539"/>
    <s v="Faible"/>
  </r>
  <r>
    <s v="Institut Catholique de Paris (ICP)- Campus de Paris"/>
    <n v="75"/>
    <s v="Paris"/>
    <x v="8"/>
    <s v="Licence - Humanités - Parcours Théologie, philosophie et anthropologie contemporaine : civilisation de l'orient ancien"/>
    <x v="1"/>
    <n v="15"/>
    <n v="108"/>
    <n v="14"/>
    <x v="0"/>
    <n v="7.2"/>
    <n v="0.93333333333333335"/>
    <s v="Faible"/>
  </r>
  <r>
    <s v="Université Paris Nanterre"/>
    <n v="92"/>
    <s v="Hauts-de-Seine"/>
    <x v="8"/>
    <s v="Licence - Histoire - Entièrement en distanciel"/>
    <x v="1"/>
    <n v="180"/>
    <n v="1286"/>
    <n v="176"/>
    <x v="2"/>
    <n v="7.1444444444444448"/>
    <n v="0.97777777777777775"/>
    <s v="Faible"/>
  </r>
  <r>
    <s v="Université Gustave Eiffel"/>
    <n v="77"/>
    <s v="Seine-et-Marne"/>
    <x v="8"/>
    <s v="Licence - Langues, littératures et civilisations étrangères et régionales - Parcours Anglais"/>
    <x v="1"/>
    <n v="130"/>
    <n v="921"/>
    <n v="130"/>
    <x v="1"/>
    <n v="7.0846153846153843"/>
    <n v="1"/>
    <s v="Faible"/>
  </r>
  <r>
    <s v="Université Paris 1 Panthéon Sorbonne"/>
    <n v="75"/>
    <s v="Paris"/>
    <x v="8"/>
    <s v="Licence - Droit - Parcours Droits français et italien"/>
    <x v="0"/>
    <n v="25"/>
    <n v="177"/>
    <n v="25"/>
    <x v="0"/>
    <n v="7.08"/>
    <n v="1"/>
    <s v="Faible"/>
  </r>
  <r>
    <s v="Université Sorbonne Nouvelle Paris 3"/>
    <n v="75"/>
    <s v="Paris"/>
    <x v="8"/>
    <s v="Licence - Langues étrangères appliquées - Parcours LEA  Anglais - Portugais"/>
    <x v="1"/>
    <n v="40"/>
    <n v="282"/>
    <n v="40"/>
    <x v="0"/>
    <n v="7.05"/>
    <n v="1"/>
    <s v="Faible"/>
  </r>
  <r>
    <s v="Sorbonne université"/>
    <n v="75"/>
    <s v="Paris"/>
    <x v="8"/>
    <s v="Licence - Portail Histoire"/>
    <x v="1"/>
    <n v="520"/>
    <n v="3628"/>
    <n v="506"/>
    <x v="0"/>
    <n v="6.976923076923077"/>
    <n v="0.97307692307692306"/>
    <s v="Faible"/>
  </r>
  <r>
    <s v="Université Paris- Est-Créteil Val de Marne - UPEC (Paris 12)"/>
    <n v="94"/>
    <s v="Val-de-Marne"/>
    <x v="8"/>
    <s v="Licence - Portail Lettres - Parcours Lettres modernes"/>
    <x v="1"/>
    <n v="114"/>
    <n v="788"/>
    <n v="112"/>
    <x v="2"/>
    <n v="6.9122807017543861"/>
    <n v="0.98245614035087714"/>
    <s v="Faible"/>
  </r>
  <r>
    <s v="Institut Saint-Pie X"/>
    <n v="75"/>
    <s v="Paris"/>
    <x v="8"/>
    <s v="Licence - Histoire - Parcours Histoire de l'art"/>
    <x v="0"/>
    <n v="10"/>
    <n v="69"/>
    <n v="4"/>
    <x v="0"/>
    <n v="6.9"/>
    <n v="0.4"/>
    <s v="Faible"/>
  </r>
  <r>
    <s v="Université de Versailles - Saint Quentin en Yvelines"/>
    <n v="78"/>
    <s v="Yvelines"/>
    <x v="8"/>
    <s v="Licence - Langues, littératures et civilisations étrangères et régionales - Parcours Anglais"/>
    <x v="1"/>
    <n v="114"/>
    <n v="783"/>
    <n v="111"/>
    <x v="1"/>
    <n v="6.8684210526315788"/>
    <n v="0.97368421052631582"/>
    <s v="Faible"/>
  </r>
  <r>
    <s v="Université Paris- Est-Créteil Val de Marne - UPEC (Paris 12)"/>
    <n v="94"/>
    <s v="Val-de-Marne"/>
    <x v="8"/>
    <s v="Licence - Sciences de l'éducation et de la formation - Parcours Education et enseignement"/>
    <x v="1"/>
    <n v="250"/>
    <n v="1704"/>
    <n v="248"/>
    <x v="2"/>
    <n v="6.8159999999999998"/>
    <n v="0.99199999999999999"/>
    <s v="Faible"/>
  </r>
  <r>
    <s v="Unité de Formation et de Recherche de Sciences de l' Université de Versailles Saint Quentin en Yvelines"/>
    <n v="78"/>
    <s v="Yvelines"/>
    <x v="8"/>
    <s v="Licence - Sciences et technologies - Parcours Préparatoire au Professorat des Ecoles (PPPE)"/>
    <x v="1"/>
    <n v="32"/>
    <n v="218"/>
    <n v="32"/>
    <x v="1"/>
    <n v="6.8125"/>
    <n v="1"/>
    <s v="Faible"/>
  </r>
  <r>
    <s v="Sorbonne université"/>
    <n v="75"/>
    <s v="Paris"/>
    <x v="8"/>
    <s v="Double licence - Musicologie / Langues, littératures et civilisations étrangères et régionales - MUSIQUE et MUSICOLOGIE - LLCER ITALIEN NON DEBUTANT"/>
    <x v="0"/>
    <n v="10"/>
    <n v="68"/>
    <n v="2"/>
    <x v="0"/>
    <n v="6.8"/>
    <n v="0.2"/>
    <s v="Faible"/>
  </r>
  <r>
    <s v="INALCO"/>
    <n v="75"/>
    <s v="Paris"/>
    <x v="8"/>
    <s v="Licence - Langues, littératures et civilisations étrangères et régionales - Parcours Arabe Oriental"/>
    <x v="1"/>
    <n v="50"/>
    <n v="340"/>
    <n v="53"/>
    <x v="0"/>
    <n v="6.8"/>
    <n v="1.06"/>
    <s v="Faible"/>
  </r>
  <r>
    <s v="Université Paris Nanterre"/>
    <n v="92"/>
    <s v="Hauts-de-Seine"/>
    <x v="8"/>
    <s v="Licence - Lettres - Parcours Lettres - Littérature française, francophone et comparée"/>
    <x v="1"/>
    <n v="57"/>
    <n v="387"/>
    <n v="57"/>
    <x v="2"/>
    <n v="6.7894736842105265"/>
    <n v="1"/>
    <s v="Faible"/>
  </r>
  <r>
    <s v="CY Cergy Paris Université - INSPÉ de l’académie de Versailles"/>
    <n v="92"/>
    <s v="Hauts-de-Seine"/>
    <x v="8"/>
    <s v="Licence - Sciences de l'éducation et de la formation - Parcours Sciences et Médiation Scientifique"/>
    <x v="1"/>
    <n v="35"/>
    <n v="237"/>
    <n v="38"/>
    <x v="2"/>
    <n v="6.7714285714285714"/>
    <n v="1.0857142857142856"/>
    <s v="Faible"/>
  </r>
  <r>
    <s v="Université Sorbonne Nouvelle Paris 3"/>
    <n v="75"/>
    <s v="Paris"/>
    <x v="8"/>
    <s v="Licence - Langues étrangères appliquées - Parcours LEA Anglais - Russe"/>
    <x v="1"/>
    <n v="30"/>
    <n v="202"/>
    <n v="29"/>
    <x v="0"/>
    <n v="6.7333333333333334"/>
    <n v="0.96666666666666667"/>
    <s v="Faible"/>
  </r>
  <r>
    <s v="Université Sorbonne Nouvelle Paris 3"/>
    <n v="75"/>
    <s v="Paris"/>
    <x v="8"/>
    <s v="Licence - Langues étrangères appliquées - Parcours LEA  Anglais - Chinois"/>
    <x v="1"/>
    <n v="70"/>
    <n v="471"/>
    <n v="70"/>
    <x v="0"/>
    <n v="6.7285714285714286"/>
    <n v="1"/>
    <s v="Faible"/>
  </r>
  <r>
    <s v="Université de Cergy-Pontoise - CY SUP"/>
    <n v="95"/>
    <s v="Val-d'oise"/>
    <x v="8"/>
    <s v="Licence - Langues, littératures et civilisations étrangères et régionales - Parcours Langues, Littératures et Civilisations Étrangères et Régionales - Anglais"/>
    <x v="1"/>
    <n v="125"/>
    <n v="837"/>
    <n v="123"/>
    <x v="1"/>
    <n v="6.6959999999999997"/>
    <n v="0.98399999999999999"/>
    <s v="Faible"/>
  </r>
  <r>
    <s v="Université Sorbonne Paris Nord"/>
    <n v="93"/>
    <s v="Seine-Saint-Denis"/>
    <x v="8"/>
    <s v="Licence - Langues, littératures et civilisations étrangères et régionales - Parcours  Anglais"/>
    <x v="1"/>
    <n v="120"/>
    <n v="801"/>
    <n v="108"/>
    <x v="2"/>
    <n v="6.6749999999999998"/>
    <n v="0.9"/>
    <s v="Faible"/>
  </r>
  <r>
    <s v="INALCO"/>
    <n v="75"/>
    <s v="Paris"/>
    <x v="8"/>
    <s v="Licence - Portail Langues, littératures et civilisations étrangères et régionales - Parcours Arabe maghrébin"/>
    <x v="1"/>
    <n v="55"/>
    <n v="365"/>
    <n v="54"/>
    <x v="0"/>
    <n v="6.6363636363636367"/>
    <n v="0.98181818181818181"/>
    <s v="Faible"/>
  </r>
  <r>
    <s v="Université Sorbonne Nouvelle Paris 3"/>
    <n v="75"/>
    <s v="Paris"/>
    <x v="8"/>
    <s v="Licence - Portail Lettres - (Renforcé ou mineures)"/>
    <x v="1"/>
    <n v="190"/>
    <n v="1257"/>
    <n v="189"/>
    <x v="0"/>
    <n v="6.6157894736842104"/>
    <n v="0.99473684210526314"/>
    <s v="Faible"/>
  </r>
  <r>
    <s v="Sorbonne université"/>
    <n v="75"/>
    <s v="Paris"/>
    <x v="8"/>
    <s v="Licence - Humanités - Parcours Humanités : Sciences de l'antiquité"/>
    <x v="1"/>
    <n v="20"/>
    <n v="132"/>
    <n v="19"/>
    <x v="0"/>
    <n v="6.6"/>
    <n v="0.95"/>
    <s v="Faible"/>
  </r>
  <r>
    <s v="Université Paris Cité"/>
    <n v="75"/>
    <s v="Paris"/>
    <x v="8"/>
    <s v="Licence - Sciences du langage - Parcours Français langue étrangère-seconde"/>
    <x v="1"/>
    <n v="25"/>
    <n v="165"/>
    <n v="29"/>
    <x v="0"/>
    <n v="6.6"/>
    <n v="1.1599999999999999"/>
    <s v="Faible"/>
  </r>
  <r>
    <s v="Institut Catholique de Paris (ICP)- Campus de Paris"/>
    <n v="75"/>
    <s v="Paris"/>
    <x v="8"/>
    <s v="Licence - Langues étrangères appliquées - Parcours Anglais-Espagnol"/>
    <x v="0"/>
    <n v="90"/>
    <n v="589"/>
    <n v="82"/>
    <x v="0"/>
    <n v="6.5444444444444443"/>
    <n v="0.91111111111111109"/>
    <s v="Faible"/>
  </r>
  <r>
    <s v="Université Paris 8"/>
    <n v="93"/>
    <s v="Seine-Saint-Denis"/>
    <x v="8"/>
    <s v="Licence - Etudes théâtrales"/>
    <x v="1"/>
    <n v="120"/>
    <n v="785"/>
    <n v="127"/>
    <x v="2"/>
    <n v="6.541666666666667"/>
    <n v="1.0583333333333333"/>
    <s v="Faible"/>
  </r>
  <r>
    <s v="Université Sorbonne Paris Nord"/>
    <n v="93"/>
    <s v="Seine-Saint-Denis"/>
    <x v="8"/>
    <s v="Licence - Histoire"/>
    <x v="1"/>
    <n v="90"/>
    <n v="583"/>
    <n v="75"/>
    <x v="2"/>
    <n v="6.4777777777777779"/>
    <n v="0.83333333333333337"/>
    <s v="Faible"/>
  </r>
  <r>
    <s v="Institut Saint-Pie X"/>
    <n v="75"/>
    <s v="Paris"/>
    <x v="8"/>
    <s v="Licence - Histoire"/>
    <x v="0"/>
    <n v="20"/>
    <n v="129"/>
    <n v="12"/>
    <x v="0"/>
    <n v="6.45"/>
    <n v="0.6"/>
    <s v="Faible"/>
  </r>
  <r>
    <s v="Université Paris Cité"/>
    <n v="75"/>
    <s v="Paris"/>
    <x v="8"/>
    <s v="Licence - Portail Sciences du langage - Expertise linguistique"/>
    <x v="1"/>
    <n v="75"/>
    <n v="475"/>
    <n v="75"/>
    <x v="0"/>
    <n v="6.333333333333333"/>
    <n v="1"/>
    <s v="Faible"/>
  </r>
  <r>
    <s v="Sorbonne université"/>
    <n v="75"/>
    <s v="Paris"/>
    <x v="8"/>
    <s v="Double licence - Géographie et aménagement / Langues, littératures et civilisations étrangères et régionales - Géographie - LLCER Études Nordiques"/>
    <x v="0"/>
    <n v="30"/>
    <n v="190"/>
    <n v="30"/>
    <x v="0"/>
    <n v="6.333333333333333"/>
    <n v="1"/>
    <s v="Faible"/>
  </r>
  <r>
    <s v="Université d'Evry Val d'Essonne"/>
    <n v="91"/>
    <s v="Essonne"/>
    <x v="8"/>
    <s v="Licence - Portail Physique - Physique-Chimie"/>
    <x v="1"/>
    <n v="80"/>
    <n v="505"/>
    <n v="76"/>
    <x v="1"/>
    <n v="6.3125"/>
    <n v="0.95"/>
    <s v="Faible"/>
  </r>
  <r>
    <s v="Université Paris- Est-Créteil Val de Marne - UPEC (Paris 12)"/>
    <n v="94"/>
    <s v="Val-de-Marne"/>
    <x v="8"/>
    <s v="Licence - Histoire"/>
    <x v="1"/>
    <n v="160"/>
    <n v="1009"/>
    <n v="156"/>
    <x v="2"/>
    <n v="6.3062500000000004"/>
    <n v="0.97499999999999998"/>
    <s v="Faible"/>
  </r>
  <r>
    <s v="Université de Versailles - Saint Quentin en Yvelines"/>
    <n v="78"/>
    <s v="Yvelines"/>
    <x v="8"/>
    <s v="Licence - Lettres - Parcours Lettres Modernes"/>
    <x v="1"/>
    <n v="65"/>
    <n v="409"/>
    <n v="59"/>
    <x v="1"/>
    <n v="6.2923076923076922"/>
    <n v="0.90769230769230769"/>
    <s v="Faible"/>
  </r>
  <r>
    <s v="Université d'Evry Val d'Essonne"/>
    <n v="91"/>
    <s v="Essonne"/>
    <x v="8"/>
    <s v="Licence - Droit"/>
    <x v="1"/>
    <n v="420"/>
    <n v="2629"/>
    <n v="417"/>
    <x v="1"/>
    <n v="6.2595238095238095"/>
    <n v="0.99285714285714288"/>
    <s v="Faible"/>
  </r>
  <r>
    <s v="Université de Cergy-Pontoise - CY SUP"/>
    <n v="95"/>
    <s v="Val-d'oise"/>
    <x v="8"/>
    <s v="Licence - Droit"/>
    <x v="1"/>
    <n v="665"/>
    <n v="4157"/>
    <n v="671"/>
    <x v="1"/>
    <n v="6.2511278195488718"/>
    <n v="1.0090225563909774"/>
    <s v="Faible"/>
  </r>
  <r>
    <s v="INALCO"/>
    <n v="75"/>
    <s v="Paris"/>
    <x v="8"/>
    <s v="Licence - Portail Langues, littératures et civilisations étrangères et régionales - Parcours Afrique et océan Indien - Haoussa"/>
    <x v="1"/>
    <n v="10"/>
    <n v="62"/>
    <n v="6"/>
    <x v="0"/>
    <n v="6.2"/>
    <n v="0.6"/>
    <s v="Faible"/>
  </r>
  <r>
    <s v="Université Panthéon- Assas Paris2 - Antenne Melun"/>
    <n v="77"/>
    <s v="Seine-et-Marne"/>
    <x v="8"/>
    <s v="Licence - Economie et gestion - Parcours Economie gestion"/>
    <x v="1"/>
    <n v="255"/>
    <n v="1578"/>
    <n v="254"/>
    <x v="1"/>
    <n v="6.1882352941176473"/>
    <n v="0.99607843137254903"/>
    <s v="Faible"/>
  </r>
  <r>
    <s v="Sorbonne université"/>
    <n v="75"/>
    <s v="Paris"/>
    <x v="8"/>
    <s v="Double licence - Langues, littératures et civilisations étrangères et régionales / Langues, littératures et civilisations étrangères et régionales - LLCER ESPAGNOL - LLCER PORTUGAIS"/>
    <x v="0"/>
    <n v="40"/>
    <n v="246"/>
    <n v="38"/>
    <x v="0"/>
    <n v="6.15"/>
    <n v="0.95"/>
    <s v="Faible"/>
  </r>
  <r>
    <s v="Université Paris Nanterre"/>
    <n v="92"/>
    <s v="Hauts-de-Seine"/>
    <x v="8"/>
    <s v="Licence - Langues, littératures et civilisations étrangères et régionales - Parcours Espagnol"/>
    <x v="1"/>
    <n v="57"/>
    <n v="350"/>
    <n v="50"/>
    <x v="2"/>
    <n v="6.1403508771929829"/>
    <n v="0.8771929824561403"/>
    <s v="Faible"/>
  </r>
  <r>
    <s v="Université Paris Nanterre"/>
    <n v="92"/>
    <s v="Hauts-de-Seine"/>
    <x v="8"/>
    <s v="Licence - Arts du spectacle"/>
    <x v="1"/>
    <n v="188"/>
    <n v="1142"/>
    <n v="183"/>
    <x v="2"/>
    <n v="6.0744680851063828"/>
    <n v="0.97340425531914898"/>
    <s v="Faible"/>
  </r>
  <r>
    <s v="Université Paris- Est-Créteil Val de Marne - UPEC (Paris 12)"/>
    <n v="94"/>
    <s v="Val-de-Marne"/>
    <x v="8"/>
    <s v="Licence - Langues étrangères appliquées - Parcours Langues Etrangères Appliquées Anglais/Espagnol - Site de Créteil"/>
    <x v="1"/>
    <n v="240"/>
    <n v="1448"/>
    <n v="297"/>
    <x v="2"/>
    <n v="6.0333333333333332"/>
    <n v="1.2375"/>
    <s v="Faible"/>
  </r>
  <r>
    <s v="Université de Cergy-Pontoise - CY SUP"/>
    <n v="95"/>
    <s v="Val-d'oise"/>
    <x v="8"/>
    <s v="Licence - Langues, littératures et civilisations étrangères et régionales - Parcours Langues, Littératures et Civilisations Étrangères et Régionales - Espagnol"/>
    <x v="1"/>
    <n v="40"/>
    <n v="241"/>
    <n v="38"/>
    <x v="1"/>
    <n v="6.0250000000000004"/>
    <n v="0.95"/>
    <s v="Faible"/>
  </r>
  <r>
    <s v="Université Paris 1 Panthéon Sorbonne"/>
    <n v="75"/>
    <s v="Paris"/>
    <x v="8"/>
    <s v="Licence - Philosophie"/>
    <x v="1"/>
    <n v="255"/>
    <n v="1535"/>
    <n v="255"/>
    <x v="0"/>
    <n v="6.0196078431372548"/>
    <n v="1"/>
    <s v="Faible"/>
  </r>
  <r>
    <s v="Université Sorbonne Nouvelle Paris 3"/>
    <n v="75"/>
    <s v="Paris"/>
    <x v="8"/>
    <s v="Licence - Portail Lettres - Entièrement en distanciel (Renforcé ou mineures) - Entièrement en distanciel"/>
    <x v="1"/>
    <n v="100"/>
    <n v="601"/>
    <n v="99"/>
    <x v="0"/>
    <n v="6.01"/>
    <n v="0.99"/>
    <s v="Faible"/>
  </r>
  <r>
    <s v="Université Paris 1 Panthéon Sorbonne"/>
    <n v="75"/>
    <s v="Paris"/>
    <x v="8"/>
    <s v="Licence - Arts plastiques - Entièrement en distanciel"/>
    <x v="1"/>
    <n v="250"/>
    <n v="1500"/>
    <n v="247"/>
    <x v="0"/>
    <n v="6"/>
    <n v="0.98799999999999999"/>
    <s v="Faible"/>
  </r>
  <r>
    <s v="Université Paris 8"/>
    <n v="93"/>
    <s v="Seine-Saint-Denis"/>
    <x v="8"/>
    <s v="Licence - Langues étrangères appliquées - Parcours Anglais / Arabe"/>
    <x v="1"/>
    <n v="70"/>
    <n v="413"/>
    <n v="66"/>
    <x v="2"/>
    <n v="5.9"/>
    <n v="0.94285714285714284"/>
    <s v="Faible"/>
  </r>
  <r>
    <s v="Ecole Universitaire de premier cycle - Campus d'Evry Université Paris-Saclay"/>
    <n v="91"/>
    <s v="Essonne"/>
    <x v="8"/>
    <s v="Licence - Langues étrangères appliquées"/>
    <x v="1"/>
    <n v="140"/>
    <n v="826"/>
    <n v="135"/>
    <x v="1"/>
    <n v="5.9"/>
    <n v="0.9642857142857143"/>
    <s v="Faible"/>
  </r>
  <r>
    <s v="Université Paris Nanterre"/>
    <n v="92"/>
    <s v="Hauts-de-Seine"/>
    <x v="8"/>
    <s v="Licence - Langues, littératures et civilisations étrangères et régionales - Parcours Portugais"/>
    <x v="1"/>
    <n v="29"/>
    <n v="170"/>
    <n v="29"/>
    <x v="2"/>
    <n v="5.8620689655172411"/>
    <n v="1"/>
    <s v="Faible"/>
  </r>
  <r>
    <s v="Université Paris 1 Panthéon Sorbonne"/>
    <n v="75"/>
    <s v="Paris"/>
    <x v="8"/>
    <s v="Licence - Histoire"/>
    <x v="1"/>
    <n v="570"/>
    <n v="3333"/>
    <n v="568"/>
    <x v="0"/>
    <n v="5.8473684210526313"/>
    <n v="0.99649122807017543"/>
    <s v="Faible"/>
  </r>
  <r>
    <s v="Université Paris- Est-Créteil Val de Marne - UPEC (Paris 12)"/>
    <n v="94"/>
    <s v="Val-de-Marne"/>
    <x v="8"/>
    <s v="Licence - Portail Langues, littératures et civilisations étrangères et régionales - Espagnol"/>
    <x v="1"/>
    <n v="60"/>
    <n v="350"/>
    <n v="57"/>
    <x v="2"/>
    <n v="5.833333333333333"/>
    <n v="0.95"/>
    <s v="Faible"/>
  </r>
  <r>
    <s v="Institut Catholique de Paris (ICP)- Campus de Paris"/>
    <n v="75"/>
    <s v="Paris"/>
    <x v="8"/>
    <s v="Licence - Histoire de l'art et archéologie - Parcours Histoire de l'Art - Histoire"/>
    <x v="1"/>
    <n v="100"/>
    <n v="582"/>
    <n v="89"/>
    <x v="0"/>
    <n v="5.82"/>
    <n v="0.89"/>
    <s v="Faible"/>
  </r>
  <r>
    <s v="Université Paris 8"/>
    <n v="93"/>
    <s v="Seine-Saint-Denis"/>
    <x v="8"/>
    <s v="Licence - Information et communication"/>
    <x v="0"/>
    <n v="200"/>
    <n v="1157"/>
    <n v="198"/>
    <x v="2"/>
    <n v="5.7850000000000001"/>
    <n v="0.99"/>
    <s v="Faible"/>
  </r>
  <r>
    <s v="Université Paris Nanterre"/>
    <n v="92"/>
    <s v="Hauts-de-Seine"/>
    <x v="8"/>
    <s v="Licence - Lettres - Parcours Lettres, écriture et culture numériques"/>
    <x v="1"/>
    <n v="30"/>
    <n v="173"/>
    <n v="30"/>
    <x v="2"/>
    <n v="5.7666666666666666"/>
    <n v="1"/>
    <s v="Faible"/>
  </r>
  <r>
    <s v="Université Sorbonne Paris Nord"/>
    <n v="93"/>
    <s v="Seine-Saint-Denis"/>
    <x v="8"/>
    <s v="Licence - Lettres"/>
    <x v="1"/>
    <n v="84"/>
    <n v="484"/>
    <n v="67"/>
    <x v="2"/>
    <n v="5.7619047619047619"/>
    <n v="0.79761904761904767"/>
    <s v="Faible"/>
  </r>
  <r>
    <s v="Université Paris 8"/>
    <n v="93"/>
    <s v="Seine-Saint-Denis"/>
    <x v="8"/>
    <s v="Licence - Langues, littératures et civilisations étrangères et régionales - Parcours Etudes européennes et internationales"/>
    <x v="1"/>
    <n v="65"/>
    <n v="373"/>
    <n v="63"/>
    <x v="2"/>
    <n v="5.7384615384615385"/>
    <n v="0.96923076923076923"/>
    <s v="Faible"/>
  </r>
  <r>
    <s v="Université Paris 8"/>
    <n v="93"/>
    <s v="Seine-Saint-Denis"/>
    <x v="8"/>
    <s v="Licence - Langues étrangères appliquées - Parcours Espagnol / Portugais"/>
    <x v="1"/>
    <n v="32"/>
    <n v="182"/>
    <n v="27"/>
    <x v="2"/>
    <n v="5.6875"/>
    <n v="0.84375"/>
    <s v="Faible"/>
  </r>
  <r>
    <s v="Université Paris 8"/>
    <n v="93"/>
    <s v="Seine-Saint-Denis"/>
    <x v="8"/>
    <s v="Licence - Langues étrangères appliquées - Parcours Arabe / Italien"/>
    <x v="1"/>
    <n v="25"/>
    <n v="142"/>
    <n v="22"/>
    <x v="2"/>
    <n v="5.68"/>
    <n v="0.88"/>
    <s v="Faible"/>
  </r>
  <r>
    <s v="Université Paris Nanterre"/>
    <n v="92"/>
    <s v="Hauts-de-Seine"/>
    <x v="8"/>
    <s v="Licence - Langues, littératures et civilisations étrangères et régionales - Parcours Italien"/>
    <x v="1"/>
    <n v="34"/>
    <n v="193"/>
    <n v="31"/>
    <x v="2"/>
    <n v="5.6764705882352944"/>
    <n v="0.91176470588235292"/>
    <s v="Faible"/>
  </r>
  <r>
    <s v="INALCO"/>
    <n v="75"/>
    <s v="Paris"/>
    <x v="8"/>
    <s v="Licence - Langues, littératures et civilisations étrangères et régionales - Parcours Asie de l’Est - Japonais"/>
    <x v="0"/>
    <n v="320"/>
    <n v="1803"/>
    <n v="318"/>
    <x v="0"/>
    <n v="5.6343750000000004"/>
    <n v="0.99375000000000002"/>
    <s v="Faible"/>
  </r>
  <r>
    <s v="Institut Catholique de Paris (ICP)- Campus de Paris"/>
    <n v="75"/>
    <s v="Paris"/>
    <x v="8"/>
    <s v="Licence - Histoire de l'art et archéologie - Parcours Histoire de l'Art - Anglais"/>
    <x v="1"/>
    <n v="100"/>
    <n v="563"/>
    <n v="91"/>
    <x v="0"/>
    <n v="5.63"/>
    <n v="0.91"/>
    <s v="Faible"/>
  </r>
  <r>
    <s v="Université Sorbonne Nouvelle Paris 3"/>
    <n v="75"/>
    <s v="Paris"/>
    <x v="8"/>
    <s v="Licence - Portail Langues, littératures et civilisations étrangères et régionales - Licence LLCER Italien (renforcé ou mineures)"/>
    <x v="1"/>
    <n v="5"/>
    <n v="28"/>
    <n v="5"/>
    <x v="0"/>
    <n v="5.6"/>
    <n v="1"/>
    <s v="Faible"/>
  </r>
  <r>
    <s v="Sorbonne université"/>
    <n v="75"/>
    <s v="Paris"/>
    <x v="8"/>
    <s v="Licence - Géographie et aménagement"/>
    <x v="1"/>
    <n v="165"/>
    <n v="919"/>
    <n v="164"/>
    <x v="0"/>
    <n v="5.5696969696969694"/>
    <n v="0.9939393939393939"/>
    <s v="Faible"/>
  </r>
  <r>
    <s v="INALCO"/>
    <n v="75"/>
    <s v="Paris"/>
    <x v="8"/>
    <s v="Licence - Portail Langues, littératures et civilisations étrangères et régionales - Parcours Europe - Grec moderne"/>
    <x v="1"/>
    <n v="30"/>
    <n v="165"/>
    <n v="26"/>
    <x v="0"/>
    <n v="5.5"/>
    <n v="0.8666666666666667"/>
    <s v="Faible"/>
  </r>
  <r>
    <s v="Université Paris Nanterre"/>
    <n v="92"/>
    <s v="Hauts-de-Seine"/>
    <x v="8"/>
    <s v="Licence - Lettres - Parcours Lettres - littérature française, francophone et comparée - Entièrement en distanciel"/>
    <x v="1"/>
    <n v="75"/>
    <n v="411"/>
    <n v="73"/>
    <x v="2"/>
    <n v="5.48"/>
    <n v="0.97333333333333338"/>
    <s v="Faible"/>
  </r>
  <r>
    <s v="Université Paris 8"/>
    <n v="93"/>
    <s v="Seine-Saint-Denis"/>
    <x v="8"/>
    <s v="Licence - Langues, littératures et civilisations étrangères et régionales - Parcours Mondes arabes"/>
    <x v="1"/>
    <n v="75"/>
    <n v="410"/>
    <n v="84"/>
    <x v="2"/>
    <n v="5.4666666666666668"/>
    <n v="1.1200000000000001"/>
    <s v="Faible"/>
  </r>
  <r>
    <s v="Université Gustave Eiffel"/>
    <n v="77"/>
    <s v="Seine-et-Marne"/>
    <x v="8"/>
    <s v="Licence - Sociologie"/>
    <x v="1"/>
    <n v="175"/>
    <n v="948"/>
    <n v="172"/>
    <x v="1"/>
    <n v="5.4171428571428573"/>
    <n v="0.98285714285714287"/>
    <s v="Faible"/>
  </r>
  <r>
    <s v="Université Sorbonne Nouvelle Paris 3"/>
    <n v="75"/>
    <s v="Paris"/>
    <x v="8"/>
    <s v="Licence - Langues étrangères appliquées - Parcours LEA Anglais - Italien"/>
    <x v="1"/>
    <n v="70"/>
    <n v="379"/>
    <n v="69"/>
    <x v="0"/>
    <n v="5.4142857142857146"/>
    <n v="0.98571428571428577"/>
    <s v="Faible"/>
  </r>
  <r>
    <s v="Faculté de Droit campus Issy-les-Moulineaux – Institut Catholique de Lille"/>
    <n v="92"/>
    <s v="Hauts-de-Seine"/>
    <x v="8"/>
    <s v="Licence - Droit - Parcours Droit et Culture Juridique"/>
    <x v="0"/>
    <n v="180"/>
    <n v="973"/>
    <n v="177"/>
    <x v="2"/>
    <n v="5.4055555555555559"/>
    <n v="0.98333333333333328"/>
    <s v="Faible"/>
  </r>
  <r>
    <s v="Ecole Universitaire de premier cycle - Campus de Sceaux Université Paris-Saclay"/>
    <n v="92"/>
    <s v="Hauts-de-Seine"/>
    <x v="8"/>
    <s v="Licence - Double diplôme - Licence Droit - Parcours Langues et Civilisations - option Anglais et Allemand"/>
    <x v="0"/>
    <n v="20"/>
    <n v="108"/>
    <n v="21"/>
    <x v="2"/>
    <n v="5.4"/>
    <n v="1.05"/>
    <s v="Faible"/>
  </r>
  <r>
    <s v="Université Paris Nanterre"/>
    <n v="92"/>
    <s v="Hauts-de-Seine"/>
    <x v="8"/>
    <s v="Licence - Langues étrangères appliquées - Parcours Tout couple de langues sans l'anglais"/>
    <x v="1"/>
    <n v="20"/>
    <n v="108"/>
    <n v="20"/>
    <x v="2"/>
    <n v="5.4"/>
    <n v="1"/>
    <s v="Faible"/>
  </r>
  <r>
    <s v="Institut Catholique de Paris (ICP)- Campus de Paris"/>
    <n v="75"/>
    <s v="Paris"/>
    <x v="8"/>
    <s v="Licence - Philosophie"/>
    <x v="1"/>
    <n v="50"/>
    <n v="268"/>
    <n v="35"/>
    <x v="0"/>
    <n v="5.36"/>
    <n v="0.7"/>
    <s v="Faible"/>
  </r>
  <r>
    <s v="Université Paris 8"/>
    <n v="93"/>
    <s v="Seine-Saint-Denis"/>
    <x v="8"/>
    <s v="Licence - Philosophie"/>
    <x v="1"/>
    <n v="65"/>
    <n v="348"/>
    <n v="60"/>
    <x v="2"/>
    <n v="5.3538461538461535"/>
    <n v="0.92307692307692313"/>
    <s v="Faible"/>
  </r>
  <r>
    <s v="Université Panthéon- Assas Paris2 - Antenne Melun"/>
    <n v="77"/>
    <s v="Seine-et-Marne"/>
    <x v="8"/>
    <s v="Licence - Droit"/>
    <x v="1"/>
    <n v="530"/>
    <n v="2826"/>
    <n v="529"/>
    <x v="1"/>
    <n v="5.3320754716981131"/>
    <n v="0.99811320754716981"/>
    <s v="Faible"/>
  </r>
  <r>
    <s v="INALCO"/>
    <n v="75"/>
    <s v="Paris"/>
    <x v="8"/>
    <s v="Licence - Portail Langues, littératures et civilisations étrangères et régionales - Parcours Eurasie - Arménien"/>
    <x v="1"/>
    <n v="10"/>
    <n v="53"/>
    <n v="9"/>
    <x v="0"/>
    <n v="5.3"/>
    <n v="0.9"/>
    <s v="Faible"/>
  </r>
  <r>
    <s v="Université de Versailles - Saint Quentin en Yvelines"/>
    <n v="78"/>
    <s v="Yvelines"/>
    <x v="8"/>
    <s v="Licence - Langues, littératures et civilisations étrangères et régionales - Parcours Etudes européennes et internationales"/>
    <x v="1"/>
    <n v="62"/>
    <n v="326"/>
    <n v="62"/>
    <x v="1"/>
    <n v="5.258064516129032"/>
    <n v="1"/>
    <s v="Faible"/>
  </r>
  <r>
    <s v="Université Paris Cité"/>
    <n v="75"/>
    <s v="Paris"/>
    <x v="8"/>
    <s v="Licence - Histoire / Allemand"/>
    <x v="1"/>
    <n v="10"/>
    <n v="52"/>
    <n v="10"/>
    <x v="0"/>
    <n v="5.2"/>
    <n v="1"/>
    <s v="Faible"/>
  </r>
  <r>
    <s v="INALCO"/>
    <n v="75"/>
    <s v="Paris"/>
    <x v="8"/>
    <s v="Licence - Portail Langues, littératures et civilisations étrangères et régionales - Parcours Arabe littéral"/>
    <x v="1"/>
    <n v="150"/>
    <n v="779"/>
    <n v="145"/>
    <x v="0"/>
    <n v="5.1933333333333334"/>
    <n v="0.96666666666666667"/>
    <s v="Faible"/>
  </r>
  <r>
    <s v="Université Sorbonne Nouvelle Paris 3"/>
    <n v="75"/>
    <s v="Paris"/>
    <x v="8"/>
    <s v="Licence - Sciences du langage - Parcours Sciences du langage - Mineure École, langage et littérature"/>
    <x v="1"/>
    <n v="52"/>
    <n v="270"/>
    <n v="51"/>
    <x v="0"/>
    <n v="5.1923076923076925"/>
    <n v="0.98076923076923073"/>
    <s v="Faible"/>
  </r>
  <r>
    <s v="Université Paris Cité"/>
    <n v="75"/>
    <s v="Paris"/>
    <x v="8"/>
    <s v="Licence - Sciences du langage - Parcours Professorat des Ecoles"/>
    <x v="1"/>
    <n v="55"/>
    <n v="284"/>
    <n v="59"/>
    <x v="0"/>
    <n v="5.163636363636364"/>
    <n v="1.0727272727272728"/>
    <s v="Faible"/>
  </r>
  <r>
    <s v="Sorbonne université"/>
    <n v="75"/>
    <s v="Paris"/>
    <x v="8"/>
    <s v="Double licence - Langues, littératures et civilisations étrangères et régionales / Lettres - LLCER Italien - Lettres"/>
    <x v="0"/>
    <n v="40"/>
    <n v="206"/>
    <n v="10"/>
    <x v="0"/>
    <n v="5.15"/>
    <n v="0.25"/>
    <s v="Faible"/>
  </r>
  <r>
    <s v="INALCO"/>
    <n v="75"/>
    <s v="Paris"/>
    <x v="8"/>
    <s v="Licence - Portail Langues, littératures et civilisations étrangères et régionales - Parcours Europe - Polonais"/>
    <x v="1"/>
    <n v="30"/>
    <n v="154"/>
    <n v="28"/>
    <x v="0"/>
    <n v="5.1333333333333337"/>
    <n v="0.93333333333333335"/>
    <s v="Faible"/>
  </r>
  <r>
    <s v="Ecole Universitaire de premier cycle - Campus d'Evry Université Paris-Saclay"/>
    <n v="91"/>
    <s v="Essonne"/>
    <x v="8"/>
    <s v="Licence - Sociologie"/>
    <x v="1"/>
    <n v="210"/>
    <n v="1075"/>
    <n v="198"/>
    <x v="1"/>
    <n v="5.1190476190476186"/>
    <n v="0.94285714285714284"/>
    <s v="Faible"/>
  </r>
  <r>
    <s v="Sorbonne université"/>
    <n v="75"/>
    <s v="Paris"/>
    <x v="8"/>
    <s v="Licence - Langues, littératures et civilisations étrangères et régionales - Parcours LLCER : LANGUES LITTERATURES ET CIVILISATIONS D'EUROPE CENTRALE (Allemand, BCMS, Hongrois, Polonais, Russe, Tchèque)"/>
    <x v="1"/>
    <n v="40"/>
    <n v="204"/>
    <n v="38"/>
    <x v="0"/>
    <n v="5.0999999999999996"/>
    <n v="0.95"/>
    <s v="Faible"/>
  </r>
  <r>
    <s v="Ecole Universitaire de premier cycle - Campus d'Evry Université Paris-Saclay"/>
    <n v="91"/>
    <s v="Essonne"/>
    <x v="8"/>
    <s v="Licence - Histoire"/>
    <x v="1"/>
    <n v="155"/>
    <n v="790"/>
    <n v="151"/>
    <x v="1"/>
    <n v="5.096774193548387"/>
    <n v="0.97419354838709682"/>
    <s v="Faible"/>
  </r>
  <r>
    <s v="Sorbonne université"/>
    <n v="75"/>
    <s v="Paris"/>
    <x v="8"/>
    <s v="Licence - Portail Lettres - SCIENCES DU LANGAGE"/>
    <x v="1"/>
    <n v="85"/>
    <n v="433"/>
    <n v="83"/>
    <x v="0"/>
    <n v="5.0941176470588232"/>
    <n v="0.97647058823529409"/>
    <s v="Faible"/>
  </r>
  <r>
    <s v="Université Paris Nanterre"/>
    <n v="92"/>
    <s v="Hauts-de-Seine"/>
    <x v="8"/>
    <s v="Licence - Langues étrangères appliquées - Parcours Allemand-Anglais - Entièrement en distanciel"/>
    <x v="1"/>
    <n v="35"/>
    <n v="178"/>
    <n v="33"/>
    <x v="2"/>
    <n v="5.0857142857142854"/>
    <n v="0.94285714285714284"/>
    <s v="Faible"/>
  </r>
  <r>
    <s v="Université Sorbonne Nouvelle Paris 3"/>
    <n v="75"/>
    <s v="Paris"/>
    <x v="8"/>
    <s v="Licence - Langues, littératures et civilisations étrangères et régionales - Parcours Licence 0 LLCER Italien - Grands débutants"/>
    <x v="1"/>
    <n v="15"/>
    <n v="76"/>
    <n v="15"/>
    <x v="0"/>
    <n v="5.0666666666666664"/>
    <n v="1"/>
    <s v="Faible"/>
  </r>
  <r>
    <s v="Université Paris Nanterre"/>
    <n v="92"/>
    <s v="Hauts-de-Seine"/>
    <x v="8"/>
    <s v="Licence - Langues, littératures et civilisations étrangères et régionales - Parcours Espagnol - Entièrement en distanciel"/>
    <x v="1"/>
    <n v="65"/>
    <n v="329"/>
    <n v="64"/>
    <x v="2"/>
    <n v="5.0615384615384613"/>
    <n v="0.98461538461538467"/>
    <s v="Faible"/>
  </r>
  <r>
    <s v="Université Paris 8"/>
    <n v="93"/>
    <s v="Seine-Saint-Denis"/>
    <x v="8"/>
    <s v="Licence - Langues, littératures et civilisations étrangères et régionales - Parcours Mondes anglophones"/>
    <x v="1"/>
    <n v="160"/>
    <n v="808"/>
    <n v="157"/>
    <x v="2"/>
    <n v="5.05"/>
    <n v="0.98124999999999996"/>
    <s v="Faible"/>
  </r>
  <r>
    <s v="Université Sorbonne Nouvelle Paris 3"/>
    <n v="75"/>
    <s v="Paris"/>
    <x v="8"/>
    <s v="Licence - Portail Langues, littératures et civilisations étrangères et régionales - Licence LLCER Italien (renforcé ou mineures)"/>
    <x v="1"/>
    <n v="15"/>
    <n v="75"/>
    <n v="15"/>
    <x v="0"/>
    <n v="5"/>
    <n v="1"/>
    <s v="Faible"/>
  </r>
  <r>
    <s v="Université Paris Nanterre"/>
    <n v="92"/>
    <s v="Hauts-de-Seine"/>
    <x v="8"/>
    <s v="Licence - Philosophie - Entièrement en distanciel"/>
    <x v="1"/>
    <n v="185"/>
    <n v="916"/>
    <n v="189"/>
    <x v="2"/>
    <n v="4.9513513513513514"/>
    <n v="1.0216216216216216"/>
    <s v="Faible"/>
  </r>
  <r>
    <s v="INALCO"/>
    <n v="75"/>
    <s v="Paris"/>
    <x v="8"/>
    <s v="Licence - Portail Langues, littératures et civilisations étrangères et régionales - parcours Afrique et océan Indien - Malgache"/>
    <x v="1"/>
    <n v="20"/>
    <n v="99"/>
    <n v="18"/>
    <x v="0"/>
    <n v="4.95"/>
    <n v="0.9"/>
    <s v="Faible"/>
  </r>
  <r>
    <s v="Université Paris- Est-Créteil Val de Marne - UPEC (Paris 12)"/>
    <n v="94"/>
    <s v="Val-de-Marne"/>
    <x v="8"/>
    <s v="Licence - Portail Géographie et aménagement - Parcours Géographie"/>
    <x v="1"/>
    <n v="90"/>
    <n v="445"/>
    <n v="89"/>
    <x v="2"/>
    <n v="4.9444444444444446"/>
    <n v="0.98888888888888893"/>
    <s v="Faible"/>
  </r>
  <r>
    <s v="INALCO"/>
    <n v="75"/>
    <s v="Paris"/>
    <x v="8"/>
    <s v="Licence - Portail Langues, littératures et civilisations étrangères et régionales - parcours Afrique et océan Indien - Swahili"/>
    <x v="1"/>
    <n v="35"/>
    <n v="173"/>
    <n v="33"/>
    <x v="0"/>
    <n v="4.9428571428571431"/>
    <n v="0.94285714285714284"/>
    <s v="Faible"/>
  </r>
  <r>
    <s v="Ecole Universitaire de premier cycle - Campus de Guyancourt, Versailles Saint Quentin en Yvelines, Université Paris-Saclay"/>
    <n v="78"/>
    <s v="Yvelines"/>
    <x v="8"/>
    <s v="Licence - Portail Histoire"/>
    <x v="1"/>
    <n v="152"/>
    <n v="750"/>
    <n v="143"/>
    <x v="1"/>
    <n v="4.9342105263157894"/>
    <n v="0.94078947368421051"/>
    <s v="Faible"/>
  </r>
  <r>
    <s v="Université Paris 8"/>
    <n v="93"/>
    <s v="Seine-Saint-Denis"/>
    <x v="8"/>
    <s v="Licence - Portail Sciences du langage"/>
    <x v="1"/>
    <n v="90"/>
    <n v="442"/>
    <n v="87"/>
    <x v="2"/>
    <n v="4.9111111111111114"/>
    <n v="0.96666666666666667"/>
    <s v="Faible"/>
  </r>
  <r>
    <s v="Institut Catholique de Paris (ICP)- Campus de Paris"/>
    <n v="75"/>
    <s v="Paris"/>
    <x v="8"/>
    <s v="Licence - Information et communication - Parcours Humanités et diversité des langages"/>
    <x v="0"/>
    <n v="120"/>
    <n v="589"/>
    <n v="119"/>
    <x v="0"/>
    <n v="4.9083333333333332"/>
    <n v="0.9916666666666667"/>
    <s v="Faible"/>
  </r>
  <r>
    <s v="INALCO"/>
    <n v="75"/>
    <s v="Paris"/>
    <x v="8"/>
    <s v="Licence - Langues, littératures et civilisations étrangères et régionales - Parcours Asie du Sud et Himalaya -  Singhalais"/>
    <x v="1"/>
    <n v="10"/>
    <n v="49"/>
    <n v="5"/>
    <x v="0"/>
    <n v="4.9000000000000004"/>
    <n v="0.5"/>
    <s v="Faible"/>
  </r>
  <r>
    <s v="INALCO"/>
    <n v="75"/>
    <s v="Paris"/>
    <x v="8"/>
    <s v="Licence - Langues, littératures et civilisations étrangères et régionales - Parcours Europe - Slovaque"/>
    <x v="1"/>
    <n v="10"/>
    <n v="49"/>
    <n v="6"/>
    <x v="0"/>
    <n v="4.9000000000000004"/>
    <n v="0.6"/>
    <s v="Faible"/>
  </r>
  <r>
    <s v="Institut Catholique de Paris (ICP)- Campus de Paris"/>
    <n v="75"/>
    <s v="Paris"/>
    <x v="8"/>
    <s v="Licence - Langues, littératures et civilisations étrangères et régionales - Parcours Anglais - Arts et cultures du monde anglophone"/>
    <x v="1"/>
    <n v="110"/>
    <n v="539"/>
    <n v="101"/>
    <x v="0"/>
    <n v="4.9000000000000004"/>
    <n v="0.91818181818181821"/>
    <s v="Faible"/>
  </r>
  <r>
    <s v="INALCO"/>
    <n v="75"/>
    <s v="Paris"/>
    <x v="8"/>
    <s v="Licence - Portail Langues, littératures et civilisations étrangères et régionales - Parcours Europe - Roumain"/>
    <x v="1"/>
    <n v="30"/>
    <n v="147"/>
    <n v="29"/>
    <x v="0"/>
    <n v="4.9000000000000004"/>
    <n v="0.96666666666666667"/>
    <s v="Faible"/>
  </r>
  <r>
    <s v="Université de Cergy-Pontoise - CY SUP"/>
    <n v="95"/>
    <s v="Val-d'oise"/>
    <x v="8"/>
    <s v="Licence - Langues étrangères appliquées - Parcours Langues Étrangères Appliquées Anglais Allemand"/>
    <x v="1"/>
    <n v="30"/>
    <n v="146"/>
    <n v="29"/>
    <x v="1"/>
    <n v="4.8666666666666663"/>
    <n v="0.96666666666666667"/>
    <s v="Faible"/>
  </r>
  <r>
    <s v="Université Paris Nanterre"/>
    <n v="92"/>
    <s v="Hauts-de-Seine"/>
    <x v="8"/>
    <s v="Licence - Sciences du langage"/>
    <x v="1"/>
    <n v="95"/>
    <n v="462"/>
    <n v="90"/>
    <x v="2"/>
    <n v="4.8631578947368421"/>
    <n v="0.94736842105263153"/>
    <s v="Faible"/>
  </r>
  <r>
    <s v="Université Paris 8"/>
    <n v="93"/>
    <s v="Seine-Saint-Denis"/>
    <x v="8"/>
    <s v="Licence - Langues étrangères appliquées - Parcours Anglais / Allemand"/>
    <x v="1"/>
    <n v="32"/>
    <n v="154"/>
    <n v="27"/>
    <x v="2"/>
    <n v="4.8125"/>
    <n v="0.84375"/>
    <s v="Faible"/>
  </r>
  <r>
    <s v="INALCO"/>
    <n v="75"/>
    <s v="Paris"/>
    <x v="8"/>
    <s v="Licence - Portail Langues, littératures et civilisations étrangères et régionales - Parcours Europe - Albanais"/>
    <x v="1"/>
    <n v="10"/>
    <n v="48"/>
    <n v="9"/>
    <x v="0"/>
    <n v="4.8"/>
    <n v="0.9"/>
    <s v="Faible"/>
  </r>
  <r>
    <s v="INALCO"/>
    <n v="75"/>
    <s v="Paris"/>
    <x v="8"/>
    <s v="Licence - Portail Langues, littératures et civilisations étrangères et régionales - Parcours Afrique et océan Indien - Berbère"/>
    <x v="1"/>
    <n v="30"/>
    <n v="144"/>
    <n v="28"/>
    <x v="0"/>
    <n v="4.8"/>
    <n v="0.93333333333333335"/>
    <s v="Faible"/>
  </r>
  <r>
    <s v="INALCO"/>
    <n v="75"/>
    <s v="Paris"/>
    <x v="8"/>
    <s v="Licence - Langues, littératures et civilisations étrangères et régionales - Parcours Europe - Bosniaque, Croate et Serbe"/>
    <x v="1"/>
    <n v="20"/>
    <n v="95"/>
    <n v="16"/>
    <x v="0"/>
    <n v="4.75"/>
    <n v="0.8"/>
    <s v="Faible"/>
  </r>
  <r>
    <s v="Université Gustave Eiffel"/>
    <n v="77"/>
    <s v="Seine-et-Marne"/>
    <x v="8"/>
    <s v="Licence - Lettres - Parcours Lettres modernes"/>
    <x v="1"/>
    <n v="115"/>
    <n v="545"/>
    <n v="111"/>
    <x v="1"/>
    <n v="4.7391304347826084"/>
    <n v="0.9652173913043478"/>
    <s v="Faible"/>
  </r>
  <r>
    <s v="Sorbonne université"/>
    <n v="75"/>
    <s v="Paris"/>
    <x v="8"/>
    <s v="Double licence - Lettres / Langues, littératures et civilisations étrangères et régionales - LETTRES MODERNES - LLCER ALLEMAND NON DEBUTANT - Parcours binational et de co-diplomation avec l’université allemande de Bonn (Bachelor Deutsch-Französische Studien)"/>
    <x v="0"/>
    <n v="30"/>
    <n v="142"/>
    <n v="3"/>
    <x v="0"/>
    <n v="4.7333333333333334"/>
    <n v="0.1"/>
    <s v="Faible"/>
  </r>
  <r>
    <s v="Université de Cergy-Pontoise - CY SUP"/>
    <n v="95"/>
    <s v="Val-d'oise"/>
    <x v="8"/>
    <s v="Licence - Double diplôme - Licence Droit - Droit Espagnol (DU droit espagnol et latino-américain)"/>
    <x v="0"/>
    <n v="40"/>
    <n v="189"/>
    <n v="44"/>
    <x v="1"/>
    <n v="4.7249999999999996"/>
    <n v="1.1000000000000001"/>
    <s v="Faible"/>
  </r>
  <r>
    <s v="Université Paris 8"/>
    <n v="93"/>
    <s v="Seine-Saint-Denis"/>
    <x v="8"/>
    <s v="Licence - Langues étrangères appliquées - Parcours Italien / Portugais"/>
    <x v="1"/>
    <n v="25"/>
    <n v="118"/>
    <n v="15"/>
    <x v="2"/>
    <n v="4.72"/>
    <n v="0.6"/>
    <s v="Faible"/>
  </r>
  <r>
    <s v="Université Paris 1 Panthéon Sorbonne"/>
    <n v="75"/>
    <s v="Paris"/>
    <x v="8"/>
    <s v="Licence - Géographie et aménagement - Parcours Géographie"/>
    <x v="1"/>
    <n v="175"/>
    <n v="825"/>
    <n v="171"/>
    <x v="0"/>
    <n v="4.7142857142857144"/>
    <n v="0.97714285714285709"/>
    <s v="Faible"/>
  </r>
  <r>
    <s v="Sorbonne université"/>
    <n v="75"/>
    <s v="Paris"/>
    <x v="8"/>
    <s v="Licence - Lettres - Parcours LETTRES MODERNES"/>
    <x v="1"/>
    <n v="390"/>
    <n v="1834"/>
    <n v="387"/>
    <x v="0"/>
    <n v="4.7025641025641027"/>
    <n v="0.99230769230769234"/>
    <s v="Faible"/>
  </r>
  <r>
    <s v="Université Sorbonne Nouvelle Paris 3"/>
    <n v="75"/>
    <s v="Paris"/>
    <x v="8"/>
    <s v="Licence - Information et communication - Parcours Information et communication mineure Allemand"/>
    <x v="1"/>
    <n v="13"/>
    <n v="61"/>
    <n v="13"/>
    <x v="0"/>
    <n v="4.6923076923076925"/>
    <n v="1"/>
    <s v="Faible"/>
  </r>
  <r>
    <s v="Sorbonne université"/>
    <n v="75"/>
    <s v="Paris"/>
    <x v="8"/>
    <s v="Licence - Portail Langues, littératures et civilisations étrangères et régionales - LLCER : ESPAGNOL"/>
    <x v="1"/>
    <n v="120"/>
    <n v="562"/>
    <n v="119"/>
    <x v="0"/>
    <n v="4.6833333333333336"/>
    <n v="0.9916666666666667"/>
    <s v="Faible"/>
  </r>
  <r>
    <s v="Université Sorbonne Nouvelle Paris 3"/>
    <n v="75"/>
    <s v="Paris"/>
    <x v="8"/>
    <s v="Licence - Portail Langues, littératures et civilisations étrangères et régionales - Licence LLCER Espagnol (renforcé ou mineures)"/>
    <x v="1"/>
    <n v="95"/>
    <n v="440"/>
    <n v="92"/>
    <x v="0"/>
    <n v="4.6315789473684212"/>
    <n v="0.96842105263157896"/>
    <s v="Faible"/>
  </r>
  <r>
    <s v="Sorbonne université"/>
    <n v="75"/>
    <s v="Paris"/>
    <x v="8"/>
    <s v="Licence - Musicologie - Parcours MUSIQUE ET MUSICOLOGIE"/>
    <x v="0"/>
    <n v="230"/>
    <n v="1061"/>
    <n v="152"/>
    <x v="0"/>
    <n v="4.6130434782608694"/>
    <n v="0.66086956521739126"/>
    <s v="Faible"/>
  </r>
  <r>
    <s v="INALCO"/>
    <n v="75"/>
    <s v="Paris"/>
    <x v="8"/>
    <s v="Licence - Langues, littératures et civilisations étrangères et régionales - Parcours Asie du Sud-Est et Pacifique - Lao"/>
    <x v="1"/>
    <n v="10"/>
    <n v="46"/>
    <n v="6"/>
    <x v="0"/>
    <n v="4.5999999999999996"/>
    <n v="0.6"/>
    <s v="Faible"/>
  </r>
  <r>
    <s v="Université Sorbonne Paris Nord"/>
    <n v="93"/>
    <s v="Seine-Saint-Denis"/>
    <x v="8"/>
    <s v="Licence - Géographie et aménagement - Parcours Géographie Environnement Aménagement"/>
    <x v="1"/>
    <n v="55"/>
    <n v="252"/>
    <n v="51"/>
    <x v="2"/>
    <n v="4.581818181818182"/>
    <n v="0.92727272727272725"/>
    <s v="Faible"/>
  </r>
  <r>
    <s v="Sorbonne université"/>
    <n v="75"/>
    <s v="Paris"/>
    <x v="8"/>
    <s v="Licence - Portail Philosophie"/>
    <x v="1"/>
    <n v="257"/>
    <n v="1174"/>
    <n v="254"/>
    <x v="0"/>
    <n v="4.5680933852140075"/>
    <n v="0.98832684824902728"/>
    <s v="Faible"/>
  </r>
  <r>
    <s v="Université Paris Nanterre"/>
    <n v="92"/>
    <s v="Hauts-de-Seine"/>
    <x v="8"/>
    <s v="Licence - Langues, littératures et civilisations étrangères et régionales - Parcours Allemand"/>
    <x v="1"/>
    <n v="34"/>
    <n v="155"/>
    <n v="29"/>
    <x v="2"/>
    <n v="4.5588235294117645"/>
    <n v="0.8529411764705882"/>
    <s v="Faible"/>
  </r>
  <r>
    <s v="Université Paris 8"/>
    <n v="93"/>
    <s v="Seine-Saint-Denis"/>
    <x v="8"/>
    <s v="Licence - Langues étrangères appliquées - Parcours Espagnol / Italien"/>
    <x v="1"/>
    <n v="27"/>
    <n v="122"/>
    <n v="22"/>
    <x v="2"/>
    <n v="4.5185185185185182"/>
    <n v="0.81481481481481477"/>
    <s v="Faible"/>
  </r>
  <r>
    <s v="Université d'Evry Val d'Essonne"/>
    <n v="91"/>
    <s v="Essonne"/>
    <x v="8"/>
    <s v="Licence - Musicologie"/>
    <x v="1"/>
    <n v="80"/>
    <n v="358"/>
    <n v="76"/>
    <x v="1"/>
    <n v="4.4749999999999996"/>
    <n v="0.95"/>
    <s v="Faible"/>
  </r>
  <r>
    <s v="Université Paris 8"/>
    <n v="93"/>
    <s v="Seine-Saint-Denis"/>
    <x v="8"/>
    <s v="Licence - Langues étrangères appliquées - Parcours Anglais / Portugais"/>
    <x v="1"/>
    <n v="32"/>
    <n v="143"/>
    <n v="29"/>
    <x v="2"/>
    <n v="4.46875"/>
    <n v="0.90625"/>
    <s v="Faible"/>
  </r>
  <r>
    <s v="Université Paris 1 Panthéon Sorbonne"/>
    <n v="75"/>
    <s v="Paris"/>
    <x v="8"/>
    <s v="Licence - Histoire - Parcours Histoire - Etudes juives"/>
    <x v="1"/>
    <n v="18"/>
    <n v="80"/>
    <n v="18"/>
    <x v="0"/>
    <n v="4.4444444444444446"/>
    <n v="1"/>
    <s v="Faible"/>
  </r>
  <r>
    <s v="INALCO"/>
    <n v="75"/>
    <s v="Paris"/>
    <x v="8"/>
    <s v="Licence - Langues, littératures et civilisations étrangères et régionales - Parcours Asie du Sud-Est et Pacifique - Vietnamien"/>
    <x v="1"/>
    <n v="45"/>
    <n v="200"/>
    <n v="41"/>
    <x v="0"/>
    <n v="4.4444444444444446"/>
    <n v="0.91111111111111109"/>
    <s v="Faible"/>
  </r>
  <r>
    <s v="Université Paris- Est-Créteil Val de Marne - UPEC (Paris 12)"/>
    <n v="94"/>
    <s v="Val-de-Marne"/>
    <x v="8"/>
    <s v="Licence - Langues, littératures et civilisations étrangères et régionales - Parcours Allemand - Interculturalité et relations internationales"/>
    <x v="1"/>
    <n v="40"/>
    <n v="177"/>
    <n v="31"/>
    <x v="2"/>
    <n v="4.4249999999999998"/>
    <n v="0.77500000000000002"/>
    <s v="Faible"/>
  </r>
  <r>
    <s v="Université Paris 8"/>
    <n v="93"/>
    <s v="Seine-Saint-Denis"/>
    <x v="8"/>
    <s v="Licence - Musicologie"/>
    <x v="1"/>
    <n v="145"/>
    <n v="640"/>
    <n v="152"/>
    <x v="2"/>
    <n v="4.4137931034482758"/>
    <n v="1.0482758620689656"/>
    <s v="Faible"/>
  </r>
  <r>
    <s v="Université Gustave Eiffel"/>
    <n v="77"/>
    <s v="Seine-et-Marne"/>
    <x v="8"/>
    <s v="Licence - Géographie et aménagement"/>
    <x v="1"/>
    <n v="70"/>
    <n v="308"/>
    <n v="69"/>
    <x v="1"/>
    <n v="4.4000000000000004"/>
    <n v="0.98571428571428577"/>
    <s v="Faible"/>
  </r>
  <r>
    <s v="INALCO"/>
    <n v="75"/>
    <s v="Paris"/>
    <x v="8"/>
    <s v="Licence - Langues, littératures et civilisations étrangères et régionales - Parcours Europe - Finnois"/>
    <x v="1"/>
    <n v="15"/>
    <n v="66"/>
    <n v="8"/>
    <x v="0"/>
    <n v="4.4000000000000004"/>
    <n v="0.53333333333333333"/>
    <s v="Faible"/>
  </r>
  <r>
    <s v="Université Sorbonne Paris Nord"/>
    <n v="93"/>
    <s v="Seine-Saint-Denis"/>
    <x v="8"/>
    <s v="Licence - Langues, littératures et civilisations étrangères et régionales - Parcours Espagnol"/>
    <x v="1"/>
    <n v="80"/>
    <n v="351"/>
    <n v="70"/>
    <x v="2"/>
    <n v="4.3875000000000002"/>
    <n v="0.875"/>
    <s v="Faible"/>
  </r>
  <r>
    <s v="CY Cergy Paris Université - INSPÉ de l’académie de Versailles"/>
    <n v="78"/>
    <s v="Yvelines"/>
    <x v="8"/>
    <s v="Licence - Sciences, Enseignement, Médiation - Parcours Professorat des écoles, médiation et inclusion Saint Germain-en-Laye"/>
    <x v="1"/>
    <n v="30"/>
    <n v="131"/>
    <n v="28"/>
    <x v="1"/>
    <n v="4.3666666666666663"/>
    <n v="0.93333333333333335"/>
    <s v="Faible"/>
  </r>
  <r>
    <s v="Sorbonne université"/>
    <n v="75"/>
    <s v="Paris"/>
    <x v="8"/>
    <s v="Licence - Musicologie - Entièrement en distanciel"/>
    <x v="0"/>
    <n v="150"/>
    <n v="652"/>
    <n v="150"/>
    <x v="0"/>
    <n v="4.3466666666666667"/>
    <n v="1"/>
    <s v="Faible"/>
  </r>
  <r>
    <s v="INALCO"/>
    <n v="75"/>
    <s v="Paris"/>
    <x v="8"/>
    <s v="Licence - Langues, littératures et civilisations étrangères et régionales - Parcours Europe - Hongrois"/>
    <x v="1"/>
    <n v="15"/>
    <n v="65"/>
    <n v="10"/>
    <x v="0"/>
    <n v="4.333333333333333"/>
    <n v="0.66666666666666663"/>
    <s v="Faible"/>
  </r>
  <r>
    <s v="Université Paris 8"/>
    <n v="93"/>
    <s v="Seine-Saint-Denis"/>
    <x v="8"/>
    <s v="Licence - Langues, littératures et civilisations étrangères et régionales - Parcours Mondes hispaniques"/>
    <x v="1"/>
    <n v="70"/>
    <n v="302"/>
    <n v="58"/>
    <x v="2"/>
    <n v="4.3142857142857141"/>
    <n v="0.82857142857142863"/>
    <s v="Faible"/>
  </r>
  <r>
    <s v="Université Paris Nanterre"/>
    <n v="92"/>
    <s v="Hauts-de-Seine"/>
    <x v="8"/>
    <s v="Licence - Langues étrangères appliquées - Parcours Allemand - Anglais"/>
    <x v="1"/>
    <n v="58"/>
    <n v="248"/>
    <n v="55"/>
    <x v="2"/>
    <n v="4.2758620689655169"/>
    <n v="0.94827586206896552"/>
    <s v="Faible"/>
  </r>
  <r>
    <s v="Sorbonne université"/>
    <n v="75"/>
    <s v="Paris"/>
    <x v="8"/>
    <s v="Licence - Portail Lettres - LETTRES EDITION SCENARIO ET MEDIAS"/>
    <x v="1"/>
    <n v="345"/>
    <n v="1475"/>
    <n v="341"/>
    <x v="0"/>
    <n v="4.27536231884058"/>
    <n v="0.98840579710144927"/>
    <s v="Faible"/>
  </r>
  <r>
    <s v="Université Paris 8"/>
    <n v="93"/>
    <s v="Seine-Saint-Denis"/>
    <x v="8"/>
    <s v="Licence - Géographie et aménagement"/>
    <x v="1"/>
    <n v="95"/>
    <n v="406"/>
    <n v="95"/>
    <x v="2"/>
    <n v="4.2736842105263158"/>
    <n v="1"/>
    <s v="Faible"/>
  </r>
  <r>
    <s v="Sorbonne université"/>
    <n v="75"/>
    <s v="Paris"/>
    <x v="8"/>
    <s v="Licence - Humanités - Parcours Culture Antique et Monde Contemporain"/>
    <x v="1"/>
    <n v="70"/>
    <n v="296"/>
    <n v="69"/>
    <x v="0"/>
    <n v="4.2285714285714286"/>
    <n v="0.98571428571428577"/>
    <s v="Faible"/>
  </r>
  <r>
    <s v="Université de Cergy-Pontoise - CY SUP"/>
    <n v="95"/>
    <s v="Val-d'oise"/>
    <x v="8"/>
    <s v="Licence - Histoire"/>
    <x v="1"/>
    <n v="160"/>
    <n v="676"/>
    <n v="156"/>
    <x v="1"/>
    <n v="4.2249999999999996"/>
    <n v="0.97499999999999998"/>
    <s v="Faible"/>
  </r>
  <r>
    <s v="Université de Cergy-Pontoise - CY SUP"/>
    <n v="95"/>
    <s v="Val-d'oise"/>
    <x v="8"/>
    <s v="Licence - Lettres - Parcours Lettres Modernes"/>
    <x v="1"/>
    <n v="110"/>
    <n v="464"/>
    <n v="107"/>
    <x v="1"/>
    <n v="4.2181818181818178"/>
    <n v="0.97272727272727277"/>
    <s v="Faible"/>
  </r>
  <r>
    <s v="Université Sorbonne Nouvelle Paris 3"/>
    <n v="75"/>
    <s v="Paris"/>
    <x v="8"/>
    <s v="Licence - Langues, littératures et civilisations étrangères et régionales - Parcours Etudes franco-allemandes - Mineures Etudes internationales OU Métiers de la culture"/>
    <x v="1"/>
    <n v="35"/>
    <n v="147"/>
    <n v="32"/>
    <x v="0"/>
    <n v="4.2"/>
    <n v="0.91428571428571426"/>
    <s v="Faible"/>
  </r>
  <r>
    <s v="Université Gustave Eiffel"/>
    <n v="77"/>
    <s v="Seine-et-Marne"/>
    <x v="8"/>
    <s v="Licence - Histoire"/>
    <x v="1"/>
    <n v="140"/>
    <n v="586"/>
    <n v="139"/>
    <x v="1"/>
    <n v="4.1857142857142859"/>
    <n v="0.99285714285714288"/>
    <s v="Faible"/>
  </r>
  <r>
    <s v="Institut Catholique de Paris (ICP)- Campus de Paris"/>
    <n v="75"/>
    <s v="Paris"/>
    <x v="8"/>
    <s v="Licence - Humanités - Parcours Théologie, Philosophie et Anthropologies Contemporaines- Sciences Sociales"/>
    <x v="1"/>
    <n v="75"/>
    <n v="313"/>
    <n v="52"/>
    <x v="0"/>
    <n v="4.1733333333333329"/>
    <n v="0.69333333333333336"/>
    <s v="Faible"/>
  </r>
  <r>
    <s v="Université Gustave Eiffel"/>
    <n v="77"/>
    <s v="Seine-et-Marne"/>
    <x v="8"/>
    <s v="Licence - Langues étrangères appliquées - Parcours Anglais-Allemand"/>
    <x v="1"/>
    <n v="45"/>
    <n v="187"/>
    <n v="43"/>
    <x v="1"/>
    <n v="4.1555555555555559"/>
    <n v="0.9555555555555556"/>
    <s v="Faible"/>
  </r>
  <r>
    <s v="INALCO"/>
    <n v="75"/>
    <s v="Paris"/>
    <x v="8"/>
    <s v="Licence - Portail Langues, littératures et civilisations étrangères et régionales - parcours Asie du Sud-Est et Pacifique - Khmer"/>
    <x v="1"/>
    <n v="20"/>
    <n v="83"/>
    <n v="19"/>
    <x v="0"/>
    <n v="4.1500000000000004"/>
    <n v="0.95"/>
    <s v="Faible"/>
  </r>
  <r>
    <s v="Université Paris Cité"/>
    <n v="75"/>
    <s v="Paris"/>
    <x v="8"/>
    <s v="Licence - Portail Langues, littératures et civilisations étrangères et régionales - LLCER Etudes Chinoises"/>
    <x v="1"/>
    <n v="135"/>
    <n v="559"/>
    <n v="130"/>
    <x v="0"/>
    <n v="4.1407407407407408"/>
    <n v="0.96296296296296291"/>
    <s v="Faible"/>
  </r>
  <r>
    <s v="INALCO"/>
    <n v="75"/>
    <s v="Paris"/>
    <x v="8"/>
    <s v="Licence - Langues, littératures et civilisations étrangères et régionales - Parcours Europe - Estonien"/>
    <x v="1"/>
    <n v="10"/>
    <n v="41"/>
    <n v="4"/>
    <x v="0"/>
    <n v="4.0999999999999996"/>
    <n v="0.4"/>
    <s v="Faible"/>
  </r>
  <r>
    <s v="Université de Versailles - Saint Quentin en Yvelines"/>
    <n v="78"/>
    <s v="Yvelines"/>
    <x v="8"/>
    <s v="Licence - Géographie et aménagement - Parcours Géographie"/>
    <x v="1"/>
    <n v="56"/>
    <n v="229"/>
    <n v="55"/>
    <x v="1"/>
    <n v="4.0892857142857144"/>
    <n v="0.9821428571428571"/>
    <s v="Faible"/>
  </r>
  <r>
    <s v="Sorbonne université"/>
    <n v="75"/>
    <s v="Paris"/>
    <x v="8"/>
    <s v="Licence - Humanités - Parcours Humanités : Espagnol « Traduction, Édition, Média »"/>
    <x v="1"/>
    <n v="60"/>
    <n v="244"/>
    <n v="59"/>
    <x v="0"/>
    <n v="4.0666666666666664"/>
    <n v="0.98333333333333328"/>
    <s v="Faible"/>
  </r>
  <r>
    <s v="Sorbonne université"/>
    <n v="75"/>
    <s v="Paris"/>
    <x v="8"/>
    <s v="Double licence - Histoire / Langues, littératures et civilisations étrangères et régionales - HISTOIRE - LLCER ALLEMAND NON DEBUTANT"/>
    <x v="0"/>
    <n v="20"/>
    <n v="81"/>
    <n v="6"/>
    <x v="0"/>
    <n v="4.05"/>
    <n v="0.3"/>
    <s v="Faible"/>
  </r>
  <r>
    <s v="Université d'Evry Val d'Essonne"/>
    <n v="91"/>
    <s v="Essonne"/>
    <x v="8"/>
    <s v="Licence - Arts du spectacle"/>
    <x v="1"/>
    <n v="80"/>
    <n v="323"/>
    <n v="76"/>
    <x v="1"/>
    <n v="4.0374999999999996"/>
    <n v="0.95"/>
    <s v="Faible"/>
  </r>
  <r>
    <s v="INALCO"/>
    <n v="75"/>
    <s v="Paris"/>
    <x v="8"/>
    <s v="Licence - Portail Langues, littératures et civilisations étrangères et régionales - Parcours Asie du Sud et Himalaya - Tamoul"/>
    <x v="1"/>
    <n v="30"/>
    <n v="121"/>
    <n v="29"/>
    <x v="0"/>
    <n v="4.0333333333333332"/>
    <n v="0.96666666666666667"/>
    <s v="Faible"/>
  </r>
  <r>
    <s v="INALCO"/>
    <n v="75"/>
    <s v="Paris"/>
    <x v="8"/>
    <s v="Licence - Langues, littératures et civilisations étrangères et régionales - Parcours Asie du Sud et Himalaya - Hindi"/>
    <x v="1"/>
    <n v="30"/>
    <n v="121"/>
    <n v="28"/>
    <x v="0"/>
    <n v="4.0333333333333332"/>
    <n v="0.93333333333333335"/>
    <s v="Faible"/>
  </r>
  <r>
    <s v="Université Paris- Est-Créteil Val de Marne - UPEC (Paris 12)"/>
    <n v="94"/>
    <s v="Val-de-Marne"/>
    <x v="8"/>
    <s v="Licence - Langues étrangères appliquées - Parcours Langues étrangères appliquées Anglais/Allemand - Site de Créteil"/>
    <x v="1"/>
    <n v="85"/>
    <n v="341"/>
    <n v="83"/>
    <x v="2"/>
    <n v="4.0117647058823529"/>
    <n v="0.97647058823529409"/>
    <s v="Faible"/>
  </r>
  <r>
    <s v="Sorbonne université"/>
    <n v="75"/>
    <s v="Paris"/>
    <x v="8"/>
    <s v="Licence - Philosophie - Parcours PHILOSOPHIE MAJEURE / mineure italien non débutant"/>
    <x v="1"/>
    <n v="10"/>
    <n v="40"/>
    <n v="10"/>
    <x v="0"/>
    <n v="4"/>
    <n v="1"/>
    <s v="Faible"/>
  </r>
  <r>
    <s v="INALCO"/>
    <n v="75"/>
    <s v="Paris"/>
    <x v="8"/>
    <s v="Licence - Langues, littératures et civilisations étrangères et régionales - Parcours Asie du Sud-Est et Pacifique -  Indonésien-Malaisien"/>
    <x v="1"/>
    <n v="30"/>
    <n v="119"/>
    <n v="28"/>
    <x v="0"/>
    <n v="3.9666666666666668"/>
    <n v="0.93333333333333335"/>
    <s v="Faible"/>
  </r>
  <r>
    <s v="Sorbonne université"/>
    <n v="75"/>
    <s v="Paris"/>
    <x v="8"/>
    <s v="Licence - Langues, littératures et civilisations étrangères et régionales - Parcours LLCER : RUSSE"/>
    <x v="1"/>
    <n v="80"/>
    <n v="317"/>
    <n v="77"/>
    <x v="0"/>
    <n v="3.9624999999999999"/>
    <n v="0.96250000000000002"/>
    <s v="Faible"/>
  </r>
  <r>
    <s v="Université Sorbonne Nouvelle Paris 3"/>
    <n v="75"/>
    <s v="Paris"/>
    <x v="8"/>
    <s v="Licence - Langues, littératures et civilisations étrangères et régionales - Parcours Licence 1 LLCER Etudes hébraïques"/>
    <x v="1"/>
    <n v="25"/>
    <n v="99"/>
    <n v="25"/>
    <x v="0"/>
    <n v="3.96"/>
    <n v="1"/>
    <s v="Faible"/>
  </r>
  <r>
    <s v="INALCO"/>
    <n v="75"/>
    <s v="Paris"/>
    <x v="8"/>
    <s v="Licence - Langues, littératures et civilisations étrangères et régionales - Parcours Afrique et océan Indien - Peul"/>
    <x v="1"/>
    <n v="15"/>
    <n v="59"/>
    <n v="13"/>
    <x v="0"/>
    <n v="3.9333333333333331"/>
    <n v="0.8666666666666667"/>
    <s v="Faible"/>
  </r>
  <r>
    <s v="Université de Versailles - Saint Quentin en Yvelines"/>
    <n v="78"/>
    <s v="Yvelines"/>
    <x v="8"/>
    <s v="Licence - Musicologie - Parcours Formation Supérieure de Musiciens Interprètes"/>
    <x v="0"/>
    <n v="30"/>
    <n v="118"/>
    <n v="0"/>
    <x v="1"/>
    <n v="3.9333333333333331"/>
    <n v="0"/>
    <s v="Faible"/>
  </r>
  <r>
    <s v="Sorbonne université"/>
    <n v="75"/>
    <s v="Paris"/>
    <x v="8"/>
    <s v="Licence - Langues, littératures et civilisations étrangères et régionales - Parcours LLCER : ARABE"/>
    <x v="1"/>
    <n v="60"/>
    <n v="236"/>
    <n v="60"/>
    <x v="0"/>
    <n v="3.9333333333333331"/>
    <n v="1"/>
    <s v="Faible"/>
  </r>
  <r>
    <s v="INALCO"/>
    <n v="75"/>
    <s v="Paris"/>
    <x v="8"/>
    <s v="Licence - Langues, littératures et civilisations étrangères et régionales - Parcours Asie du Sud-Est et Pacifique -  Filipino"/>
    <x v="1"/>
    <n v="20"/>
    <n v="78"/>
    <n v="19"/>
    <x v="0"/>
    <n v="3.9"/>
    <n v="0.95"/>
    <s v="Faible"/>
  </r>
  <r>
    <s v="Université Paris Nanterre"/>
    <n v="92"/>
    <s v="Hauts-de-Seine"/>
    <x v="8"/>
    <s v="Licence - Langues étrangères appliquées - Parcours Allemand-Espagnol - Entièrement en distanciel"/>
    <x v="1"/>
    <n v="35"/>
    <n v="135"/>
    <n v="35"/>
    <x v="2"/>
    <n v="3.8571428571428572"/>
    <n v="1"/>
    <s v="Faible"/>
  </r>
  <r>
    <s v="Université de Versailles - Saint Quentin en Yvelines"/>
    <n v="78"/>
    <s v="Yvelines"/>
    <x v="8"/>
    <s v="Licence - Langues, littératures et civilisations étrangères et régionales - Parcours Espagnol"/>
    <x v="1"/>
    <n v="78"/>
    <n v="300"/>
    <n v="72"/>
    <x v="1"/>
    <n v="3.8461538461538463"/>
    <n v="0.92307692307692313"/>
    <s v="Faible"/>
  </r>
  <r>
    <s v="INALCO"/>
    <n v="75"/>
    <s v="Paris"/>
    <x v="8"/>
    <s v="Licence - Portail Langues, littératures et civilisations étrangères et régionales - Parcours Russie - Russe"/>
    <x v="1"/>
    <n v="90"/>
    <n v="344"/>
    <n v="76"/>
    <x v="0"/>
    <n v="3.8222222222222224"/>
    <n v="0.84444444444444444"/>
    <s v="Faible"/>
  </r>
  <r>
    <s v="Université Sorbonne Nouvelle Paris 3"/>
    <n v="75"/>
    <s v="Paris"/>
    <x v="8"/>
    <s v="Licence - Langues, littératures et civilisations étrangères et régionales - Parcours Sanskrit - Mineures"/>
    <x v="1"/>
    <n v="19"/>
    <n v="72"/>
    <n v="19"/>
    <x v="0"/>
    <n v="3.7894736842105261"/>
    <n v="1"/>
    <s v="Faible"/>
  </r>
  <r>
    <s v="Université Sorbonne Nouvelle Paris 3"/>
    <n v="75"/>
    <s v="Paris"/>
    <x v="8"/>
    <s v="Licence - Portail Langues, littératures et civilisations étrangères et régionales - Licence LLCER Italien (renforcé ou mineures)"/>
    <x v="1"/>
    <n v="52"/>
    <n v="196"/>
    <n v="51"/>
    <x v="0"/>
    <n v="3.7692307692307692"/>
    <n v="0.98076923076923073"/>
    <s v="Faible"/>
  </r>
  <r>
    <s v="Institut d'études politiques de Paris - Sciences Po"/>
    <n v="75"/>
    <s v="Paris"/>
    <x v="8"/>
    <s v="Licence - Double diplôme - Licence Sciences de la Terre et environnement - Sciences et Sciences sociales / Spécialité Géosciences (IPGP)"/>
    <x v="0"/>
    <n v="20"/>
    <n v="75"/>
    <n v="18"/>
    <x v="0"/>
    <n v="3.75"/>
    <n v="0.9"/>
    <s v="Faible"/>
  </r>
  <r>
    <s v="Université de Cergy-Pontoise - CY SUP"/>
    <n v="95"/>
    <s v="Val-d'oise"/>
    <x v="8"/>
    <s v="Licence - Géographie et aménagement - Parcours Géographie"/>
    <x v="1"/>
    <n v="115"/>
    <n v="430"/>
    <n v="111"/>
    <x v="1"/>
    <n v="3.7391304347826089"/>
    <n v="0.9652173913043478"/>
    <s v="Faible"/>
  </r>
  <r>
    <s v="Institut Catholique de Paris (ICP)- Campus de Paris"/>
    <n v="75"/>
    <s v="Paris"/>
    <x v="8"/>
    <s v="Licence - Sciences de l'éducation et de la formation - Parcours Education, enseignement et formation"/>
    <x v="1"/>
    <n v="120"/>
    <n v="448"/>
    <n v="118"/>
    <x v="0"/>
    <n v="3.7333333333333334"/>
    <n v="0.98333333333333328"/>
    <s v="Faible"/>
  </r>
  <r>
    <s v="INALCO"/>
    <n v="75"/>
    <s v="Paris"/>
    <x v="8"/>
    <s v="Licence - Langues, littératures et civilisations étrangères et régionales - Parcours Asie de l’Est - Chinois"/>
    <x v="1"/>
    <n v="150"/>
    <n v="558"/>
    <n v="148"/>
    <x v="0"/>
    <n v="3.72"/>
    <n v="0.98666666666666669"/>
    <s v="Faible"/>
  </r>
  <r>
    <s v="Université Sorbonne Nouvelle Paris 3"/>
    <n v="75"/>
    <s v="Paris"/>
    <x v="8"/>
    <s v="Licence - Double diplôme - Licence Langues, littératures et civilisations étrangères et régionales - Double diplôme international - Licence Métiers de l'enseignement allemand / français (avec l'Université Koblenz-Landau) (Langues associées)"/>
    <x v="0"/>
    <n v="7"/>
    <n v="26"/>
    <n v="4"/>
    <x v="0"/>
    <n v="3.7142857142857144"/>
    <n v="0.5714285714285714"/>
    <s v="Faible"/>
  </r>
  <r>
    <s v="Université Paris Cité"/>
    <n v="75"/>
    <s v="Paris"/>
    <x v="8"/>
    <s v="Licence - Portail Langues, littératures et civilisations étrangères et régionales - LLCER Etudes vietnamiennes"/>
    <x v="1"/>
    <n v="37"/>
    <n v="137"/>
    <n v="36"/>
    <x v="0"/>
    <n v="3.7027027027027026"/>
    <n v="0.97297297297297303"/>
    <s v="Faible"/>
  </r>
  <r>
    <s v="INALCO"/>
    <n v="75"/>
    <s v="Paris"/>
    <x v="8"/>
    <s v="Licence - Langues, littératures et civilisations étrangères et régionales - Parcours Asie du Sud et Himalaya -  Népali"/>
    <x v="1"/>
    <n v="10"/>
    <n v="37"/>
    <n v="7"/>
    <x v="0"/>
    <n v="3.7"/>
    <n v="0.7"/>
    <s v="Faible"/>
  </r>
  <r>
    <s v="INALCO"/>
    <n v="75"/>
    <s v="Paris"/>
    <x v="8"/>
    <s v="Licence - Langues, littératures et civilisations étrangères et régionales - Parcours Europe - Bulgare"/>
    <x v="1"/>
    <n v="10"/>
    <n v="37"/>
    <n v="5"/>
    <x v="0"/>
    <n v="3.7"/>
    <n v="0.5"/>
    <s v="Faible"/>
  </r>
  <r>
    <s v="Sorbonne université"/>
    <n v="75"/>
    <s v="Paris"/>
    <x v="8"/>
    <s v="Double licence - Histoire / Langues, littératures et civilisations étrangères et régionales - LLCER ITALIEN NON DEBUTANT - HISTOIRE"/>
    <x v="0"/>
    <n v="35"/>
    <n v="129"/>
    <n v="15"/>
    <x v="0"/>
    <n v="3.6857142857142855"/>
    <n v="0.42857142857142855"/>
    <s v="Faible"/>
  </r>
  <r>
    <s v="Université Sorbonne Nouvelle Paris 3"/>
    <n v="75"/>
    <s v="Paris"/>
    <x v="8"/>
    <s v="Licence - Sciences du langage - Parcours Sciences du langage mineures au choix (Lettres ou Didactique du français langue étrangère et secondes ou Langues ou Informatique ou Renforcée ou Langues régionales)"/>
    <x v="1"/>
    <n v="111"/>
    <n v="409"/>
    <n v="111"/>
    <x v="0"/>
    <n v="3.6846846846846848"/>
    <n v="1"/>
    <s v="Faible"/>
  </r>
  <r>
    <s v="Université Paris Cité"/>
    <n v="75"/>
    <s v="Paris"/>
    <x v="8"/>
    <s v="Licence - Portail Langues étrangères appliquées - Santé environnement : Anglais / Allemand"/>
    <x v="1"/>
    <n v="40"/>
    <n v="147"/>
    <n v="40"/>
    <x v="0"/>
    <n v="3.6749999999999998"/>
    <n v="1"/>
    <s v="Faible"/>
  </r>
  <r>
    <s v="Université Paris Nanterre"/>
    <n v="92"/>
    <s v="Hauts-de-Seine"/>
    <x v="8"/>
    <s v="Licence - Langues étrangères appliquées - Parcours Grec - Anglais"/>
    <x v="1"/>
    <n v="15"/>
    <n v="55"/>
    <n v="15"/>
    <x v="2"/>
    <n v="3.6666666666666665"/>
    <n v="1"/>
    <s v="Faible"/>
  </r>
  <r>
    <s v="Institut Catholique de Paris (ICP)- Campus de Paris"/>
    <n v="75"/>
    <s v="Paris"/>
    <x v="8"/>
    <s v="Licence - Histoire - Parcours Histoire Géographie"/>
    <x v="1"/>
    <n v="150"/>
    <n v="548"/>
    <n v="140"/>
    <x v="0"/>
    <n v="3.6533333333333333"/>
    <n v="0.93333333333333335"/>
    <s v="Faible"/>
  </r>
  <r>
    <s v="INALCO"/>
    <n v="75"/>
    <s v="Paris"/>
    <x v="8"/>
    <s v="Licence - Portail Langues, littératures et civilisations étrangères et régionales - parcours Afrique et océan Indien - Wolof"/>
    <x v="1"/>
    <n v="25"/>
    <n v="91"/>
    <n v="25"/>
    <x v="0"/>
    <n v="3.64"/>
    <n v="1"/>
    <s v="Faible"/>
  </r>
  <r>
    <s v="INALCO"/>
    <n v="75"/>
    <s v="Paris"/>
    <x v="8"/>
    <s v="Licence - Portail Langues, littératures et civilisations étrangères et régionales - Parcours Eurasie - Turc"/>
    <x v="1"/>
    <n v="110"/>
    <n v="400"/>
    <n v="106"/>
    <x v="0"/>
    <n v="3.6363636363636362"/>
    <n v="0.96363636363636362"/>
    <s v="Faible"/>
  </r>
  <r>
    <s v="Université Paris 8"/>
    <n v="93"/>
    <s v="Seine-Saint-Denis"/>
    <x v="8"/>
    <s v="Licence - Langues étrangères appliquées - Parcours Allemand / Arabe"/>
    <x v="1"/>
    <n v="25"/>
    <n v="90"/>
    <n v="21"/>
    <x v="2"/>
    <n v="3.6"/>
    <n v="0.84"/>
    <s v="Faible"/>
  </r>
  <r>
    <s v="Sorbonne université"/>
    <n v="75"/>
    <s v="Paris"/>
    <x v="8"/>
    <s v="Double licence - Langues, littératures et civilisations étrangères et régionales / Philosophie - LLCER ALLEMAND NON DEBUTANT - PHILOSOPHIE"/>
    <x v="1"/>
    <n v="25"/>
    <n v="90"/>
    <n v="24"/>
    <x v="0"/>
    <n v="3.6"/>
    <n v="0.96"/>
    <s v="Faible"/>
  </r>
  <r>
    <s v="INALCO"/>
    <n v="75"/>
    <s v="Paris"/>
    <x v="8"/>
    <s v="Licence - Langues, littératures et civilisations étrangères et régionales - Parcours Afrique et océan Indien - Yoruba"/>
    <x v="1"/>
    <n v="15"/>
    <n v="54"/>
    <n v="12"/>
    <x v="0"/>
    <n v="3.6"/>
    <n v="0.8"/>
    <s v="Faible"/>
  </r>
  <r>
    <s v="INALCO"/>
    <n v="75"/>
    <s v="Paris"/>
    <x v="8"/>
    <s v="Licence - Langues, littératures et civilisations étrangères et régionales - Parcours Asie du Sud et Himalaya - Ourdou"/>
    <x v="1"/>
    <n v="15"/>
    <n v="54"/>
    <n v="13"/>
    <x v="0"/>
    <n v="3.6"/>
    <n v="0.8666666666666667"/>
    <s v="Faible"/>
  </r>
  <r>
    <s v="INALCO"/>
    <n v="75"/>
    <s v="Paris"/>
    <x v="8"/>
    <s v="Licence - Langues, littératures et civilisations étrangères et régionales - Parcours Eurasie - Pashto"/>
    <x v="1"/>
    <n v="10"/>
    <n v="36"/>
    <n v="4"/>
    <x v="0"/>
    <n v="3.6"/>
    <n v="0.4"/>
    <s v="Faible"/>
  </r>
  <r>
    <s v="Institut Saint-Pie X"/>
    <n v="75"/>
    <s v="Paris"/>
    <x v="8"/>
    <s v="Licence - Humanités - Parcours Lettres classiques et/ou Lettres, cultures et patrimoine"/>
    <x v="0"/>
    <n v="20"/>
    <n v="71"/>
    <n v="2"/>
    <x v="0"/>
    <n v="3.55"/>
    <n v="0.1"/>
    <s v="Faible"/>
  </r>
  <r>
    <s v="Sorbonne université"/>
    <n v="75"/>
    <s v="Paris"/>
    <x v="8"/>
    <s v="Licence - Langues, littératures et civilisations étrangères et régionales - Parcours LLCER Italien : Numérique, Traduction, Édition et Culture"/>
    <x v="1"/>
    <n v="40"/>
    <n v="142"/>
    <n v="39"/>
    <x v="0"/>
    <n v="3.55"/>
    <n v="0.97499999999999998"/>
    <s v="Faible"/>
  </r>
  <r>
    <s v="INALCO"/>
    <n v="75"/>
    <s v="Paris"/>
    <x v="8"/>
    <s v="Licence - Langues, littératures et civilisations étrangères et régionales - Parcours Asie du Sud-Est et Pacifique -  Drehu - Tahitien"/>
    <x v="1"/>
    <n v="15"/>
    <n v="53"/>
    <n v="15"/>
    <x v="0"/>
    <n v="3.5333333333333332"/>
    <n v="1"/>
    <s v="Faible"/>
  </r>
  <r>
    <s v="INALCO"/>
    <n v="75"/>
    <s v="Paris"/>
    <x v="8"/>
    <s v="Licence - Langues, littératures et civilisations étrangères et régionales - Parcours Asie du Sud et Himalaya - Télougou"/>
    <x v="1"/>
    <n v="10"/>
    <n v="35"/>
    <n v="4"/>
    <x v="0"/>
    <n v="3.5"/>
    <n v="0.4"/>
    <s v="Faible"/>
  </r>
  <r>
    <s v="INALCO"/>
    <n v="75"/>
    <s v="Paris"/>
    <x v="8"/>
    <s v="Licence - Langues, littératures et civilisations étrangères et régionales - Parcours Eurasie -  Géorgien"/>
    <x v="1"/>
    <n v="10"/>
    <n v="35"/>
    <n v="5"/>
    <x v="0"/>
    <n v="3.5"/>
    <n v="0.5"/>
    <s v="Faible"/>
  </r>
  <r>
    <s v="INALCO"/>
    <n v="75"/>
    <s v="Paris"/>
    <x v="8"/>
    <s v="Licence - Langues, littératures et civilisations étrangères et régionales - Parcours Europe - Tchèque"/>
    <x v="1"/>
    <n v="10"/>
    <n v="35"/>
    <n v="5"/>
    <x v="0"/>
    <n v="3.5"/>
    <n v="0.5"/>
    <s v="Faible"/>
  </r>
  <r>
    <s v="Institut Catholique de Paris (ICP)- Campus de Paris"/>
    <n v="75"/>
    <s v="Paris"/>
    <x v="8"/>
    <s v="Licence - Langues étrangères appliquées - Parcours Anglais-Allemand"/>
    <x v="0"/>
    <n v="30"/>
    <n v="103"/>
    <n v="13"/>
    <x v="0"/>
    <n v="3.4333333333333331"/>
    <n v="0.43333333333333335"/>
    <s v="Faible"/>
  </r>
  <r>
    <s v="Université Gustave Eiffel"/>
    <n v="77"/>
    <s v="Seine-et-Marne"/>
    <x v="8"/>
    <s v="Licence - Langues, littératures et civilisations étrangères et régionales - Parcours Espagnol"/>
    <x v="1"/>
    <n v="95"/>
    <n v="323"/>
    <n v="73"/>
    <x v="1"/>
    <n v="3.4"/>
    <n v="0.76842105263157889"/>
    <s v="Faible"/>
  </r>
  <r>
    <s v="INALCO"/>
    <n v="75"/>
    <s v="Paris"/>
    <x v="8"/>
    <s v="Licence - Langues, littératures et civilisations étrangères et régionales - Parcours Asie du Sud et Himalaya -  Bengali"/>
    <x v="1"/>
    <n v="10"/>
    <n v="34"/>
    <n v="10"/>
    <x v="0"/>
    <n v="3.4"/>
    <n v="1"/>
    <s v="Faible"/>
  </r>
  <r>
    <s v="Sorbonne université"/>
    <n v="75"/>
    <s v="Paris"/>
    <x v="8"/>
    <s v="Licence - Portail Langues, littératures et civilisations étrangères et régionales - LLCER : ITALIEN NON DEBUTANT"/>
    <x v="1"/>
    <n v="55"/>
    <n v="186"/>
    <n v="40"/>
    <x v="0"/>
    <n v="3.3818181818181818"/>
    <n v="0.72727272727272729"/>
    <s v="Faible"/>
  </r>
  <r>
    <s v="Université Sorbonne Nouvelle Paris 3"/>
    <n v="75"/>
    <s v="Paris"/>
    <x v="8"/>
    <s v="Licence - Portail Langues, littératures et civilisations étrangères et régionales - Licence LLCER Portugais (renforcé OU mineures)"/>
    <x v="1"/>
    <n v="68"/>
    <n v="225"/>
    <n v="68"/>
    <x v="0"/>
    <n v="3.3088235294117645"/>
    <n v="1"/>
    <s v="Faible"/>
  </r>
  <r>
    <s v="Institut Catholique de Paris (ICP)- Campus de Paris"/>
    <n v="75"/>
    <s v="Paris"/>
    <x v="8"/>
    <s v="Licence - Théologie - Parcours Théologie catholique"/>
    <x v="1"/>
    <n v="30"/>
    <n v="99"/>
    <n v="20"/>
    <x v="0"/>
    <n v="3.3"/>
    <n v="0.66666666666666663"/>
    <s v="Faible"/>
  </r>
  <r>
    <s v="Université Sorbonne Nouvelle Paris 3"/>
    <n v="75"/>
    <s v="Paris"/>
    <x v="8"/>
    <s v="Licence - Portail Langues, littératures et civilisations étrangères et régionales - Licence  Allemand - Spécialisation Etudes germaniques/ Enseignement  OU mineure Anglais"/>
    <x v="1"/>
    <n v="30"/>
    <n v="98"/>
    <n v="30"/>
    <x v="0"/>
    <n v="3.2666666666666666"/>
    <n v="1"/>
    <s v="Faible"/>
  </r>
  <r>
    <s v="INALCO"/>
    <n v="75"/>
    <s v="Paris"/>
    <x v="8"/>
    <s v="Licence - Langues, littératures et civilisations étrangères et régionales - Parcours Eurasie - Kurde"/>
    <x v="1"/>
    <n v="20"/>
    <n v="65"/>
    <n v="17"/>
    <x v="0"/>
    <n v="3.25"/>
    <n v="0.85"/>
    <s v="Faible"/>
  </r>
  <r>
    <s v="Sorbonne université"/>
    <n v="75"/>
    <s v="Paris"/>
    <x v="8"/>
    <s v="Licence - Langues, littératures et civilisations étrangères et régionales - Parcours LLCER :  BOSNIAQUE-CROATE-MONTENEGRIN-SERBE"/>
    <x v="1"/>
    <n v="40"/>
    <n v="130"/>
    <n v="39"/>
    <x v="0"/>
    <n v="3.25"/>
    <n v="0.97499999999999998"/>
    <s v="Faible"/>
  </r>
  <r>
    <s v="INALCO"/>
    <n v="75"/>
    <s v="Paris"/>
    <x v="8"/>
    <s v="Licence - Portail Langues, littératures et civilisations étrangères et régionales - Parcours Hébreu moderne"/>
    <x v="1"/>
    <n v="60"/>
    <n v="194"/>
    <n v="44"/>
    <x v="0"/>
    <n v="3.2333333333333334"/>
    <n v="0.73333333333333328"/>
    <s v="Faible"/>
  </r>
  <r>
    <s v="Sorbonne université"/>
    <n v="75"/>
    <s v="Paris"/>
    <x v="8"/>
    <s v="Licence - Langues, littératures et civilisations étrangères et régionales - Parcours LLCER : PORTUGAIS"/>
    <x v="1"/>
    <n v="70"/>
    <n v="226"/>
    <n v="69"/>
    <x v="0"/>
    <n v="3.2285714285714286"/>
    <n v="0.98571428571428577"/>
    <s v="Faible"/>
  </r>
  <r>
    <s v="INALCO"/>
    <n v="75"/>
    <s v="Paris"/>
    <x v="8"/>
    <s v="Licence - Langues, littératures et civilisations étrangères et régionales - Parcours Europe - Ukrainien"/>
    <x v="1"/>
    <n v="25"/>
    <n v="80"/>
    <n v="22"/>
    <x v="0"/>
    <n v="3.2"/>
    <n v="0.88"/>
    <s v="Faible"/>
  </r>
  <r>
    <s v="Sorbonne université"/>
    <n v="75"/>
    <s v="Paris"/>
    <x v="8"/>
    <s v="Licence - Langues, littératures et civilisations étrangères et régionales - Parcours LLCER : Bosniaque - Croate - Monténégrin - Serbe - Entièrement en distanciel"/>
    <x v="1"/>
    <n v="25"/>
    <n v="80"/>
    <n v="22"/>
    <x v="0"/>
    <n v="3.2"/>
    <n v="0.88"/>
    <s v="Faible"/>
  </r>
  <r>
    <s v="INALCO"/>
    <n v="75"/>
    <s v="Paris"/>
    <x v="8"/>
    <s v="Licence - Langues, littératures et civilisations étrangères et régionales - Parcours Europe - Letton"/>
    <x v="1"/>
    <n v="10"/>
    <n v="32"/>
    <n v="6"/>
    <x v="0"/>
    <n v="3.2"/>
    <n v="0.6"/>
    <s v="Faible"/>
  </r>
  <r>
    <s v="INALCO"/>
    <n v="75"/>
    <s v="Paris"/>
    <x v="8"/>
    <s v="Licence - Langues, littératures et civilisations étrangères et régionales - Parcours Asie du Sud et Himalaya - Tibétain"/>
    <x v="1"/>
    <n v="15"/>
    <n v="48"/>
    <n v="14"/>
    <x v="0"/>
    <n v="3.2"/>
    <n v="0.93333333333333335"/>
    <s v="Faible"/>
  </r>
  <r>
    <s v="INALCO"/>
    <n v="75"/>
    <s v="Paris"/>
    <x v="8"/>
    <s v="Licence - Langues, littératures et civilisations étrangères et régionales - Parcours Eurasie -  Mongol"/>
    <x v="1"/>
    <n v="20"/>
    <n v="63"/>
    <n v="16"/>
    <x v="0"/>
    <n v="3.15"/>
    <n v="0.8"/>
    <s v="Faible"/>
  </r>
  <r>
    <s v="Université Sorbonne Nouvelle Paris 3"/>
    <n v="75"/>
    <s v="Paris"/>
    <x v="8"/>
    <s v="Licence - Portail Langues, littératures et civilisations étrangères et régionales - Licence  Allemand - Spécialisation Etudes germaniques/ Enseignement  OU mineure Anglais"/>
    <x v="1"/>
    <n v="30"/>
    <n v="94"/>
    <n v="28"/>
    <x v="0"/>
    <n v="3.1333333333333333"/>
    <n v="0.93333333333333335"/>
    <s v="Faible"/>
  </r>
  <r>
    <s v="Université Paris 1 Panthéon Sorbonne"/>
    <n v="75"/>
    <s v="Paris"/>
    <x v="8"/>
    <s v="Licence - Droit - Parcours Droit (EDS-IED) - Entièrement en distanciel"/>
    <x v="1"/>
    <n v="1500"/>
    <n v="4608"/>
    <n v="2187"/>
    <x v="0"/>
    <n v="3.0720000000000001"/>
    <n v="1.458"/>
    <s v="Faible"/>
  </r>
  <r>
    <s v="Université Paris 8"/>
    <n v="93"/>
    <s v="Seine-Saint-Denis"/>
    <x v="8"/>
    <s v="Licence - Langues étrangères appliquées - Parcours Allemand / Espagnol"/>
    <x v="1"/>
    <n v="25"/>
    <n v="74"/>
    <n v="6"/>
    <x v="2"/>
    <n v="2.96"/>
    <n v="0.24"/>
    <s v="Faible"/>
  </r>
  <r>
    <s v="INALCO"/>
    <n v="75"/>
    <s v="Paris"/>
    <x v="8"/>
    <s v="Licence - Langues, littératures et civilisations étrangères et régionales - Parcours Afrique et océan Indien - Mandingue (Bambara)"/>
    <x v="1"/>
    <n v="25"/>
    <n v="74"/>
    <n v="22"/>
    <x v="0"/>
    <n v="2.96"/>
    <n v="0.88"/>
    <s v="Faible"/>
  </r>
  <r>
    <s v="Sorbonne université"/>
    <n v="75"/>
    <s v="Paris"/>
    <x v="8"/>
    <s v="Licence - Portail Langues, littératures et civilisations étrangères et régionales - LLCER : ALLEMAND"/>
    <x v="1"/>
    <n v="90"/>
    <n v="264"/>
    <n v="88"/>
    <x v="0"/>
    <n v="2.9333333333333331"/>
    <n v="0.97777777777777775"/>
    <s v="Faible"/>
  </r>
  <r>
    <s v="Sorbonne université"/>
    <n v="75"/>
    <s v="Paris"/>
    <x v="8"/>
    <s v="Licence - Langues, littératures et civilisations étrangères et régionales - Parcours LLCER : POLONAIS"/>
    <x v="1"/>
    <n v="55"/>
    <n v="158"/>
    <n v="47"/>
    <x v="0"/>
    <n v="2.8727272727272726"/>
    <n v="0.8545454545454545"/>
    <s v="Faible"/>
  </r>
  <r>
    <s v="CY ILEPS"/>
    <n v="95"/>
    <s v="Val-d'oise"/>
    <x v="8"/>
    <s v="Licence - Sciences et Techniques des Activités Physiques et Sportives - Parcours STAPS Education et Motricité / Management du Sport"/>
    <x v="0"/>
    <n v="160"/>
    <n v="454"/>
    <n v="160"/>
    <x v="1"/>
    <n v="2.8374999999999999"/>
    <n v="1"/>
    <s v="Faible"/>
  </r>
  <r>
    <s v="INALCO"/>
    <n v="75"/>
    <s v="Paris"/>
    <x v="8"/>
    <s v="Licence - Langues, littératures et civilisations étrangères et régionales - Parcours Afrique et océan Indien - Amharique"/>
    <x v="1"/>
    <n v="15"/>
    <n v="42"/>
    <n v="12"/>
    <x v="0"/>
    <n v="2.8"/>
    <n v="0.8"/>
    <s v="Faible"/>
  </r>
  <r>
    <s v="INALCO"/>
    <n v="75"/>
    <s v="Paris"/>
    <x v="8"/>
    <s v="Licence - Langues, littératures et civilisations étrangères et régionales - Parcours Asie du Sud-Est et Pacifique - Siamois (Thaï)"/>
    <x v="1"/>
    <n v="65"/>
    <n v="181"/>
    <n v="63"/>
    <x v="0"/>
    <n v="2.7846153846153845"/>
    <n v="0.96923076923076923"/>
    <s v="Faible"/>
  </r>
  <r>
    <s v="CY Cergy Paris Université - Antenne de l'IEG de Gennevilliers"/>
    <n v="92"/>
    <s v="Hauts-de-Seine"/>
    <x v="8"/>
    <s v="Licence - Sciences, Enseignement, Médiation"/>
    <x v="1"/>
    <n v="60"/>
    <n v="167"/>
    <n v="56"/>
    <x v="2"/>
    <n v="2.7833333333333332"/>
    <n v="0.93333333333333335"/>
    <s v="Faible"/>
  </r>
  <r>
    <s v="Sorbonne université"/>
    <n v="75"/>
    <s v="Paris"/>
    <x v="8"/>
    <s v="Double licence - Langues, littératures et civilisations étrangères et régionales / Langues, littératures et civilisations étrangères et régionales - LLCER Études Nordiques - LLCER Allemand"/>
    <x v="0"/>
    <n v="20"/>
    <n v="55"/>
    <n v="9"/>
    <x v="0"/>
    <n v="2.75"/>
    <n v="0.45"/>
    <s v="Faible"/>
  </r>
  <r>
    <s v="INALCO"/>
    <n v="75"/>
    <s v="Paris"/>
    <x v="8"/>
    <s v="Licence - Langues, littératures et civilisations étrangères et régionales - Parcours Eurasie - Persan"/>
    <x v="1"/>
    <n v="50"/>
    <n v="136"/>
    <n v="47"/>
    <x v="0"/>
    <n v="2.72"/>
    <n v="0.94"/>
    <s v="Faible"/>
  </r>
  <r>
    <s v="INALCO"/>
    <n v="75"/>
    <s v="Paris"/>
    <x v="8"/>
    <s v="Licence - Langues, littératures et civilisations étrangères et régionales - Parcours Europe - Slovène"/>
    <x v="1"/>
    <n v="10"/>
    <n v="26"/>
    <n v="7"/>
    <x v="0"/>
    <n v="2.6"/>
    <n v="0.7"/>
    <s v="Faible"/>
  </r>
  <r>
    <s v="INALCO"/>
    <n v="75"/>
    <s v="Paris"/>
    <x v="8"/>
    <s v="Licence - Langues, littératures et civilisations étrangères et régionales - Parcours Europe - Macédonien"/>
    <x v="1"/>
    <n v="10"/>
    <n v="26"/>
    <n v="3"/>
    <x v="0"/>
    <n v="2.6"/>
    <n v="0.3"/>
    <s v="Faible"/>
  </r>
  <r>
    <s v="Sorbonne université"/>
    <n v="75"/>
    <s v="Paris"/>
    <x v="8"/>
    <s v="Licence - Langues, littératures et civilisations étrangères et régionales - Parcours LLCER : NEERLANDAIS"/>
    <x v="1"/>
    <n v="55"/>
    <n v="141"/>
    <n v="53"/>
    <x v="0"/>
    <n v="2.5636363636363635"/>
    <n v="0.96363636363636362"/>
    <s v="Faible"/>
  </r>
  <r>
    <s v="Institut Catholique de Paris (ICP)- Campus de Paris"/>
    <n v="75"/>
    <s v="Paris"/>
    <x v="8"/>
    <s v="Licence - Langues, littératures et civilisations étrangères et régionales - Parcours Anglais - Espagnol"/>
    <x v="1"/>
    <n v="110"/>
    <n v="270"/>
    <n v="42"/>
    <x v="0"/>
    <n v="2.4545454545454546"/>
    <n v="0.38181818181818183"/>
    <s v="Faible"/>
  </r>
  <r>
    <s v="INALCO"/>
    <n v="75"/>
    <s v="Paris"/>
    <x v="8"/>
    <s v="Licence - Langues, littératures et civilisations étrangères et régionales - Parcours Europe - Lituanien"/>
    <x v="1"/>
    <n v="10"/>
    <n v="24"/>
    <n v="3"/>
    <x v="0"/>
    <n v="2.4"/>
    <n v="0.3"/>
    <s v="Faible"/>
  </r>
  <r>
    <s v="Sorbonne université"/>
    <n v="75"/>
    <s v="Paris"/>
    <x v="8"/>
    <s v="Licence - Langues, littératures et civilisations étrangères et régionales - Parcours LLCER : ETUDES NORDIQUES (Danois, Islandais, Norvégien, Suédois)"/>
    <x v="1"/>
    <n v="140"/>
    <n v="331"/>
    <n v="124"/>
    <x v="0"/>
    <n v="2.3642857142857143"/>
    <n v="0.88571428571428568"/>
    <s v="Faible"/>
  </r>
  <r>
    <s v="Institut Catholique de Paris (ICP)- Campus de Paris"/>
    <n v="75"/>
    <s v="Paris"/>
    <x v="8"/>
    <s v="Licence - Lettres - Parcours Lettres modernes - Techniques et pratiques de l'écrit"/>
    <x v="1"/>
    <n v="120"/>
    <n v="241"/>
    <n v="35"/>
    <x v="0"/>
    <n v="2.0083333333333333"/>
    <n v="0.29166666666666669"/>
    <s v="Faible"/>
  </r>
  <r>
    <s v="INALCO"/>
    <n v="75"/>
    <s v="Paris"/>
    <x v="8"/>
    <s v="Licence - Langues, littératures et civilisations étrangères et régionales - Parcours Asie du Sud-Est et Pacifique -  Birman"/>
    <x v="1"/>
    <n v="10"/>
    <n v="18"/>
    <n v="0"/>
    <x v="0"/>
    <n v="1.8"/>
    <n v="0"/>
    <s v="Faible"/>
  </r>
  <r>
    <s v="FAC LIBRE THEOLOGIE PROTESTANT"/>
    <n v="75"/>
    <s v="Paris"/>
    <x v="8"/>
    <s v="Licence - Théologie - Parcours Théologie protestante"/>
    <x v="1"/>
    <n v="50"/>
    <n v="86"/>
    <n v="10"/>
    <x v="0"/>
    <n v="1.72"/>
    <n v="0.2"/>
    <s v="Faible"/>
  </r>
  <r>
    <s v="INALCO"/>
    <n v="75"/>
    <s v="Paris"/>
    <x v="8"/>
    <s v="Licence - Langues, littératures et civilisations étrangères et régionales - Parcours Asie du Sud et Himalaya -  Rromani"/>
    <x v="1"/>
    <n v="10"/>
    <n v="17"/>
    <n v="3"/>
    <x v="0"/>
    <n v="1.7"/>
    <n v="0.3"/>
    <s v="Faible"/>
  </r>
  <r>
    <s v="Institut Catholique de Paris (ICP)- Campus de Paris"/>
    <n v="75"/>
    <s v="Paris"/>
    <x v="8"/>
    <s v="Licence - Lettres, langues - Parcours Langues et Civilisations Orient ancien"/>
    <x v="1"/>
    <n v="30"/>
    <n v="44"/>
    <n v="6"/>
    <x v="0"/>
    <n v="1.4666666666666666"/>
    <n v="0.2"/>
    <s v="Faible"/>
  </r>
  <r>
    <s v="Institut Catholique de Paris (ICP)- Campus de Paris"/>
    <n v="75"/>
    <s v="Paris"/>
    <x v="8"/>
    <s v="Licence - Langues, littératures et civilisations étrangères et régionales - Parcours Espagnol  - Arts et cultures du monde hispanique"/>
    <x v="1"/>
    <n v="60"/>
    <n v="77"/>
    <n v="11"/>
    <x v="0"/>
    <n v="1.2833333333333334"/>
    <n v="0.18333333333333332"/>
    <s v="Faible"/>
  </r>
  <r>
    <s v="Sorbonne université"/>
    <n v="75"/>
    <s v="Paris"/>
    <x v="9"/>
    <s v="Licence - Portail Mathématiques, Informatique"/>
    <x v="1"/>
    <n v="5"/>
    <n v="2233"/>
    <n v="5"/>
    <x v="0"/>
    <n v="446.6"/>
    <n v="1"/>
    <s v="Très forte"/>
  </r>
  <r>
    <s v="Sorbonne université"/>
    <n v="75"/>
    <s v="Paris"/>
    <x v="9"/>
    <s v="Licence - Portail Mathématiques, Physique, Mécanique"/>
    <x v="1"/>
    <n v="5"/>
    <n v="2053"/>
    <n v="5"/>
    <x v="0"/>
    <n v="410.6"/>
    <n v="1"/>
    <s v="Très forte"/>
  </r>
  <r>
    <s v="Université Paris Cité"/>
    <n v="75"/>
    <s v="Paris"/>
    <x v="9"/>
    <s v="Licence - Portail Psychologie - Psychologie et Humanités"/>
    <x v="1"/>
    <n v="15"/>
    <n v="4458"/>
    <n v="15"/>
    <x v="0"/>
    <n v="297.2"/>
    <n v="1"/>
    <s v="Très forte"/>
  </r>
  <r>
    <s v="Sorbonne université"/>
    <n v="75"/>
    <s v="Paris"/>
    <x v="9"/>
    <s v="Licence - Portail Physique, Chimie"/>
    <x v="1"/>
    <n v="15"/>
    <n v="2797"/>
    <n v="13"/>
    <x v="0"/>
    <n v="186.46666666666667"/>
    <n v="0.8666666666666667"/>
    <s v="Très forte"/>
  </r>
  <r>
    <s v="Université Paris Cité"/>
    <n v="75"/>
    <s v="Paris"/>
    <x v="9"/>
    <s v="Licence - Portail Sciences de la vie"/>
    <x v="1"/>
    <n v="40"/>
    <n v="7039"/>
    <n v="40"/>
    <x v="0"/>
    <n v="175.97499999999999"/>
    <n v="1"/>
    <s v="Très forte"/>
  </r>
  <r>
    <s v="Université Paris Nanterre"/>
    <n v="92"/>
    <s v="Hauts-de-Seine"/>
    <x v="9"/>
    <s v="Licence - Portail Psychologie"/>
    <x v="1"/>
    <n v="35"/>
    <n v="5981"/>
    <n v="35"/>
    <x v="2"/>
    <n v="170.88571428571427"/>
    <n v="1"/>
    <s v="Très forte"/>
  </r>
  <r>
    <s v="Sorbonne université"/>
    <n v="75"/>
    <s v="Paris"/>
    <x v="9"/>
    <s v="Licence - Portail Sciences de l'ingénieur : Électronique, Mécanique"/>
    <x v="1"/>
    <n v="5"/>
    <n v="814"/>
    <n v="5"/>
    <x v="0"/>
    <n v="162.80000000000001"/>
    <n v="1"/>
    <s v="Très forte"/>
  </r>
  <r>
    <s v="Université Paris Cité"/>
    <n v="75"/>
    <s v="Paris"/>
    <x v="9"/>
    <s v="Licence - Portail Economie - Sciences Economiques et Sociales"/>
    <x v="1"/>
    <n v="6"/>
    <n v="855"/>
    <n v="6"/>
    <x v="0"/>
    <n v="142.5"/>
    <n v="1"/>
    <s v="Très forte"/>
  </r>
  <r>
    <s v="Université Sorbonne Paris Nord - Antenne de Bobigny"/>
    <n v="93"/>
    <s v="Seine-Saint-Denis"/>
    <x v="9"/>
    <s v="Licence - Portail Sciences de la vie"/>
    <x v="1"/>
    <n v="30"/>
    <n v="4179"/>
    <n v="30"/>
    <x v="2"/>
    <n v="139.30000000000001"/>
    <n v="1"/>
    <s v="Très forte"/>
  </r>
  <r>
    <s v="Sorbonne université"/>
    <n v="75"/>
    <s v="Paris"/>
    <x v="9"/>
    <s v="Licence - Portail Électronique, Informatique"/>
    <x v="1"/>
    <n v="5"/>
    <n v="630"/>
    <n v="6"/>
    <x v="0"/>
    <n v="126"/>
    <n v="1.2"/>
    <s v="Très forte"/>
  </r>
  <r>
    <s v="Université Paris- Est-Créteil Val de Marne - UPEC (Paris 12)"/>
    <n v="94"/>
    <s v="Val-de-Marne"/>
    <x v="9"/>
    <s v="Licence - Portail Sciences de la vie et de la terre - Parcours Sciences de la vie et de la terre"/>
    <x v="1"/>
    <n v="30"/>
    <n v="3342"/>
    <n v="30"/>
    <x v="2"/>
    <n v="111.4"/>
    <n v="1"/>
    <s v="Très forte"/>
  </r>
  <r>
    <s v="Université Paris Cité"/>
    <n v="75"/>
    <s v="Paris"/>
    <x v="9"/>
    <s v="Licence - Portail Psychologie - Sciences Psychologiques"/>
    <x v="1"/>
    <n v="80"/>
    <n v="8170"/>
    <n v="80"/>
    <x v="0"/>
    <n v="102.125"/>
    <n v="1"/>
    <s v="Très forte"/>
  </r>
  <r>
    <s v="Ecole Universitaire de premier cycle - Campus d'Orsay Université Paris-Saclay"/>
    <n v="91"/>
    <s v="Essonne"/>
    <x v="9"/>
    <s v="Licence - Portail Mathématiques-Physique (MP)"/>
    <x v="1"/>
    <n v="15"/>
    <n v="1487"/>
    <n v="16"/>
    <x v="1"/>
    <n v="99.13333333333334"/>
    <n v="1.0666666666666667"/>
    <s v="Très forte"/>
  </r>
  <r>
    <s v="Université Paris Cité"/>
    <n v="75"/>
    <s v="Paris"/>
    <x v="9"/>
    <s v="Licence - Portail Chimie"/>
    <x v="1"/>
    <n v="24"/>
    <n v="2289"/>
    <n v="24"/>
    <x v="0"/>
    <n v="95.375"/>
    <n v="1"/>
    <s v="Très forte"/>
  </r>
  <r>
    <s v="Université Paris- Est-Créteil Val de Marne - UPEC (Paris 12)"/>
    <n v="94"/>
    <s v="Val-de-Marne"/>
    <x v="9"/>
    <s v="Licence - Portail Sciences et Techniques des Activités Physiques et Sportives - STAPS - site de Créteil"/>
    <x v="1"/>
    <n v="25"/>
    <n v="2326"/>
    <n v="25"/>
    <x v="2"/>
    <n v="93.04"/>
    <n v="1"/>
    <s v="Très forte"/>
  </r>
  <r>
    <s v="Université Paris Cité"/>
    <n v="75"/>
    <s v="Paris"/>
    <x v="9"/>
    <s v="Licence - Portail Mathématiques et informatique appliquées aux sciences humaines et sociales"/>
    <x v="1"/>
    <n v="10"/>
    <n v="889"/>
    <n v="10"/>
    <x v="0"/>
    <n v="88.9"/>
    <n v="1"/>
    <s v="Très forte"/>
  </r>
  <r>
    <s v="Université Paris Cité"/>
    <n v="75"/>
    <s v="Paris"/>
    <x v="9"/>
    <s v="Licence - Portail Sciences sociales"/>
    <x v="1"/>
    <n v="25"/>
    <n v="2151"/>
    <n v="24"/>
    <x v="0"/>
    <n v="86.04"/>
    <n v="0.96"/>
    <s v="Très forte"/>
  </r>
  <r>
    <s v="Ecole Universitaire de premier cycle - Campus d'Orsay Université Paris-Saclay"/>
    <n v="91"/>
    <s v="Essonne"/>
    <x v="9"/>
    <s v="Licence - Portail Portail Biologie-Chimie-Sciences de la Terre (BCST)"/>
    <x v="1"/>
    <n v="30"/>
    <n v="2544"/>
    <n v="28"/>
    <x v="1"/>
    <n v="84.8"/>
    <n v="0.93333333333333335"/>
    <s v="Très forte"/>
  </r>
  <r>
    <s v="Université Paris- Est-Créteil Val de Marne - UPEC (Paris 12)"/>
    <n v="94"/>
    <s v="Val-de-Marne"/>
    <x v="9"/>
    <s v="Licence - Portail Chimie, Sciences de la vie - Chimie - Biologie"/>
    <x v="1"/>
    <n v="30"/>
    <n v="2498"/>
    <n v="29"/>
    <x v="2"/>
    <n v="83.266666666666666"/>
    <n v="0.96666666666666667"/>
    <s v="Très forte"/>
  </r>
  <r>
    <s v="Université Paris Nanterre"/>
    <n v="92"/>
    <s v="Hauts-de-Seine"/>
    <x v="9"/>
    <s v="Licence - Portail Sciences et Techniques des Activités Physiques et Sportives"/>
    <x v="1"/>
    <n v="35"/>
    <n v="2902"/>
    <n v="34"/>
    <x v="2"/>
    <n v="82.914285714285711"/>
    <n v="0.97142857142857142"/>
    <s v="Très forte"/>
  </r>
  <r>
    <s v="Université Paris Cité"/>
    <n v="75"/>
    <s v="Paris"/>
    <x v="9"/>
    <s v="Licence - Portail Sciences biomédicales"/>
    <x v="1"/>
    <n v="100"/>
    <n v="7910"/>
    <n v="100"/>
    <x v="0"/>
    <n v="79.099999999999994"/>
    <n v="1"/>
    <s v="Très forte"/>
  </r>
  <r>
    <s v="Ecole Universitaire de premier cycle - Campus d'Orsay Université Paris-Saclay"/>
    <n v="91"/>
    <s v="Essonne"/>
    <x v="9"/>
    <s v="Licence - Portail Sciences et Techniques des Activités Physiques et Sportives - Tronc Commun STAPS"/>
    <x v="1"/>
    <n v="20"/>
    <n v="1485"/>
    <n v="20"/>
    <x v="1"/>
    <n v="74.25"/>
    <n v="1"/>
    <s v="Très forte"/>
  </r>
  <r>
    <s v="Université Paris Cité"/>
    <n v="75"/>
    <s v="Paris"/>
    <x v="9"/>
    <s v="Licence - Portail Mathématiques - Mathématiques fondamentales et appliquées - Campus Grands Moulins"/>
    <x v="1"/>
    <n v="15"/>
    <n v="1110"/>
    <n v="15"/>
    <x v="0"/>
    <n v="74"/>
    <n v="1"/>
    <s v="Très forte"/>
  </r>
  <r>
    <s v="Université Paris Cité"/>
    <n v="75"/>
    <s v="Paris"/>
    <x v="9"/>
    <s v="Licence - Portail Economie et gestion"/>
    <x v="1"/>
    <n v="32"/>
    <n v="2341"/>
    <n v="31"/>
    <x v="0"/>
    <n v="73.15625"/>
    <n v="0.96875"/>
    <s v="Très forte"/>
  </r>
  <r>
    <s v="Unité de Formation et de Recherche de Sciences de l' Université de Versailles Saint Quentin en Yvelines"/>
    <n v="78"/>
    <s v="Yvelines"/>
    <x v="9"/>
    <s v="Licence - Portail Portail CB  : Chimie - Biologie"/>
    <x v="1"/>
    <n v="30"/>
    <n v="2142"/>
    <n v="29"/>
    <x v="1"/>
    <n v="71.400000000000006"/>
    <n v="0.96666666666666667"/>
    <s v="Très forte"/>
  </r>
  <r>
    <s v="Université Paris Cité"/>
    <n v="75"/>
    <s v="Paris"/>
    <x v="9"/>
    <s v="Licence - Portail Droit"/>
    <x v="1"/>
    <n v="40"/>
    <n v="2855"/>
    <n v="39"/>
    <x v="0"/>
    <n v="71.375"/>
    <n v="0.97499999999999998"/>
    <s v="Très forte"/>
  </r>
  <r>
    <s v="Université Paris Cité"/>
    <n v="75"/>
    <s v="Paris"/>
    <x v="9"/>
    <s v="Licence - Portail Physique"/>
    <x v="1"/>
    <n v="30"/>
    <n v="2127"/>
    <n v="30"/>
    <x v="0"/>
    <n v="70.900000000000006"/>
    <n v="1"/>
    <s v="Très forte"/>
  </r>
  <r>
    <s v="Université Paris Cité"/>
    <n v="75"/>
    <s v="Paris"/>
    <x v="9"/>
    <s v="Licence - Portail Sciences de la terre - Terre / Envrionnement"/>
    <x v="0"/>
    <n v="10"/>
    <n v="662"/>
    <n v="10"/>
    <x v="0"/>
    <n v="66.2"/>
    <n v="1"/>
    <s v="Très forte"/>
  </r>
  <r>
    <s v="Université Sorbonne Paris Nord - Antenne de Bobigny"/>
    <n v="93"/>
    <s v="Seine-Saint-Denis"/>
    <x v="9"/>
    <s v="Licence - Portail Sciences sanitaires et sociales"/>
    <x v="1"/>
    <n v="30"/>
    <n v="1923"/>
    <n v="30"/>
    <x v="2"/>
    <n v="64.099999999999994"/>
    <n v="1"/>
    <s v="Très forte"/>
  </r>
  <r>
    <s v="Université Sorbonne Paris Nord"/>
    <n v="93"/>
    <s v="Seine-Saint-Denis"/>
    <x v="9"/>
    <s v="Licence - Portail Physique, chimie"/>
    <x v="1"/>
    <n v="15"/>
    <n v="961"/>
    <n v="14"/>
    <x v="2"/>
    <n v="64.066666666666663"/>
    <n v="0.93333333333333335"/>
    <s v="Très forte"/>
  </r>
  <r>
    <s v="Ecole Universitaire de premier cycle - Campus de Guyancourt, Versailles Saint Quentin en Yvelines, Université Paris-Saclay"/>
    <n v="78"/>
    <s v="Yvelines"/>
    <x v="9"/>
    <s v="Licence - Portail Administration économique et sociale"/>
    <x v="1"/>
    <n v="7"/>
    <n v="441"/>
    <n v="7"/>
    <x v="1"/>
    <n v="63"/>
    <n v="1"/>
    <s v="Très forte"/>
  </r>
  <r>
    <s v="Unité de Formation et de Recherche de Sciences de l' Université de Versailles Saint Quentin en Yvelines"/>
    <n v="78"/>
    <s v="Yvelines"/>
    <x v="9"/>
    <s v="Licence - Portail Portail BI : Biologie - Informatique"/>
    <x v="1"/>
    <n v="10"/>
    <n v="624"/>
    <n v="10"/>
    <x v="1"/>
    <n v="62.4"/>
    <n v="1"/>
    <s v="Très forte"/>
  </r>
  <r>
    <s v="Sorbonne université"/>
    <n v="75"/>
    <s v="Paris"/>
    <x v="9"/>
    <s v="Licence - Portail Sciences de la Vie, Chimie, Sciences de la Terre"/>
    <x v="1"/>
    <n v="100"/>
    <n v="6133"/>
    <n v="100"/>
    <x v="0"/>
    <n v="61.33"/>
    <n v="1"/>
    <s v="Très forte"/>
  </r>
  <r>
    <s v="Université Gustave Eiffel"/>
    <n v="77"/>
    <s v="Seine-et-Marne"/>
    <x v="9"/>
    <s v="Licence - Portail Sciences et Techniques des Activités Physiques et Sportives"/>
    <x v="1"/>
    <n v="25"/>
    <n v="1489"/>
    <n v="25"/>
    <x v="1"/>
    <n v="59.56"/>
    <n v="1"/>
    <s v="Très forte"/>
  </r>
  <r>
    <s v="Ecole Universitaire de premier cycle - Campus de Guyancourt, Versailles Saint Quentin en Yvelines, Université Paris-Saclay"/>
    <n v="78"/>
    <s v="Yvelines"/>
    <x v="9"/>
    <s v="Licence - Portail Histoire"/>
    <x v="1"/>
    <n v="2"/>
    <n v="116"/>
    <n v="2"/>
    <x v="1"/>
    <n v="58"/>
    <n v="1"/>
    <s v="Très forte"/>
  </r>
  <r>
    <s v="Ecole Universitaire de premier cycle - Campus d'Orsay Université Paris-Saclay"/>
    <n v="91"/>
    <s v="Essonne"/>
    <x v="9"/>
    <s v="Licence - Portail Mathématiques-Informatique (MI)"/>
    <x v="1"/>
    <n v="15"/>
    <n v="851"/>
    <n v="21"/>
    <x v="1"/>
    <n v="56.733333333333334"/>
    <n v="1.4"/>
    <s v="Très forte"/>
  </r>
  <r>
    <s v="Université Paris Cité"/>
    <n v="75"/>
    <s v="Paris"/>
    <x v="9"/>
    <s v="Licence - Portail Langues, littératures et civilisations étrangères et régionales - LLCER Anglais"/>
    <x v="1"/>
    <n v="19"/>
    <n v="1007"/>
    <n v="19"/>
    <x v="0"/>
    <n v="53"/>
    <n v="1"/>
    <s v="Très forte"/>
  </r>
  <r>
    <s v="Sorbonne université"/>
    <n v="75"/>
    <s v="Paris"/>
    <x v="9"/>
    <s v="Licence - Portail Langues, littératures et civilisations étrangères et régionales - LLCER :  ANGLAIS"/>
    <x v="1"/>
    <n v="17"/>
    <n v="896"/>
    <n v="16"/>
    <x v="0"/>
    <n v="52.705882352941174"/>
    <n v="0.94117647058823528"/>
    <s v="Très forte"/>
  </r>
  <r>
    <s v="Université Paris 8"/>
    <n v="93"/>
    <s v="Seine-Saint-Denis"/>
    <x v="9"/>
    <s v="Licence - Portail Economie et gestion"/>
    <x v="1"/>
    <n v="15"/>
    <n v="789"/>
    <n v="15"/>
    <x v="2"/>
    <n v="52.6"/>
    <n v="1"/>
    <s v="Très forte"/>
  </r>
  <r>
    <s v="Université Paris Nanterre"/>
    <n v="92"/>
    <s v="Hauts-de-Seine"/>
    <x v="9"/>
    <s v="Licence - Portail Santé et société - Santé et sciences humaines et sociales"/>
    <x v="1"/>
    <n v="35"/>
    <n v="1839"/>
    <n v="35"/>
    <x v="2"/>
    <n v="52.542857142857144"/>
    <n v="1"/>
    <s v="Très forte"/>
  </r>
  <r>
    <s v="Ecole Universitaire de premier cycle - Campus d'Orsay Université Paris-Saclay"/>
    <n v="91"/>
    <s v="Essonne"/>
    <x v="9"/>
    <s v="Licence - Portail Economie et gestion"/>
    <x v="1"/>
    <n v="20"/>
    <n v="999"/>
    <n v="19"/>
    <x v="1"/>
    <n v="49.95"/>
    <n v="0.95"/>
    <s v="Très forte"/>
  </r>
  <r>
    <s v="Université de Versailles - Saint Quentin en Yvelines"/>
    <n v="78"/>
    <s v="Yvelines"/>
    <x v="9"/>
    <s v="Licence - Portail Economie et Gestion / Gestion"/>
    <x v="1"/>
    <n v="9"/>
    <n v="436"/>
    <n v="9"/>
    <x v="1"/>
    <n v="48.444444444444443"/>
    <n v="1"/>
    <s v="Très forte"/>
  </r>
  <r>
    <s v="Université Paris Cité"/>
    <n v="75"/>
    <s v="Paris"/>
    <x v="9"/>
    <s v="Licence - Portail Sciences et Techniques des Activités Physiques et Sportives"/>
    <x v="1"/>
    <n v="80"/>
    <n v="3820"/>
    <n v="80"/>
    <x v="0"/>
    <n v="47.75"/>
    <n v="1"/>
    <s v="Très forte"/>
  </r>
  <r>
    <s v="Université Sorbonne Paris Nord - Antenne de Bobigny"/>
    <n v="93"/>
    <s v="Seine-Saint-Denis"/>
    <x v="9"/>
    <s v="Licence - Portail Sciences et Techniques des Activités Physiques et Sportives - Sciences et techniques des activités physiques et sportives (STAPS)"/>
    <x v="1"/>
    <n v="60"/>
    <n v="2847"/>
    <n v="59"/>
    <x v="2"/>
    <n v="47.45"/>
    <n v="0.98333333333333328"/>
    <s v="Très forte"/>
  </r>
  <r>
    <s v="CY Cergy Paris Université"/>
    <n v="95"/>
    <s v="Val-d'oise"/>
    <x v="9"/>
    <s v="Licence - Informatique - Licence accès santé informatique -  Accès Santé"/>
    <x v="1"/>
    <n v="15"/>
    <n v="709"/>
    <n v="18"/>
    <x v="1"/>
    <n v="47.266666666666666"/>
    <n v="1.2"/>
    <s v="Très forte"/>
  </r>
  <r>
    <s v="Université Gustave Eiffel"/>
    <n v="77"/>
    <s v="Seine-et-Marne"/>
    <x v="9"/>
    <s v="Licence - Informatique -  Accès Santé"/>
    <x v="1"/>
    <n v="10"/>
    <n v="447"/>
    <n v="9"/>
    <x v="1"/>
    <n v="44.7"/>
    <n v="0.9"/>
    <s v="Très forte"/>
  </r>
  <r>
    <s v="Université d'Evry Val d'Essonne"/>
    <n v="91"/>
    <s v="Essonne"/>
    <x v="9"/>
    <s v="Licence - Portail Sciences de la vie-Chimie"/>
    <x v="1"/>
    <n v="30"/>
    <n v="1302"/>
    <n v="30"/>
    <x v="1"/>
    <n v="43.4"/>
    <n v="1"/>
    <s v="Très forte"/>
  </r>
  <r>
    <s v="Ecole Universitaire de premier cycle - Campus d'Orsay Université Paris-Saclay"/>
    <n v="91"/>
    <s v="Essonne"/>
    <x v="9"/>
    <s v="Licence - Portail Droit - Parcours Droit"/>
    <x v="1"/>
    <n v="20"/>
    <n v="867"/>
    <n v="19"/>
    <x v="1"/>
    <n v="43.35"/>
    <n v="0.95"/>
    <s v="Très forte"/>
  </r>
  <r>
    <s v="Université Sorbonne Paris Nord"/>
    <n v="93"/>
    <s v="Seine-Saint-Denis"/>
    <x v="9"/>
    <s v="Licence - Portail Economie et gestion"/>
    <x v="1"/>
    <n v="30"/>
    <n v="1282"/>
    <n v="30"/>
    <x v="2"/>
    <n v="42.733333333333334"/>
    <n v="1"/>
    <s v="Très forte"/>
  </r>
  <r>
    <s v="Université Sorbonne Paris Nord"/>
    <n v="93"/>
    <s v="Seine-Saint-Denis"/>
    <x v="9"/>
    <s v="Licence - Portail Droit"/>
    <x v="1"/>
    <n v="30"/>
    <n v="1266"/>
    <n v="29"/>
    <x v="2"/>
    <n v="42.2"/>
    <n v="0.96666666666666667"/>
    <s v="Très forte"/>
  </r>
  <r>
    <s v="Sorbonne université"/>
    <n v="75"/>
    <s v="Paris"/>
    <x v="9"/>
    <s v="Licence - Portail Chimie, Sciences de la Terre, Mécanique"/>
    <x v="1"/>
    <n v="15"/>
    <n v="614"/>
    <n v="14"/>
    <x v="0"/>
    <n v="40.93333333333333"/>
    <n v="0.93333333333333335"/>
    <s v="Très forte"/>
  </r>
  <r>
    <s v="Université Paris- Est-Créteil Val de Marne - UPEC (Paris 12)"/>
    <n v="94"/>
    <s v="Val-de-Marne"/>
    <x v="9"/>
    <s v="Licence - Portail Chimie"/>
    <x v="1"/>
    <n v="30"/>
    <n v="1179"/>
    <n v="25"/>
    <x v="2"/>
    <n v="39.299999999999997"/>
    <n v="0.83333333333333337"/>
    <s v="Forte"/>
  </r>
  <r>
    <s v="Université Gustave Eiffel"/>
    <n v="77"/>
    <s v="Seine-et-Marne"/>
    <x v="9"/>
    <s v="Licence - Mathématiques -  Accès Santé"/>
    <x v="1"/>
    <n v="10"/>
    <n v="388"/>
    <n v="10"/>
    <x v="1"/>
    <n v="38.799999999999997"/>
    <n v="1"/>
    <s v="Forte"/>
  </r>
  <r>
    <s v="Université de Versailles - Saint Quentin en Yvelines"/>
    <n v="78"/>
    <s v="Yvelines"/>
    <x v="9"/>
    <s v="Licence - Sciences pour la santé - Rééducation Réadaptation -  Accès Santé"/>
    <x v="1"/>
    <n v="56"/>
    <n v="2151"/>
    <n v="56"/>
    <x v="1"/>
    <n v="38.410714285714285"/>
    <n v="1"/>
    <s v="Forte"/>
  </r>
  <r>
    <s v="Université Sorbonne Paris Nord - Antenne de Bobigny"/>
    <n v="93"/>
    <s v="Seine-Saint-Denis"/>
    <x v="9"/>
    <s v="Licence - Sciences pour la santé -  Accès Santé"/>
    <x v="1"/>
    <n v="150"/>
    <n v="5729"/>
    <n v="155"/>
    <x v="2"/>
    <n v="38.193333333333335"/>
    <n v="1.0333333333333334"/>
    <s v="Forte"/>
  </r>
  <r>
    <s v="Unité de Formation et de Recherche de Sciences de l' Université de Versailles Saint Quentin en Yvelines"/>
    <n v="78"/>
    <s v="Yvelines"/>
    <x v="9"/>
    <s v="Licence - Portail Mathématiques Physique Chimie (MPC)"/>
    <x v="1"/>
    <n v="25"/>
    <n v="948"/>
    <n v="25"/>
    <x v="1"/>
    <n v="37.92"/>
    <n v="1"/>
    <s v="Forte"/>
  </r>
  <r>
    <s v="Université Paris- Est-Créteil Val de Marne - UPEC (Paris 12)"/>
    <n v="94"/>
    <s v="Val-de-Marne"/>
    <x v="9"/>
    <s v="Licence - Portail Sciences pour l'ingénieur"/>
    <x v="1"/>
    <n v="30"/>
    <n v="1032"/>
    <n v="28"/>
    <x v="2"/>
    <n v="34.4"/>
    <n v="0.93333333333333335"/>
    <s v="Forte"/>
  </r>
  <r>
    <s v="Université Paris- Est-Créteil Val de Marne - UPEC (Paris 12)"/>
    <n v="94"/>
    <s v="Val-de-Marne"/>
    <x v="9"/>
    <s v="Licence - Portail Administration et Echanges internationaux"/>
    <x v="1"/>
    <n v="40"/>
    <n v="1355"/>
    <n v="40"/>
    <x v="2"/>
    <n v="33.875"/>
    <n v="1"/>
    <s v="Forte"/>
  </r>
  <r>
    <s v="Université Paris- Est-Créteil Val de Marne - UPEC (Paris 12)"/>
    <n v="94"/>
    <s v="Val-de-Marne"/>
    <x v="9"/>
    <s v="Licence - Economie et gestion - Economie et management de la santé -  Accès Santé"/>
    <x v="1"/>
    <n v="40"/>
    <n v="1309"/>
    <n v="40"/>
    <x v="2"/>
    <n v="32.725000000000001"/>
    <n v="1"/>
    <s v="Forte"/>
  </r>
  <r>
    <s v="Université de Cergy-Pontoise - CY SUP"/>
    <n v="95"/>
    <s v="Val-d'oise"/>
    <x v="9"/>
    <s v="Licence - Sciences pour la santé - Licence accès santé première année BI -  Accès Santé"/>
    <x v="1"/>
    <n v="30"/>
    <n v="937"/>
    <n v="29"/>
    <x v="1"/>
    <n v="31.233333333333334"/>
    <n v="0.96666666666666667"/>
    <s v="Forte"/>
  </r>
  <r>
    <s v="INALCO"/>
    <n v="75"/>
    <s v="Paris"/>
    <x v="9"/>
    <s v="Licence - Portail Langues, littératures et civilisations étrangères et régionales - Parcours Arabe littéral"/>
    <x v="1"/>
    <n v="15"/>
    <n v="464"/>
    <n v="12"/>
    <x v="0"/>
    <n v="30.933333333333334"/>
    <n v="0.8"/>
    <s v="Forte"/>
  </r>
  <r>
    <s v="Ecole Universitaire de premier cycle - Campus d'Orsay Université Paris-Saclay"/>
    <n v="91"/>
    <s v="Essonne"/>
    <x v="9"/>
    <s v="Licence - Portail Physique-Chimie-Sciences de la Terre (PCST)"/>
    <x v="1"/>
    <n v="30"/>
    <n v="898"/>
    <n v="30"/>
    <x v="1"/>
    <n v="29.933333333333334"/>
    <n v="1"/>
    <s v="Forte"/>
  </r>
  <r>
    <s v="Université Paris Cité"/>
    <n v="75"/>
    <s v="Paris"/>
    <x v="9"/>
    <s v="Licence - Portail Sciences du langage - Expertise linguistique"/>
    <x v="1"/>
    <n v="10"/>
    <n v="286"/>
    <n v="9"/>
    <x v="0"/>
    <n v="28.6"/>
    <n v="0.9"/>
    <s v="Forte"/>
  </r>
  <r>
    <s v="Unité de Formation et de Recherche de Sciences de l' Université de Versailles Saint Quentin en Yvelines"/>
    <n v="78"/>
    <s v="Yvelines"/>
    <x v="9"/>
    <s v="Licence - Portail Mathématiques Informatique (MI)"/>
    <x v="1"/>
    <n v="15"/>
    <n v="406"/>
    <n v="15"/>
    <x v="1"/>
    <n v="27.066666666666666"/>
    <n v="1"/>
    <s v="Forte"/>
  </r>
  <r>
    <s v="Université de Versailles - Saint Quentin en Yvelines"/>
    <n v="78"/>
    <s v="Yvelines"/>
    <x v="9"/>
    <s v="Licence - Portail Science politique"/>
    <x v="1"/>
    <n v="10"/>
    <n v="252"/>
    <n v="10"/>
    <x v="1"/>
    <n v="25.2"/>
    <n v="1"/>
    <s v="Forte"/>
  </r>
  <r>
    <s v="Université Paris 8"/>
    <n v="93"/>
    <s v="Seine-Saint-Denis"/>
    <x v="9"/>
    <s v="Licence - Portail Sciences du langage"/>
    <x v="1"/>
    <n v="10"/>
    <n v="248"/>
    <n v="10"/>
    <x v="2"/>
    <n v="24.8"/>
    <n v="1"/>
    <s v="Forte"/>
  </r>
  <r>
    <s v="Université Paris Cité"/>
    <n v="75"/>
    <s v="Paris"/>
    <x v="9"/>
    <s v="Licence - Portail Langues étrangères appliquées - Santé environnement : Anglais / Espagnol"/>
    <x v="1"/>
    <n v="30"/>
    <n v="715"/>
    <n v="30"/>
    <x v="0"/>
    <n v="23.833333333333332"/>
    <n v="1"/>
    <s v="Forte"/>
  </r>
  <r>
    <s v="Sorbonne université"/>
    <n v="75"/>
    <s v="Paris"/>
    <x v="9"/>
    <s v="Licence - Portail Lettres - SCIENCES DU LANGAGE"/>
    <x v="1"/>
    <n v="15"/>
    <n v="328"/>
    <n v="15"/>
    <x v="0"/>
    <n v="21.866666666666667"/>
    <n v="1"/>
    <s v="Forte"/>
  </r>
  <r>
    <s v="Université Paris Cité"/>
    <n v="75"/>
    <s v="Paris"/>
    <x v="9"/>
    <s v="Licence - Portail Histoire"/>
    <x v="1"/>
    <n v="20"/>
    <n v="434"/>
    <n v="20"/>
    <x v="0"/>
    <n v="21.7"/>
    <n v="1"/>
    <s v="Forte"/>
  </r>
  <r>
    <s v="Sorbonne université"/>
    <n v="75"/>
    <s v="Paris"/>
    <x v="9"/>
    <s v="Licence - Portail Philosophie"/>
    <x v="1"/>
    <n v="17"/>
    <n v="360"/>
    <n v="14"/>
    <x v="0"/>
    <n v="21.176470588235293"/>
    <n v="0.82352941176470584"/>
    <s v="Forte"/>
  </r>
  <r>
    <s v="Université Paris- Est-Créteil Val de Marne - UPEC (Paris 12)"/>
    <n v="94"/>
    <s v="Val-de-Marne"/>
    <x v="9"/>
    <s v="Licence - Droit - Droit et santé -  Accès Santé"/>
    <x v="1"/>
    <n v="40"/>
    <n v="835"/>
    <n v="38"/>
    <x v="2"/>
    <n v="20.875"/>
    <n v="0.95"/>
    <s v="Forte"/>
  </r>
  <r>
    <s v="CY Cergy Paris Université"/>
    <n v="95"/>
    <s v="Val-d'oise"/>
    <x v="9"/>
    <s v="Licence - Mathématiques - Licence accès santé mathématiques -  Accès Santé"/>
    <x v="1"/>
    <n v="15"/>
    <n v="307"/>
    <n v="15"/>
    <x v="1"/>
    <n v="20.466666666666665"/>
    <n v="1"/>
    <s v="Forte"/>
  </r>
  <r>
    <s v="Université de Cergy-Pontoise - CY SUP"/>
    <n v="95"/>
    <s v="Val-d'oise"/>
    <x v="9"/>
    <s v="Licence - Sciences pour la santé - Licence accès santé première année PCSTI -  Accès Santé"/>
    <x v="1"/>
    <n v="20"/>
    <n v="407"/>
    <n v="20"/>
    <x v="1"/>
    <n v="20.350000000000001"/>
    <n v="1"/>
    <s v="Forte"/>
  </r>
  <r>
    <s v="INALCO"/>
    <n v="75"/>
    <s v="Paris"/>
    <x v="9"/>
    <s v="Licence - Portail Langues, littératures et civilisations étrangères et régionales - Parcours Arabe maghrébin"/>
    <x v="1"/>
    <n v="15"/>
    <n v="294"/>
    <n v="15"/>
    <x v="0"/>
    <n v="19.600000000000001"/>
    <n v="1"/>
    <s v="Modérée"/>
  </r>
  <r>
    <s v="Sorbonne université"/>
    <n v="75"/>
    <s v="Paris"/>
    <x v="9"/>
    <s v="Licence - Portail Histoire"/>
    <x v="1"/>
    <n v="42"/>
    <n v="797"/>
    <n v="42"/>
    <x v="0"/>
    <n v="18.976190476190474"/>
    <n v="1"/>
    <s v="Modérée"/>
  </r>
  <r>
    <s v="Institut d'études politiques de Fontainebleau - UPEC"/>
    <n v="77"/>
    <s v="Seine-et-Marne"/>
    <x v="9"/>
    <s v="Licence - Portail Science politique - Parcours Science politique internationale"/>
    <x v="1"/>
    <n v="20"/>
    <n v="379"/>
    <n v="19"/>
    <x v="1"/>
    <n v="18.95"/>
    <n v="0.95"/>
    <s v="Modérée"/>
  </r>
  <r>
    <s v="Université Paris-Saclay, Campus d'Orsay"/>
    <n v="91"/>
    <s v="Essonne"/>
    <x v="9"/>
    <s v="Licence - Portail Droit, Sciences et Innovation - Licence Double-Diplôme Droit, Sciences et Innovation"/>
    <x v="0"/>
    <n v="10"/>
    <n v="183"/>
    <n v="8"/>
    <x v="1"/>
    <n v="18.3"/>
    <n v="0.8"/>
    <s v="Modérée"/>
  </r>
  <r>
    <s v="Sorbonne université"/>
    <n v="75"/>
    <s v="Paris"/>
    <x v="9"/>
    <s v="Licence - Portail Lettres - LETTRES EDITION SCENARIO ET MEDIAS"/>
    <x v="1"/>
    <n v="15"/>
    <n v="270"/>
    <n v="15"/>
    <x v="0"/>
    <n v="18"/>
    <n v="1"/>
    <s v="Modérée"/>
  </r>
  <r>
    <s v="Sorbonne université"/>
    <n v="75"/>
    <s v="Paris"/>
    <x v="9"/>
    <s v="Licence - Portail Langues, littératures et civilisations étrangères et régionales - LLCER : ESPAGNOL"/>
    <x v="1"/>
    <n v="17"/>
    <n v="277"/>
    <n v="16"/>
    <x v="0"/>
    <n v="16.294117647058822"/>
    <n v="0.94117647058823528"/>
    <s v="Modérée"/>
  </r>
  <r>
    <s v="INALCO"/>
    <n v="75"/>
    <s v="Paris"/>
    <x v="9"/>
    <s v="Licence - Portail Langues, littératures et civilisations étrangères et régionales - Parcours Eurasie - Turc"/>
    <x v="1"/>
    <n v="15"/>
    <n v="201"/>
    <n v="15"/>
    <x v="0"/>
    <n v="13.4"/>
    <n v="1"/>
    <s v="Modérée"/>
  </r>
  <r>
    <s v="CY Cergy Paris Université"/>
    <n v="95"/>
    <s v="Val-d'oise"/>
    <x v="9"/>
    <s v="Licence - Physique - Licence accès santé physique -  Accès Santé"/>
    <x v="1"/>
    <n v="15"/>
    <n v="197"/>
    <n v="14"/>
    <x v="1"/>
    <n v="13.133333333333333"/>
    <n v="0.93333333333333335"/>
    <s v="Modérée"/>
  </r>
  <r>
    <s v="Université Paris Cité"/>
    <n v="75"/>
    <s v="Paris"/>
    <x v="9"/>
    <s v="Licence - Portail Langues, littératures et civilisations étrangères et régionales - LLCER Etudes Chinoises"/>
    <x v="1"/>
    <n v="20"/>
    <n v="254"/>
    <n v="20"/>
    <x v="0"/>
    <n v="12.7"/>
    <n v="1"/>
    <s v="Modérée"/>
  </r>
  <r>
    <s v="Université de Versailles - Saint Quentin en Yvelines"/>
    <n v="78"/>
    <s v="Yvelines"/>
    <x v="9"/>
    <s v="Licence - Portail Droit"/>
    <x v="1"/>
    <n v="58"/>
    <n v="725"/>
    <n v="56"/>
    <x v="1"/>
    <n v="12.5"/>
    <n v="0.96551724137931039"/>
    <s v="Modérée"/>
  </r>
  <r>
    <s v="Université Paris- Est-Créteil Val de Marne - UPEC (Paris 12)"/>
    <n v="94"/>
    <s v="Val-de-Marne"/>
    <x v="9"/>
    <s v="Licence - Portail Lettres - Parcours Lettres modernes"/>
    <x v="1"/>
    <n v="27"/>
    <n v="289"/>
    <n v="27"/>
    <x v="2"/>
    <n v="10.703703703703704"/>
    <n v="1"/>
    <s v="Modérée"/>
  </r>
  <r>
    <s v="Université Paris Cité"/>
    <n v="75"/>
    <s v="Paris"/>
    <x v="9"/>
    <s v="Licence - Portail Langues, littératures et civilisations étrangères et régionales - LLCER Etudes vietnamiennes"/>
    <x v="1"/>
    <n v="5"/>
    <n v="52"/>
    <n v="5"/>
    <x v="0"/>
    <n v="10.4"/>
    <n v="1"/>
    <s v="Modérée"/>
  </r>
  <r>
    <s v="INALCO"/>
    <n v="75"/>
    <s v="Paris"/>
    <x v="9"/>
    <s v="Licence - Portail Langues, littératures et civilisations étrangères et régionales - Parcours Asie du Sud et Himalaya - Tamoul"/>
    <x v="1"/>
    <n v="10"/>
    <n v="96"/>
    <n v="11"/>
    <x v="0"/>
    <n v="9.6"/>
    <n v="1.1000000000000001"/>
    <s v="Faible"/>
  </r>
  <r>
    <s v="INALCO"/>
    <n v="75"/>
    <s v="Paris"/>
    <x v="9"/>
    <s v="Licence - Portail Langues, littératures et civilisations étrangères et régionales - parcours Afrique et océan Indien - Swahili"/>
    <x v="1"/>
    <n v="10"/>
    <n v="93"/>
    <n v="10"/>
    <x v="0"/>
    <n v="9.3000000000000007"/>
    <n v="1"/>
    <s v="Faible"/>
  </r>
  <r>
    <s v="Université Paris- Est-Créteil Val de Marne - UPEC (Paris 12)"/>
    <n v="94"/>
    <s v="Val-de-Marne"/>
    <x v="9"/>
    <s v="Licence - Sciences pour la santé -  Accès Santé"/>
    <x v="1"/>
    <n v="1050"/>
    <n v="9173"/>
    <n v="1046"/>
    <x v="2"/>
    <n v="8.7361904761904761"/>
    <n v="0.99619047619047618"/>
    <s v="Faible"/>
  </r>
  <r>
    <s v="INALCO"/>
    <n v="75"/>
    <s v="Paris"/>
    <x v="9"/>
    <s v="Licence - Portail Langues, littératures et civilisations étrangères et régionales - Parcours Europe - Grec moderne"/>
    <x v="1"/>
    <n v="10"/>
    <n v="81"/>
    <n v="10"/>
    <x v="0"/>
    <n v="8.1"/>
    <n v="1"/>
    <s v="Faible"/>
  </r>
  <r>
    <s v="INALCO"/>
    <n v="75"/>
    <s v="Paris"/>
    <x v="9"/>
    <s v="Licence - Portail Langues, littératures et civilisations étrangères et régionales - Parcours Europe - Roumain"/>
    <x v="1"/>
    <n v="10"/>
    <n v="80"/>
    <n v="11"/>
    <x v="0"/>
    <n v="8"/>
    <n v="1.1000000000000001"/>
    <s v="Faible"/>
  </r>
  <r>
    <s v="Université Paris Cité"/>
    <n v="75"/>
    <s v="Paris"/>
    <x v="9"/>
    <s v="Licence - Portail Langues étrangères appliquées - Santé environnement : Anglais / Allemand"/>
    <x v="1"/>
    <n v="15"/>
    <n v="120"/>
    <n v="16"/>
    <x v="0"/>
    <n v="8"/>
    <n v="1.0666666666666667"/>
    <s v="Faible"/>
  </r>
  <r>
    <s v="INALCO"/>
    <n v="75"/>
    <s v="Paris"/>
    <x v="9"/>
    <s v="Licence - Portail Langues, littératures et civilisations étrangères et régionales - Parcours Hébreu moderne"/>
    <x v="1"/>
    <n v="15"/>
    <n v="116"/>
    <n v="17"/>
    <x v="0"/>
    <n v="7.7333333333333334"/>
    <n v="1.1333333333333333"/>
    <s v="Faible"/>
  </r>
  <r>
    <s v="Université Paris- Est-Créteil Val de Marne - UPEC (Paris 12)"/>
    <n v="94"/>
    <s v="Val-de-Marne"/>
    <x v="9"/>
    <s v="Licence - Portail Philosophie - Parcours Philosophie"/>
    <x v="1"/>
    <n v="28"/>
    <n v="215"/>
    <n v="28"/>
    <x v="2"/>
    <n v="7.6785714285714288"/>
    <n v="1"/>
    <s v="Faible"/>
  </r>
  <r>
    <s v="Université Paris 8"/>
    <n v="93"/>
    <s v="Seine-Saint-Denis"/>
    <x v="9"/>
    <s v="Licence - Portail Lettres - Littérature : création littéraire et écritures du monde"/>
    <x v="1"/>
    <n v="40"/>
    <n v="292"/>
    <n v="40"/>
    <x v="2"/>
    <n v="7.3"/>
    <n v="1"/>
    <s v="Faible"/>
  </r>
  <r>
    <s v="INALCO"/>
    <n v="75"/>
    <s v="Paris"/>
    <x v="9"/>
    <s v="Licence - Portail Langues, littératures et civilisations étrangères et régionales - Parcours Russie - Russe"/>
    <x v="1"/>
    <n v="15"/>
    <n v="105"/>
    <n v="16"/>
    <x v="0"/>
    <n v="7"/>
    <n v="1.0666666666666667"/>
    <s v="Faible"/>
  </r>
  <r>
    <s v="INALCO"/>
    <n v="75"/>
    <s v="Paris"/>
    <x v="9"/>
    <s v="Licence - Portail Langues, littératures et civilisations étrangères et régionales - parcours Afrique et océan Indien - Wolof"/>
    <x v="1"/>
    <n v="10"/>
    <n v="64"/>
    <n v="10"/>
    <x v="0"/>
    <n v="6.4"/>
    <n v="1"/>
    <s v="Faible"/>
  </r>
  <r>
    <s v="Sorbonne université"/>
    <n v="75"/>
    <s v="Paris"/>
    <x v="9"/>
    <s v="Licence - Portail Langues, littératures et civilisations étrangères et régionales - LLCER : ITALIEN NON DEBUTANT"/>
    <x v="1"/>
    <n v="12"/>
    <n v="74"/>
    <n v="12"/>
    <x v="0"/>
    <n v="6.166666666666667"/>
    <n v="1"/>
    <s v="Faible"/>
  </r>
  <r>
    <s v="INALCO"/>
    <n v="75"/>
    <s v="Paris"/>
    <x v="9"/>
    <s v="Licence - Portail Langues, littératures et civilisations étrangères et régionales - Parcours Afrique et océan Indien - Berbère"/>
    <x v="1"/>
    <n v="10"/>
    <n v="55"/>
    <n v="12"/>
    <x v="0"/>
    <n v="5.5"/>
    <n v="1.2"/>
    <s v="Faible"/>
  </r>
  <r>
    <s v="Université Paris- Est-Créteil Val de Marne - UPEC (Paris 12)"/>
    <n v="94"/>
    <s v="Val-de-Marne"/>
    <x v="9"/>
    <s v="Licence - Portail Géographie et aménagement - Parcours Géographie"/>
    <x v="1"/>
    <n v="25"/>
    <n v="127"/>
    <n v="25"/>
    <x v="2"/>
    <n v="5.08"/>
    <n v="1"/>
    <s v="Faible"/>
  </r>
  <r>
    <s v="INALCO"/>
    <n v="75"/>
    <s v="Paris"/>
    <x v="9"/>
    <s v="Licence - Portail Langues, littératures et civilisations étrangères et régionales - Parcours Afrique et océan Indien - Haoussa"/>
    <x v="1"/>
    <n v="10"/>
    <n v="47"/>
    <n v="10"/>
    <x v="0"/>
    <n v="4.7"/>
    <n v="1"/>
    <s v="Faible"/>
  </r>
  <r>
    <s v="INALCO"/>
    <n v="75"/>
    <s v="Paris"/>
    <x v="9"/>
    <s v="Licence - Portail Langues, littératures et civilisations étrangères et régionales - Parcours Europe - Polonais"/>
    <x v="1"/>
    <n v="10"/>
    <n v="43"/>
    <n v="11"/>
    <x v="0"/>
    <n v="4.3"/>
    <n v="1.1000000000000001"/>
    <s v="Faible"/>
  </r>
  <r>
    <s v="INALCO"/>
    <n v="75"/>
    <s v="Paris"/>
    <x v="9"/>
    <s v="Licence - Portail Langues, littératures et civilisations étrangères et régionales - parcours Asie du Sud-Est et Pacifique - Khmer"/>
    <x v="1"/>
    <n v="10"/>
    <n v="37"/>
    <n v="10"/>
    <x v="0"/>
    <n v="3.7"/>
    <n v="1"/>
    <s v="Faible"/>
  </r>
  <r>
    <s v="INALCO"/>
    <n v="75"/>
    <s v="Paris"/>
    <x v="9"/>
    <s v="Licence - Portail Langues, littératures et civilisations étrangères et régionales - Parcours Eurasie - Arménien"/>
    <x v="1"/>
    <n v="10"/>
    <n v="37"/>
    <n v="10"/>
    <x v="0"/>
    <n v="3.7"/>
    <n v="1"/>
    <s v="Faible"/>
  </r>
  <r>
    <s v="INALCO"/>
    <n v="75"/>
    <s v="Paris"/>
    <x v="9"/>
    <s v="Licence - Portail Langues, littératures et civilisations étrangères et régionales - Parcours Europe - Albanais"/>
    <x v="1"/>
    <n v="10"/>
    <n v="31"/>
    <n v="10"/>
    <x v="0"/>
    <n v="3.1"/>
    <n v="1"/>
    <s v="Faible"/>
  </r>
  <r>
    <s v="Sorbonne université"/>
    <n v="75"/>
    <s v="Paris"/>
    <x v="9"/>
    <s v="Licence - Portail Langues, littératures et civilisations étrangères et régionales - LLCER : ALLEMAND"/>
    <x v="1"/>
    <n v="40"/>
    <n v="122"/>
    <n v="34"/>
    <x v="0"/>
    <n v="3.05"/>
    <n v="0.85"/>
    <s v="Faible"/>
  </r>
  <r>
    <s v="INALCO"/>
    <n v="75"/>
    <s v="Paris"/>
    <x v="9"/>
    <s v="Licence - Portail Langues, littératures et civilisations étrangères et régionales - parcours Afrique et océan Indien - Malgache"/>
    <x v="1"/>
    <n v="10"/>
    <n v="29"/>
    <n v="10"/>
    <x v="0"/>
    <n v="2.9"/>
    <n v="1"/>
    <s v="Faible"/>
  </r>
  <r>
    <s v="Université Sorbonne Paris Nord - Antenne de Bobigny"/>
    <n v="93"/>
    <s v="Seine-Saint-Denis"/>
    <x v="10"/>
    <s v="Licence - Parcours d'Accès Spécifique Santé (PASS)"/>
    <x v="1"/>
    <n v="10"/>
    <n v="7679"/>
    <n v="10"/>
    <x v="2"/>
    <n v="767.9"/>
    <n v="1"/>
    <s v="Très forte"/>
  </r>
  <r>
    <s v="Université Sorbonne Paris Nord - Antenne de Bobigny"/>
    <n v="93"/>
    <s v="Seine-Saint-Denis"/>
    <x v="10"/>
    <s v="Licence - Parcours d'Accès Spécifique Santé (PASS)"/>
    <x v="1"/>
    <n v="15"/>
    <n v="10154"/>
    <n v="15"/>
    <x v="2"/>
    <n v="676.93333333333328"/>
    <n v="1"/>
    <s v="Très forte"/>
  </r>
  <r>
    <s v="Université Sorbonne Paris Nord - Antenne de Bobigny"/>
    <n v="93"/>
    <s v="Seine-Saint-Denis"/>
    <x v="10"/>
    <s v="Licence - Parcours d'Accès Spécifique Santé (PASS)"/>
    <x v="1"/>
    <n v="10"/>
    <n v="6460"/>
    <n v="10"/>
    <x v="2"/>
    <n v="646"/>
    <n v="1"/>
    <s v="Très forte"/>
  </r>
  <r>
    <s v="Université Sorbonne Paris Nord - Antenne de Bobigny"/>
    <n v="93"/>
    <s v="Seine-Saint-Denis"/>
    <x v="10"/>
    <s v="Licence - Parcours d'Accès Spécifique Santé (PASS)"/>
    <x v="1"/>
    <n v="20"/>
    <n v="7748"/>
    <n v="20"/>
    <x v="2"/>
    <n v="387.4"/>
    <n v="1"/>
    <s v="Très forte"/>
  </r>
  <r>
    <s v="Université Paris Cité"/>
    <n v="75"/>
    <s v="Paris"/>
    <x v="10"/>
    <s v="Licence - Parcours d'Accès Spécifique Santé (PASS)"/>
    <x v="1"/>
    <n v="40"/>
    <n v="15474"/>
    <n v="40"/>
    <x v="0"/>
    <n v="386.85"/>
    <n v="1"/>
    <s v="Très forte"/>
  </r>
  <r>
    <s v="Université Sorbonne Paris Nord - Antenne de Bobigny"/>
    <n v="93"/>
    <s v="Seine-Saint-Denis"/>
    <x v="10"/>
    <s v="Licence - Parcours d'Accès Spécifique Santé (PASS)"/>
    <x v="1"/>
    <n v="30"/>
    <n v="11523"/>
    <n v="30"/>
    <x v="2"/>
    <n v="384.1"/>
    <n v="1"/>
    <s v="Très forte"/>
  </r>
  <r>
    <s v="Ecole Universitaire de premier cycle - Campus d'Orsay Université Paris-Saclay"/>
    <n v="91"/>
    <s v="Essonne"/>
    <x v="10"/>
    <s v="Licence - Parcours d'Accès Spécifique Santé (PASS)"/>
    <x v="1"/>
    <n v="35"/>
    <n v="11987"/>
    <n v="35"/>
    <x v="1"/>
    <n v="342.48571428571427"/>
    <n v="1"/>
    <s v="Très forte"/>
  </r>
  <r>
    <s v="Ecole Universitaire de premier cycle - Campus d'Orsay Université Paris-Saclay"/>
    <n v="91"/>
    <s v="Essonne"/>
    <x v="10"/>
    <s v="Licence - Parcours d'Accès Spécifique Santé (PASS)"/>
    <x v="1"/>
    <n v="35"/>
    <n v="11950"/>
    <n v="35"/>
    <x v="1"/>
    <n v="341.42857142857144"/>
    <n v="1"/>
    <s v="Très forte"/>
  </r>
  <r>
    <s v="Université Paris Cité"/>
    <n v="75"/>
    <s v="Paris"/>
    <x v="10"/>
    <s v="Licence - Parcours d'Accès Spécifique Santé (PASS)"/>
    <x v="1"/>
    <n v="40"/>
    <n v="12694"/>
    <n v="40"/>
    <x v="0"/>
    <n v="317.35000000000002"/>
    <n v="1"/>
    <s v="Très forte"/>
  </r>
  <r>
    <s v="Université Sorbonne Paris Nord - Antenne de Bobigny"/>
    <n v="93"/>
    <s v="Seine-Saint-Denis"/>
    <x v="10"/>
    <s v="Licence - Parcours d'Accès Spécifique Santé (PASS)"/>
    <x v="1"/>
    <n v="30"/>
    <n v="8864"/>
    <n v="28"/>
    <x v="2"/>
    <n v="295.46666666666664"/>
    <n v="0.93333333333333335"/>
    <s v="Très forte"/>
  </r>
  <r>
    <s v="Université Paris Cité"/>
    <n v="75"/>
    <s v="Paris"/>
    <x v="10"/>
    <s v="Licence - Parcours d'Accès Spécifique Santé (PASS)"/>
    <x v="1"/>
    <n v="50"/>
    <n v="14403"/>
    <n v="50"/>
    <x v="0"/>
    <n v="288.06"/>
    <n v="1"/>
    <s v="Très forte"/>
  </r>
  <r>
    <s v="Université Sorbonne Paris Nord - Antenne de Bobigny"/>
    <n v="93"/>
    <s v="Seine-Saint-Denis"/>
    <x v="10"/>
    <s v="Licence - Parcours d'Accès Spécifique Santé (PASS)"/>
    <x v="1"/>
    <n v="30"/>
    <n v="8619"/>
    <n v="31"/>
    <x v="2"/>
    <n v="287.3"/>
    <n v="1.0333333333333334"/>
    <s v="Très forte"/>
  </r>
  <r>
    <s v="Université de Versailles - Saint Quentin en Yvelines"/>
    <n v="78"/>
    <s v="Yvelines"/>
    <x v="10"/>
    <s v="Licence - Parcours d'Accès Spécifique Santé (PASS)"/>
    <x v="1"/>
    <n v="40"/>
    <n v="10376"/>
    <n v="38"/>
    <x v="1"/>
    <n v="259.39999999999998"/>
    <n v="0.95"/>
    <s v="Très forte"/>
  </r>
  <r>
    <s v="Ecole Universitaire de premier cycle - Campus d'Orsay Université Paris-Saclay"/>
    <n v="91"/>
    <s v="Essonne"/>
    <x v="10"/>
    <s v="Licence - Parcours d'Accès Spécifique Santé (PASS)"/>
    <x v="1"/>
    <n v="35"/>
    <n v="9000"/>
    <n v="35"/>
    <x v="1"/>
    <n v="257.14285714285717"/>
    <n v="1"/>
    <s v="Très forte"/>
  </r>
  <r>
    <s v="Université Sorbonne Paris Nord - Antenne de Bobigny"/>
    <n v="93"/>
    <s v="Seine-Saint-Denis"/>
    <x v="10"/>
    <s v="Licence - Parcours d'Accès Spécifique Santé (PASS)"/>
    <x v="1"/>
    <n v="30"/>
    <n v="7558"/>
    <n v="30"/>
    <x v="2"/>
    <n v="251.93333333333334"/>
    <n v="1"/>
    <s v="Très forte"/>
  </r>
  <r>
    <s v="Ecole Universitaire de premier cycle - Campus d'Orsay Université Paris-Saclay"/>
    <n v="91"/>
    <s v="Essonne"/>
    <x v="10"/>
    <s v="Licence - Parcours d'Accès Spécifique Santé (PASS)"/>
    <x v="1"/>
    <n v="35"/>
    <n v="8178"/>
    <n v="34"/>
    <x v="1"/>
    <n v="233.65714285714284"/>
    <n v="0.97142857142857142"/>
    <s v="Très forte"/>
  </r>
  <r>
    <s v="Ecole Universitaire de premier cycle - Campus d'Orsay Université Paris-Saclay"/>
    <n v="91"/>
    <s v="Essonne"/>
    <x v="10"/>
    <s v="Licence - Parcours d'Accès Spécifique Santé (PASS)"/>
    <x v="1"/>
    <n v="35"/>
    <n v="7749"/>
    <n v="33"/>
    <x v="1"/>
    <n v="221.4"/>
    <n v="0.94285714285714284"/>
    <s v="Très forte"/>
  </r>
  <r>
    <s v="Université Sorbonne Paris Nord - Antenne de Bobigny"/>
    <n v="93"/>
    <s v="Seine-Saint-Denis"/>
    <x v="10"/>
    <s v="Licence - Parcours d'Accès Spécifique Santé (PASS)"/>
    <x v="1"/>
    <n v="60"/>
    <n v="13125"/>
    <n v="60"/>
    <x v="2"/>
    <n v="218.75"/>
    <n v="1"/>
    <s v="Très forte"/>
  </r>
  <r>
    <s v="Université Sorbonne Paris Nord - Antenne de Bobigny"/>
    <n v="93"/>
    <s v="Seine-Saint-Denis"/>
    <x v="10"/>
    <s v="Licence - Parcours d'Accès Spécifique Santé (PASS)"/>
    <x v="1"/>
    <n v="60"/>
    <n v="10719"/>
    <n v="60"/>
    <x v="2"/>
    <n v="178.65"/>
    <n v="1"/>
    <s v="Très forte"/>
  </r>
  <r>
    <s v="Université Paris Cité"/>
    <n v="75"/>
    <s v="Paris"/>
    <x v="10"/>
    <s v="Licence - Parcours d'Accès Spécifique Santé (PASS)"/>
    <x v="1"/>
    <n v="70"/>
    <n v="11592"/>
    <n v="70"/>
    <x v="0"/>
    <n v="165.6"/>
    <n v="1"/>
    <s v="Très forte"/>
  </r>
  <r>
    <s v="Université Paris Cité"/>
    <n v="75"/>
    <s v="Paris"/>
    <x v="10"/>
    <s v="Licence - Parcours d'Accès Spécifique Santé (PASS)"/>
    <x v="1"/>
    <n v="80"/>
    <n v="12145"/>
    <n v="79"/>
    <x v="0"/>
    <n v="151.8125"/>
    <n v="0.98750000000000004"/>
    <s v="Très forte"/>
  </r>
  <r>
    <s v="Université Paris Cité"/>
    <n v="75"/>
    <s v="Paris"/>
    <x v="10"/>
    <s v="Licence - Parcours d'Accès Spécifique Santé (PASS)"/>
    <x v="1"/>
    <n v="100"/>
    <n v="14148"/>
    <n v="100"/>
    <x v="0"/>
    <n v="141.47999999999999"/>
    <n v="1"/>
    <s v="Très forte"/>
  </r>
  <r>
    <s v="Université Paris Cité"/>
    <n v="75"/>
    <s v="Paris"/>
    <x v="10"/>
    <s v="Licence - Parcours d'Accès Spécifique Santé (PASS)"/>
    <x v="1"/>
    <n v="100"/>
    <n v="13976"/>
    <n v="100"/>
    <x v="0"/>
    <n v="139.76"/>
    <n v="1"/>
    <s v="Très forte"/>
  </r>
  <r>
    <s v="Université Paris Cité"/>
    <n v="75"/>
    <s v="Paris"/>
    <x v="10"/>
    <s v="Licence - Parcours d'Accès Spécifique Santé (PASS)"/>
    <x v="1"/>
    <n v="80"/>
    <n v="10402"/>
    <n v="80"/>
    <x v="0"/>
    <n v="130.02500000000001"/>
    <n v="1"/>
    <s v="Très forte"/>
  </r>
  <r>
    <s v="Ecole Universitaire de premier cycle - Campus d'Orsay Université Paris-Saclay"/>
    <n v="91"/>
    <s v="Essonne"/>
    <x v="10"/>
    <s v="Licence - Parcours d'Accès Spécifique Santé (PASS)"/>
    <x v="1"/>
    <n v="100"/>
    <n v="12298"/>
    <n v="97"/>
    <x v="1"/>
    <n v="122.98"/>
    <n v="0.97"/>
    <s v="Très forte"/>
  </r>
  <r>
    <s v="Université Sorbonne Paris Nord - Antenne de Bobigny"/>
    <n v="93"/>
    <s v="Seine-Saint-Denis"/>
    <x v="10"/>
    <s v="Licence - Parcours d'Accès Spécifique Santé (PASS)"/>
    <x v="1"/>
    <n v="60"/>
    <n v="7223"/>
    <n v="60"/>
    <x v="2"/>
    <n v="120.38333333333334"/>
    <n v="1"/>
    <s v="Très forte"/>
  </r>
  <r>
    <s v="Université de Versailles - Saint Quentin en Yvelines"/>
    <n v="78"/>
    <s v="Yvelines"/>
    <x v="10"/>
    <s v="Licence - Parcours d'Accès Spécifique Santé (PASS)"/>
    <x v="1"/>
    <n v="80"/>
    <n v="7768"/>
    <n v="79"/>
    <x v="1"/>
    <n v="97.1"/>
    <n v="0.98750000000000004"/>
    <s v="Très forte"/>
  </r>
  <r>
    <s v="Université Paris Cité"/>
    <n v="75"/>
    <s v="Paris"/>
    <x v="10"/>
    <s v="Licence - Parcours d'Accès Spécifique Santé (PASS)"/>
    <x v="1"/>
    <n v="140"/>
    <n v="9893"/>
    <n v="137"/>
    <x v="0"/>
    <n v="70.664285714285711"/>
    <n v="0.97857142857142854"/>
    <s v="Très forte"/>
  </r>
  <r>
    <s v="Ecole Universitaire de premier cycle - Campus d'Orsay Université Paris-Saclay"/>
    <n v="91"/>
    <s v="Essonne"/>
    <x v="10"/>
    <s v="Licence - Parcours d'Accès Spécifique Santé (PASS)"/>
    <x v="1"/>
    <n v="215"/>
    <n v="10624"/>
    <n v="214"/>
    <x v="1"/>
    <n v="49.413953488372094"/>
    <n v="0.99534883720930234"/>
    <s v="Très forte"/>
  </r>
  <r>
    <s v="Sorbonne université"/>
    <n v="75"/>
    <s v="Paris"/>
    <x v="10"/>
    <s v="Licence - Parcours d'Accès Spécifique Santé (PASS)"/>
    <x v="1"/>
    <n v="200"/>
    <n v="9051"/>
    <n v="200"/>
    <x v="0"/>
    <n v="45.255000000000003"/>
    <n v="1"/>
    <s v="Très forte"/>
  </r>
  <r>
    <s v="Université de Versailles - Saint Quentin en Yvelines"/>
    <n v="78"/>
    <s v="Yvelines"/>
    <x v="10"/>
    <s v="Licence - Parcours d'Accès Spécifique Santé (PASS)"/>
    <x v="1"/>
    <n v="151"/>
    <n v="6559"/>
    <n v="148"/>
    <x v="1"/>
    <n v="43.437086092715234"/>
    <n v="0.98013245033112584"/>
    <s v="Très forte"/>
  </r>
  <r>
    <s v="Université de Versailles - Saint Quentin en Yvelines"/>
    <n v="78"/>
    <s v="Yvelines"/>
    <x v="10"/>
    <s v="Licence - Parcours d'Accès Spécifique Santé (PASS)"/>
    <x v="1"/>
    <n v="285"/>
    <n v="9423"/>
    <n v="283"/>
    <x v="1"/>
    <n v="33.06315789473684"/>
    <n v="0.99298245614035086"/>
    <s v="Forte"/>
  </r>
  <r>
    <s v="Université Paris Cité"/>
    <n v="75"/>
    <s v="Paris"/>
    <x v="10"/>
    <s v="Licence - Parcours d'Accès Spécifique Santé (PASS)"/>
    <x v="1"/>
    <n v="470"/>
    <n v="14440"/>
    <n v="466"/>
    <x v="0"/>
    <n v="30.723404255319149"/>
    <n v="0.99148936170212765"/>
    <s v="Forte"/>
  </r>
  <r>
    <s v="Université Paris Cité"/>
    <n v="75"/>
    <s v="Paris"/>
    <x v="10"/>
    <s v="Licence - Parcours d'Accès Spécifique Santé (PASS)"/>
    <x v="1"/>
    <n v="650"/>
    <n v="15880"/>
    <n v="637"/>
    <x v="0"/>
    <n v="24.430769230769229"/>
    <n v="0.98"/>
    <s v="Forte"/>
  </r>
  <r>
    <s v="Sorbonne université"/>
    <n v="75"/>
    <s v="Paris"/>
    <x v="10"/>
    <s v="Licence - Parcours d'Accès Spécifique Santé (PASS)"/>
    <x v="1"/>
    <n v="1200"/>
    <n v="15253"/>
    <n v="1197"/>
    <x v="0"/>
    <n v="12.710833333333333"/>
    <n v="0.99750000000000005"/>
    <s v="Modéré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DDFD6-B4DA-4A27-A0D5-7E89D59A5F52}" name="TCD_Filiere_Zone" cacheId="7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rowHeaderCaption="Filière" colHeaderCaption="Zone">
  <location ref="H6:L19" firstHeaderRow="1" firstDataRow="2" firstDataCol="1"/>
  <pivotFields count="14">
    <pivotField showAll="0"/>
    <pivotField showAll="0"/>
    <pivotField showAll="0"/>
    <pivotField axis="axisRow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3" showAll="0"/>
    <pivotField numFmtId="3" showAll="0"/>
    <pivotField axis="axisCol" showAll="0">
      <items count="4">
        <item x="0"/>
        <item x="2"/>
        <item x="1"/>
        <item t="default"/>
      </items>
    </pivotField>
    <pivotField numFmtId="164" showAll="0"/>
    <pivotField numFmtId="9" showAll="0"/>
    <pivotField showAll="0"/>
    <pivotField dataField="1" dragToRow="0" dragToCol="0" dragToPage="0" showAll="0" defaultSubtotal="0"/>
  </pivotFields>
  <rowFields count="1">
    <field x="3"/>
  </rowFields>
  <rowItems count="12">
    <i>
      <x v="10"/>
    </i>
    <i>
      <x v="7"/>
    </i>
    <i>
      <x v="2"/>
    </i>
    <i>
      <x v="9"/>
    </i>
    <i>
      <x v="3"/>
    </i>
    <i>
      <x v="1"/>
    </i>
    <i>
      <x v="5"/>
    </i>
    <i>
      <x v="4"/>
    </i>
    <i>
      <x/>
    </i>
    <i>
      <x v="8"/>
    </i>
    <i>
      <x v="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andidatures par place " fld="13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2B9F0-1978-4569-A75E-1FE4CEA94D53}" name="TCD_Filiere" cacheId="7" applyNumberFormats="0" applyBorderFormats="0" applyFontFormats="0" applyPatternFormats="0" applyAlignmentFormats="0" applyWidthHeightFormats="1" dataCaption="Valeurs" updatedVersion="8" minRefreshableVersion="3" itemPrintTitles="1" createdVersion="8" indent="0" outline="1" outlineData="1" multipleFieldFilters="0" rowHeaderCaption="Filière">
  <location ref="A6:E18" firstHeaderRow="0" firstDataRow="1" firstDataCol="1" rowPageCount="1" colPageCount="1"/>
  <pivotFields count="14">
    <pivotField showAll="0"/>
    <pivotField showAll="0"/>
    <pivotField showAll="0"/>
    <pivotField axis="axisRow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/>
    <pivotField axis="axisPage" showAll="0">
      <items count="3">
        <item x="1"/>
        <item x="0"/>
        <item t="default"/>
      </items>
    </pivotField>
    <pivotField dataField="1" numFmtId="3" showAll="0"/>
    <pivotField dataField="1" numFmtId="3" showAll="0"/>
    <pivotField numFmtId="3" showAll="0"/>
    <pivotField showAll="0"/>
    <pivotField numFmtId="164" showAll="0"/>
    <pivotField numFmtId="9" showAll="0"/>
    <pivotField showAll="0"/>
    <pivotField dataField="1" dragToRow="0" dragToCol="0" dragToPage="0" showAll="0" defaultSubtotal="0"/>
  </pivotFields>
  <rowFields count="1">
    <field x="3"/>
  </rowFields>
  <rowItems count="12">
    <i>
      <x v="10"/>
    </i>
    <i>
      <x v="7"/>
    </i>
    <i>
      <x v="2"/>
    </i>
    <i>
      <x v="9"/>
    </i>
    <i>
      <x v="3"/>
    </i>
    <i>
      <x v="1"/>
    </i>
    <i>
      <x v="5"/>
    </i>
    <i>
      <x v="4"/>
    </i>
    <i>
      <x/>
    </i>
    <i>
      <x v="8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-1"/>
  </pageFields>
  <dataFields count="4">
    <dataField name="Nb de formations" fld="4" subtotal="count" baseField="0" baseItem="0" numFmtId="3"/>
    <dataField name="Somme des places" fld="6" baseField="0" baseItem="0" numFmtId="3"/>
    <dataField name="Somme des candidatures" fld="7" baseField="0" baseItem="0" numFmtId="3"/>
    <dataField name="Cand. par place" fld="13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7"/>
  <sheetViews>
    <sheetView showGridLines="0" tabSelected="1" workbookViewId="0"/>
  </sheetViews>
  <sheetFormatPr baseColWidth="10" defaultColWidth="9.140625" defaultRowHeight="15"/>
  <cols>
    <col min="1" max="1" width="3" customWidth="1"/>
    <col min="2" max="2" width="28" customWidth="1"/>
    <col min="3" max="3" width="72" customWidth="1"/>
    <col min="4" max="4" width="24" customWidth="1"/>
  </cols>
  <sheetData>
    <row r="2" spans="2:4" ht="26.25">
      <c r="B2" s="1" t="s">
        <v>0</v>
      </c>
    </row>
    <row r="3" spans="2:4" ht="17.25">
      <c r="B3" s="2" t="s">
        <v>1</v>
      </c>
    </row>
    <row r="5" spans="2:4" ht="15.6" customHeight="1">
      <c r="B5" s="3" t="s">
        <v>2</v>
      </c>
      <c r="C5" s="30" t="s">
        <v>3</v>
      </c>
      <c r="D5" s="31"/>
    </row>
    <row r="6" spans="2:4" ht="15.6" customHeight="1">
      <c r="B6" s="3" t="s">
        <v>4</v>
      </c>
      <c r="C6" s="30" t="s">
        <v>5</v>
      </c>
      <c r="D6" s="31"/>
    </row>
    <row r="7" spans="2:4" ht="15.6" customHeight="1">
      <c r="B7" s="3" t="s">
        <v>6</v>
      </c>
      <c r="C7" s="30" t="s">
        <v>7</v>
      </c>
      <c r="D7" s="31"/>
    </row>
    <row r="9" spans="2:4" ht="15.75">
      <c r="B9" s="4" t="s">
        <v>8</v>
      </c>
      <c r="C9" s="5"/>
      <c r="D9" s="5"/>
    </row>
    <row r="10" spans="2:4" ht="15.6" customHeight="1">
      <c r="B10" s="3" t="s">
        <v>9</v>
      </c>
      <c r="C10" s="30" t="s">
        <v>10</v>
      </c>
      <c r="D10" s="31"/>
    </row>
    <row r="11" spans="2:4" ht="15.6" customHeight="1">
      <c r="B11" s="3" t="s">
        <v>11</v>
      </c>
      <c r="C11" s="30" t="s">
        <v>12</v>
      </c>
      <c r="D11" s="31"/>
    </row>
    <row r="12" spans="2:4" ht="30.95" customHeight="1">
      <c r="B12" s="3" t="s">
        <v>13</v>
      </c>
      <c r="C12" s="30" t="s">
        <v>14</v>
      </c>
      <c r="D12" s="31"/>
    </row>
    <row r="14" spans="2:4" ht="15.75">
      <c r="B14" s="4" t="s">
        <v>15</v>
      </c>
      <c r="C14" s="5"/>
      <c r="D14" s="5"/>
    </row>
    <row r="15" spans="2:4" ht="30.95" customHeight="1">
      <c r="B15" s="3" t="s">
        <v>16</v>
      </c>
      <c r="C15" s="30" t="s">
        <v>17</v>
      </c>
      <c r="D15" s="31"/>
    </row>
    <row r="16" spans="2:4" ht="15.6" customHeight="1">
      <c r="B16" s="3" t="s">
        <v>18</v>
      </c>
      <c r="C16" s="30" t="s">
        <v>19</v>
      </c>
      <c r="D16" s="31"/>
    </row>
    <row r="17" spans="2:4" ht="15.6" customHeight="1">
      <c r="B17" s="3" t="s">
        <v>20</v>
      </c>
      <c r="C17" s="30" t="s">
        <v>21</v>
      </c>
      <c r="D17" s="31"/>
    </row>
    <row r="18" spans="2:4" ht="15.6" customHeight="1">
      <c r="B18" s="3" t="s">
        <v>22</v>
      </c>
      <c r="C18" s="30" t="s">
        <v>23</v>
      </c>
      <c r="D18" s="31"/>
    </row>
    <row r="19" spans="2:4" ht="15.6" customHeight="1">
      <c r="B19" s="3" t="s">
        <v>24</v>
      </c>
      <c r="C19" s="30" t="s">
        <v>25</v>
      </c>
      <c r="D19" s="31"/>
    </row>
    <row r="20" spans="2:4" ht="15.6" customHeight="1">
      <c r="B20" s="3" t="s">
        <v>26</v>
      </c>
      <c r="C20" s="30" t="s">
        <v>27</v>
      </c>
      <c r="D20" s="31"/>
    </row>
    <row r="21" spans="2:4" ht="15.6" customHeight="1">
      <c r="B21" s="3" t="s">
        <v>28</v>
      </c>
      <c r="C21" s="30" t="s">
        <v>29</v>
      </c>
      <c r="D21" s="31"/>
    </row>
    <row r="22" spans="2:4" ht="46.5" customHeight="1">
      <c r="B22" s="3" t="s">
        <v>30</v>
      </c>
      <c r="C22" s="30" t="s">
        <v>31</v>
      </c>
      <c r="D22" s="31"/>
    </row>
    <row r="24" spans="2:4" ht="15.75">
      <c r="B24" s="4" t="s">
        <v>32</v>
      </c>
      <c r="C24" s="5"/>
      <c r="D24" s="5"/>
    </row>
    <row r="25" spans="2:4" ht="30.95" customHeight="1">
      <c r="B25" s="3" t="s">
        <v>33</v>
      </c>
      <c r="C25" s="30" t="s">
        <v>34</v>
      </c>
      <c r="D25" s="31"/>
    </row>
    <row r="26" spans="2:4" ht="30.95" customHeight="1">
      <c r="B26" s="3" t="s">
        <v>35</v>
      </c>
      <c r="C26" s="30" t="s">
        <v>36</v>
      </c>
      <c r="D26" s="31"/>
    </row>
    <row r="27" spans="2:4" ht="15.6" customHeight="1">
      <c r="B27" s="3" t="s">
        <v>37</v>
      </c>
      <c r="C27" s="30" t="s">
        <v>38</v>
      </c>
      <c r="D27" s="31"/>
    </row>
    <row r="28" spans="2:4" ht="30.95" customHeight="1">
      <c r="B28" s="3" t="s">
        <v>39</v>
      </c>
      <c r="C28" s="30" t="s">
        <v>40</v>
      </c>
      <c r="D28" s="31"/>
    </row>
    <row r="29" spans="2:4" ht="15.6" customHeight="1">
      <c r="B29" s="3" t="s">
        <v>41</v>
      </c>
      <c r="C29" s="30" t="s">
        <v>42</v>
      </c>
      <c r="D29" s="31"/>
    </row>
    <row r="30" spans="2:4" ht="15.6" customHeight="1">
      <c r="B30" s="3" t="s">
        <v>43</v>
      </c>
      <c r="C30" s="30" t="s">
        <v>44</v>
      </c>
      <c r="D30" s="31"/>
    </row>
    <row r="32" spans="2:4" ht="15.75">
      <c r="B32" s="4" t="s">
        <v>45</v>
      </c>
      <c r="C32" s="5"/>
      <c r="D32" s="5"/>
    </row>
    <row r="33" spans="2:4">
      <c r="B33" s="6" t="s">
        <v>46</v>
      </c>
      <c r="C33" s="7" t="s">
        <v>47</v>
      </c>
      <c r="D33" s="8" t="s">
        <v>48</v>
      </c>
    </row>
    <row r="34" spans="2:4">
      <c r="B34" s="6" t="s">
        <v>49</v>
      </c>
      <c r="C34" s="7" t="s">
        <v>50</v>
      </c>
      <c r="D34" s="8" t="s">
        <v>51</v>
      </c>
    </row>
    <row r="35" spans="2:4">
      <c r="B35" s="6" t="s">
        <v>52</v>
      </c>
      <c r="C35" s="7" t="s">
        <v>53</v>
      </c>
      <c r="D35" s="8" t="s">
        <v>54</v>
      </c>
    </row>
    <row r="36" spans="2:4">
      <c r="B36" s="6" t="s">
        <v>4</v>
      </c>
      <c r="C36" s="7" t="s">
        <v>55</v>
      </c>
      <c r="D36" s="8" t="s">
        <v>56</v>
      </c>
    </row>
    <row r="37" spans="2:4">
      <c r="B37" s="6" t="s">
        <v>57</v>
      </c>
      <c r="C37" s="7" t="s">
        <v>58</v>
      </c>
      <c r="D37" s="8" t="s">
        <v>59</v>
      </c>
    </row>
    <row r="38" spans="2:4">
      <c r="B38" s="6" t="s">
        <v>60</v>
      </c>
      <c r="C38" s="7" t="s">
        <v>61</v>
      </c>
      <c r="D38" s="8" t="s">
        <v>62</v>
      </c>
    </row>
    <row r="39" spans="2:4">
      <c r="B39" s="6" t="s">
        <v>63</v>
      </c>
      <c r="C39" s="7" t="s">
        <v>64</v>
      </c>
      <c r="D39" s="8" t="s">
        <v>65</v>
      </c>
    </row>
    <row r="40" spans="2:4">
      <c r="B40" s="6" t="s">
        <v>66</v>
      </c>
      <c r="C40" s="7" t="s">
        <v>67</v>
      </c>
      <c r="D40" s="8" t="s">
        <v>68</v>
      </c>
    </row>
    <row r="41" spans="2:4">
      <c r="B41" s="6" t="s">
        <v>69</v>
      </c>
      <c r="C41" s="7" t="s">
        <v>70</v>
      </c>
      <c r="D41" s="8" t="s">
        <v>71</v>
      </c>
    </row>
    <row r="42" spans="2:4">
      <c r="B42" s="6" t="s">
        <v>72</v>
      </c>
      <c r="C42" s="7" t="s">
        <v>73</v>
      </c>
      <c r="D42" s="8" t="s">
        <v>74</v>
      </c>
    </row>
    <row r="43" spans="2:4">
      <c r="B43" s="6" t="s">
        <v>75</v>
      </c>
      <c r="C43" s="7" t="s">
        <v>76</v>
      </c>
      <c r="D43" s="8" t="s">
        <v>74</v>
      </c>
    </row>
    <row r="44" spans="2:4">
      <c r="B44" s="6" t="s">
        <v>77</v>
      </c>
      <c r="C44" s="7" t="s">
        <v>78</v>
      </c>
      <c r="D44" s="8" t="s">
        <v>79</v>
      </c>
    </row>
    <row r="46" spans="2:4" ht="15.75">
      <c r="B46" s="4" t="s">
        <v>80</v>
      </c>
      <c r="C46" s="5"/>
      <c r="D46" s="5"/>
    </row>
    <row r="47" spans="2:4" ht="46.5" customHeight="1">
      <c r="B47" s="3" t="s">
        <v>81</v>
      </c>
      <c r="C47" s="30" t="s">
        <v>82</v>
      </c>
      <c r="D47" s="31"/>
    </row>
  </sheetData>
  <mergeCells count="21">
    <mergeCell ref="C47:D47"/>
    <mergeCell ref="C25:D25"/>
    <mergeCell ref="C22:D22"/>
    <mergeCell ref="C12:D12"/>
    <mergeCell ref="C21:D21"/>
    <mergeCell ref="C27:D27"/>
    <mergeCell ref="C17:D17"/>
    <mergeCell ref="C19:D19"/>
    <mergeCell ref="C28:D28"/>
    <mergeCell ref="C18:D18"/>
    <mergeCell ref="C6:D6"/>
    <mergeCell ref="C30:D30"/>
    <mergeCell ref="C15:D15"/>
    <mergeCell ref="C5:D5"/>
    <mergeCell ref="C26:D26"/>
    <mergeCell ref="C20:D20"/>
    <mergeCell ref="C29:D29"/>
    <mergeCell ref="C10:D10"/>
    <mergeCell ref="C16:D16"/>
    <mergeCell ref="C11:D11"/>
    <mergeCell ref="C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92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9.140625" defaultRowHeight="15"/>
  <cols>
    <col min="1" max="1" width="27" customWidth="1"/>
    <col min="2" max="2" width="9" customWidth="1"/>
    <col min="3" max="3" width="16" customWidth="1"/>
    <col min="4" max="4" width="17" customWidth="1"/>
    <col min="5" max="5" width="34" customWidth="1"/>
    <col min="6" max="6" width="14" customWidth="1"/>
    <col min="7" max="7" width="10" customWidth="1"/>
    <col min="8" max="8" width="15" customWidth="1"/>
    <col min="9" max="9" width="9" customWidth="1"/>
    <col min="10" max="10" width="16" customWidth="1"/>
    <col min="11" max="12" width="15" customWidth="1"/>
    <col min="13" max="13" width="13" customWidth="1"/>
  </cols>
  <sheetData>
    <row r="1" spans="1:13" ht="32.1" customHeight="1">
      <c r="A1" s="9" t="s">
        <v>46</v>
      </c>
      <c r="B1" s="9" t="s">
        <v>83</v>
      </c>
      <c r="C1" s="9" t="s">
        <v>84</v>
      </c>
      <c r="D1" s="9" t="s">
        <v>52</v>
      </c>
      <c r="E1" s="9" t="s">
        <v>4</v>
      </c>
      <c r="F1" s="9" t="s">
        <v>57</v>
      </c>
      <c r="G1" s="9" t="s">
        <v>60</v>
      </c>
      <c r="H1" s="9" t="s">
        <v>63</v>
      </c>
      <c r="I1" s="9" t="s">
        <v>66</v>
      </c>
      <c r="J1" s="10" t="s">
        <v>69</v>
      </c>
      <c r="K1" s="10" t="s">
        <v>72</v>
      </c>
      <c r="L1" s="10" t="s">
        <v>75</v>
      </c>
      <c r="M1" s="10" t="s">
        <v>77</v>
      </c>
    </row>
    <row r="2" spans="1:13">
      <c r="A2" t="s">
        <v>1352</v>
      </c>
      <c r="B2" s="11">
        <v>75</v>
      </c>
      <c r="C2" t="s">
        <v>86</v>
      </c>
      <c r="D2" t="s">
        <v>1238</v>
      </c>
      <c r="E2" t="s">
        <v>1724</v>
      </c>
      <c r="F2" t="s">
        <v>92</v>
      </c>
      <c r="G2" s="12">
        <v>15</v>
      </c>
      <c r="H2" s="12">
        <v>3723</v>
      </c>
      <c r="I2" s="12">
        <v>15</v>
      </c>
      <c r="J2" t="str">
        <f>VLOOKUP(B2,Paramètres!$A$4:$C$11,3,FALSE)</f>
        <v>Paris</v>
      </c>
      <c r="K2" s="13">
        <f>IFERROR(H2/G2,"")</f>
        <v>248.2</v>
      </c>
      <c r="L2" s="14">
        <f>IFERROR(I2/G2,"")</f>
        <v>1</v>
      </c>
      <c r="M2" s="11" t="str">
        <f>IF(K2&gt;=Paramètres!$F$6,"Très forte",IF(K2&gt;=Paramètres!$F$5,"Forte",IF(K2&gt;=Paramètres!$F$4,"Modérée","Faible")))</f>
        <v>Très forte</v>
      </c>
    </row>
    <row r="3" spans="1:13">
      <c r="A3" t="s">
        <v>1378</v>
      </c>
      <c r="B3" s="11">
        <v>75</v>
      </c>
      <c r="C3" t="s">
        <v>86</v>
      </c>
      <c r="D3" t="s">
        <v>1238</v>
      </c>
      <c r="E3" t="s">
        <v>1726</v>
      </c>
      <c r="F3" t="s">
        <v>92</v>
      </c>
      <c r="G3" s="12">
        <v>15</v>
      </c>
      <c r="H3" s="12">
        <v>3201</v>
      </c>
      <c r="I3" s="12">
        <v>16</v>
      </c>
      <c r="J3" t="str">
        <f>VLOOKUP(B3,Paramètres!$A$4:$C$11,3,FALSE)</f>
        <v>Paris</v>
      </c>
      <c r="K3" s="13">
        <f>IFERROR(H3/G3,"")</f>
        <v>213.4</v>
      </c>
      <c r="L3" s="14">
        <f>IFERROR(I3/G3,"")</f>
        <v>1.0666666666666667</v>
      </c>
      <c r="M3" s="11" t="str">
        <f>IF(K3&gt;=Paramètres!$F$6,"Très forte",IF(K3&gt;=Paramètres!$F$5,"Forte",IF(K3&gt;=Paramètres!$F$4,"Modérée","Faible")))</f>
        <v>Très forte</v>
      </c>
    </row>
    <row r="4" spans="1:13">
      <c r="A4" t="s">
        <v>847</v>
      </c>
      <c r="B4" s="11">
        <v>75</v>
      </c>
      <c r="C4" t="s">
        <v>86</v>
      </c>
      <c r="D4" t="s">
        <v>1238</v>
      </c>
      <c r="E4" t="s">
        <v>1647</v>
      </c>
      <c r="F4" t="s">
        <v>92</v>
      </c>
      <c r="G4" s="12">
        <v>12</v>
      </c>
      <c r="H4" s="12">
        <v>2487</v>
      </c>
      <c r="I4" s="12">
        <v>12</v>
      </c>
      <c r="J4" t="str">
        <f>VLOOKUP(B4,Paramètres!$A$4:$C$11,3,FALSE)</f>
        <v>Paris</v>
      </c>
      <c r="K4" s="13">
        <f>IFERROR(H4/G4,"")</f>
        <v>207.25</v>
      </c>
      <c r="L4" s="14">
        <f>IFERROR(I4/G4,"")</f>
        <v>1</v>
      </c>
      <c r="M4" s="11" t="str">
        <f>IF(K4&gt;=Paramètres!$F$6,"Très forte",IF(K4&gt;=Paramètres!$F$5,"Forte",IF(K4&gt;=Paramètres!$F$4,"Modérée","Faible")))</f>
        <v>Très forte</v>
      </c>
    </row>
    <row r="5" spans="1:13">
      <c r="A5" t="s">
        <v>847</v>
      </c>
      <c r="B5" s="11">
        <v>75</v>
      </c>
      <c r="C5" t="s">
        <v>86</v>
      </c>
      <c r="D5" t="s">
        <v>1238</v>
      </c>
      <c r="E5" t="s">
        <v>1638</v>
      </c>
      <c r="F5" t="s">
        <v>92</v>
      </c>
      <c r="G5" s="12">
        <v>15</v>
      </c>
      <c r="H5" s="12">
        <v>2696</v>
      </c>
      <c r="I5" s="12">
        <v>15</v>
      </c>
      <c r="J5" t="str">
        <f>VLOOKUP(B5,Paramètres!$A$4:$C$11,3,FALSE)</f>
        <v>Paris</v>
      </c>
      <c r="K5" s="13">
        <f>IFERROR(H5/G5,"")</f>
        <v>179.73333333333332</v>
      </c>
      <c r="L5" s="14">
        <f>IFERROR(I5/G5,"")</f>
        <v>1</v>
      </c>
      <c r="M5" s="11" t="str">
        <f>IF(K5&gt;=Paramètres!$F$6,"Très forte",IF(K5&gt;=Paramètres!$F$5,"Forte",IF(K5&gt;=Paramètres!$F$4,"Modérée","Faible")))</f>
        <v>Très forte</v>
      </c>
    </row>
    <row r="6" spans="1:13">
      <c r="A6" t="s">
        <v>1133</v>
      </c>
      <c r="B6" s="11">
        <v>75</v>
      </c>
      <c r="C6" t="s">
        <v>86</v>
      </c>
      <c r="D6" t="s">
        <v>1238</v>
      </c>
      <c r="E6" t="s">
        <v>1825</v>
      </c>
      <c r="F6" t="s">
        <v>92</v>
      </c>
      <c r="G6" s="12">
        <v>12</v>
      </c>
      <c r="H6" s="12">
        <v>2134</v>
      </c>
      <c r="I6" s="12">
        <v>12</v>
      </c>
      <c r="J6" t="str">
        <f>VLOOKUP(B6,Paramètres!$A$4:$C$11,3,FALSE)</f>
        <v>Paris</v>
      </c>
      <c r="K6" s="13">
        <f>IFERROR(H6/G6,"")</f>
        <v>177.83333333333334</v>
      </c>
      <c r="L6" s="14">
        <f>IFERROR(I6/G6,"")</f>
        <v>1</v>
      </c>
      <c r="M6" s="11" t="str">
        <f>IF(K6&gt;=Paramètres!$F$6,"Très forte",IF(K6&gt;=Paramètres!$F$5,"Forte",IF(K6&gt;=Paramètres!$F$4,"Modérée","Faible")))</f>
        <v>Très forte</v>
      </c>
    </row>
    <row r="7" spans="1:13">
      <c r="A7" t="s">
        <v>1378</v>
      </c>
      <c r="B7" s="11">
        <v>75</v>
      </c>
      <c r="C7" t="s">
        <v>86</v>
      </c>
      <c r="D7" t="s">
        <v>1238</v>
      </c>
      <c r="E7" t="s">
        <v>1736</v>
      </c>
      <c r="F7" t="s">
        <v>92</v>
      </c>
      <c r="G7" s="12">
        <v>15</v>
      </c>
      <c r="H7" s="12">
        <v>2277</v>
      </c>
      <c r="I7" s="12">
        <v>16</v>
      </c>
      <c r="J7" t="str">
        <f>VLOOKUP(B7,Paramètres!$A$4:$C$11,3,FALSE)</f>
        <v>Paris</v>
      </c>
      <c r="K7" s="13">
        <f>IFERROR(H7/G7,"")</f>
        <v>151.80000000000001</v>
      </c>
      <c r="L7" s="14">
        <f>IFERROR(I7/G7,"")</f>
        <v>1.0666666666666667</v>
      </c>
      <c r="M7" s="11" t="str">
        <f>IF(K7&gt;=Paramètres!$F$6,"Très forte",IF(K7&gt;=Paramètres!$F$5,"Forte",IF(K7&gt;=Paramètres!$F$4,"Modérée","Faible")))</f>
        <v>Très forte</v>
      </c>
    </row>
    <row r="8" spans="1:13">
      <c r="A8" t="s">
        <v>1352</v>
      </c>
      <c r="B8" s="11">
        <v>75</v>
      </c>
      <c r="C8" t="s">
        <v>86</v>
      </c>
      <c r="D8" t="s">
        <v>1238</v>
      </c>
      <c r="E8" t="s">
        <v>1853</v>
      </c>
      <c r="F8" t="s">
        <v>92</v>
      </c>
      <c r="G8" s="12">
        <v>5</v>
      </c>
      <c r="H8" s="12">
        <v>742</v>
      </c>
      <c r="I8" s="12">
        <v>5</v>
      </c>
      <c r="J8" t="str">
        <f>VLOOKUP(B8,Paramètres!$A$4:$C$11,3,FALSE)</f>
        <v>Paris</v>
      </c>
      <c r="K8" s="13">
        <f>IFERROR(H8/G8,"")</f>
        <v>148.4</v>
      </c>
      <c r="L8" s="14">
        <f>IFERROR(I8/G8,"")</f>
        <v>1</v>
      </c>
      <c r="M8" s="11" t="str">
        <f>IF(K8&gt;=Paramètres!$F$6,"Très forte",IF(K8&gt;=Paramètres!$F$5,"Forte",IF(K8&gt;=Paramètres!$F$4,"Modérée","Faible")))</f>
        <v>Très forte</v>
      </c>
    </row>
    <row r="9" spans="1:13">
      <c r="A9" t="s">
        <v>847</v>
      </c>
      <c r="B9" s="11">
        <v>75</v>
      </c>
      <c r="C9" t="s">
        <v>86</v>
      </c>
      <c r="D9" t="s">
        <v>1238</v>
      </c>
      <c r="E9" t="s">
        <v>1377</v>
      </c>
      <c r="F9" t="s">
        <v>92</v>
      </c>
      <c r="G9" s="12">
        <v>12</v>
      </c>
      <c r="H9" s="12">
        <v>1731</v>
      </c>
      <c r="I9" s="12">
        <v>12</v>
      </c>
      <c r="J9" t="str">
        <f>VLOOKUP(B9,Paramètres!$A$4:$C$11,3,FALSE)</f>
        <v>Paris</v>
      </c>
      <c r="K9" s="13">
        <f>IFERROR(H9/G9,"")</f>
        <v>144.25</v>
      </c>
      <c r="L9" s="14">
        <f>IFERROR(I9/G9,"")</f>
        <v>1</v>
      </c>
      <c r="M9" s="11" t="str">
        <f>IF(K9&gt;=Paramètres!$F$6,"Très forte",IF(K9&gt;=Paramètres!$F$5,"Forte",IF(K9&gt;=Paramètres!$F$4,"Modérée","Faible")))</f>
        <v>Très forte</v>
      </c>
    </row>
    <row r="10" spans="1:13">
      <c r="A10" t="s">
        <v>1037</v>
      </c>
      <c r="B10" s="11">
        <v>75</v>
      </c>
      <c r="C10" t="s">
        <v>86</v>
      </c>
      <c r="D10" t="s">
        <v>1238</v>
      </c>
      <c r="E10" t="s">
        <v>1823</v>
      </c>
      <c r="F10" t="s">
        <v>92</v>
      </c>
      <c r="G10" s="12">
        <v>12</v>
      </c>
      <c r="H10" s="12">
        <v>1729</v>
      </c>
      <c r="I10" s="12">
        <v>12</v>
      </c>
      <c r="J10" t="str">
        <f>VLOOKUP(B10,Paramètres!$A$4:$C$11,3,FALSE)</f>
        <v>Paris</v>
      </c>
      <c r="K10" s="13">
        <f>IFERROR(H10/G10,"")</f>
        <v>144.08333333333334</v>
      </c>
      <c r="L10" s="14">
        <f>IFERROR(I10/G10,"")</f>
        <v>1</v>
      </c>
      <c r="M10" s="11" t="str">
        <f>IF(K10&gt;=Paramètres!$F$6,"Très forte",IF(K10&gt;=Paramètres!$F$5,"Forte",IF(K10&gt;=Paramètres!$F$4,"Modérée","Faible")))</f>
        <v>Très forte</v>
      </c>
    </row>
    <row r="11" spans="1:13">
      <c r="A11" t="s">
        <v>148</v>
      </c>
      <c r="B11" s="11">
        <v>75</v>
      </c>
      <c r="C11" t="s">
        <v>86</v>
      </c>
      <c r="D11" t="s">
        <v>1238</v>
      </c>
      <c r="E11" t="s">
        <v>1503</v>
      </c>
      <c r="F11" t="s">
        <v>92</v>
      </c>
      <c r="G11" s="12">
        <v>1</v>
      </c>
      <c r="H11" s="12">
        <v>143</v>
      </c>
      <c r="I11" s="12">
        <v>1</v>
      </c>
      <c r="J11" t="str">
        <f>VLOOKUP(B11,Paramètres!$A$4:$C$11,3,FALSE)</f>
        <v>Paris</v>
      </c>
      <c r="K11" s="13">
        <f>IFERROR(H11/G11,"")</f>
        <v>143</v>
      </c>
      <c r="L11" s="14">
        <f>IFERROR(I11/G11,"")</f>
        <v>1</v>
      </c>
      <c r="M11" s="11" t="str">
        <f>IF(K11&gt;=Paramètres!$F$6,"Très forte",IF(K11&gt;=Paramètres!$F$5,"Forte",IF(K11&gt;=Paramètres!$F$4,"Modérée","Faible")))</f>
        <v>Très forte</v>
      </c>
    </row>
    <row r="12" spans="1:13">
      <c r="A12" t="s">
        <v>1378</v>
      </c>
      <c r="B12" s="11">
        <v>75</v>
      </c>
      <c r="C12" t="s">
        <v>86</v>
      </c>
      <c r="D12" t="s">
        <v>1238</v>
      </c>
      <c r="E12" t="s">
        <v>1651</v>
      </c>
      <c r="F12" t="s">
        <v>92</v>
      </c>
      <c r="G12" s="12">
        <v>15</v>
      </c>
      <c r="H12" s="12">
        <v>2098</v>
      </c>
      <c r="I12" s="12">
        <v>15</v>
      </c>
      <c r="J12" t="str">
        <f>VLOOKUP(B12,Paramètres!$A$4:$C$11,3,FALSE)</f>
        <v>Paris</v>
      </c>
      <c r="K12" s="13">
        <f>IFERROR(H12/G12,"")</f>
        <v>139.86666666666667</v>
      </c>
      <c r="L12" s="14">
        <f>IFERROR(I12/G12,"")</f>
        <v>1</v>
      </c>
      <c r="M12" s="11" t="str">
        <f>IF(K12&gt;=Paramètres!$F$6,"Très forte",IF(K12&gt;=Paramètres!$F$5,"Forte",IF(K12&gt;=Paramètres!$F$4,"Modérée","Faible")))</f>
        <v>Très forte</v>
      </c>
    </row>
    <row r="13" spans="1:13">
      <c r="A13" t="s">
        <v>1133</v>
      </c>
      <c r="B13" s="11">
        <v>75</v>
      </c>
      <c r="C13" t="s">
        <v>86</v>
      </c>
      <c r="D13" t="s">
        <v>1238</v>
      </c>
      <c r="E13" t="s">
        <v>1554</v>
      </c>
      <c r="F13" t="s">
        <v>92</v>
      </c>
      <c r="G13" s="12">
        <v>12</v>
      </c>
      <c r="H13" s="12">
        <v>1609</v>
      </c>
      <c r="I13" s="12">
        <v>12</v>
      </c>
      <c r="J13" t="str">
        <f>VLOOKUP(B13,Paramètres!$A$4:$C$11,3,FALSE)</f>
        <v>Paris</v>
      </c>
      <c r="K13" s="13">
        <f>IFERROR(H13/G13,"")</f>
        <v>134.08333333333334</v>
      </c>
      <c r="L13" s="14">
        <f>IFERROR(I13/G13,"")</f>
        <v>1</v>
      </c>
      <c r="M13" s="11" t="str">
        <f>IF(K13&gt;=Paramètres!$F$6,"Très forte",IF(K13&gt;=Paramètres!$F$5,"Forte",IF(K13&gt;=Paramètres!$F$4,"Modérée","Faible")))</f>
        <v>Très forte</v>
      </c>
    </row>
    <row r="14" spans="1:13">
      <c r="A14" t="s">
        <v>847</v>
      </c>
      <c r="B14" s="11">
        <v>75</v>
      </c>
      <c r="C14" t="s">
        <v>86</v>
      </c>
      <c r="D14" t="s">
        <v>1238</v>
      </c>
      <c r="E14" t="s">
        <v>1532</v>
      </c>
      <c r="F14" t="s">
        <v>92</v>
      </c>
      <c r="G14" s="12">
        <v>15</v>
      </c>
      <c r="H14" s="12">
        <v>1924</v>
      </c>
      <c r="I14" s="12">
        <v>15</v>
      </c>
      <c r="J14" t="str">
        <f>VLOOKUP(B14,Paramètres!$A$4:$C$11,3,FALSE)</f>
        <v>Paris</v>
      </c>
      <c r="K14" s="13">
        <f>IFERROR(H14/G14,"")</f>
        <v>128.26666666666668</v>
      </c>
      <c r="L14" s="14">
        <f>IFERROR(I14/G14,"")</f>
        <v>1</v>
      </c>
      <c r="M14" s="11" t="str">
        <f>IF(K14&gt;=Paramètres!$F$6,"Très forte",IF(K14&gt;=Paramètres!$F$5,"Forte",IF(K14&gt;=Paramètres!$F$4,"Modérée","Faible")))</f>
        <v>Très forte</v>
      </c>
    </row>
    <row r="15" spans="1:13">
      <c r="A15" t="s">
        <v>1133</v>
      </c>
      <c r="B15" s="11">
        <v>75</v>
      </c>
      <c r="C15" t="s">
        <v>86</v>
      </c>
      <c r="D15" t="s">
        <v>1238</v>
      </c>
      <c r="E15" t="s">
        <v>1689</v>
      </c>
      <c r="F15" t="s">
        <v>92</v>
      </c>
      <c r="G15" s="12">
        <v>7</v>
      </c>
      <c r="H15" s="12">
        <v>868</v>
      </c>
      <c r="I15" s="12">
        <v>6</v>
      </c>
      <c r="J15" t="str">
        <f>VLOOKUP(B15,Paramètres!$A$4:$C$11,3,FALSE)</f>
        <v>Paris</v>
      </c>
      <c r="K15" s="13">
        <f>IFERROR(H15/G15,"")</f>
        <v>124</v>
      </c>
      <c r="L15" s="14">
        <f>IFERROR(I15/G15,"")</f>
        <v>0.8571428571428571</v>
      </c>
      <c r="M15" s="11" t="str">
        <f>IF(K15&gt;=Paramètres!$F$6,"Très forte",IF(K15&gt;=Paramètres!$F$5,"Forte",IF(K15&gt;=Paramètres!$F$4,"Modérée","Faible")))</f>
        <v>Très forte</v>
      </c>
    </row>
    <row r="16" spans="1:13">
      <c r="A16" t="s">
        <v>1133</v>
      </c>
      <c r="B16" s="11">
        <v>75</v>
      </c>
      <c r="C16" t="s">
        <v>86</v>
      </c>
      <c r="D16" t="s">
        <v>1238</v>
      </c>
      <c r="E16" t="s">
        <v>1519</v>
      </c>
      <c r="F16" t="s">
        <v>92</v>
      </c>
      <c r="G16" s="12">
        <v>9</v>
      </c>
      <c r="H16" s="12">
        <v>1087</v>
      </c>
      <c r="I16" s="12">
        <v>9</v>
      </c>
      <c r="J16" t="str">
        <f>VLOOKUP(B16,Paramètres!$A$4:$C$11,3,FALSE)</f>
        <v>Paris</v>
      </c>
      <c r="K16" s="13">
        <f>IFERROR(H16/G16,"")</f>
        <v>120.77777777777777</v>
      </c>
      <c r="L16" s="14">
        <f>IFERROR(I16/G16,"")</f>
        <v>1</v>
      </c>
      <c r="M16" s="11" t="str">
        <f>IF(K16&gt;=Paramètres!$F$6,"Très forte",IF(K16&gt;=Paramètres!$F$5,"Forte",IF(K16&gt;=Paramètres!$F$4,"Modérée","Faible")))</f>
        <v>Très forte</v>
      </c>
    </row>
    <row r="17" spans="1:13">
      <c r="A17" t="s">
        <v>110</v>
      </c>
      <c r="B17" s="11">
        <v>75</v>
      </c>
      <c r="C17" t="s">
        <v>86</v>
      </c>
      <c r="D17" t="s">
        <v>1238</v>
      </c>
      <c r="E17" t="s">
        <v>1496</v>
      </c>
      <c r="F17" t="s">
        <v>92</v>
      </c>
      <c r="G17" s="12">
        <v>4</v>
      </c>
      <c r="H17" s="12">
        <v>470</v>
      </c>
      <c r="I17" s="12">
        <v>4</v>
      </c>
      <c r="J17" t="str">
        <f>VLOOKUP(B17,Paramètres!$A$4:$C$11,3,FALSE)</f>
        <v>Paris</v>
      </c>
      <c r="K17" s="13">
        <f>IFERROR(H17/G17,"")</f>
        <v>117.5</v>
      </c>
      <c r="L17" s="14">
        <f>IFERROR(I17/G17,"")</f>
        <v>1</v>
      </c>
      <c r="M17" s="11" t="str">
        <f>IF(K17&gt;=Paramètres!$F$6,"Très forte",IF(K17&gt;=Paramètres!$F$5,"Forte",IF(K17&gt;=Paramètres!$F$4,"Modérée","Faible")))</f>
        <v>Très forte</v>
      </c>
    </row>
    <row r="18" spans="1:13">
      <c r="A18" t="s">
        <v>1378</v>
      </c>
      <c r="B18" s="11">
        <v>75</v>
      </c>
      <c r="C18" t="s">
        <v>86</v>
      </c>
      <c r="D18" t="s">
        <v>1238</v>
      </c>
      <c r="E18" t="s">
        <v>1652</v>
      </c>
      <c r="F18" t="s">
        <v>92</v>
      </c>
      <c r="G18" s="12">
        <v>15</v>
      </c>
      <c r="H18" s="12">
        <v>1678</v>
      </c>
      <c r="I18" s="12">
        <v>16</v>
      </c>
      <c r="J18" t="str">
        <f>VLOOKUP(B18,Paramètres!$A$4:$C$11,3,FALSE)</f>
        <v>Paris</v>
      </c>
      <c r="K18" s="13">
        <f>IFERROR(H18/G18,"")</f>
        <v>111.86666666666666</v>
      </c>
      <c r="L18" s="14">
        <f>IFERROR(I18/G18,"")</f>
        <v>1.0666666666666667</v>
      </c>
      <c r="M18" s="11" t="str">
        <f>IF(K18&gt;=Paramètres!$F$6,"Très forte",IF(K18&gt;=Paramètres!$F$5,"Forte",IF(K18&gt;=Paramètres!$F$4,"Modérée","Faible")))</f>
        <v>Très forte</v>
      </c>
    </row>
    <row r="19" spans="1:13">
      <c r="A19" t="s">
        <v>1133</v>
      </c>
      <c r="B19" s="11">
        <v>75</v>
      </c>
      <c r="C19" t="s">
        <v>86</v>
      </c>
      <c r="D19" t="s">
        <v>1238</v>
      </c>
      <c r="E19" t="s">
        <v>1387</v>
      </c>
      <c r="F19" t="s">
        <v>92</v>
      </c>
      <c r="G19" s="12">
        <v>24</v>
      </c>
      <c r="H19" s="12">
        <v>2651</v>
      </c>
      <c r="I19" s="12">
        <v>24</v>
      </c>
      <c r="J19" t="str">
        <f>VLOOKUP(B19,Paramètres!$A$4:$C$11,3,FALSE)</f>
        <v>Paris</v>
      </c>
      <c r="K19" s="13">
        <f>IFERROR(H19/G19,"")</f>
        <v>110.45833333333333</v>
      </c>
      <c r="L19" s="14">
        <f>IFERROR(I19/G19,"")</f>
        <v>1</v>
      </c>
      <c r="M19" s="11" t="str">
        <f>IF(K19&gt;=Paramètres!$F$6,"Très forte",IF(K19&gt;=Paramètres!$F$5,"Forte",IF(K19&gt;=Paramètres!$F$4,"Modérée","Faible")))</f>
        <v>Très forte</v>
      </c>
    </row>
    <row r="20" spans="1:13">
      <c r="A20" t="s">
        <v>1133</v>
      </c>
      <c r="B20" s="11">
        <v>75</v>
      </c>
      <c r="C20" t="s">
        <v>86</v>
      </c>
      <c r="D20" t="s">
        <v>1238</v>
      </c>
      <c r="E20" t="s">
        <v>1734</v>
      </c>
      <c r="F20" t="s">
        <v>92</v>
      </c>
      <c r="G20" s="12">
        <v>24</v>
      </c>
      <c r="H20" s="12">
        <v>2651</v>
      </c>
      <c r="I20" s="12">
        <v>23</v>
      </c>
      <c r="J20" t="str">
        <f>VLOOKUP(B20,Paramètres!$A$4:$C$11,3,FALSE)</f>
        <v>Paris</v>
      </c>
      <c r="K20" s="13">
        <f>IFERROR(H20/G20,"")</f>
        <v>110.45833333333333</v>
      </c>
      <c r="L20" s="14">
        <f>IFERROR(I20/G20,"")</f>
        <v>0.95833333333333337</v>
      </c>
      <c r="M20" s="11" t="str">
        <f>IF(K20&gt;=Paramètres!$F$6,"Très forte",IF(K20&gt;=Paramètres!$F$5,"Forte",IF(K20&gt;=Paramètres!$F$4,"Modérée","Faible")))</f>
        <v>Très forte</v>
      </c>
    </row>
    <row r="21" spans="1:13">
      <c r="A21" t="s">
        <v>1422</v>
      </c>
      <c r="B21" s="11">
        <v>78</v>
      </c>
      <c r="C21" t="s">
        <v>135</v>
      </c>
      <c r="D21" t="s">
        <v>1238</v>
      </c>
      <c r="E21" t="s">
        <v>1423</v>
      </c>
      <c r="F21" t="s">
        <v>92</v>
      </c>
      <c r="G21" s="12">
        <v>100</v>
      </c>
      <c r="H21" s="12">
        <v>10668</v>
      </c>
      <c r="I21" s="12">
        <v>100</v>
      </c>
      <c r="J21" t="str">
        <f>VLOOKUP(B21,Paramètres!$A$4:$C$11,3,FALSE)</f>
        <v>Grande couronne</v>
      </c>
      <c r="K21" s="13">
        <f>IFERROR(H21/G21,"")</f>
        <v>106.68</v>
      </c>
      <c r="L21" s="14">
        <f>IFERROR(I21/G21,"")</f>
        <v>1</v>
      </c>
      <c r="M21" s="11" t="str">
        <f>IF(K21&gt;=Paramètres!$F$6,"Très forte",IF(K21&gt;=Paramètres!$F$5,"Forte",IF(K21&gt;=Paramètres!$F$4,"Modérée","Faible")))</f>
        <v>Très forte</v>
      </c>
    </row>
    <row r="22" spans="1:13">
      <c r="A22" t="s">
        <v>1352</v>
      </c>
      <c r="B22" s="11">
        <v>75</v>
      </c>
      <c r="C22" t="s">
        <v>86</v>
      </c>
      <c r="D22" t="s">
        <v>1238</v>
      </c>
      <c r="E22" t="s">
        <v>1353</v>
      </c>
      <c r="F22" t="s">
        <v>92</v>
      </c>
      <c r="G22" s="12">
        <v>15</v>
      </c>
      <c r="H22" s="12">
        <v>1562</v>
      </c>
      <c r="I22" s="12">
        <v>15</v>
      </c>
      <c r="J22" t="str">
        <f>VLOOKUP(B22,Paramètres!$A$4:$C$11,3,FALSE)</f>
        <v>Paris</v>
      </c>
      <c r="K22" s="13">
        <f>IFERROR(H22/G22,"")</f>
        <v>104.13333333333334</v>
      </c>
      <c r="L22" s="14">
        <f>IFERROR(I22/G22,"")</f>
        <v>1</v>
      </c>
      <c r="M22" s="11" t="str">
        <f>IF(K22&gt;=Paramètres!$F$6,"Très forte",IF(K22&gt;=Paramètres!$F$5,"Forte",IF(K22&gt;=Paramètres!$F$4,"Modérée","Faible")))</f>
        <v>Très forte</v>
      </c>
    </row>
    <row r="23" spans="1:13">
      <c r="A23" t="s">
        <v>1352</v>
      </c>
      <c r="B23" s="11">
        <v>75</v>
      </c>
      <c r="C23" t="s">
        <v>86</v>
      </c>
      <c r="D23" t="s">
        <v>1238</v>
      </c>
      <c r="E23" t="s">
        <v>1817</v>
      </c>
      <c r="F23" t="s">
        <v>92</v>
      </c>
      <c r="G23" s="12">
        <v>15</v>
      </c>
      <c r="H23" s="12">
        <v>1483</v>
      </c>
      <c r="I23" s="12">
        <v>15</v>
      </c>
      <c r="J23" t="str">
        <f>VLOOKUP(B23,Paramètres!$A$4:$C$11,3,FALSE)</f>
        <v>Paris</v>
      </c>
      <c r="K23" s="13">
        <f>IFERROR(H23/G23,"")</f>
        <v>98.86666666666666</v>
      </c>
      <c r="L23" s="14">
        <f>IFERROR(I23/G23,"")</f>
        <v>1</v>
      </c>
      <c r="M23" s="11" t="str">
        <f>IF(K23&gt;=Paramètres!$F$6,"Très forte",IF(K23&gt;=Paramètres!$F$5,"Forte",IF(K23&gt;=Paramètres!$F$4,"Modérée","Faible")))</f>
        <v>Très forte</v>
      </c>
    </row>
    <row r="24" spans="1:13">
      <c r="A24" t="s">
        <v>1445</v>
      </c>
      <c r="B24" s="11">
        <v>92</v>
      </c>
      <c r="C24" t="s">
        <v>94</v>
      </c>
      <c r="D24" t="s">
        <v>1238</v>
      </c>
      <c r="E24" t="s">
        <v>1267</v>
      </c>
      <c r="F24" t="s">
        <v>92</v>
      </c>
      <c r="G24" s="12">
        <v>4</v>
      </c>
      <c r="H24" s="12">
        <v>393</v>
      </c>
      <c r="I24" s="12">
        <v>4</v>
      </c>
      <c r="J24" t="str">
        <f>VLOOKUP(B24,Paramètres!$A$4:$C$11,3,FALSE)</f>
        <v>Petite couronne</v>
      </c>
      <c r="K24" s="13">
        <f>IFERROR(H24/G24,"")</f>
        <v>98.25</v>
      </c>
      <c r="L24" s="14">
        <f>IFERROR(I24/G24,"")</f>
        <v>1</v>
      </c>
      <c r="M24" s="11" t="str">
        <f>IF(K24&gt;=Paramètres!$F$6,"Très forte",IF(K24&gt;=Paramètres!$F$5,"Forte",IF(K24&gt;=Paramètres!$F$4,"Modérée","Faible")))</f>
        <v>Très forte</v>
      </c>
    </row>
    <row r="25" spans="1:13">
      <c r="A25" t="s">
        <v>1634</v>
      </c>
      <c r="B25" s="11">
        <v>75</v>
      </c>
      <c r="C25" t="s">
        <v>86</v>
      </c>
      <c r="D25" t="s">
        <v>1238</v>
      </c>
      <c r="E25" t="s">
        <v>1635</v>
      </c>
      <c r="F25" t="s">
        <v>92</v>
      </c>
      <c r="G25" s="12">
        <v>15</v>
      </c>
      <c r="H25" s="12">
        <v>1369</v>
      </c>
      <c r="I25" s="12">
        <v>16</v>
      </c>
      <c r="J25" t="str">
        <f>VLOOKUP(B25,Paramètres!$A$4:$C$11,3,FALSE)</f>
        <v>Paris</v>
      </c>
      <c r="K25" s="13">
        <f>IFERROR(H25/G25,"")</f>
        <v>91.266666666666666</v>
      </c>
      <c r="L25" s="14">
        <f>IFERROR(I25/G25,"")</f>
        <v>1.0666666666666667</v>
      </c>
      <c r="M25" s="11" t="str">
        <f>IF(K25&gt;=Paramètres!$F$6,"Très forte",IF(K25&gt;=Paramètres!$F$5,"Forte",IF(K25&gt;=Paramètres!$F$4,"Modérée","Faible")))</f>
        <v>Très forte</v>
      </c>
    </row>
    <row r="26" spans="1:13">
      <c r="A26" t="s">
        <v>847</v>
      </c>
      <c r="B26" s="11">
        <v>75</v>
      </c>
      <c r="C26" t="s">
        <v>86</v>
      </c>
      <c r="D26" t="s">
        <v>1238</v>
      </c>
      <c r="E26" t="s">
        <v>1725</v>
      </c>
      <c r="F26" t="s">
        <v>92</v>
      </c>
      <c r="G26" s="12">
        <v>12</v>
      </c>
      <c r="H26" s="12">
        <v>1073</v>
      </c>
      <c r="I26" s="12">
        <v>12</v>
      </c>
      <c r="J26" t="str">
        <f>VLOOKUP(B26,Paramètres!$A$4:$C$11,3,FALSE)</f>
        <v>Paris</v>
      </c>
      <c r="K26" s="13">
        <f>IFERROR(H26/G26,"")</f>
        <v>89.416666666666671</v>
      </c>
      <c r="L26" s="14">
        <f>IFERROR(I26/G26,"")</f>
        <v>1</v>
      </c>
      <c r="M26" s="11" t="str">
        <f>IF(K26&gt;=Paramètres!$F$6,"Très forte",IF(K26&gt;=Paramètres!$F$5,"Forte",IF(K26&gt;=Paramètres!$F$4,"Modérée","Faible")))</f>
        <v>Très forte</v>
      </c>
    </row>
    <row r="27" spans="1:13">
      <c r="A27" t="s">
        <v>1352</v>
      </c>
      <c r="B27" s="11">
        <v>75</v>
      </c>
      <c r="C27" t="s">
        <v>86</v>
      </c>
      <c r="D27" t="s">
        <v>1238</v>
      </c>
      <c r="E27" t="s">
        <v>1756</v>
      </c>
      <c r="F27" t="s">
        <v>92</v>
      </c>
      <c r="G27" s="12">
        <v>15</v>
      </c>
      <c r="H27" s="12">
        <v>1314</v>
      </c>
      <c r="I27" s="12">
        <v>15</v>
      </c>
      <c r="J27" t="str">
        <f>VLOOKUP(B27,Paramètres!$A$4:$C$11,3,FALSE)</f>
        <v>Paris</v>
      </c>
      <c r="K27" s="13">
        <f>IFERROR(H27/G27,"")</f>
        <v>87.6</v>
      </c>
      <c r="L27" s="14">
        <f>IFERROR(I27/G27,"")</f>
        <v>1</v>
      </c>
      <c r="M27" s="11" t="str">
        <f>IF(K27&gt;=Paramètres!$F$6,"Très forte",IF(K27&gt;=Paramètres!$F$5,"Forte",IF(K27&gt;=Paramètres!$F$4,"Modérée","Faible")))</f>
        <v>Très forte</v>
      </c>
    </row>
    <row r="28" spans="1:13">
      <c r="A28" t="s">
        <v>847</v>
      </c>
      <c r="B28" s="11">
        <v>75</v>
      </c>
      <c r="C28" t="s">
        <v>86</v>
      </c>
      <c r="D28" t="s">
        <v>1238</v>
      </c>
      <c r="E28" t="s">
        <v>1534</v>
      </c>
      <c r="F28" t="s">
        <v>92</v>
      </c>
      <c r="G28" s="12">
        <v>9</v>
      </c>
      <c r="H28" s="12">
        <v>749</v>
      </c>
      <c r="I28" s="12">
        <v>9</v>
      </c>
      <c r="J28" t="str">
        <f>VLOOKUP(B28,Paramètres!$A$4:$C$11,3,FALSE)</f>
        <v>Paris</v>
      </c>
      <c r="K28" s="13">
        <f>IFERROR(H28/G28,"")</f>
        <v>83.222222222222229</v>
      </c>
      <c r="L28" s="14">
        <f>IFERROR(I28/G28,"")</f>
        <v>1</v>
      </c>
      <c r="M28" s="11" t="str">
        <f>IF(K28&gt;=Paramètres!$F$6,"Très forte",IF(K28&gt;=Paramètres!$F$5,"Forte",IF(K28&gt;=Paramètres!$F$4,"Modérée","Faible")))</f>
        <v>Très forte</v>
      </c>
    </row>
    <row r="29" spans="1:13">
      <c r="A29" t="s">
        <v>1133</v>
      </c>
      <c r="B29" s="11">
        <v>75</v>
      </c>
      <c r="C29" t="s">
        <v>86</v>
      </c>
      <c r="D29" t="s">
        <v>1238</v>
      </c>
      <c r="E29" t="s">
        <v>1649</v>
      </c>
      <c r="F29" t="s">
        <v>92</v>
      </c>
      <c r="G29" s="12">
        <v>12</v>
      </c>
      <c r="H29" s="12">
        <v>979</v>
      </c>
      <c r="I29" s="12">
        <v>12</v>
      </c>
      <c r="J29" t="str">
        <f>VLOOKUP(B29,Paramètres!$A$4:$C$11,3,FALSE)</f>
        <v>Paris</v>
      </c>
      <c r="K29" s="13">
        <f>IFERROR(H29/G29,"")</f>
        <v>81.583333333333329</v>
      </c>
      <c r="L29" s="14">
        <f>IFERROR(I29/G29,"")</f>
        <v>1</v>
      </c>
      <c r="M29" s="11" t="str">
        <f>IF(K29&gt;=Paramètres!$F$6,"Très forte",IF(K29&gt;=Paramètres!$F$5,"Forte",IF(K29&gt;=Paramètres!$F$4,"Modérée","Faible")))</f>
        <v>Très forte</v>
      </c>
    </row>
    <row r="30" spans="1:13">
      <c r="A30" t="s">
        <v>882</v>
      </c>
      <c r="B30" s="11">
        <v>77</v>
      </c>
      <c r="C30" t="s">
        <v>132</v>
      </c>
      <c r="D30" t="s">
        <v>1238</v>
      </c>
      <c r="E30" t="s">
        <v>1666</v>
      </c>
      <c r="F30" t="s">
        <v>92</v>
      </c>
      <c r="G30" s="12">
        <v>10</v>
      </c>
      <c r="H30" s="12">
        <v>808</v>
      </c>
      <c r="I30" s="12">
        <v>9</v>
      </c>
      <c r="J30" t="str">
        <f>VLOOKUP(B30,Paramètres!$A$4:$C$11,3,FALSE)</f>
        <v>Grande couronne</v>
      </c>
      <c r="K30" s="13">
        <f>IFERROR(H30/G30,"")</f>
        <v>80.8</v>
      </c>
      <c r="L30" s="14">
        <f>IFERROR(I30/G30,"")</f>
        <v>0.9</v>
      </c>
      <c r="M30" s="11" t="str">
        <f>IF(K30&gt;=Paramètres!$F$6,"Très forte",IF(K30&gt;=Paramètres!$F$5,"Forte",IF(K30&gt;=Paramètres!$F$4,"Modérée","Faible")))</f>
        <v>Très forte</v>
      </c>
    </row>
    <row r="31" spans="1:13">
      <c r="A31" t="s">
        <v>847</v>
      </c>
      <c r="B31" s="11">
        <v>75</v>
      </c>
      <c r="C31" t="s">
        <v>86</v>
      </c>
      <c r="D31" t="s">
        <v>1238</v>
      </c>
      <c r="E31" t="s">
        <v>1526</v>
      </c>
      <c r="F31" t="s">
        <v>92</v>
      </c>
      <c r="G31" s="12">
        <v>9</v>
      </c>
      <c r="H31" s="12">
        <v>713</v>
      </c>
      <c r="I31" s="12">
        <v>9</v>
      </c>
      <c r="J31" t="str">
        <f>VLOOKUP(B31,Paramètres!$A$4:$C$11,3,FALSE)</f>
        <v>Paris</v>
      </c>
      <c r="K31" s="13">
        <f>IFERROR(H31/G31,"")</f>
        <v>79.222222222222229</v>
      </c>
      <c r="L31" s="14">
        <f>IFERROR(I31/G31,"")</f>
        <v>1</v>
      </c>
      <c r="M31" s="11" t="str">
        <f>IF(K31&gt;=Paramètres!$F$6,"Très forte",IF(K31&gt;=Paramètres!$F$5,"Forte",IF(K31&gt;=Paramètres!$F$4,"Modérée","Faible")))</f>
        <v>Très forte</v>
      </c>
    </row>
    <row r="32" spans="1:13">
      <c r="A32" t="s">
        <v>1378</v>
      </c>
      <c r="B32" s="11">
        <v>75</v>
      </c>
      <c r="C32" t="s">
        <v>86</v>
      </c>
      <c r="D32" t="s">
        <v>1238</v>
      </c>
      <c r="E32" t="s">
        <v>1380</v>
      </c>
      <c r="F32" t="s">
        <v>92</v>
      </c>
      <c r="G32" s="12">
        <v>15</v>
      </c>
      <c r="H32" s="12">
        <v>1154</v>
      </c>
      <c r="I32" s="12">
        <v>16</v>
      </c>
      <c r="J32" t="str">
        <f>VLOOKUP(B32,Paramètres!$A$4:$C$11,3,FALSE)</f>
        <v>Paris</v>
      </c>
      <c r="K32" s="13">
        <f>IFERROR(H32/G32,"")</f>
        <v>76.933333333333337</v>
      </c>
      <c r="L32" s="14">
        <f>IFERROR(I32/G32,"")</f>
        <v>1.0666666666666667</v>
      </c>
      <c r="M32" s="11" t="str">
        <f>IF(K32&gt;=Paramètres!$F$6,"Très forte",IF(K32&gt;=Paramètres!$F$5,"Forte",IF(K32&gt;=Paramètres!$F$4,"Modérée","Faible")))</f>
        <v>Très forte</v>
      </c>
    </row>
    <row r="33" spans="1:13">
      <c r="A33" t="s">
        <v>1242</v>
      </c>
      <c r="B33" s="11">
        <v>75</v>
      </c>
      <c r="C33" t="s">
        <v>86</v>
      </c>
      <c r="D33" t="s">
        <v>1238</v>
      </c>
      <c r="E33" t="s">
        <v>1472</v>
      </c>
      <c r="F33" t="s">
        <v>92</v>
      </c>
      <c r="G33" s="12">
        <v>45</v>
      </c>
      <c r="H33" s="12">
        <v>3380</v>
      </c>
      <c r="I33" s="12">
        <v>45</v>
      </c>
      <c r="J33" t="str">
        <f>VLOOKUP(B33,Paramètres!$A$4:$C$11,3,FALSE)</f>
        <v>Paris</v>
      </c>
      <c r="K33" s="13">
        <f>IFERROR(H33/G33,"")</f>
        <v>75.111111111111114</v>
      </c>
      <c r="L33" s="14">
        <f>IFERROR(I33/G33,"")</f>
        <v>1</v>
      </c>
      <c r="M33" s="11" t="str">
        <f>IF(K33&gt;=Paramètres!$F$6,"Très forte",IF(K33&gt;=Paramètres!$F$5,"Forte",IF(K33&gt;=Paramètres!$F$4,"Modérée","Faible")))</f>
        <v>Très forte</v>
      </c>
    </row>
    <row r="34" spans="1:13">
      <c r="A34" t="s">
        <v>1133</v>
      </c>
      <c r="B34" s="11">
        <v>75</v>
      </c>
      <c r="C34" t="s">
        <v>86</v>
      </c>
      <c r="D34" t="s">
        <v>1238</v>
      </c>
      <c r="E34" t="s">
        <v>1518</v>
      </c>
      <c r="F34" t="s">
        <v>92</v>
      </c>
      <c r="G34" s="12">
        <v>12</v>
      </c>
      <c r="H34" s="12">
        <v>883</v>
      </c>
      <c r="I34" s="12">
        <v>11</v>
      </c>
      <c r="J34" t="str">
        <f>VLOOKUP(B34,Paramètres!$A$4:$C$11,3,FALSE)</f>
        <v>Paris</v>
      </c>
      <c r="K34" s="13">
        <f>IFERROR(H34/G34,"")</f>
        <v>73.583333333333329</v>
      </c>
      <c r="L34" s="14">
        <f>IFERROR(I34/G34,"")</f>
        <v>0.91666666666666663</v>
      </c>
      <c r="M34" s="11" t="str">
        <f>IF(K34&gt;=Paramètres!$F$6,"Très forte",IF(K34&gt;=Paramètres!$F$5,"Forte",IF(K34&gt;=Paramètres!$F$4,"Modérée","Faible")))</f>
        <v>Très forte</v>
      </c>
    </row>
    <row r="35" spans="1:13">
      <c r="A35" t="s">
        <v>820</v>
      </c>
      <c r="B35" s="11">
        <v>75</v>
      </c>
      <c r="C35" t="s">
        <v>86</v>
      </c>
      <c r="D35" t="s">
        <v>1238</v>
      </c>
      <c r="E35" t="s">
        <v>1301</v>
      </c>
      <c r="F35" t="s">
        <v>92</v>
      </c>
      <c r="G35" s="12">
        <v>48</v>
      </c>
      <c r="H35" s="12">
        <v>3474</v>
      </c>
      <c r="I35" s="12">
        <v>47</v>
      </c>
      <c r="J35" t="str">
        <f>VLOOKUP(B35,Paramètres!$A$4:$C$11,3,FALSE)</f>
        <v>Paris</v>
      </c>
      <c r="K35" s="13">
        <f>IFERROR(H35/G35,"")</f>
        <v>72.375</v>
      </c>
      <c r="L35" s="14">
        <f>IFERROR(I35/G35,"")</f>
        <v>0.97916666666666663</v>
      </c>
      <c r="M35" s="11" t="str">
        <f>IF(K35&gt;=Paramètres!$F$6,"Très forte",IF(K35&gt;=Paramètres!$F$5,"Forte",IF(K35&gt;=Paramètres!$F$4,"Modérée","Faible")))</f>
        <v>Très forte</v>
      </c>
    </row>
    <row r="36" spans="1:13">
      <c r="A36" t="s">
        <v>1266</v>
      </c>
      <c r="B36" s="11">
        <v>77</v>
      </c>
      <c r="C36" t="s">
        <v>132</v>
      </c>
      <c r="D36" t="s">
        <v>1238</v>
      </c>
      <c r="E36" t="s">
        <v>1267</v>
      </c>
      <c r="F36" t="s">
        <v>92</v>
      </c>
      <c r="G36" s="12">
        <v>5</v>
      </c>
      <c r="H36" s="12">
        <v>337</v>
      </c>
      <c r="I36" s="12">
        <v>5</v>
      </c>
      <c r="J36" t="str">
        <f>VLOOKUP(B36,Paramètres!$A$4:$C$11,3,FALSE)</f>
        <v>Grande couronne</v>
      </c>
      <c r="K36" s="13">
        <f>IFERROR(H36/G36,"")</f>
        <v>67.400000000000006</v>
      </c>
      <c r="L36" s="14">
        <f>IFERROR(I36/G36,"")</f>
        <v>1</v>
      </c>
      <c r="M36" s="11" t="str">
        <f>IF(K36&gt;=Paramètres!$F$6,"Très forte",IF(K36&gt;=Paramètres!$F$5,"Forte",IF(K36&gt;=Paramètres!$F$4,"Modérée","Faible")))</f>
        <v>Très forte</v>
      </c>
    </row>
    <row r="37" spans="1:13">
      <c r="A37" t="s">
        <v>1352</v>
      </c>
      <c r="B37" s="11">
        <v>75</v>
      </c>
      <c r="C37" t="s">
        <v>86</v>
      </c>
      <c r="D37" t="s">
        <v>1238</v>
      </c>
      <c r="E37" t="s">
        <v>1386</v>
      </c>
      <c r="F37" t="s">
        <v>92</v>
      </c>
      <c r="G37" s="12">
        <v>15</v>
      </c>
      <c r="H37" s="12">
        <v>1011</v>
      </c>
      <c r="I37" s="12">
        <v>15</v>
      </c>
      <c r="J37" t="str">
        <f>VLOOKUP(B37,Paramètres!$A$4:$C$11,3,FALSE)</f>
        <v>Paris</v>
      </c>
      <c r="K37" s="13">
        <f>IFERROR(H37/G37,"")</f>
        <v>67.400000000000006</v>
      </c>
      <c r="L37" s="14">
        <f>IFERROR(I37/G37,"")</f>
        <v>1</v>
      </c>
      <c r="M37" s="11" t="str">
        <f>IF(K37&gt;=Paramètres!$F$6,"Très forte",IF(K37&gt;=Paramètres!$F$5,"Forte",IF(K37&gt;=Paramètres!$F$4,"Modérée","Faible")))</f>
        <v>Très forte</v>
      </c>
    </row>
    <row r="38" spans="1:13">
      <c r="A38" t="s">
        <v>259</v>
      </c>
      <c r="B38" s="11">
        <v>92</v>
      </c>
      <c r="C38" t="s">
        <v>94</v>
      </c>
      <c r="D38" t="s">
        <v>1238</v>
      </c>
      <c r="E38" t="s">
        <v>1811</v>
      </c>
      <c r="F38" t="s">
        <v>92</v>
      </c>
      <c r="G38" s="12">
        <v>24</v>
      </c>
      <c r="H38" s="12">
        <v>1542</v>
      </c>
      <c r="I38" s="12">
        <v>23</v>
      </c>
      <c r="J38" t="str">
        <f>VLOOKUP(B38,Paramètres!$A$4:$C$11,3,FALSE)</f>
        <v>Petite couronne</v>
      </c>
      <c r="K38" s="13">
        <f>IFERROR(H38/G38,"")</f>
        <v>64.25</v>
      </c>
      <c r="L38" s="14">
        <f>IFERROR(I38/G38,"")</f>
        <v>0.95833333333333337</v>
      </c>
      <c r="M38" s="11" t="str">
        <f>IF(K38&gt;=Paramètres!$F$6,"Très forte",IF(K38&gt;=Paramètres!$F$5,"Forte",IF(K38&gt;=Paramètres!$F$4,"Modérée","Faible")))</f>
        <v>Très forte</v>
      </c>
    </row>
    <row r="39" spans="1:13">
      <c r="A39" t="s">
        <v>1478</v>
      </c>
      <c r="B39" s="11">
        <v>75</v>
      </c>
      <c r="C39" t="s">
        <v>86</v>
      </c>
      <c r="D39" t="s">
        <v>1238</v>
      </c>
      <c r="E39" t="s">
        <v>1704</v>
      </c>
      <c r="F39" t="s">
        <v>92</v>
      </c>
      <c r="G39" s="12">
        <v>9</v>
      </c>
      <c r="H39" s="12">
        <v>564</v>
      </c>
      <c r="I39" s="12">
        <v>9</v>
      </c>
      <c r="J39" t="str">
        <f>VLOOKUP(B39,Paramètres!$A$4:$C$11,3,FALSE)</f>
        <v>Paris</v>
      </c>
      <c r="K39" s="13">
        <f>IFERROR(H39/G39,"")</f>
        <v>62.666666666666664</v>
      </c>
      <c r="L39" s="14">
        <f>IFERROR(I39/G39,"")</f>
        <v>1</v>
      </c>
      <c r="M39" s="11" t="str">
        <f>IF(K39&gt;=Paramètres!$F$6,"Très forte",IF(K39&gt;=Paramètres!$F$5,"Forte",IF(K39&gt;=Paramètres!$F$4,"Modérée","Faible")))</f>
        <v>Très forte</v>
      </c>
    </row>
    <row r="40" spans="1:13">
      <c r="A40" t="s">
        <v>1390</v>
      </c>
      <c r="B40" s="11">
        <v>75</v>
      </c>
      <c r="C40" t="s">
        <v>86</v>
      </c>
      <c r="D40" t="s">
        <v>1238</v>
      </c>
      <c r="E40" t="s">
        <v>1722</v>
      </c>
      <c r="F40" t="s">
        <v>92</v>
      </c>
      <c r="G40" s="12">
        <v>12</v>
      </c>
      <c r="H40" s="12">
        <v>750</v>
      </c>
      <c r="I40" s="12">
        <v>12</v>
      </c>
      <c r="J40" t="str">
        <f>VLOOKUP(B40,Paramètres!$A$4:$C$11,3,FALSE)</f>
        <v>Paris</v>
      </c>
      <c r="K40" s="13">
        <f>IFERROR(H40/G40,"")</f>
        <v>62.5</v>
      </c>
      <c r="L40" s="14">
        <f>IFERROR(I40/G40,"")</f>
        <v>1</v>
      </c>
      <c r="M40" s="11" t="str">
        <f>IF(K40&gt;=Paramètres!$F$6,"Très forte",IF(K40&gt;=Paramètres!$F$5,"Forte",IF(K40&gt;=Paramètres!$F$4,"Modérée","Faible")))</f>
        <v>Très forte</v>
      </c>
    </row>
    <row r="41" spans="1:13">
      <c r="A41" t="s">
        <v>1037</v>
      </c>
      <c r="B41" s="11">
        <v>75</v>
      </c>
      <c r="C41" t="s">
        <v>86</v>
      </c>
      <c r="D41" t="s">
        <v>1238</v>
      </c>
      <c r="E41" t="s">
        <v>1721</v>
      </c>
      <c r="F41" t="s">
        <v>92</v>
      </c>
      <c r="G41" s="12">
        <v>24</v>
      </c>
      <c r="H41" s="12">
        <v>1480</v>
      </c>
      <c r="I41" s="12">
        <v>24</v>
      </c>
      <c r="J41" t="str">
        <f>VLOOKUP(B41,Paramètres!$A$4:$C$11,3,FALSE)</f>
        <v>Paris</v>
      </c>
      <c r="K41" s="13">
        <f>IFERROR(H41/G41,"")</f>
        <v>61.666666666666664</v>
      </c>
      <c r="L41" s="14">
        <f>IFERROR(I41/G41,"")</f>
        <v>1</v>
      </c>
      <c r="M41" s="11" t="str">
        <f>IF(K41&gt;=Paramètres!$F$6,"Très forte",IF(K41&gt;=Paramètres!$F$5,"Forte",IF(K41&gt;=Paramètres!$F$4,"Modérée","Faible")))</f>
        <v>Très forte</v>
      </c>
    </row>
    <row r="42" spans="1:13">
      <c r="A42" t="s">
        <v>1524</v>
      </c>
      <c r="B42" s="11">
        <v>75</v>
      </c>
      <c r="C42" t="s">
        <v>86</v>
      </c>
      <c r="D42" t="s">
        <v>1238</v>
      </c>
      <c r="E42" t="s">
        <v>1723</v>
      </c>
      <c r="F42" t="s">
        <v>92</v>
      </c>
      <c r="G42" s="12">
        <v>16</v>
      </c>
      <c r="H42" s="12">
        <v>983</v>
      </c>
      <c r="I42" s="12">
        <v>16</v>
      </c>
      <c r="J42" t="str">
        <f>VLOOKUP(B42,Paramètres!$A$4:$C$11,3,FALSE)</f>
        <v>Paris</v>
      </c>
      <c r="K42" s="13">
        <f>IFERROR(H42/G42,"")</f>
        <v>61.4375</v>
      </c>
      <c r="L42" s="14">
        <f>IFERROR(I42/G42,"")</f>
        <v>1</v>
      </c>
      <c r="M42" s="11" t="str">
        <f>IF(K42&gt;=Paramètres!$F$6,"Très forte",IF(K42&gt;=Paramètres!$F$5,"Forte",IF(K42&gt;=Paramètres!$F$4,"Modérée","Faible")))</f>
        <v>Très forte</v>
      </c>
    </row>
    <row r="43" spans="1:13">
      <c r="A43" t="s">
        <v>1378</v>
      </c>
      <c r="B43" s="11">
        <v>75</v>
      </c>
      <c r="C43" t="s">
        <v>86</v>
      </c>
      <c r="D43" t="s">
        <v>1238</v>
      </c>
      <c r="E43" t="s">
        <v>1727</v>
      </c>
      <c r="F43" t="s">
        <v>92</v>
      </c>
      <c r="G43" s="12">
        <v>15</v>
      </c>
      <c r="H43" s="12">
        <v>902</v>
      </c>
      <c r="I43" s="12">
        <v>16</v>
      </c>
      <c r="J43" t="str">
        <f>VLOOKUP(B43,Paramètres!$A$4:$C$11,3,FALSE)</f>
        <v>Paris</v>
      </c>
      <c r="K43" s="13">
        <f>IFERROR(H43/G43,"")</f>
        <v>60.133333333333333</v>
      </c>
      <c r="L43" s="14">
        <f>IFERROR(I43/G43,"")</f>
        <v>1.0666666666666667</v>
      </c>
      <c r="M43" s="11" t="str">
        <f>IF(K43&gt;=Paramètres!$F$6,"Très forte",IF(K43&gt;=Paramètres!$F$5,"Forte",IF(K43&gt;=Paramètres!$F$4,"Modérée","Faible")))</f>
        <v>Très forte</v>
      </c>
    </row>
    <row r="44" spans="1:13">
      <c r="A44" t="s">
        <v>1378</v>
      </c>
      <c r="B44" s="11">
        <v>75</v>
      </c>
      <c r="C44" t="s">
        <v>86</v>
      </c>
      <c r="D44" t="s">
        <v>1238</v>
      </c>
      <c r="E44" t="s">
        <v>1389</v>
      </c>
      <c r="F44" t="s">
        <v>92</v>
      </c>
      <c r="G44" s="12">
        <v>15</v>
      </c>
      <c r="H44" s="12">
        <v>874</v>
      </c>
      <c r="I44" s="12">
        <v>16</v>
      </c>
      <c r="J44" t="str">
        <f>VLOOKUP(B44,Paramètres!$A$4:$C$11,3,FALSE)</f>
        <v>Paris</v>
      </c>
      <c r="K44" s="13">
        <f>IFERROR(H44/G44,"")</f>
        <v>58.266666666666666</v>
      </c>
      <c r="L44" s="14">
        <f>IFERROR(I44/G44,"")</f>
        <v>1.0666666666666667</v>
      </c>
      <c r="M44" s="11" t="str">
        <f>IF(K44&gt;=Paramètres!$F$6,"Très forte",IF(K44&gt;=Paramètres!$F$5,"Forte",IF(K44&gt;=Paramètres!$F$4,"Modérée","Faible")))</f>
        <v>Très forte</v>
      </c>
    </row>
    <row r="45" spans="1:13">
      <c r="A45" t="s">
        <v>1458</v>
      </c>
      <c r="B45" s="11">
        <v>94</v>
      </c>
      <c r="C45" t="s">
        <v>116</v>
      </c>
      <c r="D45" t="s">
        <v>1238</v>
      </c>
      <c r="E45" t="s">
        <v>1459</v>
      </c>
      <c r="F45" t="s">
        <v>92</v>
      </c>
      <c r="G45" s="12">
        <v>70</v>
      </c>
      <c r="H45" s="12">
        <v>4060</v>
      </c>
      <c r="I45" s="12">
        <v>70</v>
      </c>
      <c r="J45" t="str">
        <f>VLOOKUP(B45,Paramètres!$A$4:$C$11,3,FALSE)</f>
        <v>Petite couronne</v>
      </c>
      <c r="K45" s="13">
        <f>IFERROR(H45/G45,"")</f>
        <v>58</v>
      </c>
      <c r="L45" s="14">
        <f>IFERROR(I45/G45,"")</f>
        <v>1</v>
      </c>
      <c r="M45" s="11" t="str">
        <f>IF(K45&gt;=Paramètres!$F$6,"Très forte",IF(K45&gt;=Paramètres!$F$5,"Forte",IF(K45&gt;=Paramètres!$F$4,"Modérée","Faible")))</f>
        <v>Très forte</v>
      </c>
    </row>
    <row r="46" spans="1:13">
      <c r="A46" t="s">
        <v>1352</v>
      </c>
      <c r="B46" s="11">
        <v>75</v>
      </c>
      <c r="C46" t="s">
        <v>86</v>
      </c>
      <c r="D46" t="s">
        <v>1238</v>
      </c>
      <c r="E46" t="s">
        <v>1500</v>
      </c>
      <c r="F46" t="s">
        <v>92</v>
      </c>
      <c r="G46" s="12">
        <v>4</v>
      </c>
      <c r="H46" s="12">
        <v>232</v>
      </c>
      <c r="I46" s="12">
        <v>4</v>
      </c>
      <c r="J46" t="str">
        <f>VLOOKUP(B46,Paramètres!$A$4:$C$11,3,FALSE)</f>
        <v>Paris</v>
      </c>
      <c r="K46" s="13">
        <f>IFERROR(H46/G46,"")</f>
        <v>58</v>
      </c>
      <c r="L46" s="14">
        <f>IFERROR(I46/G46,"")</f>
        <v>1</v>
      </c>
      <c r="M46" s="11" t="str">
        <f>IF(K46&gt;=Paramètres!$F$6,"Très forte",IF(K46&gt;=Paramètres!$F$5,"Forte",IF(K46&gt;=Paramètres!$F$4,"Modérée","Faible")))</f>
        <v>Très forte</v>
      </c>
    </row>
    <row r="47" spans="1:13">
      <c r="A47" t="s">
        <v>856</v>
      </c>
      <c r="B47" s="11">
        <v>75</v>
      </c>
      <c r="C47" t="s">
        <v>86</v>
      </c>
      <c r="D47" t="s">
        <v>1238</v>
      </c>
      <c r="E47" t="s">
        <v>1301</v>
      </c>
      <c r="F47" t="s">
        <v>92</v>
      </c>
      <c r="G47" s="12">
        <v>96</v>
      </c>
      <c r="H47" s="12">
        <v>5465</v>
      </c>
      <c r="I47" s="12">
        <v>88</v>
      </c>
      <c r="J47" t="str">
        <f>VLOOKUP(B47,Paramètres!$A$4:$C$11,3,FALSE)</f>
        <v>Paris</v>
      </c>
      <c r="K47" s="13">
        <f>IFERROR(H47/G47,"")</f>
        <v>56.927083333333336</v>
      </c>
      <c r="L47" s="14">
        <f>IFERROR(I47/G47,"")</f>
        <v>0.91666666666666663</v>
      </c>
      <c r="M47" s="11" t="str">
        <f>IF(K47&gt;=Paramètres!$F$6,"Très forte",IF(K47&gt;=Paramètres!$F$5,"Forte",IF(K47&gt;=Paramètres!$F$4,"Modérée","Faible")))</f>
        <v>Très forte</v>
      </c>
    </row>
    <row r="48" spans="1:13">
      <c r="A48" t="s">
        <v>1378</v>
      </c>
      <c r="B48" s="11">
        <v>75</v>
      </c>
      <c r="C48" t="s">
        <v>86</v>
      </c>
      <c r="D48" t="s">
        <v>1238</v>
      </c>
      <c r="E48" t="s">
        <v>1735</v>
      </c>
      <c r="F48" t="s">
        <v>92</v>
      </c>
      <c r="G48" s="12">
        <v>15</v>
      </c>
      <c r="H48" s="12">
        <v>841</v>
      </c>
      <c r="I48" s="12">
        <v>16</v>
      </c>
      <c r="J48" t="str">
        <f>VLOOKUP(B48,Paramètres!$A$4:$C$11,3,FALSE)</f>
        <v>Paris</v>
      </c>
      <c r="K48" s="13">
        <f>IFERROR(H48/G48,"")</f>
        <v>56.06666666666667</v>
      </c>
      <c r="L48" s="14">
        <f>IFERROR(I48/G48,"")</f>
        <v>1.0666666666666667</v>
      </c>
      <c r="M48" s="11" t="str">
        <f>IF(K48&gt;=Paramètres!$F$6,"Très forte",IF(K48&gt;=Paramètres!$F$5,"Forte",IF(K48&gt;=Paramètres!$F$4,"Modérée","Faible")))</f>
        <v>Très forte</v>
      </c>
    </row>
    <row r="49" spans="1:13">
      <c r="A49" t="s">
        <v>1212</v>
      </c>
      <c r="B49" s="11">
        <v>78</v>
      </c>
      <c r="C49" t="s">
        <v>135</v>
      </c>
      <c r="D49" t="s">
        <v>1238</v>
      </c>
      <c r="E49" t="s">
        <v>1487</v>
      </c>
      <c r="F49" t="s">
        <v>92</v>
      </c>
      <c r="G49" s="12">
        <v>24</v>
      </c>
      <c r="H49" s="12">
        <v>1341</v>
      </c>
      <c r="I49" s="12">
        <v>20</v>
      </c>
      <c r="J49" t="str">
        <f>VLOOKUP(B49,Paramètres!$A$4:$C$11,3,FALSE)</f>
        <v>Grande couronne</v>
      </c>
      <c r="K49" s="13">
        <f>IFERROR(H49/G49,"")</f>
        <v>55.875</v>
      </c>
      <c r="L49" s="14">
        <f>IFERROR(I49/G49,"")</f>
        <v>0.83333333333333337</v>
      </c>
      <c r="M49" s="11" t="str">
        <f>IF(K49&gt;=Paramètres!$F$6,"Très forte",IF(K49&gt;=Paramètres!$F$5,"Forte",IF(K49&gt;=Paramètres!$F$4,"Modérée","Faible")))</f>
        <v>Très forte</v>
      </c>
    </row>
    <row r="50" spans="1:13">
      <c r="A50" t="s">
        <v>155</v>
      </c>
      <c r="B50" s="11">
        <v>75</v>
      </c>
      <c r="C50" t="s">
        <v>86</v>
      </c>
      <c r="D50" t="s">
        <v>1238</v>
      </c>
      <c r="E50" t="s">
        <v>1481</v>
      </c>
      <c r="F50" t="s">
        <v>92</v>
      </c>
      <c r="G50" s="12">
        <v>40</v>
      </c>
      <c r="H50" s="12">
        <v>2138</v>
      </c>
      <c r="I50" s="12">
        <v>38</v>
      </c>
      <c r="J50" t="str">
        <f>VLOOKUP(B50,Paramètres!$A$4:$C$11,3,FALSE)</f>
        <v>Paris</v>
      </c>
      <c r="K50" s="13">
        <f>IFERROR(H50/G50,"")</f>
        <v>53.45</v>
      </c>
      <c r="L50" s="14">
        <f>IFERROR(I50/G50,"")</f>
        <v>0.95</v>
      </c>
      <c r="M50" s="11" t="str">
        <f>IF(K50&gt;=Paramètres!$F$6,"Très forte",IF(K50&gt;=Paramètres!$F$5,"Forte",IF(K50&gt;=Paramètres!$F$4,"Modérée","Faible")))</f>
        <v>Très forte</v>
      </c>
    </row>
    <row r="51" spans="1:13">
      <c r="A51" t="s">
        <v>965</v>
      </c>
      <c r="B51" s="11">
        <v>94</v>
      </c>
      <c r="C51" t="s">
        <v>116</v>
      </c>
      <c r="D51" t="s">
        <v>1238</v>
      </c>
      <c r="E51" t="s">
        <v>1508</v>
      </c>
      <c r="F51" t="s">
        <v>92</v>
      </c>
      <c r="G51" s="12">
        <v>35</v>
      </c>
      <c r="H51" s="12">
        <v>1863</v>
      </c>
      <c r="I51" s="12">
        <v>35</v>
      </c>
      <c r="J51" t="str">
        <f>VLOOKUP(B51,Paramètres!$A$4:$C$11,3,FALSE)</f>
        <v>Petite couronne</v>
      </c>
      <c r="K51" s="13">
        <f>IFERROR(H51/G51,"")</f>
        <v>53.228571428571428</v>
      </c>
      <c r="L51" s="14">
        <f>IFERROR(I51/G51,"")</f>
        <v>1</v>
      </c>
      <c r="M51" s="11" t="str">
        <f>IF(K51&gt;=Paramètres!$F$6,"Très forte",IF(K51&gt;=Paramètres!$F$5,"Forte",IF(K51&gt;=Paramètres!$F$4,"Modérée","Faible")))</f>
        <v>Très forte</v>
      </c>
    </row>
    <row r="52" spans="1:13">
      <c r="A52" t="s">
        <v>1352</v>
      </c>
      <c r="B52" s="11">
        <v>75</v>
      </c>
      <c r="C52" t="s">
        <v>86</v>
      </c>
      <c r="D52" t="s">
        <v>1238</v>
      </c>
      <c r="E52" t="s">
        <v>1702</v>
      </c>
      <c r="F52" t="s">
        <v>92</v>
      </c>
      <c r="G52" s="12">
        <v>4</v>
      </c>
      <c r="H52" s="12">
        <v>210</v>
      </c>
      <c r="I52" s="12">
        <v>4</v>
      </c>
      <c r="J52" t="str">
        <f>VLOOKUP(B52,Paramètres!$A$4:$C$11,3,FALSE)</f>
        <v>Paris</v>
      </c>
      <c r="K52" s="13">
        <f>IFERROR(H52/G52,"")</f>
        <v>52.5</v>
      </c>
      <c r="L52" s="14">
        <f>IFERROR(I52/G52,"")</f>
        <v>1</v>
      </c>
      <c r="M52" s="11" t="str">
        <f>IF(K52&gt;=Paramètres!$F$6,"Très forte",IF(K52&gt;=Paramètres!$F$5,"Forte",IF(K52&gt;=Paramètres!$F$4,"Modérée","Faible")))</f>
        <v>Très forte</v>
      </c>
    </row>
    <row r="53" spans="1:13">
      <c r="A53" t="s">
        <v>1445</v>
      </c>
      <c r="B53" s="11">
        <v>92</v>
      </c>
      <c r="C53" t="s">
        <v>94</v>
      </c>
      <c r="D53" t="s">
        <v>1238</v>
      </c>
      <c r="E53" t="s">
        <v>1446</v>
      </c>
      <c r="F53" t="s">
        <v>92</v>
      </c>
      <c r="G53" s="12">
        <v>3</v>
      </c>
      <c r="H53" s="12">
        <v>155</v>
      </c>
      <c r="I53" s="12">
        <v>3</v>
      </c>
      <c r="J53" t="str">
        <f>VLOOKUP(B53,Paramètres!$A$4:$C$11,3,FALSE)</f>
        <v>Petite couronne</v>
      </c>
      <c r="K53" s="13">
        <f>IFERROR(H53/G53,"")</f>
        <v>51.666666666666664</v>
      </c>
      <c r="L53" s="14">
        <f>IFERROR(I53/G53,"")</f>
        <v>1</v>
      </c>
      <c r="M53" s="11" t="str">
        <f>IF(K53&gt;=Paramètres!$F$6,"Très forte",IF(K53&gt;=Paramètres!$F$5,"Forte",IF(K53&gt;=Paramètres!$F$4,"Modérée","Faible")))</f>
        <v>Très forte</v>
      </c>
    </row>
    <row r="54" spans="1:13">
      <c r="A54" t="s">
        <v>155</v>
      </c>
      <c r="B54" s="11">
        <v>75</v>
      </c>
      <c r="C54" t="s">
        <v>86</v>
      </c>
      <c r="D54" t="s">
        <v>1238</v>
      </c>
      <c r="E54" t="s">
        <v>1810</v>
      </c>
      <c r="F54" t="s">
        <v>92</v>
      </c>
      <c r="G54" s="12">
        <v>35</v>
      </c>
      <c r="H54" s="12">
        <v>1788</v>
      </c>
      <c r="I54" s="12">
        <v>35</v>
      </c>
      <c r="J54" t="str">
        <f>VLOOKUP(B54,Paramètres!$A$4:$C$11,3,FALSE)</f>
        <v>Paris</v>
      </c>
      <c r="K54" s="13">
        <f>IFERROR(H54/G54,"")</f>
        <v>51.085714285714289</v>
      </c>
      <c r="L54" s="14">
        <f>IFERROR(I54/G54,"")</f>
        <v>1</v>
      </c>
      <c r="M54" s="11" t="str">
        <f>IF(K54&gt;=Paramètres!$F$6,"Très forte",IF(K54&gt;=Paramètres!$F$5,"Forte",IF(K54&gt;=Paramètres!$F$4,"Modérée","Faible")))</f>
        <v>Très forte</v>
      </c>
    </row>
    <row r="55" spans="1:13">
      <c r="A55" t="s">
        <v>1357</v>
      </c>
      <c r="B55" s="11">
        <v>92</v>
      </c>
      <c r="C55" t="s">
        <v>94</v>
      </c>
      <c r="D55" t="s">
        <v>1238</v>
      </c>
      <c r="E55" t="s">
        <v>1356</v>
      </c>
      <c r="F55" t="s">
        <v>92</v>
      </c>
      <c r="G55" s="12">
        <v>12</v>
      </c>
      <c r="H55" s="12">
        <v>611</v>
      </c>
      <c r="I55" s="12">
        <v>10</v>
      </c>
      <c r="J55" t="str">
        <f>VLOOKUP(B55,Paramètres!$A$4:$C$11,3,FALSE)</f>
        <v>Petite couronne</v>
      </c>
      <c r="K55" s="13">
        <f>IFERROR(H55/G55,"")</f>
        <v>50.916666666666664</v>
      </c>
      <c r="L55" s="14">
        <f>IFERROR(I55/G55,"")</f>
        <v>0.83333333333333337</v>
      </c>
      <c r="M55" s="11" t="str">
        <f>IF(K55&gt;=Paramètres!$F$6,"Très forte",IF(K55&gt;=Paramètres!$F$5,"Forte",IF(K55&gt;=Paramètres!$F$4,"Modérée","Faible")))</f>
        <v>Très forte</v>
      </c>
    </row>
    <row r="56" spans="1:13">
      <c r="A56" t="s">
        <v>804</v>
      </c>
      <c r="B56" s="11">
        <v>75</v>
      </c>
      <c r="C56" t="s">
        <v>86</v>
      </c>
      <c r="D56" t="s">
        <v>1238</v>
      </c>
      <c r="E56" t="s">
        <v>1468</v>
      </c>
      <c r="F56" t="s">
        <v>92</v>
      </c>
      <c r="G56" s="12">
        <v>15</v>
      </c>
      <c r="H56" s="12">
        <v>763</v>
      </c>
      <c r="I56" s="12">
        <v>14</v>
      </c>
      <c r="J56" t="str">
        <f>VLOOKUP(B56,Paramètres!$A$4:$C$11,3,FALSE)</f>
        <v>Paris</v>
      </c>
      <c r="K56" s="13">
        <f>IFERROR(H56/G56,"")</f>
        <v>50.866666666666667</v>
      </c>
      <c r="L56" s="14">
        <f>IFERROR(I56/G56,"")</f>
        <v>0.93333333333333335</v>
      </c>
      <c r="M56" s="11" t="str">
        <f>IF(K56&gt;=Paramètres!$F$6,"Très forte",IF(K56&gt;=Paramètres!$F$5,"Forte",IF(K56&gt;=Paramètres!$F$4,"Modérée","Faible")))</f>
        <v>Très forte</v>
      </c>
    </row>
    <row r="57" spans="1:13">
      <c r="A57" t="s">
        <v>1074</v>
      </c>
      <c r="B57" s="11">
        <v>92</v>
      </c>
      <c r="C57" t="s">
        <v>94</v>
      </c>
      <c r="D57" t="s">
        <v>1238</v>
      </c>
      <c r="E57" t="s">
        <v>1301</v>
      </c>
      <c r="F57" t="s">
        <v>92</v>
      </c>
      <c r="G57" s="12">
        <v>35</v>
      </c>
      <c r="H57" s="12">
        <v>1777</v>
      </c>
      <c r="I57" s="12">
        <v>34</v>
      </c>
      <c r="J57" t="str">
        <f>VLOOKUP(B57,Paramètres!$A$4:$C$11,3,FALSE)</f>
        <v>Petite couronne</v>
      </c>
      <c r="K57" s="13">
        <f>IFERROR(H57/G57,"")</f>
        <v>50.771428571428572</v>
      </c>
      <c r="L57" s="14">
        <f>IFERROR(I57/G57,"")</f>
        <v>0.97142857142857142</v>
      </c>
      <c r="M57" s="11" t="str">
        <f>IF(K57&gt;=Paramètres!$F$6,"Très forte",IF(K57&gt;=Paramètres!$F$5,"Forte",IF(K57&gt;=Paramètres!$F$4,"Modérée","Faible")))</f>
        <v>Très forte</v>
      </c>
    </row>
    <row r="58" spans="1:13">
      <c r="A58" t="s">
        <v>1100</v>
      </c>
      <c r="B58" s="11">
        <v>94</v>
      </c>
      <c r="C58" t="s">
        <v>116</v>
      </c>
      <c r="D58" t="s">
        <v>1238</v>
      </c>
      <c r="E58" t="s">
        <v>1383</v>
      </c>
      <c r="F58" t="s">
        <v>92</v>
      </c>
      <c r="G58" s="12">
        <v>12</v>
      </c>
      <c r="H58" s="12">
        <v>601</v>
      </c>
      <c r="I58" s="12">
        <v>12</v>
      </c>
      <c r="J58" t="str">
        <f>VLOOKUP(B58,Paramètres!$A$4:$C$11,3,FALSE)</f>
        <v>Petite couronne</v>
      </c>
      <c r="K58" s="13">
        <f>IFERROR(H58/G58,"")</f>
        <v>50.083333333333336</v>
      </c>
      <c r="L58" s="14">
        <f>IFERROR(I58/G58,"")</f>
        <v>1</v>
      </c>
      <c r="M58" s="11" t="str">
        <f>IF(K58&gt;=Paramètres!$F$6,"Très forte",IF(K58&gt;=Paramètres!$F$5,"Forte",IF(K58&gt;=Paramètres!$F$4,"Modérée","Faible")))</f>
        <v>Très forte</v>
      </c>
    </row>
    <row r="59" spans="1:13">
      <c r="A59" t="s">
        <v>1521</v>
      </c>
      <c r="B59" s="11">
        <v>75</v>
      </c>
      <c r="C59" t="s">
        <v>86</v>
      </c>
      <c r="D59" t="s">
        <v>1238</v>
      </c>
      <c r="E59" t="s">
        <v>1522</v>
      </c>
      <c r="F59" t="s">
        <v>92</v>
      </c>
      <c r="G59" s="12">
        <v>14</v>
      </c>
      <c r="H59" s="12">
        <v>679</v>
      </c>
      <c r="I59" s="12">
        <v>14</v>
      </c>
      <c r="J59" t="str">
        <f>VLOOKUP(B59,Paramètres!$A$4:$C$11,3,FALSE)</f>
        <v>Paris</v>
      </c>
      <c r="K59" s="13">
        <f>IFERROR(H59/G59,"")</f>
        <v>48.5</v>
      </c>
      <c r="L59" s="14">
        <f>IFERROR(I59/G59,"")</f>
        <v>1</v>
      </c>
      <c r="M59" s="11" t="str">
        <f>IF(K59&gt;=Paramètres!$F$6,"Très forte",IF(K59&gt;=Paramètres!$F$5,"Forte",IF(K59&gt;=Paramètres!$F$4,"Modérée","Faible")))</f>
        <v>Très forte</v>
      </c>
    </row>
    <row r="60" spans="1:13">
      <c r="A60" t="s">
        <v>963</v>
      </c>
      <c r="B60" s="11">
        <v>94</v>
      </c>
      <c r="C60" t="s">
        <v>116</v>
      </c>
      <c r="D60" t="s">
        <v>1238</v>
      </c>
      <c r="E60" t="s">
        <v>1301</v>
      </c>
      <c r="F60" t="s">
        <v>92</v>
      </c>
      <c r="G60" s="12">
        <v>42</v>
      </c>
      <c r="H60" s="12">
        <v>2020</v>
      </c>
      <c r="I60" s="12">
        <v>44</v>
      </c>
      <c r="J60" t="str">
        <f>VLOOKUP(B60,Paramètres!$A$4:$C$11,3,FALSE)</f>
        <v>Petite couronne</v>
      </c>
      <c r="K60" s="13">
        <f>IFERROR(H60/G60,"")</f>
        <v>48.095238095238095</v>
      </c>
      <c r="L60" s="14">
        <f>IFERROR(I60/G60,"")</f>
        <v>1.0476190476190477</v>
      </c>
      <c r="M60" s="11" t="str">
        <f>IF(K60&gt;=Paramètres!$F$6,"Très forte",IF(K60&gt;=Paramètres!$F$5,"Forte",IF(K60&gt;=Paramètres!$F$4,"Modérée","Faible")))</f>
        <v>Très forte</v>
      </c>
    </row>
    <row r="61" spans="1:13">
      <c r="A61" t="s">
        <v>941</v>
      </c>
      <c r="B61" s="11">
        <v>92</v>
      </c>
      <c r="C61" t="s">
        <v>94</v>
      </c>
      <c r="D61" t="s">
        <v>1238</v>
      </c>
      <c r="E61" t="s">
        <v>1644</v>
      </c>
      <c r="F61" t="s">
        <v>92</v>
      </c>
      <c r="G61" s="12">
        <v>17</v>
      </c>
      <c r="H61" s="12">
        <v>816</v>
      </c>
      <c r="I61" s="12">
        <v>16</v>
      </c>
      <c r="J61" t="str">
        <f>VLOOKUP(B61,Paramètres!$A$4:$C$11,3,FALSE)</f>
        <v>Petite couronne</v>
      </c>
      <c r="K61" s="13">
        <f>IFERROR(H61/G61,"")</f>
        <v>48</v>
      </c>
      <c r="L61" s="14">
        <f>IFERROR(I61/G61,"")</f>
        <v>0.94117647058823528</v>
      </c>
      <c r="M61" s="11" t="str">
        <f>IF(K61&gt;=Paramètres!$F$6,"Très forte",IF(K61&gt;=Paramètres!$F$5,"Forte",IF(K61&gt;=Paramètres!$F$4,"Modérée","Faible")))</f>
        <v>Très forte</v>
      </c>
    </row>
    <row r="62" spans="1:13">
      <c r="A62" t="s">
        <v>1384</v>
      </c>
      <c r="B62" s="11">
        <v>93</v>
      </c>
      <c r="C62" t="s">
        <v>100</v>
      </c>
      <c r="D62" t="s">
        <v>1238</v>
      </c>
      <c r="E62" t="s">
        <v>1731</v>
      </c>
      <c r="F62" t="s">
        <v>92</v>
      </c>
      <c r="G62" s="12">
        <v>16</v>
      </c>
      <c r="H62" s="12">
        <v>752</v>
      </c>
      <c r="I62" s="12">
        <v>16</v>
      </c>
      <c r="J62" t="str">
        <f>VLOOKUP(B62,Paramètres!$A$4:$C$11,3,FALSE)</f>
        <v>Petite couronne</v>
      </c>
      <c r="K62" s="13">
        <f>IFERROR(H62/G62,"")</f>
        <v>47</v>
      </c>
      <c r="L62" s="14">
        <f>IFERROR(I62/G62,"")</f>
        <v>1</v>
      </c>
      <c r="M62" s="11" t="str">
        <f>IF(K62&gt;=Paramètres!$F$6,"Très forte",IF(K62&gt;=Paramètres!$F$5,"Forte",IF(K62&gt;=Paramètres!$F$4,"Modérée","Faible")))</f>
        <v>Très forte</v>
      </c>
    </row>
    <row r="63" spans="1:13">
      <c r="A63" t="s">
        <v>1352</v>
      </c>
      <c r="B63" s="11">
        <v>75</v>
      </c>
      <c r="C63" t="s">
        <v>86</v>
      </c>
      <c r="D63" t="s">
        <v>1238</v>
      </c>
      <c r="E63" t="s">
        <v>1602</v>
      </c>
      <c r="F63" t="s">
        <v>92</v>
      </c>
      <c r="G63" s="12">
        <v>4</v>
      </c>
      <c r="H63" s="12">
        <v>187</v>
      </c>
      <c r="I63" s="12">
        <v>4</v>
      </c>
      <c r="J63" t="str">
        <f>VLOOKUP(B63,Paramètres!$A$4:$C$11,3,FALSE)</f>
        <v>Paris</v>
      </c>
      <c r="K63" s="13">
        <f>IFERROR(H63/G63,"")</f>
        <v>46.75</v>
      </c>
      <c r="L63" s="14">
        <f>IFERROR(I63/G63,"")</f>
        <v>1</v>
      </c>
      <c r="M63" s="11" t="str">
        <f>IF(K63&gt;=Paramètres!$F$6,"Très forte",IF(K63&gt;=Paramètres!$F$5,"Forte",IF(K63&gt;=Paramètres!$F$4,"Modérée","Faible")))</f>
        <v>Très forte</v>
      </c>
    </row>
    <row r="64" spans="1:13">
      <c r="A64" t="s">
        <v>1242</v>
      </c>
      <c r="B64" s="11">
        <v>75</v>
      </c>
      <c r="C64" t="s">
        <v>86</v>
      </c>
      <c r="D64" t="s">
        <v>1238</v>
      </c>
      <c r="E64" t="s">
        <v>1421</v>
      </c>
      <c r="F64" t="s">
        <v>92</v>
      </c>
      <c r="G64" s="12">
        <v>5</v>
      </c>
      <c r="H64" s="12">
        <v>230</v>
      </c>
      <c r="I64" s="12">
        <v>7</v>
      </c>
      <c r="J64" t="str">
        <f>VLOOKUP(B64,Paramètres!$A$4:$C$11,3,FALSE)</f>
        <v>Paris</v>
      </c>
      <c r="K64" s="13">
        <f>IFERROR(H64/G64,"")</f>
        <v>46</v>
      </c>
      <c r="L64" s="14">
        <f>IFERROR(I64/G64,"")</f>
        <v>1.4</v>
      </c>
      <c r="M64" s="11" t="str">
        <f>IF(K64&gt;=Paramètres!$F$6,"Très forte",IF(K64&gt;=Paramètres!$F$5,"Forte",IF(K64&gt;=Paramètres!$F$4,"Modérée","Faible")))</f>
        <v>Très forte</v>
      </c>
    </row>
    <row r="65" spans="1:13">
      <c r="A65" t="s">
        <v>119</v>
      </c>
      <c r="B65" s="11">
        <v>75</v>
      </c>
      <c r="C65" t="s">
        <v>86</v>
      </c>
      <c r="D65" t="s">
        <v>1238</v>
      </c>
      <c r="E65" t="s">
        <v>1496</v>
      </c>
      <c r="F65" t="s">
        <v>92</v>
      </c>
      <c r="G65" s="12">
        <v>6</v>
      </c>
      <c r="H65" s="12">
        <v>269</v>
      </c>
      <c r="I65" s="12">
        <v>6</v>
      </c>
      <c r="J65" t="str">
        <f>VLOOKUP(B65,Paramètres!$A$4:$C$11,3,FALSE)</f>
        <v>Paris</v>
      </c>
      <c r="K65" s="13">
        <f>IFERROR(H65/G65,"")</f>
        <v>44.833333333333336</v>
      </c>
      <c r="L65" s="14">
        <f>IFERROR(I65/G65,"")</f>
        <v>1</v>
      </c>
      <c r="M65" s="11" t="str">
        <f>IF(K65&gt;=Paramètres!$F$6,"Très forte",IF(K65&gt;=Paramètres!$F$5,"Forte",IF(K65&gt;=Paramètres!$F$4,"Modérée","Faible")))</f>
        <v>Très forte</v>
      </c>
    </row>
    <row r="66" spans="1:13">
      <c r="A66" t="s">
        <v>1390</v>
      </c>
      <c r="B66" s="11">
        <v>75</v>
      </c>
      <c r="C66" t="s">
        <v>86</v>
      </c>
      <c r="D66" t="s">
        <v>1238</v>
      </c>
      <c r="E66" t="s">
        <v>1391</v>
      </c>
      <c r="F66" t="s">
        <v>92</v>
      </c>
      <c r="G66" s="12">
        <v>12</v>
      </c>
      <c r="H66" s="12">
        <v>532</v>
      </c>
      <c r="I66" s="12">
        <v>12</v>
      </c>
      <c r="J66" t="str">
        <f>VLOOKUP(B66,Paramètres!$A$4:$C$11,3,FALSE)</f>
        <v>Paris</v>
      </c>
      <c r="K66" s="13">
        <f>IFERROR(H66/G66,"")</f>
        <v>44.333333333333336</v>
      </c>
      <c r="L66" s="14">
        <f>IFERROR(I66/G66,"")</f>
        <v>1</v>
      </c>
      <c r="M66" s="11" t="str">
        <f>IF(K66&gt;=Paramètres!$F$6,"Très forte",IF(K66&gt;=Paramètres!$F$5,"Forte",IF(K66&gt;=Paramètres!$F$4,"Modérée","Faible")))</f>
        <v>Très forte</v>
      </c>
    </row>
    <row r="67" spans="1:13">
      <c r="A67" t="s">
        <v>1378</v>
      </c>
      <c r="B67" s="11">
        <v>75</v>
      </c>
      <c r="C67" t="s">
        <v>86</v>
      </c>
      <c r="D67" t="s">
        <v>1238</v>
      </c>
      <c r="E67" t="s">
        <v>1388</v>
      </c>
      <c r="F67" t="s">
        <v>92</v>
      </c>
      <c r="G67" s="12">
        <v>6</v>
      </c>
      <c r="H67" s="12">
        <v>254</v>
      </c>
      <c r="I67" s="12">
        <v>7</v>
      </c>
      <c r="J67" t="str">
        <f>VLOOKUP(B67,Paramètres!$A$4:$C$11,3,FALSE)</f>
        <v>Paris</v>
      </c>
      <c r="K67" s="13">
        <f>IFERROR(H67/G67,"")</f>
        <v>42.333333333333336</v>
      </c>
      <c r="L67" s="14">
        <f>IFERROR(I67/G67,"")</f>
        <v>1.1666666666666667</v>
      </c>
      <c r="M67" s="11" t="str">
        <f>IF(K67&gt;=Paramètres!$F$6,"Très forte",IF(K67&gt;=Paramètres!$F$5,"Forte",IF(K67&gt;=Paramètres!$F$4,"Modérée","Faible")))</f>
        <v>Très forte</v>
      </c>
    </row>
    <row r="68" spans="1:13">
      <c r="A68" t="s">
        <v>1352</v>
      </c>
      <c r="B68" s="11">
        <v>75</v>
      </c>
      <c r="C68" t="s">
        <v>86</v>
      </c>
      <c r="D68" t="s">
        <v>1238</v>
      </c>
      <c r="E68" t="s">
        <v>1358</v>
      </c>
      <c r="F68" t="s">
        <v>92</v>
      </c>
      <c r="G68" s="12">
        <v>6</v>
      </c>
      <c r="H68" s="12">
        <v>253</v>
      </c>
      <c r="I68" s="12">
        <v>6</v>
      </c>
      <c r="J68" t="str">
        <f>VLOOKUP(B68,Paramètres!$A$4:$C$11,3,FALSE)</f>
        <v>Paris</v>
      </c>
      <c r="K68" s="13">
        <f>IFERROR(H68/G68,"")</f>
        <v>42.166666666666664</v>
      </c>
      <c r="L68" s="14">
        <f>IFERROR(I68/G68,"")</f>
        <v>1</v>
      </c>
      <c r="M68" s="11" t="str">
        <f>IF(K68&gt;=Paramètres!$F$6,"Très forte",IF(K68&gt;=Paramètres!$F$5,"Forte",IF(K68&gt;=Paramètres!$F$4,"Modérée","Faible")))</f>
        <v>Très forte</v>
      </c>
    </row>
    <row r="69" spans="1:13">
      <c r="A69" t="s">
        <v>1352</v>
      </c>
      <c r="B69" s="11">
        <v>75</v>
      </c>
      <c r="C69" t="s">
        <v>86</v>
      </c>
      <c r="D69" t="s">
        <v>1238</v>
      </c>
      <c r="E69" t="s">
        <v>1703</v>
      </c>
      <c r="F69" t="s">
        <v>92</v>
      </c>
      <c r="G69" s="12">
        <v>3</v>
      </c>
      <c r="H69" s="12">
        <v>124</v>
      </c>
      <c r="I69" s="12">
        <v>3</v>
      </c>
      <c r="J69" t="str">
        <f>VLOOKUP(B69,Paramètres!$A$4:$C$11,3,FALSE)</f>
        <v>Paris</v>
      </c>
      <c r="K69" s="13">
        <f>IFERROR(H69/G69,"")</f>
        <v>41.333333333333336</v>
      </c>
      <c r="L69" s="14">
        <f>IFERROR(I69/G69,"")</f>
        <v>1</v>
      </c>
      <c r="M69" s="11" t="str">
        <f>IF(K69&gt;=Paramètres!$F$6,"Très forte",IF(K69&gt;=Paramètres!$F$5,"Forte",IF(K69&gt;=Paramètres!$F$4,"Modérée","Faible")))</f>
        <v>Très forte</v>
      </c>
    </row>
    <row r="70" spans="1:13">
      <c r="A70" t="s">
        <v>804</v>
      </c>
      <c r="B70" s="11">
        <v>75</v>
      </c>
      <c r="C70" t="s">
        <v>86</v>
      </c>
      <c r="D70" t="s">
        <v>1238</v>
      </c>
      <c r="E70" t="s">
        <v>1468</v>
      </c>
      <c r="F70" t="s">
        <v>92</v>
      </c>
      <c r="G70" s="12">
        <v>33</v>
      </c>
      <c r="H70" s="12">
        <v>1361</v>
      </c>
      <c r="I70" s="12">
        <v>33</v>
      </c>
      <c r="J70" t="str">
        <f>VLOOKUP(B70,Paramètres!$A$4:$C$11,3,FALSE)</f>
        <v>Paris</v>
      </c>
      <c r="K70" s="13">
        <f>IFERROR(H70/G70,"")</f>
        <v>41.242424242424242</v>
      </c>
      <c r="L70" s="14">
        <f>IFERROR(I70/G70,"")</f>
        <v>1</v>
      </c>
      <c r="M70" s="11" t="str">
        <f>IF(K70&gt;=Paramètres!$F$6,"Très forte",IF(K70&gt;=Paramètres!$F$5,"Forte",IF(K70&gt;=Paramètres!$F$4,"Modérée","Faible")))</f>
        <v>Très forte</v>
      </c>
    </row>
    <row r="71" spans="1:13">
      <c r="A71" t="s">
        <v>1378</v>
      </c>
      <c r="B71" s="11">
        <v>75</v>
      </c>
      <c r="C71" t="s">
        <v>86</v>
      </c>
      <c r="D71" t="s">
        <v>1238</v>
      </c>
      <c r="E71" t="s">
        <v>1379</v>
      </c>
      <c r="F71" t="s">
        <v>92</v>
      </c>
      <c r="G71" s="12">
        <v>15</v>
      </c>
      <c r="H71" s="12">
        <v>618</v>
      </c>
      <c r="I71" s="12">
        <v>16</v>
      </c>
      <c r="J71" t="str">
        <f>VLOOKUP(B71,Paramètres!$A$4:$C$11,3,FALSE)</f>
        <v>Paris</v>
      </c>
      <c r="K71" s="13">
        <f>IFERROR(H71/G71,"")</f>
        <v>41.2</v>
      </c>
      <c r="L71" s="14">
        <f>IFERROR(I71/G71,"")</f>
        <v>1.0666666666666667</v>
      </c>
      <c r="M71" s="11" t="str">
        <f>IF(K71&gt;=Paramètres!$F$6,"Très forte",IF(K71&gt;=Paramètres!$F$5,"Forte",IF(K71&gt;=Paramètres!$F$4,"Modérée","Faible")))</f>
        <v>Très forte</v>
      </c>
    </row>
    <row r="72" spans="1:13">
      <c r="A72" t="s">
        <v>1454</v>
      </c>
      <c r="B72" s="11">
        <v>94</v>
      </c>
      <c r="C72" t="s">
        <v>116</v>
      </c>
      <c r="D72" t="s">
        <v>1238</v>
      </c>
      <c r="E72" t="s">
        <v>1641</v>
      </c>
      <c r="F72" t="s">
        <v>92</v>
      </c>
      <c r="G72" s="12">
        <v>14</v>
      </c>
      <c r="H72" s="12">
        <v>574</v>
      </c>
      <c r="I72" s="12">
        <v>14</v>
      </c>
      <c r="J72" t="str">
        <f>VLOOKUP(B72,Paramètres!$A$4:$C$11,3,FALSE)</f>
        <v>Petite couronne</v>
      </c>
      <c r="K72" s="13">
        <f>IFERROR(H72/G72,"")</f>
        <v>41</v>
      </c>
      <c r="L72" s="14">
        <f>IFERROR(I72/G72,"")</f>
        <v>1</v>
      </c>
      <c r="M72" s="11" t="str">
        <f>IF(K72&gt;=Paramètres!$F$6,"Très forte",IF(K72&gt;=Paramètres!$F$5,"Forte",IF(K72&gt;=Paramètres!$F$4,"Modérée","Faible")))</f>
        <v>Très forte</v>
      </c>
    </row>
    <row r="73" spans="1:13">
      <c r="A73" t="s">
        <v>242</v>
      </c>
      <c r="B73" s="11">
        <v>95</v>
      </c>
      <c r="C73" t="s">
        <v>90</v>
      </c>
      <c r="D73" t="s">
        <v>1238</v>
      </c>
      <c r="E73" t="s">
        <v>1801</v>
      </c>
      <c r="F73" t="s">
        <v>92</v>
      </c>
      <c r="G73" s="12">
        <v>24</v>
      </c>
      <c r="H73" s="12">
        <v>935</v>
      </c>
      <c r="I73" s="12">
        <v>24</v>
      </c>
      <c r="J73" t="str">
        <f>VLOOKUP(B73,Paramètres!$A$4:$C$11,3,FALSE)</f>
        <v>Grande couronne</v>
      </c>
      <c r="K73" s="13">
        <f>IFERROR(H73/G73,"")</f>
        <v>38.958333333333336</v>
      </c>
      <c r="L73" s="14">
        <f>IFERROR(I73/G73,"")</f>
        <v>1</v>
      </c>
      <c r="M73" s="11" t="str">
        <f>IF(K73&gt;=Paramètres!$F$6,"Très forte",IF(K73&gt;=Paramètres!$F$5,"Forte",IF(K73&gt;=Paramètres!$F$4,"Modérée","Faible")))</f>
        <v>Forte</v>
      </c>
    </row>
    <row r="74" spans="1:13">
      <c r="A74" t="s">
        <v>1717</v>
      </c>
      <c r="B74" s="11">
        <v>75</v>
      </c>
      <c r="C74" t="s">
        <v>86</v>
      </c>
      <c r="D74" t="s">
        <v>1238</v>
      </c>
      <c r="E74" t="s">
        <v>1718</v>
      </c>
      <c r="F74" t="s">
        <v>92</v>
      </c>
      <c r="G74" s="12">
        <v>10</v>
      </c>
      <c r="H74" s="12">
        <v>384</v>
      </c>
      <c r="I74" s="12">
        <v>9</v>
      </c>
      <c r="J74" t="str">
        <f>VLOOKUP(B74,Paramètres!$A$4:$C$11,3,FALSE)</f>
        <v>Paris</v>
      </c>
      <c r="K74" s="13">
        <f>IFERROR(H74/G74,"")</f>
        <v>38.4</v>
      </c>
      <c r="L74" s="14">
        <f>IFERROR(I74/G74,"")</f>
        <v>0.9</v>
      </c>
      <c r="M74" s="11" t="str">
        <f>IF(K74&gt;=Paramètres!$F$6,"Très forte",IF(K74&gt;=Paramètres!$F$5,"Forte",IF(K74&gt;=Paramètres!$F$4,"Modérée","Faible")))</f>
        <v>Forte</v>
      </c>
    </row>
    <row r="75" spans="1:13">
      <c r="A75" t="s">
        <v>1378</v>
      </c>
      <c r="B75" s="11">
        <v>75</v>
      </c>
      <c r="C75" t="s">
        <v>86</v>
      </c>
      <c r="D75" t="s">
        <v>1238</v>
      </c>
      <c r="E75" t="s">
        <v>1639</v>
      </c>
      <c r="F75" t="s">
        <v>92</v>
      </c>
      <c r="G75" s="12">
        <v>15</v>
      </c>
      <c r="H75" s="12">
        <v>567</v>
      </c>
      <c r="I75" s="12">
        <v>16</v>
      </c>
      <c r="J75" t="str">
        <f>VLOOKUP(B75,Paramètres!$A$4:$C$11,3,FALSE)</f>
        <v>Paris</v>
      </c>
      <c r="K75" s="13">
        <f>IFERROR(H75/G75,"")</f>
        <v>37.799999999999997</v>
      </c>
      <c r="L75" s="14">
        <f>IFERROR(I75/G75,"")</f>
        <v>1.0666666666666667</v>
      </c>
      <c r="M75" s="11" t="str">
        <f>IF(K75&gt;=Paramètres!$F$6,"Très forte",IF(K75&gt;=Paramètres!$F$5,"Forte",IF(K75&gt;=Paramètres!$F$4,"Modérée","Faible")))</f>
        <v>Forte</v>
      </c>
    </row>
    <row r="76" spans="1:13">
      <c r="A76" t="s">
        <v>1442</v>
      </c>
      <c r="B76" s="11">
        <v>75</v>
      </c>
      <c r="C76" t="s">
        <v>86</v>
      </c>
      <c r="D76" t="s">
        <v>1238</v>
      </c>
      <c r="E76" t="s">
        <v>1443</v>
      </c>
      <c r="F76" t="s">
        <v>92</v>
      </c>
      <c r="G76" s="12">
        <v>72</v>
      </c>
      <c r="H76" s="12">
        <v>2720</v>
      </c>
      <c r="I76" s="12">
        <v>72</v>
      </c>
      <c r="J76" t="str">
        <f>VLOOKUP(B76,Paramètres!$A$4:$C$11,3,FALSE)</f>
        <v>Paris</v>
      </c>
      <c r="K76" s="13">
        <f>IFERROR(H76/G76,"")</f>
        <v>37.777777777777779</v>
      </c>
      <c r="L76" s="14">
        <f>IFERROR(I76/G76,"")</f>
        <v>1</v>
      </c>
      <c r="M76" s="11" t="str">
        <f>IF(K76&gt;=Paramètres!$F$6,"Très forte",IF(K76&gt;=Paramètres!$F$5,"Forte",IF(K76&gt;=Paramètres!$F$4,"Modérée","Faible")))</f>
        <v>Forte</v>
      </c>
    </row>
    <row r="77" spans="1:13">
      <c r="A77" t="s">
        <v>1336</v>
      </c>
      <c r="B77" s="11">
        <v>75</v>
      </c>
      <c r="C77" t="s">
        <v>86</v>
      </c>
      <c r="D77" t="s">
        <v>1238</v>
      </c>
      <c r="E77" t="s">
        <v>1841</v>
      </c>
      <c r="F77" t="s">
        <v>92</v>
      </c>
      <c r="G77" s="12">
        <v>16</v>
      </c>
      <c r="H77" s="12">
        <v>604</v>
      </c>
      <c r="I77" s="12">
        <v>17</v>
      </c>
      <c r="J77" t="str">
        <f>VLOOKUP(B77,Paramètres!$A$4:$C$11,3,FALSE)</f>
        <v>Paris</v>
      </c>
      <c r="K77" s="13">
        <f>IFERROR(H77/G77,"")</f>
        <v>37.75</v>
      </c>
      <c r="L77" s="14">
        <f>IFERROR(I77/G77,"")</f>
        <v>1.0625</v>
      </c>
      <c r="M77" s="11" t="str">
        <f>IF(K77&gt;=Paramètres!$F$6,"Très forte",IF(K77&gt;=Paramètres!$F$5,"Forte",IF(K77&gt;=Paramètres!$F$4,"Modérée","Faible")))</f>
        <v>Forte</v>
      </c>
    </row>
    <row r="78" spans="1:13">
      <c r="A78" t="s">
        <v>1100</v>
      </c>
      <c r="B78" s="11">
        <v>94</v>
      </c>
      <c r="C78" t="s">
        <v>116</v>
      </c>
      <c r="D78" t="s">
        <v>1238</v>
      </c>
      <c r="E78" t="s">
        <v>1643</v>
      </c>
      <c r="F78" t="s">
        <v>92</v>
      </c>
      <c r="G78" s="12">
        <v>12</v>
      </c>
      <c r="H78" s="12">
        <v>452</v>
      </c>
      <c r="I78" s="12">
        <v>11</v>
      </c>
      <c r="J78" t="str">
        <f>VLOOKUP(B78,Paramètres!$A$4:$C$11,3,FALSE)</f>
        <v>Petite couronne</v>
      </c>
      <c r="K78" s="13">
        <f>IFERROR(H78/G78,"")</f>
        <v>37.666666666666664</v>
      </c>
      <c r="L78" s="14">
        <f>IFERROR(I78/G78,"")</f>
        <v>0.91666666666666663</v>
      </c>
      <c r="M78" s="11" t="str">
        <f>IF(K78&gt;=Paramètres!$F$6,"Très forte",IF(K78&gt;=Paramètres!$F$5,"Forte",IF(K78&gt;=Paramètres!$F$4,"Modérée","Faible")))</f>
        <v>Forte</v>
      </c>
    </row>
    <row r="79" spans="1:13">
      <c r="A79" t="s">
        <v>1352</v>
      </c>
      <c r="B79" s="11">
        <v>75</v>
      </c>
      <c r="C79" t="s">
        <v>86</v>
      </c>
      <c r="D79" t="s">
        <v>1238</v>
      </c>
      <c r="E79" t="s">
        <v>1701</v>
      </c>
      <c r="F79" t="s">
        <v>92</v>
      </c>
      <c r="G79" s="12">
        <v>3</v>
      </c>
      <c r="H79" s="12">
        <v>111</v>
      </c>
      <c r="I79" s="12">
        <v>3</v>
      </c>
      <c r="J79" t="str">
        <f>VLOOKUP(B79,Paramètres!$A$4:$C$11,3,FALSE)</f>
        <v>Paris</v>
      </c>
      <c r="K79" s="13">
        <f>IFERROR(H79/G79,"")</f>
        <v>37</v>
      </c>
      <c r="L79" s="14">
        <f>IFERROR(I79/G79,"")</f>
        <v>1</v>
      </c>
      <c r="M79" s="11" t="str">
        <f>IF(K79&gt;=Paramètres!$F$6,"Très forte",IF(K79&gt;=Paramètres!$F$5,"Forte",IF(K79&gt;=Paramètres!$F$4,"Modérée","Faible")))</f>
        <v>Forte</v>
      </c>
    </row>
    <row r="80" spans="1:13">
      <c r="A80" t="s">
        <v>1524</v>
      </c>
      <c r="B80" s="11">
        <v>75</v>
      </c>
      <c r="C80" t="s">
        <v>86</v>
      </c>
      <c r="D80" t="s">
        <v>1238</v>
      </c>
      <c r="E80" t="s">
        <v>1733</v>
      </c>
      <c r="F80" t="s">
        <v>92</v>
      </c>
      <c r="G80" s="12">
        <v>16</v>
      </c>
      <c r="H80" s="12">
        <v>590</v>
      </c>
      <c r="I80" s="12">
        <v>17</v>
      </c>
      <c r="J80" t="str">
        <f>VLOOKUP(B80,Paramètres!$A$4:$C$11,3,FALSE)</f>
        <v>Paris</v>
      </c>
      <c r="K80" s="13">
        <f>IFERROR(H80/G80,"")</f>
        <v>36.875</v>
      </c>
      <c r="L80" s="14">
        <f>IFERROR(I80/G80,"")</f>
        <v>1.0625</v>
      </c>
      <c r="M80" s="11" t="str">
        <f>IF(K80&gt;=Paramètres!$F$6,"Très forte",IF(K80&gt;=Paramètres!$F$5,"Forte",IF(K80&gt;=Paramètres!$F$4,"Modérée","Faible")))</f>
        <v>Forte</v>
      </c>
    </row>
    <row r="81" spans="1:13">
      <c r="A81" t="s">
        <v>1266</v>
      </c>
      <c r="B81" s="11">
        <v>77</v>
      </c>
      <c r="C81" t="s">
        <v>132</v>
      </c>
      <c r="D81" t="s">
        <v>1238</v>
      </c>
      <c r="E81" t="s">
        <v>1631</v>
      </c>
      <c r="F81" t="s">
        <v>92</v>
      </c>
      <c r="G81" s="12">
        <v>12</v>
      </c>
      <c r="H81" s="12">
        <v>442</v>
      </c>
      <c r="I81" s="12">
        <v>12</v>
      </c>
      <c r="J81" t="str">
        <f>VLOOKUP(B81,Paramètres!$A$4:$C$11,3,FALSE)</f>
        <v>Grande couronne</v>
      </c>
      <c r="K81" s="13">
        <f>IFERROR(H81/G81,"")</f>
        <v>36.833333333333336</v>
      </c>
      <c r="L81" s="14">
        <f>IFERROR(I81/G81,"")</f>
        <v>1</v>
      </c>
      <c r="M81" s="11" t="str">
        <f>IF(K81&gt;=Paramètres!$F$6,"Très forte",IF(K81&gt;=Paramètres!$F$5,"Forte",IF(K81&gt;=Paramètres!$F$4,"Modérée","Faible")))</f>
        <v>Forte</v>
      </c>
    </row>
    <row r="82" spans="1:13">
      <c r="A82" t="s">
        <v>1716</v>
      </c>
      <c r="B82" s="11">
        <v>75</v>
      </c>
      <c r="C82" t="s">
        <v>86</v>
      </c>
      <c r="D82" t="s">
        <v>1238</v>
      </c>
      <c r="E82" t="s">
        <v>1715</v>
      </c>
      <c r="F82" t="s">
        <v>92</v>
      </c>
      <c r="G82" s="12">
        <v>125</v>
      </c>
      <c r="H82" s="12">
        <v>4601</v>
      </c>
      <c r="I82" s="12">
        <v>120</v>
      </c>
      <c r="J82" t="str">
        <f>VLOOKUP(B82,Paramètres!$A$4:$C$11,3,FALSE)</f>
        <v>Paris</v>
      </c>
      <c r="K82" s="13">
        <f>IFERROR(H82/G82,"")</f>
        <v>36.808</v>
      </c>
      <c r="L82" s="14">
        <f>IFERROR(I82/G82,"")</f>
        <v>0.96</v>
      </c>
      <c r="M82" s="11" t="str">
        <f>IF(K82&gt;=Paramètres!$F$6,"Très forte",IF(K82&gt;=Paramètres!$F$5,"Forte",IF(K82&gt;=Paramètres!$F$4,"Modérée","Faible")))</f>
        <v>Forte</v>
      </c>
    </row>
    <row r="83" spans="1:13">
      <c r="A83" t="s">
        <v>950</v>
      </c>
      <c r="B83" s="11">
        <v>93</v>
      </c>
      <c r="C83" t="s">
        <v>100</v>
      </c>
      <c r="D83" t="s">
        <v>1238</v>
      </c>
      <c r="E83" t="s">
        <v>1301</v>
      </c>
      <c r="F83" t="s">
        <v>92</v>
      </c>
      <c r="G83" s="12">
        <v>40</v>
      </c>
      <c r="H83" s="12">
        <v>1462</v>
      </c>
      <c r="I83" s="12">
        <v>40</v>
      </c>
      <c r="J83" t="str">
        <f>VLOOKUP(B83,Paramètres!$A$4:$C$11,3,FALSE)</f>
        <v>Petite couronne</v>
      </c>
      <c r="K83" s="13">
        <f>IFERROR(H83/G83,"")</f>
        <v>36.549999999999997</v>
      </c>
      <c r="L83" s="14">
        <f>IFERROR(I83/G83,"")</f>
        <v>1</v>
      </c>
      <c r="M83" s="11" t="str">
        <f>IF(K83&gt;=Paramètres!$F$6,"Très forte",IF(K83&gt;=Paramètres!$F$5,"Forte",IF(K83&gt;=Paramètres!$F$4,"Modérée","Faible")))</f>
        <v>Forte</v>
      </c>
    </row>
    <row r="84" spans="1:13">
      <c r="A84" t="s">
        <v>1454</v>
      </c>
      <c r="B84" s="11">
        <v>94</v>
      </c>
      <c r="C84" t="s">
        <v>116</v>
      </c>
      <c r="D84" t="s">
        <v>1238</v>
      </c>
      <c r="E84" t="s">
        <v>1821</v>
      </c>
      <c r="F84" t="s">
        <v>92</v>
      </c>
      <c r="G84" s="12">
        <v>8</v>
      </c>
      <c r="H84" s="12">
        <v>291</v>
      </c>
      <c r="I84" s="12">
        <v>8</v>
      </c>
      <c r="J84" t="str">
        <f>VLOOKUP(B84,Paramètres!$A$4:$C$11,3,FALSE)</f>
        <v>Petite couronne</v>
      </c>
      <c r="K84" s="13">
        <f>IFERROR(H84/G84,"")</f>
        <v>36.375</v>
      </c>
      <c r="L84" s="14">
        <f>IFERROR(I84/G84,"")</f>
        <v>1</v>
      </c>
      <c r="M84" s="11" t="str">
        <f>IF(K84&gt;=Paramètres!$F$6,"Très forte",IF(K84&gt;=Paramètres!$F$5,"Forte",IF(K84&gt;=Paramètres!$F$4,"Modérée","Faible")))</f>
        <v>Forte</v>
      </c>
    </row>
    <row r="85" spans="1:13">
      <c r="A85" t="s">
        <v>841</v>
      </c>
      <c r="B85" s="11">
        <v>75</v>
      </c>
      <c r="C85" t="s">
        <v>86</v>
      </c>
      <c r="D85" t="s">
        <v>1238</v>
      </c>
      <c r="E85" t="s">
        <v>1508</v>
      </c>
      <c r="F85" t="s">
        <v>92</v>
      </c>
      <c r="G85" s="12">
        <v>90</v>
      </c>
      <c r="H85" s="12">
        <v>3233</v>
      </c>
      <c r="I85" s="12">
        <v>88</v>
      </c>
      <c r="J85" t="str">
        <f>VLOOKUP(B85,Paramètres!$A$4:$C$11,3,FALSE)</f>
        <v>Paris</v>
      </c>
      <c r="K85" s="13">
        <f>IFERROR(H85/G85,"")</f>
        <v>35.922222222222224</v>
      </c>
      <c r="L85" s="14">
        <f>IFERROR(I85/G85,"")</f>
        <v>0.97777777777777775</v>
      </c>
      <c r="M85" s="11" t="str">
        <f>IF(K85&gt;=Paramètres!$F$6,"Très forte",IF(K85&gt;=Paramètres!$F$5,"Forte",IF(K85&gt;=Paramètres!$F$4,"Modérée","Faible")))</f>
        <v>Forte</v>
      </c>
    </row>
    <row r="86" spans="1:13">
      <c r="A86" t="s">
        <v>930</v>
      </c>
      <c r="B86" s="11">
        <v>92</v>
      </c>
      <c r="C86" t="s">
        <v>94</v>
      </c>
      <c r="D86" t="s">
        <v>1238</v>
      </c>
      <c r="E86" t="s">
        <v>1517</v>
      </c>
      <c r="F86" t="s">
        <v>92</v>
      </c>
      <c r="G86" s="12">
        <v>16</v>
      </c>
      <c r="H86" s="12">
        <v>570</v>
      </c>
      <c r="I86" s="12">
        <v>16</v>
      </c>
      <c r="J86" t="str">
        <f>VLOOKUP(B86,Paramètres!$A$4:$C$11,3,FALSE)</f>
        <v>Petite couronne</v>
      </c>
      <c r="K86" s="13">
        <f>IFERROR(H86/G86,"")</f>
        <v>35.625</v>
      </c>
      <c r="L86" s="14">
        <f>IFERROR(I86/G86,"")</f>
        <v>1</v>
      </c>
      <c r="M86" s="11" t="str">
        <f>IF(K86&gt;=Paramètres!$F$6,"Très forte",IF(K86&gt;=Paramètres!$F$5,"Forte",IF(K86&gt;=Paramètres!$F$4,"Modérée","Faible")))</f>
        <v>Forte</v>
      </c>
    </row>
    <row r="87" spans="1:13">
      <c r="A87" t="s">
        <v>987</v>
      </c>
      <c r="B87" s="11">
        <v>95</v>
      </c>
      <c r="C87" t="s">
        <v>90</v>
      </c>
      <c r="D87" t="s">
        <v>1238</v>
      </c>
      <c r="E87" t="s">
        <v>1508</v>
      </c>
      <c r="F87" t="s">
        <v>92</v>
      </c>
      <c r="G87" s="12">
        <v>40</v>
      </c>
      <c r="H87" s="12">
        <v>1411</v>
      </c>
      <c r="I87" s="12">
        <v>40</v>
      </c>
      <c r="J87" t="str">
        <f>VLOOKUP(B87,Paramètres!$A$4:$C$11,3,FALSE)</f>
        <v>Grande couronne</v>
      </c>
      <c r="K87" s="13">
        <f>IFERROR(H87/G87,"")</f>
        <v>35.274999999999999</v>
      </c>
      <c r="L87" s="14">
        <f>IFERROR(I87/G87,"")</f>
        <v>1</v>
      </c>
      <c r="M87" s="11" t="str">
        <f>IF(K87&gt;=Paramètres!$F$6,"Très forte",IF(K87&gt;=Paramètres!$F$5,"Forte",IF(K87&gt;=Paramètres!$F$4,"Modérée","Faible")))</f>
        <v>Forte</v>
      </c>
    </row>
    <row r="88" spans="1:13">
      <c r="A88" t="s">
        <v>1477</v>
      </c>
      <c r="B88" s="11">
        <v>75</v>
      </c>
      <c r="C88" t="s">
        <v>86</v>
      </c>
      <c r="D88" t="s">
        <v>1238</v>
      </c>
      <c r="E88" t="s">
        <v>1375</v>
      </c>
      <c r="F88" t="s">
        <v>92</v>
      </c>
      <c r="G88" s="12">
        <v>24</v>
      </c>
      <c r="H88" s="12">
        <v>839</v>
      </c>
      <c r="I88" s="12">
        <v>23</v>
      </c>
      <c r="J88" t="str">
        <f>VLOOKUP(B88,Paramètres!$A$4:$C$11,3,FALSE)</f>
        <v>Paris</v>
      </c>
      <c r="K88" s="13">
        <f>IFERROR(H88/G88,"")</f>
        <v>34.958333333333336</v>
      </c>
      <c r="L88" s="14">
        <f>IFERROR(I88/G88,"")</f>
        <v>0.95833333333333337</v>
      </c>
      <c r="M88" s="11" t="str">
        <f>IF(K88&gt;=Paramètres!$F$6,"Très forte",IF(K88&gt;=Paramètres!$F$5,"Forte",IF(K88&gt;=Paramètres!$F$4,"Modérée","Faible")))</f>
        <v>Forte</v>
      </c>
    </row>
    <row r="89" spans="1:13">
      <c r="A89" t="s">
        <v>794</v>
      </c>
      <c r="B89" s="11">
        <v>75</v>
      </c>
      <c r="C89" t="s">
        <v>86</v>
      </c>
      <c r="D89" t="s">
        <v>1238</v>
      </c>
      <c r="E89" t="s">
        <v>1514</v>
      </c>
      <c r="F89" t="s">
        <v>92</v>
      </c>
      <c r="G89" s="12">
        <v>60</v>
      </c>
      <c r="H89" s="12">
        <v>2083</v>
      </c>
      <c r="I89" s="12">
        <v>60</v>
      </c>
      <c r="J89" t="str">
        <f>VLOOKUP(B89,Paramètres!$A$4:$C$11,3,FALSE)</f>
        <v>Paris</v>
      </c>
      <c r="K89" s="13">
        <f>IFERROR(H89/G89,"")</f>
        <v>34.716666666666669</v>
      </c>
      <c r="L89" s="14">
        <f>IFERROR(I89/G89,"")</f>
        <v>1</v>
      </c>
      <c r="M89" s="11" t="str">
        <f>IF(K89&gt;=Paramètres!$F$6,"Très forte",IF(K89&gt;=Paramètres!$F$5,"Forte",IF(K89&gt;=Paramètres!$F$4,"Modérée","Faible")))</f>
        <v>Forte</v>
      </c>
    </row>
    <row r="90" spans="1:13">
      <c r="A90" t="s">
        <v>794</v>
      </c>
      <c r="B90" s="11">
        <v>75</v>
      </c>
      <c r="C90" t="s">
        <v>86</v>
      </c>
      <c r="D90" t="s">
        <v>1238</v>
      </c>
      <c r="E90" t="s">
        <v>1468</v>
      </c>
      <c r="F90" t="s">
        <v>92</v>
      </c>
      <c r="G90" s="12">
        <v>66</v>
      </c>
      <c r="H90" s="12">
        <v>2291</v>
      </c>
      <c r="I90" s="12">
        <v>67</v>
      </c>
      <c r="J90" t="str">
        <f>VLOOKUP(B90,Paramètres!$A$4:$C$11,3,FALSE)</f>
        <v>Paris</v>
      </c>
      <c r="K90" s="13">
        <f>IFERROR(H90/G90,"")</f>
        <v>34.712121212121211</v>
      </c>
      <c r="L90" s="14">
        <f>IFERROR(I90/G90,"")</f>
        <v>1.0151515151515151</v>
      </c>
      <c r="M90" s="11" t="str">
        <f>IF(K90&gt;=Paramètres!$F$6,"Très forte",IF(K90&gt;=Paramètres!$F$5,"Forte",IF(K90&gt;=Paramètres!$F$4,"Modérée","Faible")))</f>
        <v>Forte</v>
      </c>
    </row>
    <row r="91" spans="1:13">
      <c r="A91" t="s">
        <v>847</v>
      </c>
      <c r="B91" s="11">
        <v>75</v>
      </c>
      <c r="C91" t="s">
        <v>86</v>
      </c>
      <c r="D91" t="s">
        <v>1238</v>
      </c>
      <c r="E91" t="s">
        <v>1533</v>
      </c>
      <c r="F91" t="s">
        <v>92</v>
      </c>
      <c r="G91" s="12">
        <v>15</v>
      </c>
      <c r="H91" s="12">
        <v>519</v>
      </c>
      <c r="I91" s="12">
        <v>15</v>
      </c>
      <c r="J91" t="str">
        <f>VLOOKUP(B91,Paramètres!$A$4:$C$11,3,FALSE)</f>
        <v>Paris</v>
      </c>
      <c r="K91" s="13">
        <f>IFERROR(H91/G91,"")</f>
        <v>34.6</v>
      </c>
      <c r="L91" s="14">
        <f>IFERROR(I91/G91,"")</f>
        <v>1</v>
      </c>
      <c r="M91" s="11" t="str">
        <f>IF(K91&gt;=Paramètres!$F$6,"Très forte",IF(K91&gt;=Paramètres!$F$5,"Forte",IF(K91&gt;=Paramètres!$F$4,"Modérée","Faible")))</f>
        <v>Forte</v>
      </c>
    </row>
    <row r="92" spans="1:13">
      <c r="A92" t="s">
        <v>1242</v>
      </c>
      <c r="B92" s="11">
        <v>75</v>
      </c>
      <c r="C92" t="s">
        <v>86</v>
      </c>
      <c r="D92" t="s">
        <v>1238</v>
      </c>
      <c r="E92" t="s">
        <v>1776</v>
      </c>
      <c r="F92" t="s">
        <v>92</v>
      </c>
      <c r="G92" s="12">
        <v>160</v>
      </c>
      <c r="H92" s="12">
        <v>5513</v>
      </c>
      <c r="I92" s="12">
        <v>160</v>
      </c>
      <c r="J92" t="str">
        <f>VLOOKUP(B92,Paramètres!$A$4:$C$11,3,FALSE)</f>
        <v>Paris</v>
      </c>
      <c r="K92" s="13">
        <f>IFERROR(H92/G92,"")</f>
        <v>34.456249999999997</v>
      </c>
      <c r="L92" s="14">
        <f>IFERROR(I92/G92,"")</f>
        <v>1</v>
      </c>
      <c r="M92" s="11" t="str">
        <f>IF(K92&gt;=Paramètres!$F$6,"Très forte",IF(K92&gt;=Paramètres!$F$5,"Forte",IF(K92&gt;=Paramètres!$F$4,"Modérée","Faible")))</f>
        <v>Forte</v>
      </c>
    </row>
    <row r="93" spans="1:13">
      <c r="A93" t="s">
        <v>1812</v>
      </c>
      <c r="B93" s="11">
        <v>91</v>
      </c>
      <c r="C93" t="s">
        <v>105</v>
      </c>
      <c r="D93" t="s">
        <v>1238</v>
      </c>
      <c r="E93" t="s">
        <v>1715</v>
      </c>
      <c r="F93" t="s">
        <v>92</v>
      </c>
      <c r="G93" s="12">
        <v>43</v>
      </c>
      <c r="H93" s="12">
        <v>1478</v>
      </c>
      <c r="I93" s="12">
        <v>41</v>
      </c>
      <c r="J93" t="str">
        <f>VLOOKUP(B93,Paramètres!$A$4:$C$11,3,FALSE)</f>
        <v>Grande couronne</v>
      </c>
      <c r="K93" s="13">
        <f>IFERROR(H93/G93,"")</f>
        <v>34.372093023255815</v>
      </c>
      <c r="L93" s="14">
        <f>IFERROR(I93/G93,"")</f>
        <v>0.95348837209302328</v>
      </c>
      <c r="M93" s="11" t="str">
        <f>IF(K93&gt;=Paramètres!$F$6,"Très forte",IF(K93&gt;=Paramètres!$F$5,"Forte",IF(K93&gt;=Paramètres!$F$4,"Modérée","Faible")))</f>
        <v>Forte</v>
      </c>
    </row>
    <row r="94" spans="1:13">
      <c r="A94" t="s">
        <v>1714</v>
      </c>
      <c r="B94" s="11">
        <v>78</v>
      </c>
      <c r="C94" t="s">
        <v>135</v>
      </c>
      <c r="D94" t="s">
        <v>1238</v>
      </c>
      <c r="E94" t="s">
        <v>1715</v>
      </c>
      <c r="F94" t="s">
        <v>92</v>
      </c>
      <c r="G94" s="12">
        <v>37</v>
      </c>
      <c r="H94" s="12">
        <v>1269</v>
      </c>
      <c r="I94" s="12">
        <v>37</v>
      </c>
      <c r="J94" t="str">
        <f>VLOOKUP(B94,Paramètres!$A$4:$C$11,3,FALSE)</f>
        <v>Grande couronne</v>
      </c>
      <c r="K94" s="13">
        <f>IFERROR(H94/G94,"")</f>
        <v>34.297297297297298</v>
      </c>
      <c r="L94" s="14">
        <f>IFERROR(I94/G94,"")</f>
        <v>1</v>
      </c>
      <c r="M94" s="11" t="str">
        <f>IF(K94&gt;=Paramètres!$F$6,"Très forte",IF(K94&gt;=Paramètres!$F$5,"Forte",IF(K94&gt;=Paramètres!$F$4,"Modérée","Faible")))</f>
        <v>Forte</v>
      </c>
    </row>
    <row r="95" spans="1:13">
      <c r="A95" t="s">
        <v>1074</v>
      </c>
      <c r="B95" s="11">
        <v>92</v>
      </c>
      <c r="C95" t="s">
        <v>94</v>
      </c>
      <c r="D95" t="s">
        <v>1238</v>
      </c>
      <c r="E95" t="s">
        <v>1529</v>
      </c>
      <c r="F95" t="s">
        <v>92</v>
      </c>
      <c r="G95" s="12">
        <v>15</v>
      </c>
      <c r="H95" s="12">
        <v>508</v>
      </c>
      <c r="I95" s="12">
        <v>17</v>
      </c>
      <c r="J95" t="str">
        <f>VLOOKUP(B95,Paramètres!$A$4:$C$11,3,FALSE)</f>
        <v>Petite couronne</v>
      </c>
      <c r="K95" s="13">
        <f>IFERROR(H95/G95,"")</f>
        <v>33.866666666666667</v>
      </c>
      <c r="L95" s="14">
        <f>IFERROR(I95/G95,"")</f>
        <v>1.1333333333333333</v>
      </c>
      <c r="M95" s="11" t="str">
        <f>IF(K95&gt;=Paramètres!$F$6,"Très forte",IF(K95&gt;=Paramètres!$F$5,"Forte",IF(K95&gt;=Paramètres!$F$4,"Modérée","Faible")))</f>
        <v>Forte</v>
      </c>
    </row>
    <row r="96" spans="1:13">
      <c r="A96" t="s">
        <v>1222</v>
      </c>
      <c r="B96" s="11">
        <v>78</v>
      </c>
      <c r="C96" t="s">
        <v>135</v>
      </c>
      <c r="D96" t="s">
        <v>1238</v>
      </c>
      <c r="E96" t="s">
        <v>1784</v>
      </c>
      <c r="F96" t="s">
        <v>92</v>
      </c>
      <c r="G96" s="12">
        <v>16</v>
      </c>
      <c r="H96" s="12">
        <v>541</v>
      </c>
      <c r="I96" s="12">
        <v>15</v>
      </c>
      <c r="J96" t="str">
        <f>VLOOKUP(B96,Paramètres!$A$4:$C$11,3,FALSE)</f>
        <v>Grande couronne</v>
      </c>
      <c r="K96" s="13">
        <f>IFERROR(H96/G96,"")</f>
        <v>33.8125</v>
      </c>
      <c r="L96" s="14">
        <f>IFERROR(I96/G96,"")</f>
        <v>0.9375</v>
      </c>
      <c r="M96" s="11" t="str">
        <f>IF(K96&gt;=Paramètres!$F$6,"Très forte",IF(K96&gt;=Paramètres!$F$5,"Forte",IF(K96&gt;=Paramètres!$F$4,"Modérée","Faible")))</f>
        <v>Forte</v>
      </c>
    </row>
    <row r="97" spans="1:13">
      <c r="A97" t="s">
        <v>1074</v>
      </c>
      <c r="B97" s="11">
        <v>92</v>
      </c>
      <c r="C97" t="s">
        <v>94</v>
      </c>
      <c r="D97" t="s">
        <v>1238</v>
      </c>
      <c r="E97" t="s">
        <v>1515</v>
      </c>
      <c r="F97" t="s">
        <v>92</v>
      </c>
      <c r="G97" s="12">
        <v>15</v>
      </c>
      <c r="H97" s="12">
        <v>504</v>
      </c>
      <c r="I97" s="12">
        <v>16</v>
      </c>
      <c r="J97" t="str">
        <f>VLOOKUP(B97,Paramètres!$A$4:$C$11,3,FALSE)</f>
        <v>Petite couronne</v>
      </c>
      <c r="K97" s="13">
        <f>IFERROR(H97/G97,"")</f>
        <v>33.6</v>
      </c>
      <c r="L97" s="14">
        <f>IFERROR(I97/G97,"")</f>
        <v>1.0666666666666667</v>
      </c>
      <c r="M97" s="11" t="str">
        <f>IF(K97&gt;=Paramètres!$F$6,"Très forte",IF(K97&gt;=Paramètres!$F$5,"Forte",IF(K97&gt;=Paramètres!$F$4,"Modérée","Faible")))</f>
        <v>Forte</v>
      </c>
    </row>
    <row r="98" spans="1:13">
      <c r="A98" t="s">
        <v>1149</v>
      </c>
      <c r="B98" s="11">
        <v>91</v>
      </c>
      <c r="C98" t="s">
        <v>105</v>
      </c>
      <c r="D98" t="s">
        <v>1238</v>
      </c>
      <c r="E98" t="s">
        <v>1732</v>
      </c>
      <c r="F98" t="s">
        <v>92</v>
      </c>
      <c r="G98" s="12">
        <v>15</v>
      </c>
      <c r="H98" s="12">
        <v>502</v>
      </c>
      <c r="I98" s="12">
        <v>14</v>
      </c>
      <c r="J98" t="str">
        <f>VLOOKUP(B98,Paramètres!$A$4:$C$11,3,FALSE)</f>
        <v>Grande couronne</v>
      </c>
      <c r="K98" s="13">
        <f>IFERROR(H98/G98,"")</f>
        <v>33.466666666666669</v>
      </c>
      <c r="L98" s="14">
        <f>IFERROR(I98/G98,"")</f>
        <v>0.93333333333333335</v>
      </c>
      <c r="M98" s="11" t="str">
        <f>IF(K98&gt;=Paramètres!$F$6,"Très forte",IF(K98&gt;=Paramètres!$F$5,"Forte",IF(K98&gt;=Paramètres!$F$4,"Modérée","Faible")))</f>
        <v>Forte</v>
      </c>
    </row>
    <row r="99" spans="1:13">
      <c r="A99" t="s">
        <v>847</v>
      </c>
      <c r="B99" s="11">
        <v>75</v>
      </c>
      <c r="C99" t="s">
        <v>86</v>
      </c>
      <c r="D99" t="s">
        <v>1238</v>
      </c>
      <c r="E99" t="s">
        <v>1531</v>
      </c>
      <c r="F99" t="s">
        <v>92</v>
      </c>
      <c r="G99" s="12">
        <v>12</v>
      </c>
      <c r="H99" s="12">
        <v>393</v>
      </c>
      <c r="I99" s="12">
        <v>12</v>
      </c>
      <c r="J99" t="str">
        <f>VLOOKUP(B99,Paramètres!$A$4:$C$11,3,FALSE)</f>
        <v>Paris</v>
      </c>
      <c r="K99" s="13">
        <f>IFERROR(H99/G99,"")</f>
        <v>32.75</v>
      </c>
      <c r="L99" s="14">
        <f>IFERROR(I99/G99,"")</f>
        <v>1</v>
      </c>
      <c r="M99" s="11" t="str">
        <f>IF(K99&gt;=Paramètres!$F$6,"Très forte",IF(K99&gt;=Paramètres!$F$5,"Forte",IF(K99&gt;=Paramètres!$F$4,"Modérée","Faible")))</f>
        <v>Forte</v>
      </c>
    </row>
    <row r="100" spans="1:13">
      <c r="A100" t="s">
        <v>1053</v>
      </c>
      <c r="B100" s="11">
        <v>95</v>
      </c>
      <c r="C100" t="s">
        <v>90</v>
      </c>
      <c r="D100" t="s">
        <v>1238</v>
      </c>
      <c r="E100" t="s">
        <v>1673</v>
      </c>
      <c r="F100" t="s">
        <v>92</v>
      </c>
      <c r="G100" s="12">
        <v>15</v>
      </c>
      <c r="H100" s="12">
        <v>489</v>
      </c>
      <c r="I100" s="12">
        <v>15</v>
      </c>
      <c r="J100" t="str">
        <f>VLOOKUP(B100,Paramètres!$A$4:$C$11,3,FALSE)</f>
        <v>Grande couronne</v>
      </c>
      <c r="K100" s="13">
        <f>IFERROR(H100/G100,"")</f>
        <v>32.6</v>
      </c>
      <c r="L100" s="14">
        <f>IFERROR(I100/G100,"")</f>
        <v>1</v>
      </c>
      <c r="M100" s="11" t="str">
        <f>IF(K100&gt;=Paramètres!$F$6,"Très forte",IF(K100&gt;=Paramètres!$F$5,"Forte",IF(K100&gt;=Paramètres!$F$4,"Modérée","Faible")))</f>
        <v>Forte</v>
      </c>
    </row>
    <row r="101" spans="1:13">
      <c r="A101" t="s">
        <v>966</v>
      </c>
      <c r="B101" s="11">
        <v>94</v>
      </c>
      <c r="C101" t="s">
        <v>116</v>
      </c>
      <c r="D101" t="s">
        <v>1238</v>
      </c>
      <c r="E101" t="s">
        <v>1301</v>
      </c>
      <c r="F101" t="s">
        <v>92</v>
      </c>
      <c r="G101" s="12">
        <v>35</v>
      </c>
      <c r="H101" s="12">
        <v>1134</v>
      </c>
      <c r="I101" s="12">
        <v>37</v>
      </c>
      <c r="J101" t="str">
        <f>VLOOKUP(B101,Paramètres!$A$4:$C$11,3,FALSE)</f>
        <v>Petite couronne</v>
      </c>
      <c r="K101" s="13">
        <f>IFERROR(H101/G101,"")</f>
        <v>32.4</v>
      </c>
      <c r="L101" s="14">
        <f>IFERROR(I101/G101,"")</f>
        <v>1.0571428571428572</v>
      </c>
      <c r="M101" s="11" t="str">
        <f>IF(K101&gt;=Paramètres!$F$6,"Très forte",IF(K101&gt;=Paramètres!$F$5,"Forte",IF(K101&gt;=Paramètres!$F$4,"Modérée","Faible")))</f>
        <v>Forte</v>
      </c>
    </row>
    <row r="102" spans="1:13">
      <c r="A102" t="s">
        <v>1279</v>
      </c>
      <c r="B102" s="11">
        <v>75</v>
      </c>
      <c r="C102" t="s">
        <v>86</v>
      </c>
      <c r="D102" t="s">
        <v>1238</v>
      </c>
      <c r="E102" t="s">
        <v>1280</v>
      </c>
      <c r="F102" t="s">
        <v>92</v>
      </c>
      <c r="G102" s="12">
        <v>35</v>
      </c>
      <c r="H102" s="12">
        <v>1127</v>
      </c>
      <c r="I102" s="12">
        <v>31</v>
      </c>
      <c r="J102" t="str">
        <f>VLOOKUP(B102,Paramètres!$A$4:$C$11,3,FALSE)</f>
        <v>Paris</v>
      </c>
      <c r="K102" s="13">
        <f>IFERROR(H102/G102,"")</f>
        <v>32.200000000000003</v>
      </c>
      <c r="L102" s="14">
        <f>IFERROR(I102/G102,"")</f>
        <v>0.88571428571428568</v>
      </c>
      <c r="M102" s="11" t="str">
        <f>IF(K102&gt;=Paramètres!$F$6,"Très forte",IF(K102&gt;=Paramètres!$F$5,"Forte",IF(K102&gt;=Paramètres!$F$4,"Modérée","Faible")))</f>
        <v>Forte</v>
      </c>
    </row>
    <row r="103" spans="1:13">
      <c r="A103" t="s">
        <v>794</v>
      </c>
      <c r="B103" s="11">
        <v>75</v>
      </c>
      <c r="C103" t="s">
        <v>86</v>
      </c>
      <c r="D103" t="s">
        <v>1238</v>
      </c>
      <c r="E103" t="s">
        <v>1300</v>
      </c>
      <c r="F103" t="s">
        <v>92</v>
      </c>
      <c r="G103" s="12">
        <v>35</v>
      </c>
      <c r="H103" s="12">
        <v>1119</v>
      </c>
      <c r="I103" s="12">
        <v>35</v>
      </c>
      <c r="J103" t="str">
        <f>VLOOKUP(B103,Paramètres!$A$4:$C$11,3,FALSE)</f>
        <v>Paris</v>
      </c>
      <c r="K103" s="13">
        <f>IFERROR(H103/G103,"")</f>
        <v>31.971428571428572</v>
      </c>
      <c r="L103" s="14">
        <f>IFERROR(I103/G103,"")</f>
        <v>1</v>
      </c>
      <c r="M103" s="11" t="str">
        <f>IF(K103&gt;=Paramètres!$F$6,"Très forte",IF(K103&gt;=Paramètres!$F$5,"Forte",IF(K103&gt;=Paramètres!$F$4,"Modérée","Faible")))</f>
        <v>Forte</v>
      </c>
    </row>
    <row r="104" spans="1:13">
      <c r="A104" t="s">
        <v>1133</v>
      </c>
      <c r="B104" s="11">
        <v>75</v>
      </c>
      <c r="C104" t="s">
        <v>86</v>
      </c>
      <c r="D104" t="s">
        <v>1238</v>
      </c>
      <c r="E104" t="s">
        <v>1648</v>
      </c>
      <c r="F104" t="s">
        <v>92</v>
      </c>
      <c r="G104" s="12">
        <v>12</v>
      </c>
      <c r="H104" s="12">
        <v>382</v>
      </c>
      <c r="I104" s="12">
        <v>12</v>
      </c>
      <c r="J104" t="str">
        <f>VLOOKUP(B104,Paramètres!$A$4:$C$11,3,FALSE)</f>
        <v>Paris</v>
      </c>
      <c r="K104" s="13">
        <f>IFERROR(H104/G104,"")</f>
        <v>31.833333333333332</v>
      </c>
      <c r="L104" s="14">
        <f>IFERROR(I104/G104,"")</f>
        <v>1</v>
      </c>
      <c r="M104" s="11" t="str">
        <f>IF(K104&gt;=Paramètres!$F$6,"Très forte",IF(K104&gt;=Paramètres!$F$5,"Forte",IF(K104&gt;=Paramètres!$F$4,"Modérée","Faible")))</f>
        <v>Forte</v>
      </c>
    </row>
    <row r="105" spans="1:13">
      <c r="A105" t="s">
        <v>110</v>
      </c>
      <c r="B105" s="11">
        <v>75</v>
      </c>
      <c r="C105" t="s">
        <v>86</v>
      </c>
      <c r="D105" t="s">
        <v>1238</v>
      </c>
      <c r="E105" t="s">
        <v>1844</v>
      </c>
      <c r="F105" t="s">
        <v>92</v>
      </c>
      <c r="G105" s="12">
        <v>66</v>
      </c>
      <c r="H105" s="12">
        <v>2100</v>
      </c>
      <c r="I105" s="12">
        <v>61</v>
      </c>
      <c r="J105" t="str">
        <f>VLOOKUP(B105,Paramètres!$A$4:$C$11,3,FALSE)</f>
        <v>Paris</v>
      </c>
      <c r="K105" s="13">
        <f>IFERROR(H105/G105,"")</f>
        <v>31.818181818181817</v>
      </c>
      <c r="L105" s="14">
        <f>IFERROR(I105/G105,"")</f>
        <v>0.9242424242424242</v>
      </c>
      <c r="M105" s="11" t="str">
        <f>IF(K105&gt;=Paramètres!$F$6,"Très forte",IF(K105&gt;=Paramètres!$F$5,"Forte",IF(K105&gt;=Paramètres!$F$4,"Modérée","Faible")))</f>
        <v>Forte</v>
      </c>
    </row>
    <row r="106" spans="1:13">
      <c r="A106" t="s">
        <v>1378</v>
      </c>
      <c r="B106" s="11">
        <v>75</v>
      </c>
      <c r="C106" t="s">
        <v>86</v>
      </c>
      <c r="D106" t="s">
        <v>1238</v>
      </c>
      <c r="E106" t="s">
        <v>1826</v>
      </c>
      <c r="F106" t="s">
        <v>92</v>
      </c>
      <c r="G106" s="12">
        <v>7</v>
      </c>
      <c r="H106" s="12">
        <v>222</v>
      </c>
      <c r="I106" s="12">
        <v>7</v>
      </c>
      <c r="J106" t="str">
        <f>VLOOKUP(B106,Paramètres!$A$4:$C$11,3,FALSE)</f>
        <v>Paris</v>
      </c>
      <c r="K106" s="13">
        <f>IFERROR(H106/G106,"")</f>
        <v>31.714285714285715</v>
      </c>
      <c r="L106" s="14">
        <f>IFERROR(I106/G106,"")</f>
        <v>1</v>
      </c>
      <c r="M106" s="11" t="str">
        <f>IF(K106&gt;=Paramètres!$F$6,"Très forte",IF(K106&gt;=Paramètres!$F$5,"Forte",IF(K106&gt;=Paramètres!$F$4,"Modérée","Faible")))</f>
        <v>Forte</v>
      </c>
    </row>
    <row r="107" spans="1:13">
      <c r="A107" t="s">
        <v>1378</v>
      </c>
      <c r="B107" s="11">
        <v>75</v>
      </c>
      <c r="C107" t="s">
        <v>86</v>
      </c>
      <c r="D107" t="s">
        <v>1238</v>
      </c>
      <c r="E107" t="s">
        <v>1381</v>
      </c>
      <c r="F107" t="s">
        <v>92</v>
      </c>
      <c r="G107" s="12">
        <v>12</v>
      </c>
      <c r="H107" s="12">
        <v>379</v>
      </c>
      <c r="I107" s="12">
        <v>12</v>
      </c>
      <c r="J107" t="str">
        <f>VLOOKUP(B107,Paramètres!$A$4:$C$11,3,FALSE)</f>
        <v>Paris</v>
      </c>
      <c r="K107" s="13">
        <f>IFERROR(H107/G107,"")</f>
        <v>31.583333333333332</v>
      </c>
      <c r="L107" s="14">
        <f>IFERROR(I107/G107,"")</f>
        <v>1</v>
      </c>
      <c r="M107" s="11" t="str">
        <f>IF(K107&gt;=Paramètres!$F$6,"Très forte",IF(K107&gt;=Paramètres!$F$5,"Forte",IF(K107&gt;=Paramètres!$F$4,"Modérée","Faible")))</f>
        <v>Forte</v>
      </c>
    </row>
    <row r="108" spans="1:13">
      <c r="A108" t="s">
        <v>983</v>
      </c>
      <c r="B108" s="11">
        <v>95</v>
      </c>
      <c r="C108" t="s">
        <v>90</v>
      </c>
      <c r="D108" t="s">
        <v>1238</v>
      </c>
      <c r="E108" t="s">
        <v>1301</v>
      </c>
      <c r="F108" t="s">
        <v>92</v>
      </c>
      <c r="G108" s="12">
        <v>35</v>
      </c>
      <c r="H108" s="12">
        <v>1105</v>
      </c>
      <c r="I108" s="12">
        <v>32</v>
      </c>
      <c r="J108" t="str">
        <f>VLOOKUP(B108,Paramètres!$A$4:$C$11,3,FALSE)</f>
        <v>Grande couronne</v>
      </c>
      <c r="K108" s="13">
        <f>IFERROR(H108/G108,"")</f>
        <v>31.571428571428573</v>
      </c>
      <c r="L108" s="14">
        <f>IFERROR(I108/G108,"")</f>
        <v>0.91428571428571426</v>
      </c>
      <c r="M108" s="11" t="str">
        <f>IF(K108&gt;=Paramètres!$F$6,"Très forte",IF(K108&gt;=Paramètres!$F$5,"Forte",IF(K108&gt;=Paramètres!$F$4,"Modérée","Faible")))</f>
        <v>Forte</v>
      </c>
    </row>
    <row r="109" spans="1:13">
      <c r="A109" t="s">
        <v>877</v>
      </c>
      <c r="B109" s="11">
        <v>75</v>
      </c>
      <c r="C109" t="s">
        <v>86</v>
      </c>
      <c r="D109" t="s">
        <v>1238</v>
      </c>
      <c r="E109" t="s">
        <v>1239</v>
      </c>
      <c r="F109" t="s">
        <v>92</v>
      </c>
      <c r="G109" s="12">
        <v>24</v>
      </c>
      <c r="H109" s="12">
        <v>745</v>
      </c>
      <c r="I109" s="12">
        <v>24</v>
      </c>
      <c r="J109" t="str">
        <f>VLOOKUP(B109,Paramètres!$A$4:$C$11,3,FALSE)</f>
        <v>Paris</v>
      </c>
      <c r="K109" s="13">
        <f>IFERROR(H109/G109,"")</f>
        <v>31.041666666666668</v>
      </c>
      <c r="L109" s="14">
        <f>IFERROR(I109/G109,"")</f>
        <v>1</v>
      </c>
      <c r="M109" s="11" t="str">
        <f>IF(K109&gt;=Paramètres!$F$6,"Très forte",IF(K109&gt;=Paramètres!$F$5,"Forte",IF(K109&gt;=Paramètres!$F$4,"Modérée","Faible")))</f>
        <v>Forte</v>
      </c>
    </row>
    <row r="110" spans="1:13">
      <c r="A110" t="s">
        <v>1352</v>
      </c>
      <c r="B110" s="11">
        <v>75</v>
      </c>
      <c r="C110" t="s">
        <v>86</v>
      </c>
      <c r="D110" t="s">
        <v>1238</v>
      </c>
      <c r="E110" t="s">
        <v>1852</v>
      </c>
      <c r="F110" t="s">
        <v>92</v>
      </c>
      <c r="G110" s="12">
        <v>4</v>
      </c>
      <c r="H110" s="12">
        <v>124</v>
      </c>
      <c r="I110" s="12">
        <v>4</v>
      </c>
      <c r="J110" t="str">
        <f>VLOOKUP(B110,Paramètres!$A$4:$C$11,3,FALSE)</f>
        <v>Paris</v>
      </c>
      <c r="K110" s="13">
        <f>IFERROR(H110/G110,"")</f>
        <v>31</v>
      </c>
      <c r="L110" s="14">
        <f>IFERROR(I110/G110,"")</f>
        <v>1</v>
      </c>
      <c r="M110" s="11" t="str">
        <f>IF(K110&gt;=Paramètres!$F$6,"Très forte",IF(K110&gt;=Paramètres!$F$5,"Forte",IF(K110&gt;=Paramètres!$F$4,"Modérée","Faible")))</f>
        <v>Forte</v>
      </c>
    </row>
    <row r="111" spans="1:13">
      <c r="A111" t="s">
        <v>240</v>
      </c>
      <c r="B111" s="11">
        <v>75</v>
      </c>
      <c r="C111" t="s">
        <v>86</v>
      </c>
      <c r="D111" t="s">
        <v>1238</v>
      </c>
      <c r="E111" t="s">
        <v>1768</v>
      </c>
      <c r="F111" t="s">
        <v>92</v>
      </c>
      <c r="G111" s="12">
        <v>25</v>
      </c>
      <c r="H111" s="12">
        <v>774</v>
      </c>
      <c r="I111" s="12">
        <v>25</v>
      </c>
      <c r="J111" t="str">
        <f>VLOOKUP(B111,Paramètres!$A$4:$C$11,3,FALSE)</f>
        <v>Paris</v>
      </c>
      <c r="K111" s="13">
        <f>IFERROR(H111/G111,"")</f>
        <v>30.96</v>
      </c>
      <c r="L111" s="14">
        <f>IFERROR(I111/G111,"")</f>
        <v>1</v>
      </c>
      <c r="M111" s="11" t="str">
        <f>IF(K111&gt;=Paramètres!$F$6,"Très forte",IF(K111&gt;=Paramètres!$F$5,"Forte",IF(K111&gt;=Paramètres!$F$4,"Modérée","Faible")))</f>
        <v>Forte</v>
      </c>
    </row>
    <row r="112" spans="1:13">
      <c r="A112" t="s">
        <v>1378</v>
      </c>
      <c r="B112" s="11">
        <v>75</v>
      </c>
      <c r="C112" t="s">
        <v>86</v>
      </c>
      <c r="D112" t="s">
        <v>1238</v>
      </c>
      <c r="E112" t="s">
        <v>1728</v>
      </c>
      <c r="F112" t="s">
        <v>92</v>
      </c>
      <c r="G112" s="12">
        <v>16</v>
      </c>
      <c r="H112" s="12">
        <v>490</v>
      </c>
      <c r="I112" s="12">
        <v>16</v>
      </c>
      <c r="J112" t="str">
        <f>VLOOKUP(B112,Paramètres!$A$4:$C$11,3,FALSE)</f>
        <v>Paris</v>
      </c>
      <c r="K112" s="13">
        <f>IFERROR(H112/G112,"")</f>
        <v>30.625</v>
      </c>
      <c r="L112" s="14">
        <f>IFERROR(I112/G112,"")</f>
        <v>1</v>
      </c>
      <c r="M112" s="11" t="str">
        <f>IF(K112&gt;=Paramètres!$F$6,"Très forte",IF(K112&gt;=Paramètres!$F$5,"Forte",IF(K112&gt;=Paramètres!$F$4,"Modérée","Faible")))</f>
        <v>Forte</v>
      </c>
    </row>
    <row r="113" spans="1:13">
      <c r="A113" t="s">
        <v>1445</v>
      </c>
      <c r="B113" s="11">
        <v>92</v>
      </c>
      <c r="C113" t="s">
        <v>94</v>
      </c>
      <c r="D113" t="s">
        <v>1238</v>
      </c>
      <c r="E113" t="s">
        <v>1446</v>
      </c>
      <c r="F113" t="s">
        <v>92</v>
      </c>
      <c r="G113" s="12">
        <v>5</v>
      </c>
      <c r="H113" s="12">
        <v>153</v>
      </c>
      <c r="I113" s="12">
        <v>4</v>
      </c>
      <c r="J113" t="str">
        <f>VLOOKUP(B113,Paramètres!$A$4:$C$11,3,FALSE)</f>
        <v>Petite couronne</v>
      </c>
      <c r="K113" s="13">
        <f>IFERROR(H113/G113,"")</f>
        <v>30.6</v>
      </c>
      <c r="L113" s="14">
        <f>IFERROR(I113/G113,"")</f>
        <v>0.8</v>
      </c>
      <c r="M113" s="11" t="str">
        <f>IF(K113&gt;=Paramètres!$F$6,"Très forte",IF(K113&gt;=Paramètres!$F$5,"Forte",IF(K113&gt;=Paramètres!$F$4,"Modérée","Faible")))</f>
        <v>Forte</v>
      </c>
    </row>
    <row r="114" spans="1:13">
      <c r="A114" t="s">
        <v>119</v>
      </c>
      <c r="B114" s="11">
        <v>75</v>
      </c>
      <c r="C114" t="s">
        <v>86</v>
      </c>
      <c r="D114" t="s">
        <v>1238</v>
      </c>
      <c r="E114" t="s">
        <v>1628</v>
      </c>
      <c r="F114" t="s">
        <v>92</v>
      </c>
      <c r="G114" s="12">
        <v>32</v>
      </c>
      <c r="H114" s="12">
        <v>958</v>
      </c>
      <c r="I114" s="12">
        <v>32</v>
      </c>
      <c r="J114" t="str">
        <f>VLOOKUP(B114,Paramètres!$A$4:$C$11,3,FALSE)</f>
        <v>Paris</v>
      </c>
      <c r="K114" s="13">
        <f>IFERROR(H114/G114,"")</f>
        <v>29.9375</v>
      </c>
      <c r="L114" s="14">
        <f>IFERROR(I114/G114,"")</f>
        <v>1</v>
      </c>
      <c r="M114" s="11" t="str">
        <f>IF(K114&gt;=Paramètres!$F$6,"Très forte",IF(K114&gt;=Paramètres!$F$5,"Forte",IF(K114&gt;=Paramètres!$F$4,"Modérée","Faible")))</f>
        <v>Forte</v>
      </c>
    </row>
    <row r="115" spans="1:13">
      <c r="A115" t="s">
        <v>1326</v>
      </c>
      <c r="B115" s="11">
        <v>93</v>
      </c>
      <c r="C115" t="s">
        <v>100</v>
      </c>
      <c r="D115" t="s">
        <v>1238</v>
      </c>
      <c r="E115" t="s">
        <v>1587</v>
      </c>
      <c r="F115" t="s">
        <v>92</v>
      </c>
      <c r="G115" s="12">
        <v>15</v>
      </c>
      <c r="H115" s="12">
        <v>448</v>
      </c>
      <c r="I115" s="12">
        <v>15</v>
      </c>
      <c r="J115" t="str">
        <f>VLOOKUP(B115,Paramètres!$A$4:$C$11,3,FALSE)</f>
        <v>Petite couronne</v>
      </c>
      <c r="K115" s="13">
        <f>IFERROR(H115/G115,"")</f>
        <v>29.866666666666667</v>
      </c>
      <c r="L115" s="14">
        <f>IFERROR(I115/G115,"")</f>
        <v>1</v>
      </c>
      <c r="M115" s="11" t="str">
        <f>IF(K115&gt;=Paramètres!$F$6,"Très forte",IF(K115&gt;=Paramètres!$F$5,"Forte",IF(K115&gt;=Paramètres!$F$4,"Modérée","Faible")))</f>
        <v>Forte</v>
      </c>
    </row>
    <row r="116" spans="1:13">
      <c r="A116" t="s">
        <v>1100</v>
      </c>
      <c r="B116" s="11">
        <v>94</v>
      </c>
      <c r="C116" t="s">
        <v>116</v>
      </c>
      <c r="D116" t="s">
        <v>1238</v>
      </c>
      <c r="E116" t="s">
        <v>1822</v>
      </c>
      <c r="F116" t="s">
        <v>92</v>
      </c>
      <c r="G116" s="12">
        <v>12</v>
      </c>
      <c r="H116" s="12">
        <v>357</v>
      </c>
      <c r="I116" s="12">
        <v>12</v>
      </c>
      <c r="J116" t="str">
        <f>VLOOKUP(B116,Paramètres!$A$4:$C$11,3,FALSE)</f>
        <v>Petite couronne</v>
      </c>
      <c r="K116" s="13">
        <f>IFERROR(H116/G116,"")</f>
        <v>29.75</v>
      </c>
      <c r="L116" s="14">
        <f>IFERROR(I116/G116,"")</f>
        <v>1</v>
      </c>
      <c r="M116" s="11" t="str">
        <f>IF(K116&gt;=Paramètres!$F$6,"Très forte",IF(K116&gt;=Paramètres!$F$5,"Forte",IF(K116&gt;=Paramètres!$F$4,"Modérée","Faible")))</f>
        <v>Forte</v>
      </c>
    </row>
    <row r="117" spans="1:13">
      <c r="A117" t="s">
        <v>1777</v>
      </c>
      <c r="B117" s="11">
        <v>94</v>
      </c>
      <c r="C117" t="s">
        <v>116</v>
      </c>
      <c r="D117" t="s">
        <v>1238</v>
      </c>
      <c r="E117" t="s">
        <v>1572</v>
      </c>
      <c r="F117" t="s">
        <v>92</v>
      </c>
      <c r="G117" s="12">
        <v>63</v>
      </c>
      <c r="H117" s="12">
        <v>1857</v>
      </c>
      <c r="I117" s="12">
        <v>66</v>
      </c>
      <c r="J117" t="str">
        <f>VLOOKUP(B117,Paramètres!$A$4:$C$11,3,FALSE)</f>
        <v>Petite couronne</v>
      </c>
      <c r="K117" s="13">
        <f>IFERROR(H117/G117,"")</f>
        <v>29.476190476190474</v>
      </c>
      <c r="L117" s="14">
        <f>IFERROR(I117/G117,"")</f>
        <v>1.0476190476190477</v>
      </c>
      <c r="M117" s="11" t="str">
        <f>IF(K117&gt;=Paramètres!$F$6,"Très forte",IF(K117&gt;=Paramètres!$F$5,"Forte",IF(K117&gt;=Paramètres!$F$4,"Modérée","Faible")))</f>
        <v>Forte</v>
      </c>
    </row>
    <row r="118" spans="1:13">
      <c r="A118" t="s">
        <v>1762</v>
      </c>
      <c r="B118" s="11">
        <v>75</v>
      </c>
      <c r="C118" t="s">
        <v>86</v>
      </c>
      <c r="D118" t="s">
        <v>1238</v>
      </c>
      <c r="E118" t="s">
        <v>1791</v>
      </c>
      <c r="F118" t="s">
        <v>92</v>
      </c>
      <c r="G118" s="12">
        <v>35</v>
      </c>
      <c r="H118" s="12">
        <v>1014</v>
      </c>
      <c r="I118" s="12">
        <v>35</v>
      </c>
      <c r="J118" t="str">
        <f>VLOOKUP(B118,Paramètres!$A$4:$C$11,3,FALSE)</f>
        <v>Paris</v>
      </c>
      <c r="K118" s="13">
        <f>IFERROR(H118/G118,"")</f>
        <v>28.971428571428572</v>
      </c>
      <c r="L118" s="14">
        <f>IFERROR(I118/G118,"")</f>
        <v>1</v>
      </c>
      <c r="M118" s="11" t="str">
        <f>IF(K118&gt;=Paramètres!$F$6,"Très forte",IF(K118&gt;=Paramètres!$F$5,"Forte",IF(K118&gt;=Paramètres!$F$4,"Modérée","Faible")))</f>
        <v>Forte</v>
      </c>
    </row>
    <row r="119" spans="1:13">
      <c r="A119" t="s">
        <v>1384</v>
      </c>
      <c r="B119" s="11">
        <v>93</v>
      </c>
      <c r="C119" t="s">
        <v>100</v>
      </c>
      <c r="D119" t="s">
        <v>1238</v>
      </c>
      <c r="E119" t="s">
        <v>1385</v>
      </c>
      <c r="F119" t="s">
        <v>92</v>
      </c>
      <c r="G119" s="12">
        <v>16</v>
      </c>
      <c r="H119" s="12">
        <v>463</v>
      </c>
      <c r="I119" s="12">
        <v>16</v>
      </c>
      <c r="J119" t="str">
        <f>VLOOKUP(B119,Paramètres!$A$4:$C$11,3,FALSE)</f>
        <v>Petite couronne</v>
      </c>
      <c r="K119" s="13">
        <f>IFERROR(H119/G119,"")</f>
        <v>28.9375</v>
      </c>
      <c r="L119" s="14">
        <f>IFERROR(I119/G119,"")</f>
        <v>1</v>
      </c>
      <c r="M119" s="11" t="str">
        <f>IF(K119&gt;=Paramètres!$F$6,"Très forte",IF(K119&gt;=Paramètres!$F$5,"Forte",IF(K119&gt;=Paramètres!$F$4,"Modérée","Faible")))</f>
        <v>Forte</v>
      </c>
    </row>
    <row r="120" spans="1:13">
      <c r="A120" t="s">
        <v>1352</v>
      </c>
      <c r="B120" s="11">
        <v>75</v>
      </c>
      <c r="C120" t="s">
        <v>86</v>
      </c>
      <c r="D120" t="s">
        <v>1238</v>
      </c>
      <c r="E120" t="s">
        <v>1444</v>
      </c>
      <c r="F120" t="s">
        <v>92</v>
      </c>
      <c r="G120" s="12">
        <v>12</v>
      </c>
      <c r="H120" s="12">
        <v>346</v>
      </c>
      <c r="I120" s="12">
        <v>12</v>
      </c>
      <c r="J120" t="str">
        <f>VLOOKUP(B120,Paramètres!$A$4:$C$11,3,FALSE)</f>
        <v>Paris</v>
      </c>
      <c r="K120" s="13">
        <f>IFERROR(H120/G120,"")</f>
        <v>28.833333333333332</v>
      </c>
      <c r="L120" s="14">
        <f>IFERROR(I120/G120,"")</f>
        <v>1</v>
      </c>
      <c r="M120" s="11" t="str">
        <f>IF(K120&gt;=Paramètres!$F$6,"Très forte",IF(K120&gt;=Paramètres!$F$5,"Forte",IF(K120&gt;=Paramètres!$F$4,"Modérée","Faible")))</f>
        <v>Forte</v>
      </c>
    </row>
    <row r="121" spans="1:13">
      <c r="A121" t="s">
        <v>242</v>
      </c>
      <c r="B121" s="11">
        <v>95</v>
      </c>
      <c r="C121" t="s">
        <v>90</v>
      </c>
      <c r="D121" t="s">
        <v>1238</v>
      </c>
      <c r="E121" t="s">
        <v>1317</v>
      </c>
      <c r="F121" t="s">
        <v>92</v>
      </c>
      <c r="G121" s="12">
        <v>45</v>
      </c>
      <c r="H121" s="12">
        <v>1282</v>
      </c>
      <c r="I121" s="12">
        <v>42</v>
      </c>
      <c r="J121" t="str">
        <f>VLOOKUP(B121,Paramètres!$A$4:$C$11,3,FALSE)</f>
        <v>Grande couronne</v>
      </c>
      <c r="K121" s="13">
        <f>IFERROR(H121/G121,"")</f>
        <v>28.488888888888887</v>
      </c>
      <c r="L121" s="14">
        <f>IFERROR(I121/G121,"")</f>
        <v>0.93333333333333335</v>
      </c>
      <c r="M121" s="11" t="str">
        <f>IF(K121&gt;=Paramètres!$F$6,"Très forte",IF(K121&gt;=Paramètres!$F$5,"Forte",IF(K121&gt;=Paramètres!$F$4,"Modérée","Faible")))</f>
        <v>Forte</v>
      </c>
    </row>
    <row r="122" spans="1:13">
      <c r="A122" t="s">
        <v>1573</v>
      </c>
      <c r="B122" s="11">
        <v>78</v>
      </c>
      <c r="C122" t="s">
        <v>135</v>
      </c>
      <c r="D122" t="s">
        <v>1238</v>
      </c>
      <c r="E122" t="s">
        <v>1430</v>
      </c>
      <c r="F122" t="s">
        <v>92</v>
      </c>
      <c r="G122" s="12">
        <v>23</v>
      </c>
      <c r="H122" s="12">
        <v>642</v>
      </c>
      <c r="I122" s="12">
        <v>24</v>
      </c>
      <c r="J122" t="str">
        <f>VLOOKUP(B122,Paramètres!$A$4:$C$11,3,FALSE)</f>
        <v>Grande couronne</v>
      </c>
      <c r="K122" s="13">
        <f>IFERROR(H122/G122,"")</f>
        <v>27.913043478260871</v>
      </c>
      <c r="L122" s="14">
        <f>IFERROR(I122/G122,"")</f>
        <v>1.0434782608695652</v>
      </c>
      <c r="M122" s="11" t="str">
        <f>IF(K122&gt;=Paramètres!$F$6,"Très forte",IF(K122&gt;=Paramètres!$F$5,"Forte",IF(K122&gt;=Paramètres!$F$4,"Modérée","Faible")))</f>
        <v>Forte</v>
      </c>
    </row>
    <row r="123" spans="1:13">
      <c r="A123" t="s">
        <v>1760</v>
      </c>
      <c r="B123" s="11">
        <v>92</v>
      </c>
      <c r="C123" t="s">
        <v>94</v>
      </c>
      <c r="D123" t="s">
        <v>1238</v>
      </c>
      <c r="E123" t="s">
        <v>1761</v>
      </c>
      <c r="F123" t="s">
        <v>92</v>
      </c>
      <c r="G123" s="12">
        <v>12</v>
      </c>
      <c r="H123" s="12">
        <v>330</v>
      </c>
      <c r="I123" s="12">
        <v>11</v>
      </c>
      <c r="J123" t="str">
        <f>VLOOKUP(B123,Paramètres!$A$4:$C$11,3,FALSE)</f>
        <v>Petite couronne</v>
      </c>
      <c r="K123" s="13">
        <f>IFERROR(H123/G123,"")</f>
        <v>27.5</v>
      </c>
      <c r="L123" s="14">
        <f>IFERROR(I123/G123,"")</f>
        <v>0.91666666666666663</v>
      </c>
      <c r="M123" s="11" t="str">
        <f>IF(K123&gt;=Paramètres!$F$6,"Très forte",IF(K123&gt;=Paramètres!$F$5,"Forte",IF(K123&gt;=Paramètres!$F$4,"Modérée","Faible")))</f>
        <v>Forte</v>
      </c>
    </row>
    <row r="124" spans="1:13">
      <c r="A124" t="s">
        <v>1717</v>
      </c>
      <c r="B124" s="11">
        <v>75</v>
      </c>
      <c r="C124" t="s">
        <v>86</v>
      </c>
      <c r="D124" t="s">
        <v>1238</v>
      </c>
      <c r="E124" t="s">
        <v>1303</v>
      </c>
      <c r="F124" t="s">
        <v>92</v>
      </c>
      <c r="G124" s="12">
        <v>153</v>
      </c>
      <c r="H124" s="12">
        <v>4180</v>
      </c>
      <c r="I124" s="12">
        <v>154</v>
      </c>
      <c r="J124" t="str">
        <f>VLOOKUP(B124,Paramètres!$A$4:$C$11,3,FALSE)</f>
        <v>Paris</v>
      </c>
      <c r="K124" s="13">
        <f>IFERROR(H124/G124,"")</f>
        <v>27.320261437908496</v>
      </c>
      <c r="L124" s="14">
        <f>IFERROR(I124/G124,"")</f>
        <v>1.0065359477124183</v>
      </c>
      <c r="M124" s="11" t="str">
        <f>IF(K124&gt;=Paramètres!$F$6,"Très forte",IF(K124&gt;=Paramètres!$F$5,"Forte",IF(K124&gt;=Paramètres!$F$4,"Modérée","Faible")))</f>
        <v>Forte</v>
      </c>
    </row>
    <row r="125" spans="1:13">
      <c r="A125" t="s">
        <v>1845</v>
      </c>
      <c r="B125" s="11">
        <v>75</v>
      </c>
      <c r="C125" t="s">
        <v>86</v>
      </c>
      <c r="D125" t="s">
        <v>1238</v>
      </c>
      <c r="E125" t="s">
        <v>1303</v>
      </c>
      <c r="F125" t="s">
        <v>92</v>
      </c>
      <c r="G125" s="12">
        <v>120</v>
      </c>
      <c r="H125" s="12">
        <v>3271</v>
      </c>
      <c r="I125" s="12">
        <v>120</v>
      </c>
      <c r="J125" t="str">
        <f>VLOOKUP(B125,Paramètres!$A$4:$C$11,3,FALSE)</f>
        <v>Paris</v>
      </c>
      <c r="K125" s="13">
        <f>IFERROR(H125/G125,"")</f>
        <v>27.258333333333333</v>
      </c>
      <c r="L125" s="14">
        <f>IFERROR(I125/G125,"")</f>
        <v>1</v>
      </c>
      <c r="M125" s="11" t="str">
        <f>IF(K125&gt;=Paramètres!$F$6,"Très forte",IF(K125&gt;=Paramètres!$F$5,"Forte",IF(K125&gt;=Paramètres!$F$4,"Modérée","Faible")))</f>
        <v>Forte</v>
      </c>
    </row>
    <row r="126" spans="1:13">
      <c r="A126" t="s">
        <v>1133</v>
      </c>
      <c r="B126" s="11">
        <v>75</v>
      </c>
      <c r="C126" t="s">
        <v>86</v>
      </c>
      <c r="D126" t="s">
        <v>1238</v>
      </c>
      <c r="E126" t="s">
        <v>1816</v>
      </c>
      <c r="F126" t="s">
        <v>92</v>
      </c>
      <c r="G126" s="12">
        <v>8</v>
      </c>
      <c r="H126" s="12">
        <v>215</v>
      </c>
      <c r="I126" s="12">
        <v>8</v>
      </c>
      <c r="J126" t="str">
        <f>VLOOKUP(B126,Paramètres!$A$4:$C$11,3,FALSE)</f>
        <v>Paris</v>
      </c>
      <c r="K126" s="13">
        <f>IFERROR(H126/G126,"")</f>
        <v>26.875</v>
      </c>
      <c r="L126" s="14">
        <f>IFERROR(I126/G126,"")</f>
        <v>1</v>
      </c>
      <c r="M126" s="11" t="str">
        <f>IF(K126&gt;=Paramètres!$F$6,"Très forte",IF(K126&gt;=Paramètres!$F$5,"Forte",IF(K126&gt;=Paramètres!$F$4,"Modérée","Faible")))</f>
        <v>Forte</v>
      </c>
    </row>
    <row r="127" spans="1:13">
      <c r="A127" t="s">
        <v>1372</v>
      </c>
      <c r="B127" s="11">
        <v>95</v>
      </c>
      <c r="C127" t="s">
        <v>90</v>
      </c>
      <c r="D127" t="s">
        <v>1238</v>
      </c>
      <c r="E127" t="s">
        <v>1373</v>
      </c>
      <c r="F127" t="s">
        <v>92</v>
      </c>
      <c r="G127" s="12">
        <v>30</v>
      </c>
      <c r="H127" s="12">
        <v>803</v>
      </c>
      <c r="I127" s="12">
        <v>30</v>
      </c>
      <c r="J127" t="str">
        <f>VLOOKUP(B127,Paramètres!$A$4:$C$11,3,FALSE)</f>
        <v>Grande couronne</v>
      </c>
      <c r="K127" s="13">
        <f>IFERROR(H127/G127,"")</f>
        <v>26.766666666666666</v>
      </c>
      <c r="L127" s="14">
        <f>IFERROR(I127/G127,"")</f>
        <v>1</v>
      </c>
      <c r="M127" s="11" t="str">
        <f>IF(K127&gt;=Paramètres!$F$6,"Très forte",IF(K127&gt;=Paramètres!$F$5,"Forte",IF(K127&gt;=Paramètres!$F$4,"Modérée","Faible")))</f>
        <v>Forte</v>
      </c>
    </row>
    <row r="128" spans="1:13">
      <c r="A128" t="s">
        <v>99</v>
      </c>
      <c r="B128" s="11">
        <v>93</v>
      </c>
      <c r="C128" t="s">
        <v>100</v>
      </c>
      <c r="D128" t="s">
        <v>1238</v>
      </c>
      <c r="E128" t="s">
        <v>1627</v>
      </c>
      <c r="F128" t="s">
        <v>92</v>
      </c>
      <c r="G128" s="12">
        <v>50</v>
      </c>
      <c r="H128" s="12">
        <v>1331</v>
      </c>
      <c r="I128" s="12">
        <v>49</v>
      </c>
      <c r="J128" t="str">
        <f>VLOOKUP(B128,Paramètres!$A$4:$C$11,3,FALSE)</f>
        <v>Petite couronne</v>
      </c>
      <c r="K128" s="13">
        <f>IFERROR(H128/G128,"")</f>
        <v>26.62</v>
      </c>
      <c r="L128" s="14">
        <f>IFERROR(I128/G128,"")</f>
        <v>0.98</v>
      </c>
      <c r="M128" s="11" t="str">
        <f>IF(K128&gt;=Paramètres!$F$6,"Très forte",IF(K128&gt;=Paramètres!$F$5,"Forte",IF(K128&gt;=Paramètres!$F$4,"Modérée","Faible")))</f>
        <v>Forte</v>
      </c>
    </row>
    <row r="129" spans="1:13">
      <c r="A129" t="s">
        <v>1053</v>
      </c>
      <c r="B129" s="11">
        <v>95</v>
      </c>
      <c r="C129" t="s">
        <v>90</v>
      </c>
      <c r="D129" t="s">
        <v>1238</v>
      </c>
      <c r="E129" t="s">
        <v>1632</v>
      </c>
      <c r="F129" t="s">
        <v>92</v>
      </c>
      <c r="G129" s="12">
        <v>15</v>
      </c>
      <c r="H129" s="12">
        <v>399</v>
      </c>
      <c r="I129" s="12">
        <v>14</v>
      </c>
      <c r="J129" t="str">
        <f>VLOOKUP(B129,Paramètres!$A$4:$C$11,3,FALSE)</f>
        <v>Grande couronne</v>
      </c>
      <c r="K129" s="13">
        <f>IFERROR(H129/G129,"")</f>
        <v>26.6</v>
      </c>
      <c r="L129" s="14">
        <f>IFERROR(I129/G129,"")</f>
        <v>0.93333333333333335</v>
      </c>
      <c r="M129" s="11" t="str">
        <f>IF(K129&gt;=Paramètres!$F$6,"Très forte",IF(K129&gt;=Paramètres!$F$5,"Forte",IF(K129&gt;=Paramètres!$F$4,"Modérée","Faible")))</f>
        <v>Forte</v>
      </c>
    </row>
    <row r="130" spans="1:13">
      <c r="A130" t="s">
        <v>1378</v>
      </c>
      <c r="B130" s="11">
        <v>75</v>
      </c>
      <c r="C130" t="s">
        <v>86</v>
      </c>
      <c r="D130" t="s">
        <v>1238</v>
      </c>
      <c r="E130" t="s">
        <v>1818</v>
      </c>
      <c r="F130" t="s">
        <v>92</v>
      </c>
      <c r="G130" s="12">
        <v>6</v>
      </c>
      <c r="H130" s="12">
        <v>153</v>
      </c>
      <c r="I130" s="12">
        <v>7</v>
      </c>
      <c r="J130" t="str">
        <f>VLOOKUP(B130,Paramètres!$A$4:$C$11,3,FALSE)</f>
        <v>Paris</v>
      </c>
      <c r="K130" s="13">
        <f>IFERROR(H130/G130,"")</f>
        <v>25.5</v>
      </c>
      <c r="L130" s="14">
        <f>IFERROR(I130/G130,"")</f>
        <v>1.1666666666666667</v>
      </c>
      <c r="M130" s="11" t="str">
        <f>IF(K130&gt;=Paramètres!$F$6,"Très forte",IF(K130&gt;=Paramètres!$F$5,"Forte",IF(K130&gt;=Paramètres!$F$4,"Modérée","Faible")))</f>
        <v>Forte</v>
      </c>
    </row>
    <row r="131" spans="1:13">
      <c r="A131" t="s">
        <v>1846</v>
      </c>
      <c r="B131" s="11">
        <v>75</v>
      </c>
      <c r="C131" t="s">
        <v>86</v>
      </c>
      <c r="D131" t="s">
        <v>1238</v>
      </c>
      <c r="E131" t="s">
        <v>1303</v>
      </c>
      <c r="F131" t="s">
        <v>92</v>
      </c>
      <c r="G131" s="12">
        <v>135</v>
      </c>
      <c r="H131" s="12">
        <v>3405</v>
      </c>
      <c r="I131" s="12">
        <v>135</v>
      </c>
      <c r="J131" t="str">
        <f>VLOOKUP(B131,Paramètres!$A$4:$C$11,3,FALSE)</f>
        <v>Paris</v>
      </c>
      <c r="K131" s="13">
        <f>IFERROR(H131/G131,"")</f>
        <v>25.222222222222221</v>
      </c>
      <c r="L131" s="14">
        <f>IFERROR(I131/G131,"")</f>
        <v>1</v>
      </c>
      <c r="M131" s="11" t="str">
        <f>IF(K131&gt;=Paramètres!$F$6,"Très forte",IF(K131&gt;=Paramètres!$F$5,"Forte",IF(K131&gt;=Paramètres!$F$4,"Modérée","Faible")))</f>
        <v>Forte</v>
      </c>
    </row>
    <row r="132" spans="1:13">
      <c r="A132" t="s">
        <v>1352</v>
      </c>
      <c r="B132" s="11">
        <v>75</v>
      </c>
      <c r="C132" t="s">
        <v>86</v>
      </c>
      <c r="D132" t="s">
        <v>1238</v>
      </c>
      <c r="E132" t="s">
        <v>1854</v>
      </c>
      <c r="F132" t="s">
        <v>92</v>
      </c>
      <c r="G132" s="12">
        <v>4</v>
      </c>
      <c r="H132" s="12">
        <v>100</v>
      </c>
      <c r="I132" s="12">
        <v>4</v>
      </c>
      <c r="J132" t="str">
        <f>VLOOKUP(B132,Paramètres!$A$4:$C$11,3,FALSE)</f>
        <v>Paris</v>
      </c>
      <c r="K132" s="13">
        <f>IFERROR(H132/G132,"")</f>
        <v>25</v>
      </c>
      <c r="L132" s="14">
        <f>IFERROR(I132/G132,"")</f>
        <v>1</v>
      </c>
      <c r="M132" s="11" t="str">
        <f>IF(K132&gt;=Paramètres!$F$6,"Très forte",IF(K132&gt;=Paramètres!$F$5,"Forte",IF(K132&gt;=Paramètres!$F$4,"Modérée","Faible")))</f>
        <v>Forte</v>
      </c>
    </row>
    <row r="133" spans="1:13">
      <c r="A133" t="s">
        <v>1445</v>
      </c>
      <c r="B133" s="11">
        <v>92</v>
      </c>
      <c r="C133" t="s">
        <v>94</v>
      </c>
      <c r="D133" t="s">
        <v>1238</v>
      </c>
      <c r="E133" t="s">
        <v>1631</v>
      </c>
      <c r="F133" t="s">
        <v>92</v>
      </c>
      <c r="G133" s="12">
        <v>24</v>
      </c>
      <c r="H133" s="12">
        <v>593</v>
      </c>
      <c r="I133" s="12">
        <v>22</v>
      </c>
      <c r="J133" t="str">
        <f>VLOOKUP(B133,Paramètres!$A$4:$C$11,3,FALSE)</f>
        <v>Petite couronne</v>
      </c>
      <c r="K133" s="13">
        <f>IFERROR(H133/G133,"")</f>
        <v>24.708333333333332</v>
      </c>
      <c r="L133" s="14">
        <f>IFERROR(I133/G133,"")</f>
        <v>0.91666666666666663</v>
      </c>
      <c r="M133" s="11" t="str">
        <f>IF(K133&gt;=Paramètres!$F$6,"Très forte",IF(K133&gt;=Paramètres!$F$5,"Forte",IF(K133&gt;=Paramètres!$F$4,"Modérée","Faible")))</f>
        <v>Forte</v>
      </c>
    </row>
    <row r="134" spans="1:13">
      <c r="A134" t="s">
        <v>1302</v>
      </c>
      <c r="B134" s="11">
        <v>78</v>
      </c>
      <c r="C134" t="s">
        <v>135</v>
      </c>
      <c r="D134" t="s">
        <v>1238</v>
      </c>
      <c r="E134" t="s">
        <v>1303</v>
      </c>
      <c r="F134" t="s">
        <v>92</v>
      </c>
      <c r="G134" s="12">
        <v>130</v>
      </c>
      <c r="H134" s="12">
        <v>3193</v>
      </c>
      <c r="I134" s="12">
        <v>129</v>
      </c>
      <c r="J134" t="str">
        <f>VLOOKUP(B134,Paramètres!$A$4:$C$11,3,FALSE)</f>
        <v>Grande couronne</v>
      </c>
      <c r="K134" s="13">
        <f>IFERROR(H134/G134,"")</f>
        <v>24.561538461538461</v>
      </c>
      <c r="L134" s="14">
        <f>IFERROR(I134/G134,"")</f>
        <v>0.99230769230769234</v>
      </c>
      <c r="M134" s="11" t="str">
        <f>IF(K134&gt;=Paramètres!$F$6,"Très forte",IF(K134&gt;=Paramètres!$F$5,"Forte",IF(K134&gt;=Paramètres!$F$4,"Modérée","Faible")))</f>
        <v>Forte</v>
      </c>
    </row>
    <row r="135" spans="1:13">
      <c r="A135" t="s">
        <v>914</v>
      </c>
      <c r="B135" s="11">
        <v>91</v>
      </c>
      <c r="C135" t="s">
        <v>105</v>
      </c>
      <c r="D135" t="s">
        <v>1238</v>
      </c>
      <c r="E135" t="s">
        <v>1301</v>
      </c>
      <c r="F135" t="s">
        <v>92</v>
      </c>
      <c r="G135" s="12">
        <v>38</v>
      </c>
      <c r="H135" s="12">
        <v>933</v>
      </c>
      <c r="I135" s="12">
        <v>35</v>
      </c>
      <c r="J135" t="str">
        <f>VLOOKUP(B135,Paramètres!$A$4:$C$11,3,FALSE)</f>
        <v>Grande couronne</v>
      </c>
      <c r="K135" s="13">
        <f>IFERROR(H135/G135,"")</f>
        <v>24.55263157894737</v>
      </c>
      <c r="L135" s="14">
        <f>IFERROR(I135/G135,"")</f>
        <v>0.92105263157894735</v>
      </c>
      <c r="M135" s="11" t="str">
        <f>IF(K135&gt;=Paramètres!$F$6,"Très forte",IF(K135&gt;=Paramètres!$F$5,"Forte",IF(K135&gt;=Paramètres!$F$4,"Modérée","Faible")))</f>
        <v>Forte</v>
      </c>
    </row>
    <row r="136" spans="1:13">
      <c r="A136" t="s">
        <v>882</v>
      </c>
      <c r="B136" s="11">
        <v>77</v>
      </c>
      <c r="C136" t="s">
        <v>132</v>
      </c>
      <c r="D136" t="s">
        <v>1238</v>
      </c>
      <c r="E136" t="s">
        <v>1666</v>
      </c>
      <c r="F136" t="s">
        <v>92</v>
      </c>
      <c r="G136" s="12">
        <v>10</v>
      </c>
      <c r="H136" s="12">
        <v>245</v>
      </c>
      <c r="I136" s="12">
        <v>8</v>
      </c>
      <c r="J136" t="str">
        <f>VLOOKUP(B136,Paramètres!$A$4:$C$11,3,FALSE)</f>
        <v>Grande couronne</v>
      </c>
      <c r="K136" s="13">
        <f>IFERROR(H136/G136,"")</f>
        <v>24.5</v>
      </c>
      <c r="L136" s="14">
        <f>IFERROR(I136/G136,"")</f>
        <v>0.8</v>
      </c>
      <c r="M136" s="11" t="str">
        <f>IF(K136&gt;=Paramètres!$F$6,"Très forte",IF(K136&gt;=Paramètres!$F$5,"Forte",IF(K136&gt;=Paramètres!$F$4,"Modérée","Faible")))</f>
        <v>Forte</v>
      </c>
    </row>
    <row r="137" spans="1:13">
      <c r="A137" t="s">
        <v>148</v>
      </c>
      <c r="B137" s="11">
        <v>75</v>
      </c>
      <c r="C137" t="s">
        <v>86</v>
      </c>
      <c r="D137" t="s">
        <v>1238</v>
      </c>
      <c r="E137" t="s">
        <v>1677</v>
      </c>
      <c r="F137" t="s">
        <v>92</v>
      </c>
      <c r="G137" s="12">
        <v>270</v>
      </c>
      <c r="H137" s="12">
        <v>6531</v>
      </c>
      <c r="I137" s="12">
        <v>264</v>
      </c>
      <c r="J137" t="str">
        <f>VLOOKUP(B137,Paramètres!$A$4:$C$11,3,FALSE)</f>
        <v>Paris</v>
      </c>
      <c r="K137" s="13">
        <f>IFERROR(H137/G137,"")</f>
        <v>24.18888888888889</v>
      </c>
      <c r="L137" s="14">
        <f>IFERROR(I137/G137,"")</f>
        <v>0.97777777777777775</v>
      </c>
      <c r="M137" s="11" t="str">
        <f>IF(K137&gt;=Paramètres!$F$6,"Très forte",IF(K137&gt;=Paramètres!$F$5,"Forte",IF(K137&gt;=Paramètres!$F$4,"Modérée","Faible")))</f>
        <v>Forte</v>
      </c>
    </row>
    <row r="138" spans="1:13">
      <c r="A138" t="s">
        <v>847</v>
      </c>
      <c r="B138" s="11">
        <v>75</v>
      </c>
      <c r="C138" t="s">
        <v>86</v>
      </c>
      <c r="D138" t="s">
        <v>1238</v>
      </c>
      <c r="E138" t="s">
        <v>1646</v>
      </c>
      <c r="F138" t="s">
        <v>92</v>
      </c>
      <c r="G138" s="12">
        <v>12</v>
      </c>
      <c r="H138" s="12">
        <v>288</v>
      </c>
      <c r="I138" s="12">
        <v>12</v>
      </c>
      <c r="J138" t="str">
        <f>VLOOKUP(B138,Paramètres!$A$4:$C$11,3,FALSE)</f>
        <v>Paris</v>
      </c>
      <c r="K138" s="13">
        <f>IFERROR(H138/G138,"")</f>
        <v>24</v>
      </c>
      <c r="L138" s="14">
        <f>IFERROR(I138/G138,"")</f>
        <v>1</v>
      </c>
      <c r="M138" s="11" t="str">
        <f>IF(K138&gt;=Paramètres!$F$6,"Très forte",IF(K138&gt;=Paramètres!$F$5,"Forte",IF(K138&gt;=Paramètres!$F$4,"Modérée","Faible")))</f>
        <v>Forte</v>
      </c>
    </row>
    <row r="139" spans="1:13">
      <c r="A139" t="s">
        <v>1336</v>
      </c>
      <c r="B139" s="11">
        <v>75</v>
      </c>
      <c r="C139" t="s">
        <v>86</v>
      </c>
      <c r="D139" t="s">
        <v>1238</v>
      </c>
      <c r="E139" t="s">
        <v>1842</v>
      </c>
      <c r="F139" t="s">
        <v>92</v>
      </c>
      <c r="G139" s="12">
        <v>16</v>
      </c>
      <c r="H139" s="12">
        <v>377</v>
      </c>
      <c r="I139" s="12">
        <v>16</v>
      </c>
      <c r="J139" t="str">
        <f>VLOOKUP(B139,Paramètres!$A$4:$C$11,3,FALSE)</f>
        <v>Paris</v>
      </c>
      <c r="K139" s="13">
        <f>IFERROR(H139/G139,"")</f>
        <v>23.5625</v>
      </c>
      <c r="L139" s="14">
        <f>IFERROR(I139/G139,"")</f>
        <v>1</v>
      </c>
      <c r="M139" s="11" t="str">
        <f>IF(K139&gt;=Paramètres!$F$6,"Très forte",IF(K139&gt;=Paramètres!$F$5,"Forte",IF(K139&gt;=Paramètres!$F$4,"Modérée","Faible")))</f>
        <v>Forte</v>
      </c>
    </row>
    <row r="140" spans="1:13">
      <c r="A140" t="s">
        <v>1504</v>
      </c>
      <c r="B140" s="11">
        <v>93</v>
      </c>
      <c r="C140" t="s">
        <v>100</v>
      </c>
      <c r="D140" t="s">
        <v>1238</v>
      </c>
      <c r="E140" t="s">
        <v>1505</v>
      </c>
      <c r="F140" t="s">
        <v>92</v>
      </c>
      <c r="G140" s="12">
        <v>12</v>
      </c>
      <c r="H140" s="12">
        <v>281</v>
      </c>
      <c r="I140" s="12">
        <v>12</v>
      </c>
      <c r="J140" t="str">
        <f>VLOOKUP(B140,Paramètres!$A$4:$C$11,3,FALSE)</f>
        <v>Petite couronne</v>
      </c>
      <c r="K140" s="13">
        <f>IFERROR(H140/G140,"")</f>
        <v>23.416666666666668</v>
      </c>
      <c r="L140" s="14">
        <f>IFERROR(I140/G140,"")</f>
        <v>1</v>
      </c>
      <c r="M140" s="11" t="str">
        <f>IF(K140&gt;=Paramètres!$F$6,"Très forte",IF(K140&gt;=Paramètres!$F$5,"Forte",IF(K140&gt;=Paramètres!$F$4,"Modérée","Faible")))</f>
        <v>Forte</v>
      </c>
    </row>
    <row r="141" spans="1:13">
      <c r="A141" t="s">
        <v>119</v>
      </c>
      <c r="B141" s="11">
        <v>75</v>
      </c>
      <c r="C141" t="s">
        <v>86</v>
      </c>
      <c r="D141" t="s">
        <v>1238</v>
      </c>
      <c r="E141" t="s">
        <v>1370</v>
      </c>
      <c r="F141" t="s">
        <v>92</v>
      </c>
      <c r="G141" s="12">
        <v>32</v>
      </c>
      <c r="H141" s="12">
        <v>747</v>
      </c>
      <c r="I141" s="12">
        <v>29</v>
      </c>
      <c r="J141" t="str">
        <f>VLOOKUP(B141,Paramètres!$A$4:$C$11,3,FALSE)</f>
        <v>Paris</v>
      </c>
      <c r="K141" s="13">
        <f>IFERROR(H141/G141,"")</f>
        <v>23.34375</v>
      </c>
      <c r="L141" s="14">
        <f>IFERROR(I141/G141,"")</f>
        <v>0.90625</v>
      </c>
      <c r="M141" s="11" t="str">
        <f>IF(K141&gt;=Paramètres!$F$6,"Très forte",IF(K141&gt;=Paramètres!$F$5,"Forte",IF(K141&gt;=Paramètres!$F$4,"Modérée","Faible")))</f>
        <v>Forte</v>
      </c>
    </row>
    <row r="142" spans="1:13">
      <c r="A142" t="s">
        <v>1240</v>
      </c>
      <c r="B142" s="11">
        <v>75</v>
      </c>
      <c r="C142" t="s">
        <v>86</v>
      </c>
      <c r="D142" t="s">
        <v>1238</v>
      </c>
      <c r="E142" t="s">
        <v>1241</v>
      </c>
      <c r="F142" t="s">
        <v>92</v>
      </c>
      <c r="G142" s="12">
        <v>80</v>
      </c>
      <c r="H142" s="12">
        <v>1862</v>
      </c>
      <c r="I142" s="12">
        <v>86</v>
      </c>
      <c r="J142" t="str">
        <f>VLOOKUP(B142,Paramètres!$A$4:$C$11,3,FALSE)</f>
        <v>Paris</v>
      </c>
      <c r="K142" s="13">
        <f>IFERROR(H142/G142,"")</f>
        <v>23.274999999999999</v>
      </c>
      <c r="L142" s="14">
        <f>IFERROR(I142/G142,"")</f>
        <v>1.075</v>
      </c>
      <c r="M142" s="11" t="str">
        <f>IF(K142&gt;=Paramètres!$F$6,"Très forte",IF(K142&gt;=Paramètres!$F$5,"Forte",IF(K142&gt;=Paramètres!$F$4,"Modérée","Faible")))</f>
        <v>Forte</v>
      </c>
    </row>
    <row r="143" spans="1:13">
      <c r="A143" t="s">
        <v>1352</v>
      </c>
      <c r="B143" s="11">
        <v>75</v>
      </c>
      <c r="C143" t="s">
        <v>86</v>
      </c>
      <c r="D143" t="s">
        <v>1238</v>
      </c>
      <c r="E143" t="s">
        <v>1700</v>
      </c>
      <c r="F143" t="s">
        <v>92</v>
      </c>
      <c r="G143" s="12">
        <v>8</v>
      </c>
      <c r="H143" s="12">
        <v>186</v>
      </c>
      <c r="I143" s="12">
        <v>8</v>
      </c>
      <c r="J143" t="str">
        <f>VLOOKUP(B143,Paramètres!$A$4:$C$11,3,FALSE)</f>
        <v>Paris</v>
      </c>
      <c r="K143" s="13">
        <f>IFERROR(H143/G143,"")</f>
        <v>23.25</v>
      </c>
      <c r="L143" s="14">
        <f>IFERROR(I143/G143,"")</f>
        <v>1</v>
      </c>
      <c r="M143" s="11" t="str">
        <f>IF(K143&gt;=Paramètres!$F$6,"Très forte",IF(K143&gt;=Paramètres!$F$5,"Forte",IF(K143&gt;=Paramètres!$F$4,"Modérée","Faible")))</f>
        <v>Forte</v>
      </c>
    </row>
    <row r="144" spans="1:13">
      <c r="A144" t="s">
        <v>1378</v>
      </c>
      <c r="B144" s="11">
        <v>75</v>
      </c>
      <c r="C144" t="s">
        <v>86</v>
      </c>
      <c r="D144" t="s">
        <v>1238</v>
      </c>
      <c r="E144" t="s">
        <v>1650</v>
      </c>
      <c r="F144" t="s">
        <v>92</v>
      </c>
      <c r="G144" s="12">
        <v>6</v>
      </c>
      <c r="H144" s="12">
        <v>138</v>
      </c>
      <c r="I144" s="12">
        <v>7</v>
      </c>
      <c r="J144" t="str">
        <f>VLOOKUP(B144,Paramètres!$A$4:$C$11,3,FALSE)</f>
        <v>Paris</v>
      </c>
      <c r="K144" s="13">
        <f>IFERROR(H144/G144,"")</f>
        <v>23</v>
      </c>
      <c r="L144" s="14">
        <f>IFERROR(I144/G144,"")</f>
        <v>1.1666666666666667</v>
      </c>
      <c r="M144" s="11" t="str">
        <f>IF(K144&gt;=Paramètres!$F$6,"Très forte",IF(K144&gt;=Paramètres!$F$5,"Forte",IF(K144&gt;=Paramètres!$F$4,"Modérée","Faible")))</f>
        <v>Forte</v>
      </c>
    </row>
    <row r="145" spans="1:13">
      <c r="A145" t="s">
        <v>1454</v>
      </c>
      <c r="B145" s="11">
        <v>94</v>
      </c>
      <c r="C145" t="s">
        <v>116</v>
      </c>
      <c r="D145" t="s">
        <v>1238</v>
      </c>
      <c r="E145" t="s">
        <v>1553</v>
      </c>
      <c r="F145" t="s">
        <v>92</v>
      </c>
      <c r="G145" s="12">
        <v>8</v>
      </c>
      <c r="H145" s="12">
        <v>183</v>
      </c>
      <c r="I145" s="12">
        <v>7</v>
      </c>
      <c r="J145" t="str">
        <f>VLOOKUP(B145,Paramètres!$A$4:$C$11,3,FALSE)</f>
        <v>Petite couronne</v>
      </c>
      <c r="K145" s="13">
        <f>IFERROR(H145/G145,"")</f>
        <v>22.875</v>
      </c>
      <c r="L145" s="14">
        <f>IFERROR(I145/G145,"")</f>
        <v>0.875</v>
      </c>
      <c r="M145" s="11" t="str">
        <f>IF(K145&gt;=Paramètres!$F$6,"Très forte",IF(K145&gt;=Paramètres!$F$5,"Forte",IF(K145&gt;=Paramètres!$F$4,"Modérée","Faible")))</f>
        <v>Forte</v>
      </c>
    </row>
    <row r="146" spans="1:13">
      <c r="A146" t="s">
        <v>1521</v>
      </c>
      <c r="B146" s="11">
        <v>75</v>
      </c>
      <c r="C146" t="s">
        <v>86</v>
      </c>
      <c r="D146" t="s">
        <v>1238</v>
      </c>
      <c r="E146" t="s">
        <v>1653</v>
      </c>
      <c r="F146" t="s">
        <v>92</v>
      </c>
      <c r="G146" s="12">
        <v>8</v>
      </c>
      <c r="H146" s="12">
        <v>182</v>
      </c>
      <c r="I146" s="12">
        <v>8</v>
      </c>
      <c r="J146" t="str">
        <f>VLOOKUP(B146,Paramètres!$A$4:$C$11,3,FALSE)</f>
        <v>Paris</v>
      </c>
      <c r="K146" s="13">
        <f>IFERROR(H146/G146,"")</f>
        <v>22.75</v>
      </c>
      <c r="L146" s="14">
        <f>IFERROR(I146/G146,"")</f>
        <v>1</v>
      </c>
      <c r="M146" s="11" t="str">
        <f>IF(K146&gt;=Paramètres!$F$6,"Très forte",IF(K146&gt;=Paramètres!$F$5,"Forte",IF(K146&gt;=Paramètres!$F$4,"Modérée","Faible")))</f>
        <v>Forte</v>
      </c>
    </row>
    <row r="147" spans="1:13">
      <c r="A147" t="s">
        <v>378</v>
      </c>
      <c r="B147" s="11">
        <v>75</v>
      </c>
      <c r="C147" t="s">
        <v>86</v>
      </c>
      <c r="D147" t="s">
        <v>1238</v>
      </c>
      <c r="E147" t="s">
        <v>1493</v>
      </c>
      <c r="F147" t="s">
        <v>92</v>
      </c>
      <c r="G147" s="12">
        <v>20</v>
      </c>
      <c r="H147" s="12">
        <v>453</v>
      </c>
      <c r="I147" s="12">
        <v>20</v>
      </c>
      <c r="J147" t="str">
        <f>VLOOKUP(B147,Paramètres!$A$4:$C$11,3,FALSE)</f>
        <v>Paris</v>
      </c>
      <c r="K147" s="13">
        <f>IFERROR(H147/G147,"")</f>
        <v>22.65</v>
      </c>
      <c r="L147" s="14">
        <f>IFERROR(I147/G147,"")</f>
        <v>1</v>
      </c>
      <c r="M147" s="11" t="str">
        <f>IF(K147&gt;=Paramètres!$F$6,"Très forte",IF(K147&gt;=Paramètres!$F$5,"Forte",IF(K147&gt;=Paramètres!$F$4,"Modérée","Faible")))</f>
        <v>Forte</v>
      </c>
    </row>
    <row r="148" spans="1:13">
      <c r="A148" t="s">
        <v>1490</v>
      </c>
      <c r="B148" s="11">
        <v>91</v>
      </c>
      <c r="C148" t="s">
        <v>105</v>
      </c>
      <c r="D148" t="s">
        <v>1238</v>
      </c>
      <c r="E148" t="s">
        <v>1356</v>
      </c>
      <c r="F148" t="s">
        <v>92</v>
      </c>
      <c r="G148" s="12">
        <v>12</v>
      </c>
      <c r="H148" s="12">
        <v>271</v>
      </c>
      <c r="I148" s="12">
        <v>4</v>
      </c>
      <c r="J148" t="str">
        <f>VLOOKUP(B148,Paramètres!$A$4:$C$11,3,FALSE)</f>
        <v>Grande couronne</v>
      </c>
      <c r="K148" s="13">
        <f>IFERROR(H148/G148,"")</f>
        <v>22.583333333333332</v>
      </c>
      <c r="L148" s="14">
        <f>IFERROR(I148/G148,"")</f>
        <v>0.33333333333333331</v>
      </c>
      <c r="M148" s="11" t="str">
        <f>IF(K148&gt;=Paramètres!$F$6,"Très forte",IF(K148&gt;=Paramètres!$F$5,"Forte",IF(K148&gt;=Paramètres!$F$4,"Modérée","Faible")))</f>
        <v>Forte</v>
      </c>
    </row>
    <row r="149" spans="1:13">
      <c r="A149" t="s">
        <v>964</v>
      </c>
      <c r="B149" s="11">
        <v>94</v>
      </c>
      <c r="C149" t="s">
        <v>116</v>
      </c>
      <c r="D149" t="s">
        <v>1238</v>
      </c>
      <c r="E149" t="s">
        <v>1668</v>
      </c>
      <c r="F149" t="s">
        <v>92</v>
      </c>
      <c r="G149" s="12">
        <v>24</v>
      </c>
      <c r="H149" s="12">
        <v>542</v>
      </c>
      <c r="I149" s="12">
        <v>19</v>
      </c>
      <c r="J149" t="str">
        <f>VLOOKUP(B149,Paramètres!$A$4:$C$11,3,FALSE)</f>
        <v>Petite couronne</v>
      </c>
      <c r="K149" s="13">
        <f>IFERROR(H149/G149,"")</f>
        <v>22.583333333333332</v>
      </c>
      <c r="L149" s="14">
        <f>IFERROR(I149/G149,"")</f>
        <v>0.79166666666666663</v>
      </c>
      <c r="M149" s="11" t="str">
        <f>IF(K149&gt;=Paramètres!$F$6,"Très forte",IF(K149&gt;=Paramètres!$F$5,"Forte",IF(K149&gt;=Paramètres!$F$4,"Modérée","Faible")))</f>
        <v>Forte</v>
      </c>
    </row>
    <row r="150" spans="1:13">
      <c r="A150" t="s">
        <v>908</v>
      </c>
      <c r="B150" s="11">
        <v>78</v>
      </c>
      <c r="C150" t="s">
        <v>135</v>
      </c>
      <c r="D150" t="s">
        <v>1238</v>
      </c>
      <c r="E150" t="s">
        <v>1301</v>
      </c>
      <c r="F150" t="s">
        <v>92</v>
      </c>
      <c r="G150" s="12">
        <v>38</v>
      </c>
      <c r="H150" s="12">
        <v>858</v>
      </c>
      <c r="I150" s="12">
        <v>36</v>
      </c>
      <c r="J150" t="str">
        <f>VLOOKUP(B150,Paramètres!$A$4:$C$11,3,FALSE)</f>
        <v>Grande couronne</v>
      </c>
      <c r="K150" s="13">
        <f>IFERROR(H150/G150,"")</f>
        <v>22.578947368421051</v>
      </c>
      <c r="L150" s="14">
        <f>IFERROR(I150/G150,"")</f>
        <v>0.94736842105263153</v>
      </c>
      <c r="M150" s="11" t="str">
        <f>IF(K150&gt;=Paramètres!$F$6,"Très forte",IF(K150&gt;=Paramètres!$F$5,"Forte",IF(K150&gt;=Paramètres!$F$4,"Modérée","Faible")))</f>
        <v>Forte</v>
      </c>
    </row>
    <row r="151" spans="1:13">
      <c r="A151" t="s">
        <v>1000</v>
      </c>
      <c r="B151" s="11">
        <v>94</v>
      </c>
      <c r="C151" t="s">
        <v>116</v>
      </c>
      <c r="D151" t="s">
        <v>1238</v>
      </c>
      <c r="E151" t="s">
        <v>1470</v>
      </c>
      <c r="F151" t="s">
        <v>92</v>
      </c>
      <c r="G151" s="12">
        <v>15</v>
      </c>
      <c r="H151" s="12">
        <v>337</v>
      </c>
      <c r="I151" s="12">
        <v>10</v>
      </c>
      <c r="J151" t="str">
        <f>VLOOKUP(B151,Paramètres!$A$4:$C$11,3,FALSE)</f>
        <v>Petite couronne</v>
      </c>
      <c r="K151" s="13">
        <f>IFERROR(H151/G151,"")</f>
        <v>22.466666666666665</v>
      </c>
      <c r="L151" s="14">
        <f>IFERROR(I151/G151,"")</f>
        <v>0.66666666666666663</v>
      </c>
      <c r="M151" s="11" t="str">
        <f>IF(K151&gt;=Paramètres!$F$6,"Très forte",IF(K151&gt;=Paramètres!$F$5,"Forte",IF(K151&gt;=Paramètres!$F$4,"Modérée","Faible")))</f>
        <v>Forte</v>
      </c>
    </row>
    <row r="152" spans="1:13">
      <c r="A152" t="s">
        <v>1344</v>
      </c>
      <c r="B152" s="11">
        <v>91</v>
      </c>
      <c r="C152" t="s">
        <v>105</v>
      </c>
      <c r="D152" t="s">
        <v>1238</v>
      </c>
      <c r="E152" t="s">
        <v>1345</v>
      </c>
      <c r="F152" t="s">
        <v>92</v>
      </c>
      <c r="G152" s="12">
        <v>48</v>
      </c>
      <c r="H152" s="12">
        <v>1077</v>
      </c>
      <c r="I152" s="12">
        <v>46</v>
      </c>
      <c r="J152" t="str">
        <f>VLOOKUP(B152,Paramètres!$A$4:$C$11,3,FALSE)</f>
        <v>Grande couronne</v>
      </c>
      <c r="K152" s="13">
        <f>IFERROR(H152/G152,"")</f>
        <v>22.4375</v>
      </c>
      <c r="L152" s="14">
        <f>IFERROR(I152/G152,"")</f>
        <v>0.95833333333333337</v>
      </c>
      <c r="M152" s="11" t="str">
        <f>IF(K152&gt;=Paramètres!$F$6,"Très forte",IF(K152&gt;=Paramètres!$F$5,"Forte",IF(K152&gt;=Paramètres!$F$4,"Modérée","Faible")))</f>
        <v>Forte</v>
      </c>
    </row>
    <row r="153" spans="1:13">
      <c r="A153" t="s">
        <v>1521</v>
      </c>
      <c r="B153" s="11">
        <v>75</v>
      </c>
      <c r="C153" t="s">
        <v>86</v>
      </c>
      <c r="D153" t="s">
        <v>1238</v>
      </c>
      <c r="E153" t="s">
        <v>1654</v>
      </c>
      <c r="F153" t="s">
        <v>92</v>
      </c>
      <c r="G153" s="12">
        <v>8</v>
      </c>
      <c r="H153" s="12">
        <v>178</v>
      </c>
      <c r="I153" s="12">
        <v>8</v>
      </c>
      <c r="J153" t="str">
        <f>VLOOKUP(B153,Paramètres!$A$4:$C$11,3,FALSE)</f>
        <v>Paris</v>
      </c>
      <c r="K153" s="13">
        <f>IFERROR(H153/G153,"")</f>
        <v>22.25</v>
      </c>
      <c r="L153" s="14">
        <f>IFERROR(I153/G153,"")</f>
        <v>1</v>
      </c>
      <c r="M153" s="11" t="str">
        <f>IF(K153&gt;=Paramètres!$F$6,"Très forte",IF(K153&gt;=Paramètres!$F$5,"Forte",IF(K153&gt;=Paramètres!$F$4,"Modérée","Faible")))</f>
        <v>Forte</v>
      </c>
    </row>
    <row r="154" spans="1:13">
      <c r="A154" t="s">
        <v>1036</v>
      </c>
      <c r="B154" s="11">
        <v>75</v>
      </c>
      <c r="C154" t="s">
        <v>86</v>
      </c>
      <c r="D154" t="s">
        <v>1238</v>
      </c>
      <c r="E154" t="s">
        <v>1239</v>
      </c>
      <c r="F154" t="s">
        <v>92</v>
      </c>
      <c r="G154" s="12">
        <v>42</v>
      </c>
      <c r="H154" s="12">
        <v>927</v>
      </c>
      <c r="I154" s="12">
        <v>32</v>
      </c>
      <c r="J154" t="str">
        <f>VLOOKUP(B154,Paramètres!$A$4:$C$11,3,FALSE)</f>
        <v>Paris</v>
      </c>
      <c r="K154" s="13">
        <f>IFERROR(H154/G154,"")</f>
        <v>22.071428571428573</v>
      </c>
      <c r="L154" s="14">
        <f>IFERROR(I154/G154,"")</f>
        <v>0.76190476190476186</v>
      </c>
      <c r="M154" s="11" t="str">
        <f>IF(K154&gt;=Paramètres!$F$6,"Très forte",IF(K154&gt;=Paramètres!$F$5,"Forte",IF(K154&gt;=Paramètres!$F$4,"Modérée","Faible")))</f>
        <v>Forte</v>
      </c>
    </row>
    <row r="155" spans="1:13">
      <c r="A155" t="s">
        <v>1253</v>
      </c>
      <c r="B155" s="11">
        <v>75</v>
      </c>
      <c r="C155" t="s">
        <v>86</v>
      </c>
      <c r="D155" t="s">
        <v>1238</v>
      </c>
      <c r="E155" t="s">
        <v>1254</v>
      </c>
      <c r="F155" t="s">
        <v>92</v>
      </c>
      <c r="G155" s="12">
        <v>80</v>
      </c>
      <c r="H155" s="12">
        <v>1761</v>
      </c>
      <c r="I155" s="12">
        <v>80</v>
      </c>
      <c r="J155" t="str">
        <f>VLOOKUP(B155,Paramètres!$A$4:$C$11,3,FALSE)</f>
        <v>Paris</v>
      </c>
      <c r="K155" s="13">
        <f>IFERROR(H155/G155,"")</f>
        <v>22.012499999999999</v>
      </c>
      <c r="L155" s="14">
        <f>IFERROR(I155/G155,"")</f>
        <v>1</v>
      </c>
      <c r="M155" s="11" t="str">
        <f>IF(K155&gt;=Paramètres!$F$6,"Très forte",IF(K155&gt;=Paramètres!$F$5,"Forte",IF(K155&gt;=Paramètres!$F$4,"Modérée","Faible")))</f>
        <v>Forte</v>
      </c>
    </row>
    <row r="156" spans="1:13">
      <c r="A156" t="s">
        <v>1435</v>
      </c>
      <c r="B156" s="11">
        <v>75</v>
      </c>
      <c r="C156" t="s">
        <v>86</v>
      </c>
      <c r="D156" t="s">
        <v>1238</v>
      </c>
      <c r="E156" t="s">
        <v>1579</v>
      </c>
      <c r="F156" t="s">
        <v>92</v>
      </c>
      <c r="G156" s="12">
        <v>3</v>
      </c>
      <c r="H156" s="12">
        <v>66</v>
      </c>
      <c r="I156" s="12">
        <v>3</v>
      </c>
      <c r="J156" t="str">
        <f>VLOOKUP(B156,Paramètres!$A$4:$C$11,3,FALSE)</f>
        <v>Paris</v>
      </c>
      <c r="K156" s="13">
        <f>IFERROR(H156/G156,"")</f>
        <v>22</v>
      </c>
      <c r="L156" s="14">
        <f>IFERROR(I156/G156,"")</f>
        <v>1</v>
      </c>
      <c r="M156" s="11" t="str">
        <f>IF(K156&gt;=Paramètres!$F$6,"Très forte",IF(K156&gt;=Paramètres!$F$5,"Forte",IF(K156&gt;=Paramètres!$F$4,"Modérée","Faible")))</f>
        <v>Forte</v>
      </c>
    </row>
    <row r="157" spans="1:13">
      <c r="A157" t="s">
        <v>1352</v>
      </c>
      <c r="B157" s="11">
        <v>75</v>
      </c>
      <c r="C157" t="s">
        <v>86</v>
      </c>
      <c r="D157" t="s">
        <v>1238</v>
      </c>
      <c r="E157" t="s">
        <v>1699</v>
      </c>
      <c r="F157" t="s">
        <v>92</v>
      </c>
      <c r="G157" s="12">
        <v>6</v>
      </c>
      <c r="H157" s="12">
        <v>131</v>
      </c>
      <c r="I157" s="12">
        <v>6</v>
      </c>
      <c r="J157" t="str">
        <f>VLOOKUP(B157,Paramètres!$A$4:$C$11,3,FALSE)</f>
        <v>Paris</v>
      </c>
      <c r="K157" s="13">
        <f>IFERROR(H157/G157,"")</f>
        <v>21.833333333333332</v>
      </c>
      <c r="L157" s="14">
        <f>IFERROR(I157/G157,"")</f>
        <v>1</v>
      </c>
      <c r="M157" s="11" t="str">
        <f>IF(K157&gt;=Paramètres!$F$6,"Très forte",IF(K157&gt;=Paramètres!$F$5,"Forte",IF(K157&gt;=Paramètres!$F$4,"Modérée","Faible")))</f>
        <v>Forte</v>
      </c>
    </row>
    <row r="158" spans="1:13">
      <c r="A158" t="s">
        <v>1454</v>
      </c>
      <c r="B158" s="11">
        <v>94</v>
      </c>
      <c r="C158" t="s">
        <v>116</v>
      </c>
      <c r="D158" t="s">
        <v>1238</v>
      </c>
      <c r="E158" t="s">
        <v>1455</v>
      </c>
      <c r="F158" t="s">
        <v>92</v>
      </c>
      <c r="G158" s="12">
        <v>8</v>
      </c>
      <c r="H158" s="12">
        <v>173</v>
      </c>
      <c r="I158" s="12">
        <v>8</v>
      </c>
      <c r="J158" t="str">
        <f>VLOOKUP(B158,Paramètres!$A$4:$C$11,3,FALSE)</f>
        <v>Petite couronne</v>
      </c>
      <c r="K158" s="13">
        <f>IFERROR(H158/G158,"")</f>
        <v>21.625</v>
      </c>
      <c r="L158" s="14">
        <f>IFERROR(I158/G158,"")</f>
        <v>1</v>
      </c>
      <c r="M158" s="11" t="str">
        <f>IF(K158&gt;=Paramètres!$F$6,"Très forte",IF(K158&gt;=Paramètres!$F$5,"Forte",IF(K158&gt;=Paramètres!$F$4,"Modérée","Faible")))</f>
        <v>Forte</v>
      </c>
    </row>
    <row r="159" spans="1:13">
      <c r="A159" t="s">
        <v>1384</v>
      </c>
      <c r="B159" s="11">
        <v>93</v>
      </c>
      <c r="C159" t="s">
        <v>100</v>
      </c>
      <c r="D159" t="s">
        <v>1238</v>
      </c>
      <c r="E159" t="s">
        <v>1729</v>
      </c>
      <c r="F159" t="s">
        <v>92</v>
      </c>
      <c r="G159" s="12">
        <v>16</v>
      </c>
      <c r="H159" s="12">
        <v>344</v>
      </c>
      <c r="I159" s="12">
        <v>16</v>
      </c>
      <c r="J159" t="str">
        <f>VLOOKUP(B159,Paramètres!$A$4:$C$11,3,FALSE)</f>
        <v>Petite couronne</v>
      </c>
      <c r="K159" s="13">
        <f>IFERROR(H159/G159,"")</f>
        <v>21.5</v>
      </c>
      <c r="L159" s="14">
        <f>IFERROR(I159/G159,"")</f>
        <v>1</v>
      </c>
      <c r="M159" s="11" t="str">
        <f>IF(K159&gt;=Paramètres!$F$6,"Très forte",IF(K159&gt;=Paramètres!$F$5,"Forte",IF(K159&gt;=Paramètres!$F$4,"Modérée","Faible")))</f>
        <v>Forte</v>
      </c>
    </row>
    <row r="160" spans="1:13">
      <c r="A160" t="s">
        <v>1848</v>
      </c>
      <c r="B160" s="11">
        <v>77</v>
      </c>
      <c r="C160" t="s">
        <v>132</v>
      </c>
      <c r="D160" t="s">
        <v>1238</v>
      </c>
      <c r="E160" t="s">
        <v>1303</v>
      </c>
      <c r="F160" t="s">
        <v>92</v>
      </c>
      <c r="G160" s="12">
        <v>120</v>
      </c>
      <c r="H160" s="12">
        <v>2543</v>
      </c>
      <c r="I160" s="12">
        <v>119</v>
      </c>
      <c r="J160" t="str">
        <f>VLOOKUP(B160,Paramètres!$A$4:$C$11,3,FALSE)</f>
        <v>Grande couronne</v>
      </c>
      <c r="K160" s="13">
        <f>IFERROR(H160/G160,"")</f>
        <v>21.191666666666666</v>
      </c>
      <c r="L160" s="14">
        <f>IFERROR(I160/G160,"")</f>
        <v>0.9916666666666667</v>
      </c>
      <c r="M160" s="11" t="str">
        <f>IF(K160&gt;=Paramètres!$F$6,"Très forte",IF(K160&gt;=Paramètres!$F$5,"Forte",IF(K160&gt;=Paramètres!$F$4,"Modérée","Faible")))</f>
        <v>Forte</v>
      </c>
    </row>
    <row r="161" spans="1:13">
      <c r="A161" t="s">
        <v>1149</v>
      </c>
      <c r="B161" s="11">
        <v>91</v>
      </c>
      <c r="C161" t="s">
        <v>105</v>
      </c>
      <c r="D161" t="s">
        <v>1238</v>
      </c>
      <c r="E161" t="s">
        <v>1633</v>
      </c>
      <c r="F161" t="s">
        <v>92</v>
      </c>
      <c r="G161" s="12">
        <v>15</v>
      </c>
      <c r="H161" s="12">
        <v>314</v>
      </c>
      <c r="I161" s="12">
        <v>12</v>
      </c>
      <c r="J161" t="str">
        <f>VLOOKUP(B161,Paramètres!$A$4:$C$11,3,FALSE)</f>
        <v>Grande couronne</v>
      </c>
      <c r="K161" s="13">
        <f>IFERROR(H161/G161,"")</f>
        <v>20.933333333333334</v>
      </c>
      <c r="L161" s="14">
        <f>IFERROR(I161/G161,"")</f>
        <v>0.8</v>
      </c>
      <c r="M161" s="11" t="str">
        <f>IF(K161&gt;=Paramètres!$F$6,"Très forte",IF(K161&gt;=Paramètres!$F$5,"Forte",IF(K161&gt;=Paramètres!$F$4,"Modérée","Faible")))</f>
        <v>Forte</v>
      </c>
    </row>
    <row r="162" spans="1:13">
      <c r="A162" t="s">
        <v>1355</v>
      </c>
      <c r="B162" s="11">
        <v>75</v>
      </c>
      <c r="C162" t="s">
        <v>86</v>
      </c>
      <c r="D162" t="s">
        <v>1238</v>
      </c>
      <c r="E162" t="s">
        <v>1356</v>
      </c>
      <c r="F162" t="s">
        <v>92</v>
      </c>
      <c r="G162" s="12">
        <v>15</v>
      </c>
      <c r="H162" s="12">
        <v>312</v>
      </c>
      <c r="I162" s="12">
        <v>10</v>
      </c>
      <c r="J162" t="str">
        <f>VLOOKUP(B162,Paramètres!$A$4:$C$11,3,FALSE)</f>
        <v>Paris</v>
      </c>
      <c r="K162" s="13">
        <f>IFERROR(H162/G162,"")</f>
        <v>20.8</v>
      </c>
      <c r="L162" s="14">
        <f>IFERROR(I162/G162,"")</f>
        <v>0.66666666666666663</v>
      </c>
      <c r="M162" s="11" t="str">
        <f>IF(K162&gt;=Paramètres!$F$6,"Très forte",IF(K162&gt;=Paramètres!$F$5,"Forte",IF(K162&gt;=Paramètres!$F$4,"Modérée","Faible")))</f>
        <v>Forte</v>
      </c>
    </row>
    <row r="163" spans="1:13">
      <c r="A163" t="s">
        <v>873</v>
      </c>
      <c r="B163" s="11">
        <v>75</v>
      </c>
      <c r="C163" t="s">
        <v>86</v>
      </c>
      <c r="D163" t="s">
        <v>1238</v>
      </c>
      <c r="E163" t="s">
        <v>1301</v>
      </c>
      <c r="F163" t="s">
        <v>92</v>
      </c>
      <c r="G163" s="12">
        <v>35</v>
      </c>
      <c r="H163" s="12">
        <v>720</v>
      </c>
      <c r="I163" s="12">
        <v>30</v>
      </c>
      <c r="J163" t="str">
        <f>VLOOKUP(B163,Paramètres!$A$4:$C$11,3,FALSE)</f>
        <v>Paris</v>
      </c>
      <c r="K163" s="13">
        <f>IFERROR(H163/G163,"")</f>
        <v>20.571428571428573</v>
      </c>
      <c r="L163" s="14">
        <f>IFERROR(I163/G163,"")</f>
        <v>0.8571428571428571</v>
      </c>
      <c r="M163" s="11" t="str">
        <f>IF(K163&gt;=Paramètres!$F$6,"Très forte",IF(K163&gt;=Paramètres!$F$5,"Forte",IF(K163&gt;=Paramètres!$F$4,"Modérée","Faible")))</f>
        <v>Forte</v>
      </c>
    </row>
    <row r="164" spans="1:13">
      <c r="A164" t="s">
        <v>242</v>
      </c>
      <c r="B164" s="11">
        <v>95</v>
      </c>
      <c r="C164" t="s">
        <v>90</v>
      </c>
      <c r="D164" t="s">
        <v>1238</v>
      </c>
      <c r="E164" t="s">
        <v>1359</v>
      </c>
      <c r="F164" t="s">
        <v>92</v>
      </c>
      <c r="G164" s="12">
        <v>30</v>
      </c>
      <c r="H164" s="12">
        <v>617</v>
      </c>
      <c r="I164" s="12">
        <v>30</v>
      </c>
      <c r="J164" t="str">
        <f>VLOOKUP(B164,Paramètres!$A$4:$C$11,3,FALSE)</f>
        <v>Grande couronne</v>
      </c>
      <c r="K164" s="13">
        <f>IFERROR(H164/G164,"")</f>
        <v>20.566666666666666</v>
      </c>
      <c r="L164" s="14">
        <f>IFERROR(I164/G164,"")</f>
        <v>1</v>
      </c>
      <c r="M164" s="11" t="str">
        <f>IF(K164&gt;=Paramètres!$F$6,"Très forte",IF(K164&gt;=Paramètres!$F$5,"Forte",IF(K164&gt;=Paramètres!$F$4,"Modérée","Faible")))</f>
        <v>Forte</v>
      </c>
    </row>
    <row r="165" spans="1:13">
      <c r="A165" t="s">
        <v>962</v>
      </c>
      <c r="B165" s="11">
        <v>93</v>
      </c>
      <c r="C165" t="s">
        <v>100</v>
      </c>
      <c r="D165" t="s">
        <v>1238</v>
      </c>
      <c r="E165" t="s">
        <v>1239</v>
      </c>
      <c r="F165" t="s">
        <v>92</v>
      </c>
      <c r="G165" s="12">
        <v>12</v>
      </c>
      <c r="H165" s="12">
        <v>246</v>
      </c>
      <c r="I165" s="12">
        <v>11</v>
      </c>
      <c r="J165" t="str">
        <f>VLOOKUP(B165,Paramètres!$A$4:$C$11,3,FALSE)</f>
        <v>Petite couronne</v>
      </c>
      <c r="K165" s="13">
        <f>IFERROR(H165/G165,"")</f>
        <v>20.5</v>
      </c>
      <c r="L165" s="14">
        <f>IFERROR(I165/G165,"")</f>
        <v>0.91666666666666663</v>
      </c>
      <c r="M165" s="11" t="str">
        <f>IF(K165&gt;=Paramètres!$F$6,"Très forte",IF(K165&gt;=Paramètres!$F$5,"Forte",IF(K165&gt;=Paramètres!$F$4,"Modérée","Faible")))</f>
        <v>Forte</v>
      </c>
    </row>
    <row r="166" spans="1:13">
      <c r="A166" t="s">
        <v>914</v>
      </c>
      <c r="B166" s="11">
        <v>91</v>
      </c>
      <c r="C166" t="s">
        <v>105</v>
      </c>
      <c r="D166" t="s">
        <v>1238</v>
      </c>
      <c r="E166" t="s">
        <v>1713</v>
      </c>
      <c r="F166" t="s">
        <v>92</v>
      </c>
      <c r="G166" s="12">
        <v>23</v>
      </c>
      <c r="H166" s="12">
        <v>469</v>
      </c>
      <c r="I166" s="12">
        <v>22</v>
      </c>
      <c r="J166" t="str">
        <f>VLOOKUP(B166,Paramètres!$A$4:$C$11,3,FALSE)</f>
        <v>Grande couronne</v>
      </c>
      <c r="K166" s="13">
        <f>IFERROR(H166/G166,"")</f>
        <v>20.391304347826086</v>
      </c>
      <c r="L166" s="14">
        <f>IFERROR(I166/G166,"")</f>
        <v>0.95652173913043481</v>
      </c>
      <c r="M166" s="11" t="str">
        <f>IF(K166&gt;=Paramètres!$F$6,"Très forte",IF(K166&gt;=Paramètres!$F$5,"Forte",IF(K166&gt;=Paramètres!$F$4,"Modérée","Faible")))</f>
        <v>Forte</v>
      </c>
    </row>
    <row r="167" spans="1:13">
      <c r="A167" t="s">
        <v>939</v>
      </c>
      <c r="B167" s="11">
        <v>77</v>
      </c>
      <c r="C167" t="s">
        <v>132</v>
      </c>
      <c r="D167" t="s">
        <v>1238</v>
      </c>
      <c r="E167" t="s">
        <v>1301</v>
      </c>
      <c r="F167" t="s">
        <v>92</v>
      </c>
      <c r="G167" s="12">
        <v>35</v>
      </c>
      <c r="H167" s="12">
        <v>704</v>
      </c>
      <c r="I167" s="12">
        <v>34</v>
      </c>
      <c r="J167" t="str">
        <f>VLOOKUP(B167,Paramètres!$A$4:$C$11,3,FALSE)</f>
        <v>Grande couronne</v>
      </c>
      <c r="K167" s="13">
        <f>IFERROR(H167/G167,"")</f>
        <v>20.114285714285714</v>
      </c>
      <c r="L167" s="14">
        <f>IFERROR(I167/G167,"")</f>
        <v>0.97142857142857142</v>
      </c>
      <c r="M167" s="11" t="str">
        <f>IF(K167&gt;=Paramètres!$F$6,"Très forte",IF(K167&gt;=Paramètres!$F$5,"Forte",IF(K167&gt;=Paramètres!$F$4,"Modérée","Faible")))</f>
        <v>Forte</v>
      </c>
    </row>
    <row r="168" spans="1:13">
      <c r="A168" t="s">
        <v>119</v>
      </c>
      <c r="B168" s="11">
        <v>75</v>
      </c>
      <c r="C168" t="s">
        <v>86</v>
      </c>
      <c r="D168" t="s">
        <v>1238</v>
      </c>
      <c r="E168" t="s">
        <v>1441</v>
      </c>
      <c r="F168" t="s">
        <v>92</v>
      </c>
      <c r="G168" s="12">
        <v>136</v>
      </c>
      <c r="H168" s="12">
        <v>2732</v>
      </c>
      <c r="I168" s="12">
        <v>135</v>
      </c>
      <c r="J168" t="str">
        <f>VLOOKUP(B168,Paramètres!$A$4:$C$11,3,FALSE)</f>
        <v>Paris</v>
      </c>
      <c r="K168" s="13">
        <f>IFERROR(H168/G168,"")</f>
        <v>20.088235294117649</v>
      </c>
      <c r="L168" s="14">
        <f>IFERROR(I168/G168,"")</f>
        <v>0.99264705882352944</v>
      </c>
      <c r="M168" s="11" t="str">
        <f>IF(K168&gt;=Paramètres!$F$6,"Très forte",IF(K168&gt;=Paramètres!$F$5,"Forte",IF(K168&gt;=Paramètres!$F$4,"Modérée","Faible")))</f>
        <v>Forte</v>
      </c>
    </row>
    <row r="169" spans="1:13">
      <c r="A169" t="s">
        <v>1185</v>
      </c>
      <c r="B169" s="11">
        <v>94</v>
      </c>
      <c r="C169" t="s">
        <v>116</v>
      </c>
      <c r="D169" t="s">
        <v>1238</v>
      </c>
      <c r="E169" t="s">
        <v>1375</v>
      </c>
      <c r="F169" t="s">
        <v>92</v>
      </c>
      <c r="G169" s="12">
        <v>24</v>
      </c>
      <c r="H169" s="12">
        <v>472</v>
      </c>
      <c r="I169" s="12">
        <v>24</v>
      </c>
      <c r="J169" t="str">
        <f>VLOOKUP(B169,Paramètres!$A$4:$C$11,3,FALSE)</f>
        <v>Petite couronne</v>
      </c>
      <c r="K169" s="13">
        <f>IFERROR(H169/G169,"")</f>
        <v>19.666666666666668</v>
      </c>
      <c r="L169" s="14">
        <f>IFERROR(I169/G169,"")</f>
        <v>1</v>
      </c>
      <c r="M169" s="11" t="str">
        <f>IF(K169&gt;=Paramètres!$F$6,"Très forte",IF(K169&gt;=Paramètres!$F$5,"Forte",IF(K169&gt;=Paramètres!$F$4,"Modérée","Faible")))</f>
        <v>Modérée</v>
      </c>
    </row>
    <row r="170" spans="1:13">
      <c r="A170" t="s">
        <v>110</v>
      </c>
      <c r="B170" s="11">
        <v>75</v>
      </c>
      <c r="C170" t="s">
        <v>86</v>
      </c>
      <c r="D170" t="s">
        <v>1238</v>
      </c>
      <c r="E170" t="s">
        <v>1496</v>
      </c>
      <c r="F170" t="s">
        <v>92</v>
      </c>
      <c r="G170" s="12">
        <v>60</v>
      </c>
      <c r="H170" s="12">
        <v>1178</v>
      </c>
      <c r="I170" s="12">
        <v>60</v>
      </c>
      <c r="J170" t="str">
        <f>VLOOKUP(B170,Paramètres!$A$4:$C$11,3,FALSE)</f>
        <v>Paris</v>
      </c>
      <c r="K170" s="13">
        <f>IFERROR(H170/G170,"")</f>
        <v>19.633333333333333</v>
      </c>
      <c r="L170" s="14">
        <f>IFERROR(I170/G170,"")</f>
        <v>1</v>
      </c>
      <c r="M170" s="11" t="str">
        <f>IF(K170&gt;=Paramètres!$F$6,"Très forte",IF(K170&gt;=Paramètres!$F$5,"Forte",IF(K170&gt;=Paramètres!$F$4,"Modérée","Faible")))</f>
        <v>Modérée</v>
      </c>
    </row>
    <row r="171" spans="1:13">
      <c r="A171" t="s">
        <v>1242</v>
      </c>
      <c r="B171" s="11">
        <v>75</v>
      </c>
      <c r="C171" t="s">
        <v>86</v>
      </c>
      <c r="D171" t="s">
        <v>1238</v>
      </c>
      <c r="E171" t="s">
        <v>1243</v>
      </c>
      <c r="F171" t="s">
        <v>92</v>
      </c>
      <c r="G171" s="12">
        <v>600</v>
      </c>
      <c r="H171" s="12">
        <v>11731</v>
      </c>
      <c r="I171" s="12">
        <v>608</v>
      </c>
      <c r="J171" t="str">
        <f>VLOOKUP(B171,Paramètres!$A$4:$C$11,3,FALSE)</f>
        <v>Paris</v>
      </c>
      <c r="K171" s="13">
        <f>IFERROR(H171/G171,"")</f>
        <v>19.551666666666666</v>
      </c>
      <c r="L171" s="14">
        <f>IFERROR(I171/G171,"")</f>
        <v>1.0133333333333334</v>
      </c>
      <c r="M171" s="11" t="str">
        <f>IF(K171&gt;=Paramètres!$F$6,"Très forte",IF(K171&gt;=Paramètres!$F$5,"Forte",IF(K171&gt;=Paramètres!$F$4,"Modérée","Faible")))</f>
        <v>Modérée</v>
      </c>
    </row>
    <row r="172" spans="1:13">
      <c r="A172" t="s">
        <v>1708</v>
      </c>
      <c r="B172" s="11">
        <v>94</v>
      </c>
      <c r="C172" t="s">
        <v>116</v>
      </c>
      <c r="D172" t="s">
        <v>1238</v>
      </c>
      <c r="E172" t="s">
        <v>1668</v>
      </c>
      <c r="F172" t="s">
        <v>92</v>
      </c>
      <c r="G172" s="12">
        <v>12</v>
      </c>
      <c r="H172" s="12">
        <v>231</v>
      </c>
      <c r="I172" s="12">
        <v>10</v>
      </c>
      <c r="J172" t="str">
        <f>VLOOKUP(B172,Paramètres!$A$4:$C$11,3,FALSE)</f>
        <v>Petite couronne</v>
      </c>
      <c r="K172" s="13">
        <f>IFERROR(H172/G172,"")</f>
        <v>19.25</v>
      </c>
      <c r="L172" s="14">
        <f>IFERROR(I172/G172,"")</f>
        <v>0.83333333333333337</v>
      </c>
      <c r="M172" s="11" t="str">
        <f>IF(K172&gt;=Paramètres!$F$6,"Très forte",IF(K172&gt;=Paramètres!$F$5,"Forte",IF(K172&gt;=Paramètres!$F$4,"Modérée","Faible")))</f>
        <v>Modérée</v>
      </c>
    </row>
    <row r="173" spans="1:13">
      <c r="A173" t="s">
        <v>119</v>
      </c>
      <c r="B173" s="11">
        <v>75</v>
      </c>
      <c r="C173" t="s">
        <v>86</v>
      </c>
      <c r="D173" t="s">
        <v>1238</v>
      </c>
      <c r="E173" t="s">
        <v>1371</v>
      </c>
      <c r="F173" t="s">
        <v>92</v>
      </c>
      <c r="G173" s="12">
        <v>16</v>
      </c>
      <c r="H173" s="12">
        <v>307</v>
      </c>
      <c r="I173" s="12">
        <v>16</v>
      </c>
      <c r="J173" t="str">
        <f>VLOOKUP(B173,Paramètres!$A$4:$C$11,3,FALSE)</f>
        <v>Paris</v>
      </c>
      <c r="K173" s="13">
        <f>IFERROR(H173/G173,"")</f>
        <v>19.1875</v>
      </c>
      <c r="L173" s="14">
        <f>IFERROR(I173/G173,"")</f>
        <v>1</v>
      </c>
      <c r="M173" s="11" t="str">
        <f>IF(K173&gt;=Paramètres!$F$6,"Très forte",IF(K173&gt;=Paramètres!$F$5,"Forte",IF(K173&gt;=Paramètres!$F$4,"Modérée","Faible")))</f>
        <v>Modérée</v>
      </c>
    </row>
    <row r="174" spans="1:13">
      <c r="A174" t="s">
        <v>1266</v>
      </c>
      <c r="B174" s="11">
        <v>77</v>
      </c>
      <c r="C174" t="s">
        <v>132</v>
      </c>
      <c r="D174" t="s">
        <v>1238</v>
      </c>
      <c r="E174" t="s">
        <v>1446</v>
      </c>
      <c r="F174" t="s">
        <v>92</v>
      </c>
      <c r="G174" s="12">
        <v>6</v>
      </c>
      <c r="H174" s="12">
        <v>113</v>
      </c>
      <c r="I174" s="12">
        <v>6</v>
      </c>
      <c r="J174" t="str">
        <f>VLOOKUP(B174,Paramètres!$A$4:$C$11,3,FALSE)</f>
        <v>Grande couronne</v>
      </c>
      <c r="K174" s="13">
        <f>IFERROR(H174/G174,"")</f>
        <v>18.833333333333332</v>
      </c>
      <c r="L174" s="14">
        <f>IFERROR(I174/G174,"")</f>
        <v>1</v>
      </c>
      <c r="M174" s="11" t="str">
        <f>IF(K174&gt;=Paramètres!$F$6,"Très forte",IF(K174&gt;=Paramètres!$F$5,"Forte",IF(K174&gt;=Paramètres!$F$4,"Modérée","Faible")))</f>
        <v>Modérée</v>
      </c>
    </row>
    <row r="175" spans="1:13">
      <c r="A175" t="s">
        <v>1435</v>
      </c>
      <c r="B175" s="11">
        <v>75</v>
      </c>
      <c r="C175" t="s">
        <v>86</v>
      </c>
      <c r="D175" t="s">
        <v>1238</v>
      </c>
      <c r="E175" t="s">
        <v>1436</v>
      </c>
      <c r="F175" t="s">
        <v>92</v>
      </c>
      <c r="G175" s="12">
        <v>17</v>
      </c>
      <c r="H175" s="12">
        <v>313</v>
      </c>
      <c r="I175" s="12">
        <v>20</v>
      </c>
      <c r="J175" t="str">
        <f>VLOOKUP(B175,Paramètres!$A$4:$C$11,3,FALSE)</f>
        <v>Paris</v>
      </c>
      <c r="K175" s="13">
        <f>IFERROR(H175/G175,"")</f>
        <v>18.411764705882351</v>
      </c>
      <c r="L175" s="14">
        <f>IFERROR(I175/G175,"")</f>
        <v>1.1764705882352942</v>
      </c>
      <c r="M175" s="11" t="str">
        <f>IF(K175&gt;=Paramètres!$F$6,"Très forte",IF(K175&gt;=Paramètres!$F$5,"Forte",IF(K175&gt;=Paramètres!$F$4,"Modérée","Faible")))</f>
        <v>Modérée</v>
      </c>
    </row>
    <row r="176" spans="1:13">
      <c r="A176" t="s">
        <v>882</v>
      </c>
      <c r="B176" s="11">
        <v>77</v>
      </c>
      <c r="C176" t="s">
        <v>132</v>
      </c>
      <c r="D176" t="s">
        <v>1238</v>
      </c>
      <c r="E176" t="s">
        <v>1666</v>
      </c>
      <c r="F176" t="s">
        <v>92</v>
      </c>
      <c r="G176" s="12">
        <v>10</v>
      </c>
      <c r="H176" s="12">
        <v>184</v>
      </c>
      <c r="I176" s="12">
        <v>5</v>
      </c>
      <c r="J176" t="str">
        <f>VLOOKUP(B176,Paramètres!$A$4:$C$11,3,FALSE)</f>
        <v>Grande couronne</v>
      </c>
      <c r="K176" s="13">
        <f>IFERROR(H176/G176,"")</f>
        <v>18.399999999999999</v>
      </c>
      <c r="L176" s="14">
        <f>IFERROR(I176/G176,"")</f>
        <v>0.5</v>
      </c>
      <c r="M176" s="11" t="str">
        <f>IF(K176&gt;=Paramètres!$F$6,"Très forte",IF(K176&gt;=Paramètres!$F$5,"Forte",IF(K176&gt;=Paramètres!$F$4,"Modérée","Faible")))</f>
        <v>Modérée</v>
      </c>
    </row>
    <row r="177" spans="1:13">
      <c r="A177" t="s">
        <v>1143</v>
      </c>
      <c r="B177" s="11">
        <v>77</v>
      </c>
      <c r="C177" t="s">
        <v>132</v>
      </c>
      <c r="D177" t="s">
        <v>1238</v>
      </c>
      <c r="E177" t="s">
        <v>1847</v>
      </c>
      <c r="F177" t="s">
        <v>92</v>
      </c>
      <c r="G177" s="12">
        <v>30</v>
      </c>
      <c r="H177" s="12">
        <v>551</v>
      </c>
      <c r="I177" s="12">
        <v>27</v>
      </c>
      <c r="J177" t="str">
        <f>VLOOKUP(B177,Paramètres!$A$4:$C$11,3,FALSE)</f>
        <v>Grande couronne</v>
      </c>
      <c r="K177" s="13">
        <f>IFERROR(H177/G177,"")</f>
        <v>18.366666666666667</v>
      </c>
      <c r="L177" s="14">
        <f>IFERROR(I177/G177,"")</f>
        <v>0.9</v>
      </c>
      <c r="M177" s="11" t="str">
        <f>IF(K177&gt;=Paramètres!$F$6,"Très forte",IF(K177&gt;=Paramètres!$F$5,"Forte",IF(K177&gt;=Paramètres!$F$4,"Modérée","Faible")))</f>
        <v>Modérée</v>
      </c>
    </row>
    <row r="178" spans="1:13">
      <c r="A178" t="s">
        <v>110</v>
      </c>
      <c r="B178" s="11">
        <v>75</v>
      </c>
      <c r="C178" t="s">
        <v>86</v>
      </c>
      <c r="D178" t="s">
        <v>1238</v>
      </c>
      <c r="E178" t="s">
        <v>1496</v>
      </c>
      <c r="F178" t="s">
        <v>92</v>
      </c>
      <c r="G178" s="12">
        <v>6</v>
      </c>
      <c r="H178" s="12">
        <v>110</v>
      </c>
      <c r="I178" s="12">
        <v>2</v>
      </c>
      <c r="J178" t="str">
        <f>VLOOKUP(B178,Paramètres!$A$4:$C$11,3,FALSE)</f>
        <v>Paris</v>
      </c>
      <c r="K178" s="13">
        <f>IFERROR(H178/G178,"")</f>
        <v>18.333333333333332</v>
      </c>
      <c r="L178" s="14">
        <f>IFERROR(I178/G178,"")</f>
        <v>0.33333333333333331</v>
      </c>
      <c r="M178" s="11" t="str">
        <f>IF(K178&gt;=Paramètres!$F$6,"Très forte",IF(K178&gt;=Paramètres!$F$5,"Forte",IF(K178&gt;=Paramètres!$F$4,"Modérée","Faible")))</f>
        <v>Modérée</v>
      </c>
    </row>
    <row r="179" spans="1:13">
      <c r="A179" t="s">
        <v>1762</v>
      </c>
      <c r="B179" s="11">
        <v>75</v>
      </c>
      <c r="C179" t="s">
        <v>86</v>
      </c>
      <c r="D179" t="s">
        <v>1238</v>
      </c>
      <c r="E179" t="s">
        <v>1303</v>
      </c>
      <c r="F179" t="s">
        <v>92</v>
      </c>
      <c r="G179" s="12">
        <v>250</v>
      </c>
      <c r="H179" s="12">
        <v>4445</v>
      </c>
      <c r="I179" s="12">
        <v>250</v>
      </c>
      <c r="J179" t="str">
        <f>VLOOKUP(B179,Paramètres!$A$4:$C$11,3,FALSE)</f>
        <v>Paris</v>
      </c>
      <c r="K179" s="13">
        <f>IFERROR(H179/G179,"")</f>
        <v>17.78</v>
      </c>
      <c r="L179" s="14">
        <f>IFERROR(I179/G179,"")</f>
        <v>1</v>
      </c>
      <c r="M179" s="11" t="str">
        <f>IF(K179&gt;=Paramètres!$F$6,"Très forte",IF(K179&gt;=Paramètres!$F$5,"Forte",IF(K179&gt;=Paramètres!$F$4,"Modérée","Faible")))</f>
        <v>Modérée</v>
      </c>
    </row>
    <row r="180" spans="1:13">
      <c r="A180" t="s">
        <v>1336</v>
      </c>
      <c r="B180" s="11">
        <v>75</v>
      </c>
      <c r="C180" t="s">
        <v>86</v>
      </c>
      <c r="D180" t="s">
        <v>1238</v>
      </c>
      <c r="E180" t="s">
        <v>1843</v>
      </c>
      <c r="F180" t="s">
        <v>92</v>
      </c>
      <c r="G180" s="12">
        <v>16</v>
      </c>
      <c r="H180" s="12">
        <v>283</v>
      </c>
      <c r="I180" s="12">
        <v>17</v>
      </c>
      <c r="J180" t="str">
        <f>VLOOKUP(B180,Paramètres!$A$4:$C$11,3,FALSE)</f>
        <v>Paris</v>
      </c>
      <c r="K180" s="13">
        <f>IFERROR(H180/G180,"")</f>
        <v>17.6875</v>
      </c>
      <c r="L180" s="14">
        <f>IFERROR(I180/G180,"")</f>
        <v>1.0625</v>
      </c>
      <c r="M180" s="11" t="str">
        <f>IF(K180&gt;=Paramètres!$F$6,"Très forte",IF(K180&gt;=Paramètres!$F$5,"Forte",IF(K180&gt;=Paramètres!$F$4,"Modérée","Faible")))</f>
        <v>Modérée</v>
      </c>
    </row>
    <row r="181" spans="1:13">
      <c r="A181" t="s">
        <v>857</v>
      </c>
      <c r="B181" s="11">
        <v>75</v>
      </c>
      <c r="C181" t="s">
        <v>86</v>
      </c>
      <c r="D181" t="s">
        <v>1238</v>
      </c>
      <c r="E181" t="s">
        <v>1376</v>
      </c>
      <c r="F181" t="s">
        <v>92</v>
      </c>
      <c r="G181" s="12">
        <v>15</v>
      </c>
      <c r="H181" s="12">
        <v>261</v>
      </c>
      <c r="I181" s="12">
        <v>11</v>
      </c>
      <c r="J181" t="str">
        <f>VLOOKUP(B181,Paramètres!$A$4:$C$11,3,FALSE)</f>
        <v>Paris</v>
      </c>
      <c r="K181" s="13">
        <f>IFERROR(H181/G181,"")</f>
        <v>17.399999999999999</v>
      </c>
      <c r="L181" s="14">
        <f>IFERROR(I181/G181,"")</f>
        <v>0.73333333333333328</v>
      </c>
      <c r="M181" s="11" t="str">
        <f>IF(K181&gt;=Paramètres!$F$6,"Très forte",IF(K181&gt;=Paramètres!$F$5,"Forte",IF(K181&gt;=Paramètres!$F$4,"Modérée","Faible")))</f>
        <v>Modérée</v>
      </c>
    </row>
    <row r="182" spans="1:13">
      <c r="A182" t="s">
        <v>99</v>
      </c>
      <c r="B182" s="11">
        <v>93</v>
      </c>
      <c r="C182" t="s">
        <v>100</v>
      </c>
      <c r="D182" t="s">
        <v>1238</v>
      </c>
      <c r="E182" t="s">
        <v>1393</v>
      </c>
      <c r="F182" t="s">
        <v>92</v>
      </c>
      <c r="G182" s="12">
        <v>25</v>
      </c>
      <c r="H182" s="12">
        <v>433</v>
      </c>
      <c r="I182" s="12">
        <v>20</v>
      </c>
      <c r="J182" t="str">
        <f>VLOOKUP(B182,Paramètres!$A$4:$C$11,3,FALSE)</f>
        <v>Petite couronne</v>
      </c>
      <c r="K182" s="13">
        <f>IFERROR(H182/G182,"")</f>
        <v>17.32</v>
      </c>
      <c r="L182" s="14">
        <f>IFERROR(I182/G182,"")</f>
        <v>0.8</v>
      </c>
      <c r="M182" s="11" t="str">
        <f>IF(K182&gt;=Paramètres!$F$6,"Très forte",IF(K182&gt;=Paramètres!$F$5,"Forte",IF(K182&gt;=Paramètres!$F$4,"Modérée","Faible")))</f>
        <v>Modérée</v>
      </c>
    </row>
    <row r="183" spans="1:13">
      <c r="A183" t="s">
        <v>1778</v>
      </c>
      <c r="B183" s="11">
        <v>75</v>
      </c>
      <c r="C183" t="s">
        <v>86</v>
      </c>
      <c r="D183" t="s">
        <v>1238</v>
      </c>
      <c r="E183" t="s">
        <v>1572</v>
      </c>
      <c r="F183" t="s">
        <v>92</v>
      </c>
      <c r="G183" s="12">
        <v>53</v>
      </c>
      <c r="H183" s="12">
        <v>911</v>
      </c>
      <c r="I183" s="12">
        <v>49</v>
      </c>
      <c r="J183" t="str">
        <f>VLOOKUP(B183,Paramètres!$A$4:$C$11,3,FALSE)</f>
        <v>Paris</v>
      </c>
      <c r="K183" s="13">
        <f>IFERROR(H183/G183,"")</f>
        <v>17.188679245283019</v>
      </c>
      <c r="L183" s="14">
        <f>IFERROR(I183/G183,"")</f>
        <v>0.92452830188679247</v>
      </c>
      <c r="M183" s="11" t="str">
        <f>IF(K183&gt;=Paramètres!$F$6,"Très forte",IF(K183&gt;=Paramètres!$F$5,"Forte",IF(K183&gt;=Paramètres!$F$4,"Modérée","Faible")))</f>
        <v>Modérée</v>
      </c>
    </row>
    <row r="184" spans="1:13">
      <c r="A184" t="s">
        <v>144</v>
      </c>
      <c r="B184" s="11">
        <v>95</v>
      </c>
      <c r="C184" t="s">
        <v>90</v>
      </c>
      <c r="D184" t="s">
        <v>1238</v>
      </c>
      <c r="E184" t="s">
        <v>1491</v>
      </c>
      <c r="F184" t="s">
        <v>92</v>
      </c>
      <c r="G184" s="12">
        <v>36</v>
      </c>
      <c r="H184" s="12">
        <v>616</v>
      </c>
      <c r="I184" s="12">
        <v>35</v>
      </c>
      <c r="J184" t="str">
        <f>VLOOKUP(B184,Paramètres!$A$4:$C$11,3,FALSE)</f>
        <v>Grande couronne</v>
      </c>
      <c r="K184" s="13">
        <f>IFERROR(H184/G184,"")</f>
        <v>17.111111111111111</v>
      </c>
      <c r="L184" s="14">
        <f>IFERROR(I184/G184,"")</f>
        <v>0.97222222222222221</v>
      </c>
      <c r="M184" s="11" t="str">
        <f>IF(K184&gt;=Paramètres!$F$6,"Très forte",IF(K184&gt;=Paramètres!$F$5,"Forte",IF(K184&gt;=Paramètres!$F$4,"Modérée","Faible")))</f>
        <v>Modérée</v>
      </c>
    </row>
    <row r="185" spans="1:13">
      <c r="A185" t="s">
        <v>874</v>
      </c>
      <c r="B185" s="11">
        <v>75</v>
      </c>
      <c r="C185" t="s">
        <v>86</v>
      </c>
      <c r="D185" t="s">
        <v>1238</v>
      </c>
      <c r="E185" t="s">
        <v>1301</v>
      </c>
      <c r="F185" t="s">
        <v>92</v>
      </c>
      <c r="G185" s="12">
        <v>36</v>
      </c>
      <c r="H185" s="12">
        <v>615</v>
      </c>
      <c r="I185" s="12">
        <v>36</v>
      </c>
      <c r="J185" t="str">
        <f>VLOOKUP(B185,Paramètres!$A$4:$C$11,3,FALSE)</f>
        <v>Paris</v>
      </c>
      <c r="K185" s="13">
        <f>IFERROR(H185/G185,"")</f>
        <v>17.083333333333332</v>
      </c>
      <c r="L185" s="14">
        <f>IFERROR(I185/G185,"")</f>
        <v>1</v>
      </c>
      <c r="M185" s="11" t="str">
        <f>IF(K185&gt;=Paramètres!$F$6,"Très forte",IF(K185&gt;=Paramètres!$F$5,"Forte",IF(K185&gt;=Paramètres!$F$4,"Modérée","Faible")))</f>
        <v>Modérée</v>
      </c>
    </row>
    <row r="186" spans="1:13">
      <c r="A186" t="s">
        <v>1717</v>
      </c>
      <c r="B186" s="11">
        <v>75</v>
      </c>
      <c r="C186" t="s">
        <v>86</v>
      </c>
      <c r="D186" t="s">
        <v>1238</v>
      </c>
      <c r="E186" t="s">
        <v>1453</v>
      </c>
      <c r="F186" t="s">
        <v>92</v>
      </c>
      <c r="G186" s="12">
        <v>37</v>
      </c>
      <c r="H186" s="12">
        <v>621</v>
      </c>
      <c r="I186" s="12">
        <v>37</v>
      </c>
      <c r="J186" t="str">
        <f>VLOOKUP(B186,Paramètres!$A$4:$C$11,3,FALSE)</f>
        <v>Paris</v>
      </c>
      <c r="K186" s="13">
        <f>IFERROR(H186/G186,"")</f>
        <v>16.783783783783782</v>
      </c>
      <c r="L186" s="14">
        <f>IFERROR(I186/G186,"")</f>
        <v>1</v>
      </c>
      <c r="M186" s="11" t="str">
        <f>IF(K186&gt;=Paramètres!$F$6,"Très forte",IF(K186&gt;=Paramètres!$F$5,"Forte",IF(K186&gt;=Paramètres!$F$4,"Modérée","Faible")))</f>
        <v>Modérée</v>
      </c>
    </row>
    <row r="187" spans="1:13">
      <c r="A187" t="s">
        <v>862</v>
      </c>
      <c r="B187" s="11">
        <v>75</v>
      </c>
      <c r="C187" t="s">
        <v>86</v>
      </c>
      <c r="D187" t="s">
        <v>1238</v>
      </c>
      <c r="E187" t="s">
        <v>1356</v>
      </c>
      <c r="F187" t="s">
        <v>92</v>
      </c>
      <c r="G187" s="12">
        <v>15</v>
      </c>
      <c r="H187" s="12">
        <v>248</v>
      </c>
      <c r="I187" s="12">
        <v>14</v>
      </c>
      <c r="J187" t="str">
        <f>VLOOKUP(B187,Paramètres!$A$4:$C$11,3,FALSE)</f>
        <v>Paris</v>
      </c>
      <c r="K187" s="13">
        <f>IFERROR(H187/G187,"")</f>
        <v>16.533333333333335</v>
      </c>
      <c r="L187" s="14">
        <f>IFERROR(I187/G187,"")</f>
        <v>0.93333333333333335</v>
      </c>
      <c r="M187" s="11" t="str">
        <f>IF(K187&gt;=Paramètres!$F$6,"Très forte",IF(K187&gt;=Paramètres!$F$5,"Forte",IF(K187&gt;=Paramètres!$F$4,"Modérée","Faible")))</f>
        <v>Modérée</v>
      </c>
    </row>
    <row r="188" spans="1:13">
      <c r="A188" t="s">
        <v>144</v>
      </c>
      <c r="B188" s="11">
        <v>95</v>
      </c>
      <c r="C188" t="s">
        <v>90</v>
      </c>
      <c r="D188" t="s">
        <v>1238</v>
      </c>
      <c r="E188" t="s">
        <v>1511</v>
      </c>
      <c r="F188" t="s">
        <v>92</v>
      </c>
      <c r="G188" s="12">
        <v>20</v>
      </c>
      <c r="H188" s="12">
        <v>327</v>
      </c>
      <c r="I188" s="12">
        <v>20</v>
      </c>
      <c r="J188" t="str">
        <f>VLOOKUP(B188,Paramètres!$A$4:$C$11,3,FALSE)</f>
        <v>Grande couronne</v>
      </c>
      <c r="K188" s="13">
        <f>IFERROR(H188/G188,"")</f>
        <v>16.350000000000001</v>
      </c>
      <c r="L188" s="14">
        <f>IFERROR(I188/G188,"")</f>
        <v>1</v>
      </c>
      <c r="M188" s="11" t="str">
        <f>IF(K188&gt;=Paramètres!$F$6,"Très forte",IF(K188&gt;=Paramètres!$F$5,"Forte",IF(K188&gt;=Paramètres!$F$4,"Modérée","Faible")))</f>
        <v>Modérée</v>
      </c>
    </row>
    <row r="189" spans="1:13">
      <c r="A189" t="s">
        <v>1352</v>
      </c>
      <c r="B189" s="11">
        <v>75</v>
      </c>
      <c r="C189" t="s">
        <v>86</v>
      </c>
      <c r="D189" t="s">
        <v>1238</v>
      </c>
      <c r="E189" t="s">
        <v>1601</v>
      </c>
      <c r="F189" t="s">
        <v>92</v>
      </c>
      <c r="G189" s="12">
        <v>6</v>
      </c>
      <c r="H189" s="12">
        <v>97</v>
      </c>
      <c r="I189" s="12">
        <v>6</v>
      </c>
      <c r="J189" t="str">
        <f>VLOOKUP(B189,Paramètres!$A$4:$C$11,3,FALSE)</f>
        <v>Paris</v>
      </c>
      <c r="K189" s="13">
        <f>IFERROR(H189/G189,"")</f>
        <v>16.166666666666668</v>
      </c>
      <c r="L189" s="14">
        <f>IFERROR(I189/G189,"")</f>
        <v>1</v>
      </c>
      <c r="M189" s="11" t="str">
        <f>IF(K189&gt;=Paramètres!$F$6,"Très forte",IF(K189&gt;=Paramètres!$F$5,"Forte",IF(K189&gt;=Paramètres!$F$4,"Modérée","Faible")))</f>
        <v>Modérée</v>
      </c>
    </row>
    <row r="190" spans="1:13">
      <c r="A190" t="s">
        <v>1273</v>
      </c>
      <c r="B190" s="11">
        <v>93</v>
      </c>
      <c r="C190" t="s">
        <v>100</v>
      </c>
      <c r="D190" t="s">
        <v>1238</v>
      </c>
      <c r="E190" t="s">
        <v>1276</v>
      </c>
      <c r="F190" t="s">
        <v>92</v>
      </c>
      <c r="G190" s="12">
        <v>3</v>
      </c>
      <c r="H190" s="12">
        <v>48</v>
      </c>
      <c r="I190" s="12">
        <v>3</v>
      </c>
      <c r="J190" t="str">
        <f>VLOOKUP(B190,Paramètres!$A$4:$C$11,3,FALSE)</f>
        <v>Petite couronne</v>
      </c>
      <c r="K190" s="13">
        <f>IFERROR(H190/G190,"")</f>
        <v>16</v>
      </c>
      <c r="L190" s="14">
        <f>IFERROR(I190/G190,"")</f>
        <v>1</v>
      </c>
      <c r="M190" s="11" t="str">
        <f>IF(K190&gt;=Paramètres!$F$6,"Très forte",IF(K190&gt;=Paramètres!$F$5,"Forte",IF(K190&gt;=Paramètres!$F$4,"Modérée","Faible")))</f>
        <v>Modérée</v>
      </c>
    </row>
    <row r="191" spans="1:13">
      <c r="A191" t="s">
        <v>1478</v>
      </c>
      <c r="B191" s="11">
        <v>75</v>
      </c>
      <c r="C191" t="s">
        <v>86</v>
      </c>
      <c r="D191" t="s">
        <v>1238</v>
      </c>
      <c r="E191" t="s">
        <v>1675</v>
      </c>
      <c r="F191" t="s">
        <v>92</v>
      </c>
      <c r="G191" s="12">
        <v>10</v>
      </c>
      <c r="H191" s="12">
        <v>160</v>
      </c>
      <c r="I191" s="12">
        <v>9</v>
      </c>
      <c r="J191" t="str">
        <f>VLOOKUP(B191,Paramètres!$A$4:$C$11,3,FALSE)</f>
        <v>Paris</v>
      </c>
      <c r="K191" s="13">
        <f>IFERROR(H191/G191,"")</f>
        <v>16</v>
      </c>
      <c r="L191" s="14">
        <f>IFERROR(I191/G191,"")</f>
        <v>0.9</v>
      </c>
      <c r="M191" s="11" t="str">
        <f>IF(K191&gt;=Paramètres!$F$6,"Très forte",IF(K191&gt;=Paramètres!$F$5,"Forte",IF(K191&gt;=Paramètres!$F$4,"Modérée","Faible")))</f>
        <v>Modérée</v>
      </c>
    </row>
    <row r="192" spans="1:13">
      <c r="A192" t="s">
        <v>1336</v>
      </c>
      <c r="B192" s="11">
        <v>75</v>
      </c>
      <c r="C192" t="s">
        <v>86</v>
      </c>
      <c r="D192" t="s">
        <v>1238</v>
      </c>
      <c r="E192" t="s">
        <v>1337</v>
      </c>
      <c r="F192" t="s">
        <v>92</v>
      </c>
      <c r="G192" s="12">
        <v>20</v>
      </c>
      <c r="H192" s="12">
        <v>319</v>
      </c>
      <c r="I192" s="12">
        <v>20</v>
      </c>
      <c r="J192" t="str">
        <f>VLOOKUP(B192,Paramètres!$A$4:$C$11,3,FALSE)</f>
        <v>Paris</v>
      </c>
      <c r="K192" s="13">
        <f>IFERROR(H192/G192,"")</f>
        <v>15.95</v>
      </c>
      <c r="L192" s="14">
        <f>IFERROR(I192/G192,"")</f>
        <v>1</v>
      </c>
      <c r="M192" s="11" t="str">
        <f>IF(K192&gt;=Paramètres!$F$6,"Très forte",IF(K192&gt;=Paramètres!$F$5,"Forte",IF(K192&gt;=Paramètres!$F$4,"Modérée","Faible")))</f>
        <v>Modérée</v>
      </c>
    </row>
    <row r="193" spans="1:13">
      <c r="A193" t="s">
        <v>1197</v>
      </c>
      <c r="B193" s="11">
        <v>75</v>
      </c>
      <c r="C193" t="s">
        <v>86</v>
      </c>
      <c r="D193" t="s">
        <v>1238</v>
      </c>
      <c r="E193" t="s">
        <v>1492</v>
      </c>
      <c r="F193" t="s">
        <v>92</v>
      </c>
      <c r="G193" s="12">
        <v>12</v>
      </c>
      <c r="H193" s="12">
        <v>191</v>
      </c>
      <c r="I193" s="12">
        <v>12</v>
      </c>
      <c r="J193" t="str">
        <f>VLOOKUP(B193,Paramètres!$A$4:$C$11,3,FALSE)</f>
        <v>Paris</v>
      </c>
      <c r="K193" s="13">
        <f>IFERROR(H193/G193,"")</f>
        <v>15.916666666666666</v>
      </c>
      <c r="L193" s="14">
        <f>IFERROR(I193/G193,"")</f>
        <v>1</v>
      </c>
      <c r="M193" s="11" t="str">
        <f>IF(K193&gt;=Paramètres!$F$6,"Très forte",IF(K193&gt;=Paramètres!$F$5,"Forte",IF(K193&gt;=Paramètres!$F$4,"Modérée","Faible")))</f>
        <v>Modérée</v>
      </c>
    </row>
    <row r="194" spans="1:13">
      <c r="A194" t="s">
        <v>1037</v>
      </c>
      <c r="B194" s="11">
        <v>75</v>
      </c>
      <c r="C194" t="s">
        <v>86</v>
      </c>
      <c r="D194" t="s">
        <v>1238</v>
      </c>
      <c r="E194" t="s">
        <v>1520</v>
      </c>
      <c r="F194" t="s">
        <v>92</v>
      </c>
      <c r="G194" s="12">
        <v>10</v>
      </c>
      <c r="H194" s="12">
        <v>157</v>
      </c>
      <c r="I194" s="12">
        <v>10</v>
      </c>
      <c r="J194" t="str">
        <f>VLOOKUP(B194,Paramètres!$A$4:$C$11,3,FALSE)</f>
        <v>Paris</v>
      </c>
      <c r="K194" s="13">
        <f>IFERROR(H194/G194,"")</f>
        <v>15.7</v>
      </c>
      <c r="L194" s="14">
        <f>IFERROR(I194/G194,"")</f>
        <v>1</v>
      </c>
      <c r="M194" s="11" t="str">
        <f>IF(K194&gt;=Paramètres!$F$6,"Très forte",IF(K194&gt;=Paramètres!$F$5,"Forte",IF(K194&gt;=Paramètres!$F$4,"Modérée","Faible")))</f>
        <v>Modérée</v>
      </c>
    </row>
    <row r="195" spans="1:13">
      <c r="A195" t="s">
        <v>1271</v>
      </c>
      <c r="B195" s="11">
        <v>75</v>
      </c>
      <c r="C195" t="s">
        <v>86</v>
      </c>
      <c r="D195" t="s">
        <v>1238</v>
      </c>
      <c r="E195" t="s">
        <v>1620</v>
      </c>
      <c r="F195" t="s">
        <v>92</v>
      </c>
      <c r="G195" s="12">
        <v>30</v>
      </c>
      <c r="H195" s="12">
        <v>468</v>
      </c>
      <c r="I195" s="12">
        <v>30</v>
      </c>
      <c r="J195" t="str">
        <f>VLOOKUP(B195,Paramètres!$A$4:$C$11,3,FALSE)</f>
        <v>Paris</v>
      </c>
      <c r="K195" s="13">
        <f>IFERROR(H195/G195,"")</f>
        <v>15.6</v>
      </c>
      <c r="L195" s="14">
        <f>IFERROR(I195/G195,"")</f>
        <v>1</v>
      </c>
      <c r="M195" s="11" t="str">
        <f>IF(K195&gt;=Paramètres!$F$6,"Très forte",IF(K195&gt;=Paramètres!$F$5,"Forte",IF(K195&gt;=Paramètres!$F$4,"Modérée","Faible")))</f>
        <v>Modérée</v>
      </c>
    </row>
    <row r="196" spans="1:13">
      <c r="A196" t="s">
        <v>800</v>
      </c>
      <c r="B196" s="11">
        <v>78</v>
      </c>
      <c r="C196" t="s">
        <v>135</v>
      </c>
      <c r="D196" t="s">
        <v>1238</v>
      </c>
      <c r="E196" t="s">
        <v>1301</v>
      </c>
      <c r="F196" t="s">
        <v>92</v>
      </c>
      <c r="G196" s="12">
        <v>68</v>
      </c>
      <c r="H196" s="12">
        <v>1052</v>
      </c>
      <c r="I196" s="12">
        <v>69</v>
      </c>
      <c r="J196" t="str">
        <f>VLOOKUP(B196,Paramètres!$A$4:$C$11,3,FALSE)</f>
        <v>Grande couronne</v>
      </c>
      <c r="K196" s="13">
        <f>IFERROR(H196/G196,"")</f>
        <v>15.470588235294118</v>
      </c>
      <c r="L196" s="14">
        <f>IFERROR(I196/G196,"")</f>
        <v>1.0147058823529411</v>
      </c>
      <c r="M196" s="11" t="str">
        <f>IF(K196&gt;=Paramètres!$F$6,"Très forte",IF(K196&gt;=Paramètres!$F$5,"Forte",IF(K196&gt;=Paramètres!$F$4,"Modérée","Faible")))</f>
        <v>Modérée</v>
      </c>
    </row>
    <row r="197" spans="1:13">
      <c r="A197" t="s">
        <v>144</v>
      </c>
      <c r="B197" s="11">
        <v>95</v>
      </c>
      <c r="C197" t="s">
        <v>90</v>
      </c>
      <c r="D197" t="s">
        <v>1238</v>
      </c>
      <c r="E197" t="s">
        <v>1813</v>
      </c>
      <c r="F197" t="s">
        <v>92</v>
      </c>
      <c r="G197" s="12">
        <v>20</v>
      </c>
      <c r="H197" s="12">
        <v>308</v>
      </c>
      <c r="I197" s="12">
        <v>7</v>
      </c>
      <c r="J197" t="str">
        <f>VLOOKUP(B197,Paramètres!$A$4:$C$11,3,FALSE)</f>
        <v>Grande couronne</v>
      </c>
      <c r="K197" s="13">
        <f>IFERROR(H197/G197,"")</f>
        <v>15.4</v>
      </c>
      <c r="L197" s="14">
        <f>IFERROR(I197/G197,"")</f>
        <v>0.35</v>
      </c>
      <c r="M197" s="11" t="str">
        <f>IF(K197&gt;=Paramètres!$F$6,"Très forte",IF(K197&gt;=Paramètres!$F$5,"Forte",IF(K197&gt;=Paramètres!$F$4,"Modérée","Faible")))</f>
        <v>Modérée</v>
      </c>
    </row>
    <row r="198" spans="1:13">
      <c r="A198" t="s">
        <v>1186</v>
      </c>
      <c r="B198" s="11">
        <v>94</v>
      </c>
      <c r="C198" t="s">
        <v>116</v>
      </c>
      <c r="D198" t="s">
        <v>1238</v>
      </c>
      <c r="E198" t="s">
        <v>1492</v>
      </c>
      <c r="F198" t="s">
        <v>92</v>
      </c>
      <c r="G198" s="12">
        <v>12</v>
      </c>
      <c r="H198" s="12">
        <v>182</v>
      </c>
      <c r="I198" s="12">
        <v>12</v>
      </c>
      <c r="J198" t="str">
        <f>VLOOKUP(B198,Paramètres!$A$4:$C$11,3,FALSE)</f>
        <v>Petite couronne</v>
      </c>
      <c r="K198" s="13">
        <f>IFERROR(H198/G198,"")</f>
        <v>15.166666666666666</v>
      </c>
      <c r="L198" s="14">
        <f>IFERROR(I198/G198,"")</f>
        <v>1</v>
      </c>
      <c r="M198" s="11" t="str">
        <f>IF(K198&gt;=Paramètres!$F$6,"Très forte",IF(K198&gt;=Paramètres!$F$5,"Forte",IF(K198&gt;=Paramètres!$F$4,"Modérée","Faible")))</f>
        <v>Modérée</v>
      </c>
    </row>
    <row r="199" spans="1:13">
      <c r="A199" t="s">
        <v>1080</v>
      </c>
      <c r="B199" s="11">
        <v>92</v>
      </c>
      <c r="C199" t="s">
        <v>94</v>
      </c>
      <c r="D199" t="s">
        <v>1238</v>
      </c>
      <c r="E199" t="s">
        <v>1239</v>
      </c>
      <c r="F199" t="s">
        <v>92</v>
      </c>
      <c r="G199" s="12">
        <v>30</v>
      </c>
      <c r="H199" s="12">
        <v>455</v>
      </c>
      <c r="I199" s="12">
        <v>28</v>
      </c>
      <c r="J199" t="str">
        <f>VLOOKUP(B199,Paramètres!$A$4:$C$11,3,FALSE)</f>
        <v>Petite couronne</v>
      </c>
      <c r="K199" s="13">
        <f>IFERROR(H199/G199,"")</f>
        <v>15.166666666666666</v>
      </c>
      <c r="L199" s="14">
        <f>IFERROR(I199/G199,"")</f>
        <v>0.93333333333333335</v>
      </c>
      <c r="M199" s="11" t="str">
        <f>IF(K199&gt;=Paramètres!$F$6,"Très forte",IF(K199&gt;=Paramètres!$F$5,"Forte",IF(K199&gt;=Paramètres!$F$4,"Modérée","Faible")))</f>
        <v>Modérée</v>
      </c>
    </row>
    <row r="200" spans="1:13">
      <c r="A200" t="s">
        <v>917</v>
      </c>
      <c r="B200" s="11">
        <v>91</v>
      </c>
      <c r="C200" t="s">
        <v>105</v>
      </c>
      <c r="D200" t="s">
        <v>1238</v>
      </c>
      <c r="E200" t="s">
        <v>1375</v>
      </c>
      <c r="F200" t="s">
        <v>92</v>
      </c>
      <c r="G200" s="12">
        <v>30</v>
      </c>
      <c r="H200" s="12">
        <v>451</v>
      </c>
      <c r="I200" s="12">
        <v>29</v>
      </c>
      <c r="J200" t="str">
        <f>VLOOKUP(B200,Paramètres!$A$4:$C$11,3,FALSE)</f>
        <v>Grande couronne</v>
      </c>
      <c r="K200" s="13">
        <f>IFERROR(H200/G200,"")</f>
        <v>15.033333333333333</v>
      </c>
      <c r="L200" s="14">
        <f>IFERROR(I200/G200,"")</f>
        <v>0.96666666666666667</v>
      </c>
      <c r="M200" s="11" t="str">
        <f>IF(K200&gt;=Paramètres!$F$6,"Très forte",IF(K200&gt;=Paramètres!$F$5,"Forte",IF(K200&gt;=Paramètres!$F$4,"Modérée","Faible")))</f>
        <v>Modérée</v>
      </c>
    </row>
    <row r="201" spans="1:13">
      <c r="A201" t="s">
        <v>1326</v>
      </c>
      <c r="B201" s="11">
        <v>93</v>
      </c>
      <c r="C201" t="s">
        <v>100</v>
      </c>
      <c r="D201" t="s">
        <v>1238</v>
      </c>
      <c r="E201" t="s">
        <v>1616</v>
      </c>
      <c r="F201" t="s">
        <v>92</v>
      </c>
      <c r="G201" s="12">
        <v>25</v>
      </c>
      <c r="H201" s="12">
        <v>374</v>
      </c>
      <c r="I201" s="12">
        <v>23</v>
      </c>
      <c r="J201" t="str">
        <f>VLOOKUP(B201,Paramètres!$A$4:$C$11,3,FALSE)</f>
        <v>Petite couronne</v>
      </c>
      <c r="K201" s="13">
        <f>IFERROR(H201/G201,"")</f>
        <v>14.96</v>
      </c>
      <c r="L201" s="14">
        <f>IFERROR(I201/G201,"")</f>
        <v>0.92</v>
      </c>
      <c r="M201" s="11" t="str">
        <f>IF(K201&gt;=Paramètres!$F$6,"Très forte",IF(K201&gt;=Paramètres!$F$5,"Forte",IF(K201&gt;=Paramètres!$F$4,"Modérée","Faible")))</f>
        <v>Modérée</v>
      </c>
    </row>
    <row r="202" spans="1:13">
      <c r="A202" t="s">
        <v>1218</v>
      </c>
      <c r="B202" s="11">
        <v>91</v>
      </c>
      <c r="C202" t="s">
        <v>105</v>
      </c>
      <c r="D202" t="s">
        <v>1238</v>
      </c>
      <c r="E202" t="s">
        <v>1556</v>
      </c>
      <c r="F202" t="s">
        <v>92</v>
      </c>
      <c r="G202" s="12">
        <v>12</v>
      </c>
      <c r="H202" s="12">
        <v>179</v>
      </c>
      <c r="I202" s="12">
        <v>10</v>
      </c>
      <c r="J202" t="str">
        <f>VLOOKUP(B202,Paramètres!$A$4:$C$11,3,FALSE)</f>
        <v>Grande couronne</v>
      </c>
      <c r="K202" s="13">
        <f>IFERROR(H202/G202,"")</f>
        <v>14.916666666666666</v>
      </c>
      <c r="L202" s="14">
        <f>IFERROR(I202/G202,"")</f>
        <v>0.83333333333333337</v>
      </c>
      <c r="M202" s="11" t="str">
        <f>IF(K202&gt;=Paramètres!$F$6,"Très forte",IF(K202&gt;=Paramètres!$F$5,"Forte",IF(K202&gt;=Paramètres!$F$4,"Modérée","Faible")))</f>
        <v>Modérée</v>
      </c>
    </row>
    <row r="203" spans="1:13">
      <c r="A203" t="s">
        <v>847</v>
      </c>
      <c r="B203" s="11">
        <v>75</v>
      </c>
      <c r="C203" t="s">
        <v>86</v>
      </c>
      <c r="D203" t="s">
        <v>1238</v>
      </c>
      <c r="E203" t="s">
        <v>1824</v>
      </c>
      <c r="F203" t="s">
        <v>92</v>
      </c>
      <c r="G203" s="12">
        <v>12</v>
      </c>
      <c r="H203" s="12">
        <v>179</v>
      </c>
      <c r="I203" s="12">
        <v>12</v>
      </c>
      <c r="J203" t="str">
        <f>VLOOKUP(B203,Paramètres!$A$4:$C$11,3,FALSE)</f>
        <v>Paris</v>
      </c>
      <c r="K203" s="13">
        <f>IFERROR(H203/G203,"")</f>
        <v>14.916666666666666</v>
      </c>
      <c r="L203" s="14">
        <f>IFERROR(I203/G203,"")</f>
        <v>1</v>
      </c>
      <c r="M203" s="11" t="str">
        <f>IF(K203&gt;=Paramètres!$F$6,"Très forte",IF(K203&gt;=Paramètres!$F$5,"Forte",IF(K203&gt;=Paramètres!$F$4,"Modérée","Faible")))</f>
        <v>Modérée</v>
      </c>
    </row>
    <row r="204" spans="1:13">
      <c r="A204" t="s">
        <v>1244</v>
      </c>
      <c r="B204" s="11">
        <v>91</v>
      </c>
      <c r="C204" t="s">
        <v>105</v>
      </c>
      <c r="D204" t="s">
        <v>1238</v>
      </c>
      <c r="E204" t="s">
        <v>1245</v>
      </c>
      <c r="F204" t="s">
        <v>92</v>
      </c>
      <c r="G204" s="12">
        <v>25</v>
      </c>
      <c r="H204" s="12">
        <v>371</v>
      </c>
      <c r="I204" s="12">
        <v>26</v>
      </c>
      <c r="J204" t="str">
        <f>VLOOKUP(B204,Paramètres!$A$4:$C$11,3,FALSE)</f>
        <v>Grande couronne</v>
      </c>
      <c r="K204" s="13">
        <f>IFERROR(H204/G204,"")</f>
        <v>14.84</v>
      </c>
      <c r="L204" s="14">
        <f>IFERROR(I204/G204,"")</f>
        <v>1.04</v>
      </c>
      <c r="M204" s="11" t="str">
        <f>IF(K204&gt;=Paramètres!$F$6,"Très forte",IF(K204&gt;=Paramètres!$F$5,"Forte",IF(K204&gt;=Paramètres!$F$4,"Modérée","Faible")))</f>
        <v>Modérée</v>
      </c>
    </row>
    <row r="205" spans="1:13">
      <c r="A205" t="s">
        <v>1427</v>
      </c>
      <c r="B205" s="11">
        <v>78</v>
      </c>
      <c r="C205" t="s">
        <v>135</v>
      </c>
      <c r="D205" t="s">
        <v>1238</v>
      </c>
      <c r="E205" t="s">
        <v>1428</v>
      </c>
      <c r="F205" t="s">
        <v>92</v>
      </c>
      <c r="G205" s="12">
        <v>25</v>
      </c>
      <c r="H205" s="12">
        <v>371</v>
      </c>
      <c r="I205" s="12">
        <v>25</v>
      </c>
      <c r="J205" t="str">
        <f>VLOOKUP(B205,Paramètres!$A$4:$C$11,3,FALSE)</f>
        <v>Grande couronne</v>
      </c>
      <c r="K205" s="13">
        <f>IFERROR(H205/G205,"")</f>
        <v>14.84</v>
      </c>
      <c r="L205" s="14">
        <f>IFERROR(I205/G205,"")</f>
        <v>1</v>
      </c>
      <c r="M205" s="11" t="str">
        <f>IF(K205&gt;=Paramètres!$F$6,"Très forte",IF(K205&gt;=Paramètres!$F$5,"Forte",IF(K205&gt;=Paramètres!$F$4,"Modérée","Faible")))</f>
        <v>Modérée</v>
      </c>
    </row>
    <row r="206" spans="1:13">
      <c r="A206" t="s">
        <v>1242</v>
      </c>
      <c r="B206" s="11">
        <v>75</v>
      </c>
      <c r="C206" t="s">
        <v>86</v>
      </c>
      <c r="D206" t="s">
        <v>1238</v>
      </c>
      <c r="E206" t="s">
        <v>1420</v>
      </c>
      <c r="F206" t="s">
        <v>92</v>
      </c>
      <c r="G206" s="12">
        <v>30</v>
      </c>
      <c r="H206" s="12">
        <v>445</v>
      </c>
      <c r="I206" s="12">
        <v>28</v>
      </c>
      <c r="J206" t="str">
        <f>VLOOKUP(B206,Paramètres!$A$4:$C$11,3,FALSE)</f>
        <v>Paris</v>
      </c>
      <c r="K206" s="13">
        <f>IFERROR(H206/G206,"")</f>
        <v>14.833333333333334</v>
      </c>
      <c r="L206" s="14">
        <f>IFERROR(I206/G206,"")</f>
        <v>0.93333333333333335</v>
      </c>
      <c r="M206" s="11" t="str">
        <f>IF(K206&gt;=Paramètres!$F$6,"Très forte",IF(K206&gt;=Paramètres!$F$5,"Forte",IF(K206&gt;=Paramètres!$F$4,"Modérée","Faible")))</f>
        <v>Modérée</v>
      </c>
    </row>
    <row r="207" spans="1:13">
      <c r="A207" t="s">
        <v>1152</v>
      </c>
      <c r="B207" s="11">
        <v>92</v>
      </c>
      <c r="C207" t="s">
        <v>94</v>
      </c>
      <c r="D207" t="s">
        <v>1238</v>
      </c>
      <c r="E207" t="s">
        <v>1301</v>
      </c>
      <c r="F207" t="s">
        <v>92</v>
      </c>
      <c r="G207" s="12">
        <v>30</v>
      </c>
      <c r="H207" s="12">
        <v>445</v>
      </c>
      <c r="I207" s="12">
        <v>28</v>
      </c>
      <c r="J207" t="str">
        <f>VLOOKUP(B207,Paramètres!$A$4:$C$11,3,FALSE)</f>
        <v>Petite couronne</v>
      </c>
      <c r="K207" s="13">
        <f>IFERROR(H207/G207,"")</f>
        <v>14.833333333333334</v>
      </c>
      <c r="L207" s="14">
        <f>IFERROR(I207/G207,"")</f>
        <v>0.93333333333333335</v>
      </c>
      <c r="M207" s="11" t="str">
        <f>IF(K207&gt;=Paramètres!$F$6,"Très forte",IF(K207&gt;=Paramètres!$F$5,"Forte",IF(K207&gt;=Paramètres!$F$4,"Modérée","Faible")))</f>
        <v>Modérée</v>
      </c>
    </row>
    <row r="208" spans="1:13">
      <c r="A208" t="s">
        <v>1074</v>
      </c>
      <c r="B208" s="11">
        <v>92</v>
      </c>
      <c r="C208" t="s">
        <v>94</v>
      </c>
      <c r="D208" t="s">
        <v>1238</v>
      </c>
      <c r="E208" t="s">
        <v>1645</v>
      </c>
      <c r="F208" t="s">
        <v>92</v>
      </c>
      <c r="G208" s="12">
        <v>8</v>
      </c>
      <c r="H208" s="12">
        <v>116</v>
      </c>
      <c r="I208" s="12">
        <v>8</v>
      </c>
      <c r="J208" t="str">
        <f>VLOOKUP(B208,Paramètres!$A$4:$C$11,3,FALSE)</f>
        <v>Petite couronne</v>
      </c>
      <c r="K208" s="13">
        <f>IFERROR(H208/G208,"")</f>
        <v>14.5</v>
      </c>
      <c r="L208" s="14">
        <f>IFERROR(I208/G208,"")</f>
        <v>1</v>
      </c>
      <c r="M208" s="11" t="str">
        <f>IF(K208&gt;=Paramètres!$F$6,"Très forte",IF(K208&gt;=Paramètres!$F$5,"Forte",IF(K208&gt;=Paramètres!$F$4,"Modérée","Faible")))</f>
        <v>Modérée</v>
      </c>
    </row>
    <row r="209" spans="1:13">
      <c r="A209" t="s">
        <v>1710</v>
      </c>
      <c r="B209" s="11">
        <v>75</v>
      </c>
      <c r="C209" t="s">
        <v>86</v>
      </c>
      <c r="D209" t="s">
        <v>1238</v>
      </c>
      <c r="E209" t="s">
        <v>1711</v>
      </c>
      <c r="F209" t="s">
        <v>92</v>
      </c>
      <c r="G209" s="12">
        <v>7</v>
      </c>
      <c r="H209" s="12">
        <v>99</v>
      </c>
      <c r="I209" s="12">
        <v>7</v>
      </c>
      <c r="J209" t="str">
        <f>VLOOKUP(B209,Paramètres!$A$4:$C$11,3,FALSE)</f>
        <v>Paris</v>
      </c>
      <c r="K209" s="13">
        <f>IFERROR(H209/G209,"")</f>
        <v>14.142857142857142</v>
      </c>
      <c r="L209" s="14">
        <f>IFERROR(I209/G209,"")</f>
        <v>1</v>
      </c>
      <c r="M209" s="11" t="str">
        <f>IF(K209&gt;=Paramètres!$F$6,"Très forte",IF(K209&gt;=Paramètres!$F$5,"Forte",IF(K209&gt;=Paramètres!$F$4,"Modérée","Faible")))</f>
        <v>Modérée</v>
      </c>
    </row>
    <row r="210" spans="1:13">
      <c r="A210" t="s">
        <v>973</v>
      </c>
      <c r="B210" s="11">
        <v>94</v>
      </c>
      <c r="C210" t="s">
        <v>116</v>
      </c>
      <c r="D210" t="s">
        <v>1238</v>
      </c>
      <c r="E210" t="s">
        <v>1301</v>
      </c>
      <c r="F210" t="s">
        <v>92</v>
      </c>
      <c r="G210" s="12">
        <v>36</v>
      </c>
      <c r="H210" s="12">
        <v>508</v>
      </c>
      <c r="I210" s="12">
        <v>31</v>
      </c>
      <c r="J210" t="str">
        <f>VLOOKUP(B210,Paramètres!$A$4:$C$11,3,FALSE)</f>
        <v>Petite couronne</v>
      </c>
      <c r="K210" s="13">
        <f>IFERROR(H210/G210,"")</f>
        <v>14.111111111111111</v>
      </c>
      <c r="L210" s="14">
        <f>IFERROR(I210/G210,"")</f>
        <v>0.86111111111111116</v>
      </c>
      <c r="M210" s="11" t="str">
        <f>IF(K210&gt;=Paramètres!$F$6,"Très forte",IF(K210&gt;=Paramètres!$F$5,"Forte",IF(K210&gt;=Paramètres!$F$4,"Modérée","Faible")))</f>
        <v>Modérée</v>
      </c>
    </row>
    <row r="211" spans="1:13">
      <c r="A211" t="s">
        <v>265</v>
      </c>
      <c r="B211" s="11">
        <v>93</v>
      </c>
      <c r="C211" t="s">
        <v>100</v>
      </c>
      <c r="D211" t="s">
        <v>1238</v>
      </c>
      <c r="E211" t="s">
        <v>1374</v>
      </c>
      <c r="F211" t="s">
        <v>92</v>
      </c>
      <c r="G211" s="12">
        <v>78</v>
      </c>
      <c r="H211" s="12">
        <v>1098</v>
      </c>
      <c r="I211" s="12">
        <v>54</v>
      </c>
      <c r="J211" t="str">
        <f>VLOOKUP(B211,Paramètres!$A$4:$C$11,3,FALSE)</f>
        <v>Petite couronne</v>
      </c>
      <c r="K211" s="13">
        <f>IFERROR(H211/G211,"")</f>
        <v>14.076923076923077</v>
      </c>
      <c r="L211" s="14">
        <f>IFERROR(I211/G211,"")</f>
        <v>0.69230769230769229</v>
      </c>
      <c r="M211" s="11" t="str">
        <f>IF(K211&gt;=Paramètres!$F$6,"Très forte",IF(K211&gt;=Paramètres!$F$5,"Forte",IF(K211&gt;=Paramètres!$F$4,"Modérée","Faible")))</f>
        <v>Modérée</v>
      </c>
    </row>
    <row r="212" spans="1:13">
      <c r="A212" t="s">
        <v>138</v>
      </c>
      <c r="B212" s="11">
        <v>75</v>
      </c>
      <c r="C212" t="s">
        <v>86</v>
      </c>
      <c r="D212" t="s">
        <v>1238</v>
      </c>
      <c r="E212" t="s">
        <v>1837</v>
      </c>
      <c r="F212" t="s">
        <v>92</v>
      </c>
      <c r="G212" s="12">
        <v>9</v>
      </c>
      <c r="H212" s="12">
        <v>126</v>
      </c>
      <c r="I212" s="12">
        <v>8</v>
      </c>
      <c r="J212" t="str">
        <f>VLOOKUP(B212,Paramètres!$A$4:$C$11,3,FALSE)</f>
        <v>Paris</v>
      </c>
      <c r="K212" s="13">
        <f>IFERROR(H212/G212,"")</f>
        <v>14</v>
      </c>
      <c r="L212" s="14">
        <f>IFERROR(I212/G212,"")</f>
        <v>0.88888888888888884</v>
      </c>
      <c r="M212" s="11" t="str">
        <f>IF(K212&gt;=Paramètres!$F$6,"Très forte",IF(K212&gt;=Paramètres!$F$5,"Forte",IF(K212&gt;=Paramètres!$F$4,"Modérée","Faible")))</f>
        <v>Modérée</v>
      </c>
    </row>
    <row r="213" spans="1:13">
      <c r="A213" t="s">
        <v>190</v>
      </c>
      <c r="B213" s="11">
        <v>75</v>
      </c>
      <c r="C213" t="s">
        <v>86</v>
      </c>
      <c r="D213" t="s">
        <v>1238</v>
      </c>
      <c r="E213" t="s">
        <v>1603</v>
      </c>
      <c r="F213" t="s">
        <v>92</v>
      </c>
      <c r="G213" s="12">
        <v>25</v>
      </c>
      <c r="H213" s="12">
        <v>345</v>
      </c>
      <c r="I213" s="12">
        <v>28</v>
      </c>
      <c r="J213" t="str">
        <f>VLOOKUP(B213,Paramètres!$A$4:$C$11,3,FALSE)</f>
        <v>Paris</v>
      </c>
      <c r="K213" s="13">
        <f>IFERROR(H213/G213,"")</f>
        <v>13.8</v>
      </c>
      <c r="L213" s="14">
        <f>IFERROR(I213/G213,"")</f>
        <v>1.1200000000000001</v>
      </c>
      <c r="M213" s="11" t="str">
        <f>IF(K213&gt;=Paramètres!$F$6,"Très forte",IF(K213&gt;=Paramètres!$F$5,"Forte",IF(K213&gt;=Paramètres!$F$4,"Modérée","Faible")))</f>
        <v>Modérée</v>
      </c>
    </row>
    <row r="214" spans="1:13">
      <c r="A214" t="s">
        <v>104</v>
      </c>
      <c r="B214" s="11">
        <v>91</v>
      </c>
      <c r="C214" t="s">
        <v>105</v>
      </c>
      <c r="D214" t="s">
        <v>1238</v>
      </c>
      <c r="E214" t="s">
        <v>1473</v>
      </c>
      <c r="F214" t="s">
        <v>92</v>
      </c>
      <c r="G214" s="12">
        <v>20</v>
      </c>
      <c r="H214" s="12">
        <v>272</v>
      </c>
      <c r="I214" s="12">
        <v>21</v>
      </c>
      <c r="J214" t="str">
        <f>VLOOKUP(B214,Paramètres!$A$4:$C$11,3,FALSE)</f>
        <v>Grande couronne</v>
      </c>
      <c r="K214" s="13">
        <f>IFERROR(H214/G214,"")</f>
        <v>13.6</v>
      </c>
      <c r="L214" s="14">
        <f>IFERROR(I214/G214,"")</f>
        <v>1.05</v>
      </c>
      <c r="M214" s="11" t="str">
        <f>IF(K214&gt;=Paramètres!$F$6,"Très forte",IF(K214&gt;=Paramètres!$F$5,"Forte",IF(K214&gt;=Paramètres!$F$4,"Modérée","Faible")))</f>
        <v>Modérée</v>
      </c>
    </row>
    <row r="215" spans="1:13">
      <c r="A215" t="s">
        <v>1449</v>
      </c>
      <c r="B215" s="11">
        <v>75</v>
      </c>
      <c r="C215" t="s">
        <v>86</v>
      </c>
      <c r="D215" t="s">
        <v>1238</v>
      </c>
      <c r="E215" t="s">
        <v>1450</v>
      </c>
      <c r="F215" t="s">
        <v>92</v>
      </c>
      <c r="G215" s="12">
        <v>12</v>
      </c>
      <c r="H215" s="12">
        <v>161</v>
      </c>
      <c r="I215" s="12">
        <v>12</v>
      </c>
      <c r="J215" t="str">
        <f>VLOOKUP(B215,Paramètres!$A$4:$C$11,3,FALSE)</f>
        <v>Paris</v>
      </c>
      <c r="K215" s="13">
        <f>IFERROR(H215/G215,"")</f>
        <v>13.416666666666666</v>
      </c>
      <c r="L215" s="14">
        <f>IFERROR(I215/G215,"")</f>
        <v>1</v>
      </c>
      <c r="M215" s="11" t="str">
        <f>IF(K215&gt;=Paramètres!$F$6,"Très forte",IF(K215&gt;=Paramètres!$F$5,"Forte",IF(K215&gt;=Paramètres!$F$4,"Modérée","Faible")))</f>
        <v>Modérée</v>
      </c>
    </row>
    <row r="216" spans="1:13">
      <c r="A216" t="s">
        <v>1036</v>
      </c>
      <c r="B216" s="11">
        <v>75</v>
      </c>
      <c r="C216" t="s">
        <v>86</v>
      </c>
      <c r="D216" t="s">
        <v>1238</v>
      </c>
      <c r="E216" t="s">
        <v>1492</v>
      </c>
      <c r="F216" t="s">
        <v>92</v>
      </c>
      <c r="G216" s="12">
        <v>12</v>
      </c>
      <c r="H216" s="12">
        <v>161</v>
      </c>
      <c r="I216" s="12">
        <v>6</v>
      </c>
      <c r="J216" t="str">
        <f>VLOOKUP(B216,Paramètres!$A$4:$C$11,3,FALSE)</f>
        <v>Paris</v>
      </c>
      <c r="K216" s="13">
        <f>IFERROR(H216/G216,"")</f>
        <v>13.416666666666666</v>
      </c>
      <c r="L216" s="14">
        <f>IFERROR(I216/G216,"")</f>
        <v>0.5</v>
      </c>
      <c r="M216" s="11" t="str">
        <f>IF(K216&gt;=Paramètres!$F$6,"Très forte",IF(K216&gt;=Paramètres!$F$5,"Forte",IF(K216&gt;=Paramètres!$F$4,"Modérée","Faible")))</f>
        <v>Modérée</v>
      </c>
    </row>
    <row r="217" spans="1:13">
      <c r="A217" t="s">
        <v>1087</v>
      </c>
      <c r="B217" s="11">
        <v>93</v>
      </c>
      <c r="C217" t="s">
        <v>100</v>
      </c>
      <c r="D217" t="s">
        <v>1238</v>
      </c>
      <c r="E217" t="s">
        <v>1375</v>
      </c>
      <c r="F217" t="s">
        <v>92</v>
      </c>
      <c r="G217" s="12">
        <v>24</v>
      </c>
      <c r="H217" s="12">
        <v>322</v>
      </c>
      <c r="I217" s="12">
        <v>24</v>
      </c>
      <c r="J217" t="str">
        <f>VLOOKUP(B217,Paramètres!$A$4:$C$11,3,FALSE)</f>
        <v>Petite couronne</v>
      </c>
      <c r="K217" s="13">
        <f>IFERROR(H217/G217,"")</f>
        <v>13.416666666666666</v>
      </c>
      <c r="L217" s="14">
        <f>IFERROR(I217/G217,"")</f>
        <v>1</v>
      </c>
      <c r="M217" s="11" t="str">
        <f>IF(K217&gt;=Paramètres!$F$6,"Très forte",IF(K217&gt;=Paramètres!$F$5,"Forte",IF(K217&gt;=Paramètres!$F$4,"Modérée","Faible")))</f>
        <v>Modérée</v>
      </c>
    </row>
    <row r="218" spans="1:13">
      <c r="A218" t="s">
        <v>1089</v>
      </c>
      <c r="B218" s="11">
        <v>93</v>
      </c>
      <c r="C218" t="s">
        <v>100</v>
      </c>
      <c r="D218" t="s">
        <v>1238</v>
      </c>
      <c r="E218" t="s">
        <v>1301</v>
      </c>
      <c r="F218" t="s">
        <v>92</v>
      </c>
      <c r="G218" s="12">
        <v>36</v>
      </c>
      <c r="H218" s="12">
        <v>467</v>
      </c>
      <c r="I218" s="12">
        <v>28</v>
      </c>
      <c r="J218" t="str">
        <f>VLOOKUP(B218,Paramètres!$A$4:$C$11,3,FALSE)</f>
        <v>Petite couronne</v>
      </c>
      <c r="K218" s="13">
        <f>IFERROR(H218/G218,"")</f>
        <v>12.972222222222221</v>
      </c>
      <c r="L218" s="14">
        <f>IFERROR(I218/G218,"")</f>
        <v>0.77777777777777779</v>
      </c>
      <c r="M218" s="11" t="str">
        <f>IF(K218&gt;=Paramètres!$F$6,"Très forte",IF(K218&gt;=Paramètres!$F$5,"Forte",IF(K218&gt;=Paramètres!$F$4,"Modérée","Faible")))</f>
        <v>Modérée</v>
      </c>
    </row>
    <row r="219" spans="1:13">
      <c r="A219" t="s">
        <v>1055</v>
      </c>
      <c r="B219" s="11">
        <v>78</v>
      </c>
      <c r="C219" t="s">
        <v>135</v>
      </c>
      <c r="D219" t="s">
        <v>1238</v>
      </c>
      <c r="E219" t="s">
        <v>1239</v>
      </c>
      <c r="F219" t="s">
        <v>92</v>
      </c>
      <c r="G219" s="12">
        <v>28</v>
      </c>
      <c r="H219" s="12">
        <v>362</v>
      </c>
      <c r="I219" s="12">
        <v>25</v>
      </c>
      <c r="J219" t="str">
        <f>VLOOKUP(B219,Paramètres!$A$4:$C$11,3,FALSE)</f>
        <v>Grande couronne</v>
      </c>
      <c r="K219" s="13">
        <f>IFERROR(H219/G219,"")</f>
        <v>12.928571428571429</v>
      </c>
      <c r="L219" s="14">
        <f>IFERROR(I219/G219,"")</f>
        <v>0.8928571428571429</v>
      </c>
      <c r="M219" s="11" t="str">
        <f>IF(K219&gt;=Paramètres!$F$6,"Très forte",IF(K219&gt;=Paramètres!$F$5,"Forte",IF(K219&gt;=Paramètres!$F$4,"Modérée","Faible")))</f>
        <v>Modérée</v>
      </c>
    </row>
    <row r="220" spans="1:13">
      <c r="A220" t="s">
        <v>119</v>
      </c>
      <c r="B220" s="11">
        <v>75</v>
      </c>
      <c r="C220" t="s">
        <v>86</v>
      </c>
      <c r="D220" t="s">
        <v>1238</v>
      </c>
      <c r="E220" t="s">
        <v>1430</v>
      </c>
      <c r="F220" t="s">
        <v>92</v>
      </c>
      <c r="G220" s="12">
        <v>120</v>
      </c>
      <c r="H220" s="12">
        <v>1500</v>
      </c>
      <c r="I220" s="12">
        <v>120</v>
      </c>
      <c r="J220" t="str">
        <f>VLOOKUP(B220,Paramètres!$A$4:$C$11,3,FALSE)</f>
        <v>Paris</v>
      </c>
      <c r="K220" s="13">
        <f>IFERROR(H220/G220,"")</f>
        <v>12.5</v>
      </c>
      <c r="L220" s="14">
        <f>IFERROR(I220/G220,"")</f>
        <v>1</v>
      </c>
      <c r="M220" s="11" t="str">
        <f>IF(K220&gt;=Paramètres!$F$6,"Très forte",IF(K220&gt;=Paramètres!$F$5,"Forte",IF(K220&gt;=Paramètres!$F$4,"Modérée","Faible")))</f>
        <v>Modérée</v>
      </c>
    </row>
    <row r="221" spans="1:13">
      <c r="A221" t="s">
        <v>1613</v>
      </c>
      <c r="B221" s="11">
        <v>95</v>
      </c>
      <c r="C221" t="s">
        <v>90</v>
      </c>
      <c r="D221" t="s">
        <v>1238</v>
      </c>
      <c r="E221" t="s">
        <v>1614</v>
      </c>
      <c r="F221" t="s">
        <v>92</v>
      </c>
      <c r="G221" s="12">
        <v>20</v>
      </c>
      <c r="H221" s="12">
        <v>245</v>
      </c>
      <c r="I221" s="12">
        <v>15</v>
      </c>
      <c r="J221" t="str">
        <f>VLOOKUP(B221,Paramètres!$A$4:$C$11,3,FALSE)</f>
        <v>Grande couronne</v>
      </c>
      <c r="K221" s="13">
        <f>IFERROR(H221/G221,"")</f>
        <v>12.25</v>
      </c>
      <c r="L221" s="14">
        <f>IFERROR(I221/G221,"")</f>
        <v>0.75</v>
      </c>
      <c r="M221" s="11" t="str">
        <f>IF(K221&gt;=Paramètres!$F$6,"Très forte",IF(K221&gt;=Paramètres!$F$5,"Forte",IF(K221&gt;=Paramètres!$F$4,"Modérée","Faible")))</f>
        <v>Modérée</v>
      </c>
    </row>
    <row r="222" spans="1:13">
      <c r="A222" t="s">
        <v>1242</v>
      </c>
      <c r="B222" s="11">
        <v>75</v>
      </c>
      <c r="C222" t="s">
        <v>86</v>
      </c>
      <c r="D222" t="s">
        <v>1238</v>
      </c>
      <c r="E222" t="s">
        <v>1561</v>
      </c>
      <c r="F222" t="s">
        <v>92</v>
      </c>
      <c r="G222" s="12">
        <v>30</v>
      </c>
      <c r="H222" s="12">
        <v>365</v>
      </c>
      <c r="I222" s="12">
        <v>32</v>
      </c>
      <c r="J222" t="str">
        <f>VLOOKUP(B222,Paramètres!$A$4:$C$11,3,FALSE)</f>
        <v>Paris</v>
      </c>
      <c r="K222" s="13">
        <f>IFERROR(H222/G222,"")</f>
        <v>12.166666666666666</v>
      </c>
      <c r="L222" s="14">
        <f>IFERROR(I222/G222,"")</f>
        <v>1.0666666666666667</v>
      </c>
      <c r="M222" s="11" t="str">
        <f>IF(K222&gt;=Paramètres!$F$6,"Très forte",IF(K222&gt;=Paramètres!$F$5,"Forte",IF(K222&gt;=Paramètres!$F$4,"Modérée","Faible")))</f>
        <v>Modérée</v>
      </c>
    </row>
    <row r="223" spans="1:13">
      <c r="A223" t="s">
        <v>1636</v>
      </c>
      <c r="B223" s="11">
        <v>75</v>
      </c>
      <c r="C223" t="s">
        <v>86</v>
      </c>
      <c r="D223" t="s">
        <v>1238</v>
      </c>
      <c r="E223" t="s">
        <v>1637</v>
      </c>
      <c r="F223" t="s">
        <v>92</v>
      </c>
      <c r="G223" s="12">
        <v>15</v>
      </c>
      <c r="H223" s="12">
        <v>181</v>
      </c>
      <c r="I223" s="12">
        <v>14</v>
      </c>
      <c r="J223" t="str">
        <f>VLOOKUP(B223,Paramètres!$A$4:$C$11,3,FALSE)</f>
        <v>Paris</v>
      </c>
      <c r="K223" s="13">
        <f>IFERROR(H223/G223,"")</f>
        <v>12.066666666666666</v>
      </c>
      <c r="L223" s="14">
        <f>IFERROR(I223/G223,"")</f>
        <v>0.93333333333333335</v>
      </c>
      <c r="M223" s="11" t="str">
        <f>IF(K223&gt;=Paramètres!$F$6,"Très forte",IF(K223&gt;=Paramètres!$F$5,"Forte",IF(K223&gt;=Paramètres!$F$4,"Modérée","Faible")))</f>
        <v>Modérée</v>
      </c>
    </row>
    <row r="224" spans="1:13">
      <c r="A224" t="s">
        <v>1041</v>
      </c>
      <c r="B224" s="11">
        <v>75</v>
      </c>
      <c r="C224" t="s">
        <v>86</v>
      </c>
      <c r="D224" t="s">
        <v>1238</v>
      </c>
      <c r="E224" t="s">
        <v>1523</v>
      </c>
      <c r="F224" t="s">
        <v>92</v>
      </c>
      <c r="G224" s="12">
        <v>17</v>
      </c>
      <c r="H224" s="12">
        <v>205</v>
      </c>
      <c r="I224" s="12">
        <v>16</v>
      </c>
      <c r="J224" t="str">
        <f>VLOOKUP(B224,Paramètres!$A$4:$C$11,3,FALSE)</f>
        <v>Paris</v>
      </c>
      <c r="K224" s="13">
        <f>IFERROR(H224/G224,"")</f>
        <v>12.058823529411764</v>
      </c>
      <c r="L224" s="14">
        <f>IFERROR(I224/G224,"")</f>
        <v>0.94117647058823528</v>
      </c>
      <c r="M224" s="11" t="str">
        <f>IF(K224&gt;=Paramètres!$F$6,"Très forte",IF(K224&gt;=Paramètres!$F$5,"Forte",IF(K224&gt;=Paramètres!$F$4,"Modérée","Faible")))</f>
        <v>Modérée</v>
      </c>
    </row>
    <row r="225" spans="1:13">
      <c r="A225" t="s">
        <v>1326</v>
      </c>
      <c r="B225" s="11">
        <v>93</v>
      </c>
      <c r="C225" t="s">
        <v>100</v>
      </c>
      <c r="D225" t="s">
        <v>1238</v>
      </c>
      <c r="E225" t="s">
        <v>1467</v>
      </c>
      <c r="F225" t="s">
        <v>92</v>
      </c>
      <c r="G225" s="12">
        <v>25</v>
      </c>
      <c r="H225" s="12">
        <v>300</v>
      </c>
      <c r="I225" s="12">
        <v>24</v>
      </c>
      <c r="J225" t="str">
        <f>VLOOKUP(B225,Paramètres!$A$4:$C$11,3,FALSE)</f>
        <v>Petite couronne</v>
      </c>
      <c r="K225" s="13">
        <f>IFERROR(H225/G225,"")</f>
        <v>12</v>
      </c>
      <c r="L225" s="14">
        <f>IFERROR(I225/G225,"")</f>
        <v>0.96</v>
      </c>
      <c r="M225" s="11" t="str">
        <f>IF(K225&gt;=Paramètres!$F$6,"Très forte",IF(K225&gt;=Paramètres!$F$5,"Forte",IF(K225&gt;=Paramètres!$F$4,"Modérée","Faible")))</f>
        <v>Modérée</v>
      </c>
    </row>
    <row r="226" spans="1:13">
      <c r="A226" t="s">
        <v>1074</v>
      </c>
      <c r="B226" s="11">
        <v>92</v>
      </c>
      <c r="C226" t="s">
        <v>94</v>
      </c>
      <c r="D226" t="s">
        <v>1238</v>
      </c>
      <c r="E226" t="s">
        <v>1815</v>
      </c>
      <c r="F226" t="s">
        <v>92</v>
      </c>
      <c r="G226" s="12">
        <v>8</v>
      </c>
      <c r="H226" s="12">
        <v>95</v>
      </c>
      <c r="I226" s="12">
        <v>8</v>
      </c>
      <c r="J226" t="str">
        <f>VLOOKUP(B226,Paramètres!$A$4:$C$11,3,FALSE)</f>
        <v>Petite couronne</v>
      </c>
      <c r="K226" s="13">
        <f>IFERROR(H226/G226,"")</f>
        <v>11.875</v>
      </c>
      <c r="L226" s="14">
        <f>IFERROR(I226/G226,"")</f>
        <v>1</v>
      </c>
      <c r="M226" s="11" t="str">
        <f>IF(K226&gt;=Paramètres!$F$6,"Très forte",IF(K226&gt;=Paramètres!$F$5,"Forte",IF(K226&gt;=Paramètres!$F$4,"Modérée","Faible")))</f>
        <v>Modérée</v>
      </c>
    </row>
    <row r="227" spans="1:13">
      <c r="A227" t="s">
        <v>1571</v>
      </c>
      <c r="B227" s="11">
        <v>78</v>
      </c>
      <c r="C227" t="s">
        <v>135</v>
      </c>
      <c r="D227" t="s">
        <v>1238</v>
      </c>
      <c r="E227" t="s">
        <v>1572</v>
      </c>
      <c r="F227" t="s">
        <v>92</v>
      </c>
      <c r="G227" s="12">
        <v>37</v>
      </c>
      <c r="H227" s="12">
        <v>436</v>
      </c>
      <c r="I227" s="12">
        <v>39</v>
      </c>
      <c r="J227" t="str">
        <f>VLOOKUP(B227,Paramètres!$A$4:$C$11,3,FALSE)</f>
        <v>Grande couronne</v>
      </c>
      <c r="K227" s="13">
        <f>IFERROR(H227/G227,"")</f>
        <v>11.783783783783784</v>
      </c>
      <c r="L227" s="14">
        <f>IFERROR(I227/G227,"")</f>
        <v>1.0540540540540539</v>
      </c>
      <c r="M227" s="11" t="str">
        <f>IF(K227&gt;=Paramètres!$F$6,"Très forte",IF(K227&gt;=Paramètres!$F$5,"Forte",IF(K227&gt;=Paramètres!$F$4,"Modérée","Faible")))</f>
        <v>Modérée</v>
      </c>
    </row>
    <row r="228" spans="1:13">
      <c r="A228" t="s">
        <v>1680</v>
      </c>
      <c r="B228" s="11">
        <v>78</v>
      </c>
      <c r="C228" t="s">
        <v>135</v>
      </c>
      <c r="D228" t="s">
        <v>1238</v>
      </c>
      <c r="E228" t="s">
        <v>1572</v>
      </c>
      <c r="F228" t="s">
        <v>92</v>
      </c>
      <c r="G228" s="12">
        <v>34</v>
      </c>
      <c r="H228" s="12">
        <v>397</v>
      </c>
      <c r="I228" s="12">
        <v>34</v>
      </c>
      <c r="J228" t="str">
        <f>VLOOKUP(B228,Paramètres!$A$4:$C$11,3,FALSE)</f>
        <v>Grande couronne</v>
      </c>
      <c r="K228" s="13">
        <f>IFERROR(H228/G228,"")</f>
        <v>11.676470588235293</v>
      </c>
      <c r="L228" s="14">
        <f>IFERROR(I228/G228,"")</f>
        <v>1</v>
      </c>
      <c r="M228" s="11" t="str">
        <f>IF(K228&gt;=Paramètres!$F$6,"Très forte",IF(K228&gt;=Paramètres!$F$5,"Forte",IF(K228&gt;=Paramètres!$F$4,"Modérée","Faible")))</f>
        <v>Modérée</v>
      </c>
    </row>
    <row r="229" spans="1:13">
      <c r="A229" t="s">
        <v>628</v>
      </c>
      <c r="B229" s="11">
        <v>91</v>
      </c>
      <c r="C229" t="s">
        <v>105</v>
      </c>
      <c r="D229" t="s">
        <v>1238</v>
      </c>
      <c r="E229" t="s">
        <v>1495</v>
      </c>
      <c r="F229" t="s">
        <v>92</v>
      </c>
      <c r="G229" s="12">
        <v>6</v>
      </c>
      <c r="H229" s="12">
        <v>70</v>
      </c>
      <c r="I229" s="12">
        <v>6</v>
      </c>
      <c r="J229" t="str">
        <f>VLOOKUP(B229,Paramètres!$A$4:$C$11,3,FALSE)</f>
        <v>Grande couronne</v>
      </c>
      <c r="K229" s="13">
        <f>IFERROR(H229/G229,"")</f>
        <v>11.666666666666666</v>
      </c>
      <c r="L229" s="14">
        <f>IFERROR(I229/G229,"")</f>
        <v>1</v>
      </c>
      <c r="M229" s="11" t="str">
        <f>IF(K229&gt;=Paramètres!$F$6,"Très forte",IF(K229&gt;=Paramètres!$F$5,"Forte",IF(K229&gt;=Paramètres!$F$4,"Modérée","Faible")))</f>
        <v>Modérée</v>
      </c>
    </row>
    <row r="230" spans="1:13">
      <c r="A230" t="s">
        <v>1098</v>
      </c>
      <c r="B230" s="11">
        <v>94</v>
      </c>
      <c r="C230" t="s">
        <v>116</v>
      </c>
      <c r="D230" t="s">
        <v>1238</v>
      </c>
      <c r="E230" t="s">
        <v>1382</v>
      </c>
      <c r="F230" t="s">
        <v>92</v>
      </c>
      <c r="G230" s="12">
        <v>23</v>
      </c>
      <c r="H230" s="12">
        <v>267</v>
      </c>
      <c r="I230" s="12">
        <v>22</v>
      </c>
      <c r="J230" t="str">
        <f>VLOOKUP(B230,Paramètres!$A$4:$C$11,3,FALSE)</f>
        <v>Petite couronne</v>
      </c>
      <c r="K230" s="13">
        <f>IFERROR(H230/G230,"")</f>
        <v>11.608695652173912</v>
      </c>
      <c r="L230" s="14">
        <f>IFERROR(I230/G230,"")</f>
        <v>0.95652173913043481</v>
      </c>
      <c r="M230" s="11" t="str">
        <f>IF(K230&gt;=Paramètres!$F$6,"Très forte",IF(K230&gt;=Paramètres!$F$5,"Forte",IF(K230&gt;=Paramètres!$F$4,"Modérée","Faible")))</f>
        <v>Modérée</v>
      </c>
    </row>
    <row r="231" spans="1:13">
      <c r="A231" t="s">
        <v>877</v>
      </c>
      <c r="B231" s="11">
        <v>75</v>
      </c>
      <c r="C231" t="s">
        <v>86</v>
      </c>
      <c r="D231" t="s">
        <v>1238</v>
      </c>
      <c r="E231" t="s">
        <v>1492</v>
      </c>
      <c r="F231" t="s">
        <v>92</v>
      </c>
      <c r="G231" s="12">
        <v>15</v>
      </c>
      <c r="H231" s="12">
        <v>174</v>
      </c>
      <c r="I231" s="12">
        <v>14</v>
      </c>
      <c r="J231" t="str">
        <f>VLOOKUP(B231,Paramètres!$A$4:$C$11,3,FALSE)</f>
        <v>Paris</v>
      </c>
      <c r="K231" s="13">
        <f>IFERROR(H231/G231,"")</f>
        <v>11.6</v>
      </c>
      <c r="L231" s="14">
        <f>IFERROR(I231/G231,"")</f>
        <v>0.93333333333333335</v>
      </c>
      <c r="M231" s="11" t="str">
        <f>IF(K231&gt;=Paramètres!$F$6,"Très forte",IF(K231&gt;=Paramètres!$F$5,"Forte",IF(K231&gt;=Paramètres!$F$4,"Modérée","Faible")))</f>
        <v>Modérée</v>
      </c>
    </row>
    <row r="232" spans="1:13">
      <c r="A232" t="s">
        <v>1041</v>
      </c>
      <c r="B232" s="11">
        <v>75</v>
      </c>
      <c r="C232" t="s">
        <v>86</v>
      </c>
      <c r="D232" t="s">
        <v>1238</v>
      </c>
      <c r="E232" t="s">
        <v>1530</v>
      </c>
      <c r="F232" t="s">
        <v>92</v>
      </c>
      <c r="G232" s="12">
        <v>14</v>
      </c>
      <c r="H232" s="12">
        <v>162</v>
      </c>
      <c r="I232" s="12">
        <v>12</v>
      </c>
      <c r="J232" t="str">
        <f>VLOOKUP(B232,Paramètres!$A$4:$C$11,3,FALSE)</f>
        <v>Paris</v>
      </c>
      <c r="K232" s="13">
        <f>IFERROR(H232/G232,"")</f>
        <v>11.571428571428571</v>
      </c>
      <c r="L232" s="14">
        <f>IFERROR(I232/G232,"")</f>
        <v>0.8571428571428571</v>
      </c>
      <c r="M232" s="11" t="str">
        <f>IF(K232&gt;=Paramètres!$F$6,"Très forte",IF(K232&gt;=Paramètres!$F$5,"Forte",IF(K232&gt;=Paramètres!$F$4,"Modérée","Faible")))</f>
        <v>Modérée</v>
      </c>
    </row>
    <row r="233" spans="1:13">
      <c r="A233" t="s">
        <v>826</v>
      </c>
      <c r="B233" s="11">
        <v>75</v>
      </c>
      <c r="C233" t="s">
        <v>86</v>
      </c>
      <c r="D233" t="s">
        <v>1238</v>
      </c>
      <c r="E233" t="s">
        <v>1499</v>
      </c>
      <c r="F233" t="s">
        <v>92</v>
      </c>
      <c r="G233" s="12">
        <v>40</v>
      </c>
      <c r="H233" s="12">
        <v>461</v>
      </c>
      <c r="I233" s="12">
        <v>39</v>
      </c>
      <c r="J233" t="str">
        <f>VLOOKUP(B233,Paramètres!$A$4:$C$11,3,FALSE)</f>
        <v>Paris</v>
      </c>
      <c r="K233" s="13">
        <f>IFERROR(H233/G233,"")</f>
        <v>11.525</v>
      </c>
      <c r="L233" s="14">
        <f>IFERROR(I233/G233,"")</f>
        <v>0.97499999999999998</v>
      </c>
      <c r="M233" s="11" t="str">
        <f>IF(K233&gt;=Paramètres!$F$6,"Très forte",IF(K233&gt;=Paramètres!$F$5,"Forte",IF(K233&gt;=Paramètres!$F$4,"Modérée","Faible")))</f>
        <v>Modérée</v>
      </c>
    </row>
    <row r="234" spans="1:13">
      <c r="A234" t="s">
        <v>907</v>
      </c>
      <c r="B234" s="11">
        <v>78</v>
      </c>
      <c r="C234" t="s">
        <v>135</v>
      </c>
      <c r="D234" t="s">
        <v>1238</v>
      </c>
      <c r="E234" t="s">
        <v>1582</v>
      </c>
      <c r="F234" t="s">
        <v>92</v>
      </c>
      <c r="G234" s="12">
        <v>12</v>
      </c>
      <c r="H234" s="12">
        <v>138</v>
      </c>
      <c r="I234" s="12">
        <v>9</v>
      </c>
      <c r="J234" t="str">
        <f>VLOOKUP(B234,Paramètres!$A$4:$C$11,3,FALSE)</f>
        <v>Grande couronne</v>
      </c>
      <c r="K234" s="13">
        <f>IFERROR(H234/G234,"")</f>
        <v>11.5</v>
      </c>
      <c r="L234" s="14">
        <f>IFERROR(I234/G234,"")</f>
        <v>0.75</v>
      </c>
      <c r="M234" s="11" t="str">
        <f>IF(K234&gt;=Paramètres!$F$6,"Très forte",IF(K234&gt;=Paramètres!$F$5,"Forte",IF(K234&gt;=Paramètres!$F$4,"Modérée","Faible")))</f>
        <v>Modérée</v>
      </c>
    </row>
    <row r="235" spans="1:13">
      <c r="A235" t="s">
        <v>1018</v>
      </c>
      <c r="B235" s="11">
        <v>75</v>
      </c>
      <c r="C235" t="s">
        <v>86</v>
      </c>
      <c r="D235" t="s">
        <v>1238</v>
      </c>
      <c r="E235" t="s">
        <v>1787</v>
      </c>
      <c r="F235" t="s">
        <v>92</v>
      </c>
      <c r="G235" s="12">
        <v>16</v>
      </c>
      <c r="H235" s="12">
        <v>182</v>
      </c>
      <c r="I235" s="12">
        <v>12</v>
      </c>
      <c r="J235" t="str">
        <f>VLOOKUP(B235,Paramètres!$A$4:$C$11,3,FALSE)</f>
        <v>Paris</v>
      </c>
      <c r="K235" s="13">
        <f>IFERROR(H235/G235,"")</f>
        <v>11.375</v>
      </c>
      <c r="L235" s="14">
        <f>IFERROR(I235/G235,"")</f>
        <v>0.75</v>
      </c>
      <c r="M235" s="11" t="str">
        <f>IF(K235&gt;=Paramètres!$F$6,"Très forte",IF(K235&gt;=Paramètres!$F$5,"Forte",IF(K235&gt;=Paramètres!$F$4,"Modérée","Faible")))</f>
        <v>Modérée</v>
      </c>
    </row>
    <row r="236" spans="1:13">
      <c r="A236" t="s">
        <v>965</v>
      </c>
      <c r="B236" s="11">
        <v>94</v>
      </c>
      <c r="C236" t="s">
        <v>116</v>
      </c>
      <c r="D236" t="s">
        <v>1238</v>
      </c>
      <c r="E236" t="s">
        <v>1392</v>
      </c>
      <c r="F236" t="s">
        <v>92</v>
      </c>
      <c r="G236" s="12">
        <v>24</v>
      </c>
      <c r="H236" s="12">
        <v>268</v>
      </c>
      <c r="I236" s="12">
        <v>14</v>
      </c>
      <c r="J236" t="str">
        <f>VLOOKUP(B236,Paramètres!$A$4:$C$11,3,FALSE)</f>
        <v>Petite couronne</v>
      </c>
      <c r="K236" s="13">
        <f>IFERROR(H236/G236,"")</f>
        <v>11.166666666666666</v>
      </c>
      <c r="L236" s="14">
        <f>IFERROR(I236/G236,"")</f>
        <v>0.58333333333333337</v>
      </c>
      <c r="M236" s="11" t="str">
        <f>IF(K236&gt;=Paramètres!$F$6,"Très forte",IF(K236&gt;=Paramètres!$F$5,"Forte",IF(K236&gt;=Paramètres!$F$4,"Modérée","Faible")))</f>
        <v>Modérée</v>
      </c>
    </row>
    <row r="237" spans="1:13">
      <c r="A237" t="s">
        <v>115</v>
      </c>
      <c r="B237" s="11">
        <v>94</v>
      </c>
      <c r="C237" t="s">
        <v>116</v>
      </c>
      <c r="D237" t="s">
        <v>1238</v>
      </c>
      <c r="E237" t="s">
        <v>1719</v>
      </c>
      <c r="F237" t="s">
        <v>92</v>
      </c>
      <c r="G237" s="12">
        <v>25</v>
      </c>
      <c r="H237" s="12">
        <v>278</v>
      </c>
      <c r="I237" s="12">
        <v>18</v>
      </c>
      <c r="J237" t="str">
        <f>VLOOKUP(B237,Paramètres!$A$4:$C$11,3,FALSE)</f>
        <v>Petite couronne</v>
      </c>
      <c r="K237" s="13">
        <f>IFERROR(H237/G237,"")</f>
        <v>11.12</v>
      </c>
      <c r="L237" s="14">
        <f>IFERROR(I237/G237,"")</f>
        <v>0.72</v>
      </c>
      <c r="M237" s="11" t="str">
        <f>IF(K237&gt;=Paramètres!$F$6,"Très forte",IF(K237&gt;=Paramètres!$F$5,"Forte",IF(K237&gt;=Paramètres!$F$4,"Modérée","Faible")))</f>
        <v>Modérée</v>
      </c>
    </row>
    <row r="238" spans="1:13">
      <c r="A238" t="s">
        <v>1754</v>
      </c>
      <c r="B238" s="11">
        <v>93</v>
      </c>
      <c r="C238" t="s">
        <v>100</v>
      </c>
      <c r="D238" t="s">
        <v>1238</v>
      </c>
      <c r="E238" t="s">
        <v>1755</v>
      </c>
      <c r="F238" t="s">
        <v>92</v>
      </c>
      <c r="G238" s="12">
        <v>12</v>
      </c>
      <c r="H238" s="12">
        <v>132</v>
      </c>
      <c r="I238" s="12">
        <v>9</v>
      </c>
      <c r="J238" t="str">
        <f>VLOOKUP(B238,Paramètres!$A$4:$C$11,3,FALSE)</f>
        <v>Petite couronne</v>
      </c>
      <c r="K238" s="13">
        <f>IFERROR(H238/G238,"")</f>
        <v>11</v>
      </c>
      <c r="L238" s="14">
        <f>IFERROR(I238/G238,"")</f>
        <v>0.75</v>
      </c>
      <c r="M238" s="11" t="str">
        <f>IF(K238&gt;=Paramètres!$F$6,"Très forte",IF(K238&gt;=Paramètres!$F$5,"Forte",IF(K238&gt;=Paramètres!$F$4,"Modérée","Faible")))</f>
        <v>Modérée</v>
      </c>
    </row>
    <row r="239" spans="1:13">
      <c r="A239" t="s">
        <v>1764</v>
      </c>
      <c r="B239" s="11">
        <v>77</v>
      </c>
      <c r="C239" t="s">
        <v>132</v>
      </c>
      <c r="D239" t="s">
        <v>1238</v>
      </c>
      <c r="E239" t="s">
        <v>1800</v>
      </c>
      <c r="F239" t="s">
        <v>92</v>
      </c>
      <c r="G239" s="12">
        <v>4</v>
      </c>
      <c r="H239" s="12">
        <v>44</v>
      </c>
      <c r="I239" s="12">
        <v>4</v>
      </c>
      <c r="J239" t="str">
        <f>VLOOKUP(B239,Paramètres!$A$4:$C$11,3,FALSE)</f>
        <v>Grande couronne</v>
      </c>
      <c r="K239" s="13">
        <f>IFERROR(H239/G239,"")</f>
        <v>11</v>
      </c>
      <c r="L239" s="14">
        <f>IFERROR(I239/G239,"")</f>
        <v>1</v>
      </c>
      <c r="M239" s="11" t="str">
        <f>IF(K239&gt;=Paramètres!$F$6,"Très forte",IF(K239&gt;=Paramètres!$F$5,"Forte",IF(K239&gt;=Paramètres!$F$4,"Modérée","Faible")))</f>
        <v>Modérée</v>
      </c>
    </row>
    <row r="240" spans="1:13">
      <c r="A240" t="s">
        <v>1326</v>
      </c>
      <c r="B240" s="11">
        <v>93</v>
      </c>
      <c r="C240" t="s">
        <v>100</v>
      </c>
      <c r="D240" t="s">
        <v>1238</v>
      </c>
      <c r="E240" t="s">
        <v>1615</v>
      </c>
      <c r="F240" t="s">
        <v>92</v>
      </c>
      <c r="G240" s="12">
        <v>35</v>
      </c>
      <c r="H240" s="12">
        <v>384</v>
      </c>
      <c r="I240" s="12">
        <v>34</v>
      </c>
      <c r="J240" t="str">
        <f>VLOOKUP(B240,Paramètres!$A$4:$C$11,3,FALSE)</f>
        <v>Petite couronne</v>
      </c>
      <c r="K240" s="13">
        <f>IFERROR(H240/G240,"")</f>
        <v>10.971428571428572</v>
      </c>
      <c r="L240" s="14">
        <f>IFERROR(I240/G240,"")</f>
        <v>0.97142857142857142</v>
      </c>
      <c r="M240" s="11" t="str">
        <f>IF(K240&gt;=Paramètres!$F$6,"Très forte",IF(K240&gt;=Paramètres!$F$5,"Forte",IF(K240&gt;=Paramètres!$F$4,"Modérée","Faible")))</f>
        <v>Modérée</v>
      </c>
    </row>
    <row r="241" spans="1:13">
      <c r="A241" t="s">
        <v>941</v>
      </c>
      <c r="B241" s="11">
        <v>92</v>
      </c>
      <c r="C241" t="s">
        <v>94</v>
      </c>
      <c r="D241" t="s">
        <v>1238</v>
      </c>
      <c r="E241" t="s">
        <v>1720</v>
      </c>
      <c r="F241" t="s">
        <v>92</v>
      </c>
      <c r="G241" s="12">
        <v>17</v>
      </c>
      <c r="H241" s="12">
        <v>186</v>
      </c>
      <c r="I241" s="12">
        <v>17</v>
      </c>
      <c r="J241" t="str">
        <f>VLOOKUP(B241,Paramètres!$A$4:$C$11,3,FALSE)</f>
        <v>Petite couronne</v>
      </c>
      <c r="K241" s="13">
        <f>IFERROR(H241/G241,"")</f>
        <v>10.941176470588236</v>
      </c>
      <c r="L241" s="14">
        <f>IFERROR(I241/G241,"")</f>
        <v>1</v>
      </c>
      <c r="M241" s="11" t="str">
        <f>IF(K241&gt;=Paramètres!$F$6,"Très forte",IF(K241&gt;=Paramètres!$F$5,"Forte",IF(K241&gt;=Paramètres!$F$4,"Modérée","Faible")))</f>
        <v>Modérée</v>
      </c>
    </row>
    <row r="242" spans="1:13">
      <c r="A242" t="s">
        <v>1050</v>
      </c>
      <c r="B242" s="11">
        <v>77</v>
      </c>
      <c r="C242" t="s">
        <v>132</v>
      </c>
      <c r="D242" t="s">
        <v>1238</v>
      </c>
      <c r="E242" t="s">
        <v>1820</v>
      </c>
      <c r="F242" t="s">
        <v>92</v>
      </c>
      <c r="G242" s="12">
        <v>15</v>
      </c>
      <c r="H242" s="12">
        <v>164</v>
      </c>
      <c r="I242" s="12">
        <v>14</v>
      </c>
      <c r="J242" t="str">
        <f>VLOOKUP(B242,Paramètres!$A$4:$C$11,3,FALSE)</f>
        <v>Grande couronne</v>
      </c>
      <c r="K242" s="13">
        <f>IFERROR(H242/G242,"")</f>
        <v>10.933333333333334</v>
      </c>
      <c r="L242" s="14">
        <f>IFERROR(I242/G242,"")</f>
        <v>0.93333333333333335</v>
      </c>
      <c r="M242" s="11" t="str">
        <f>IF(K242&gt;=Paramètres!$F$6,"Très forte",IF(K242&gt;=Paramètres!$F$5,"Forte",IF(K242&gt;=Paramètres!$F$4,"Modérée","Faible")))</f>
        <v>Modérée</v>
      </c>
    </row>
    <row r="243" spans="1:13">
      <c r="A243" t="s">
        <v>422</v>
      </c>
      <c r="B243" s="11">
        <v>91</v>
      </c>
      <c r="C243" t="s">
        <v>105</v>
      </c>
      <c r="D243" t="s">
        <v>1238</v>
      </c>
      <c r="E243" t="s">
        <v>1393</v>
      </c>
      <c r="F243" t="s">
        <v>92</v>
      </c>
      <c r="G243" s="12">
        <v>50</v>
      </c>
      <c r="H243" s="12">
        <v>544</v>
      </c>
      <c r="I243" s="12">
        <v>46</v>
      </c>
      <c r="J243" t="str">
        <f>VLOOKUP(B243,Paramètres!$A$4:$C$11,3,FALSE)</f>
        <v>Grande couronne</v>
      </c>
      <c r="K243" s="13">
        <f>IFERROR(H243/G243,"")</f>
        <v>10.88</v>
      </c>
      <c r="L243" s="14">
        <f>IFERROR(I243/G243,"")</f>
        <v>0.92</v>
      </c>
      <c r="M243" s="11" t="str">
        <f>IF(K243&gt;=Paramètres!$F$6,"Très forte",IF(K243&gt;=Paramètres!$F$5,"Forte",IF(K243&gt;=Paramètres!$F$4,"Modérée","Faible")))</f>
        <v>Modérée</v>
      </c>
    </row>
    <row r="244" spans="1:13">
      <c r="A244" t="s">
        <v>1053</v>
      </c>
      <c r="B244" s="11">
        <v>95</v>
      </c>
      <c r="C244" t="s">
        <v>90</v>
      </c>
      <c r="D244" t="s">
        <v>1238</v>
      </c>
      <c r="E244" t="s">
        <v>1516</v>
      </c>
      <c r="F244" t="s">
        <v>92</v>
      </c>
      <c r="G244" s="12">
        <v>15</v>
      </c>
      <c r="H244" s="12">
        <v>161</v>
      </c>
      <c r="I244" s="12">
        <v>15</v>
      </c>
      <c r="J244" t="str">
        <f>VLOOKUP(B244,Paramètres!$A$4:$C$11,3,FALSE)</f>
        <v>Grande couronne</v>
      </c>
      <c r="K244" s="13">
        <f>IFERROR(H244/G244,"")</f>
        <v>10.733333333333333</v>
      </c>
      <c r="L244" s="14">
        <f>IFERROR(I244/G244,"")</f>
        <v>1</v>
      </c>
      <c r="M244" s="11" t="str">
        <f>IF(K244&gt;=Paramètres!$F$6,"Très forte",IF(K244&gt;=Paramètres!$F$5,"Forte",IF(K244&gt;=Paramètres!$F$4,"Modérée","Faible")))</f>
        <v>Modérée</v>
      </c>
    </row>
    <row r="245" spans="1:13">
      <c r="A245" t="s">
        <v>1555</v>
      </c>
      <c r="B245" s="11">
        <v>92</v>
      </c>
      <c r="C245" t="s">
        <v>94</v>
      </c>
      <c r="D245" t="s">
        <v>1238</v>
      </c>
      <c r="E245" t="s">
        <v>1392</v>
      </c>
      <c r="F245" t="s">
        <v>92</v>
      </c>
      <c r="G245" s="12">
        <v>15</v>
      </c>
      <c r="H245" s="12">
        <v>161</v>
      </c>
      <c r="I245" s="12">
        <v>12</v>
      </c>
      <c r="J245" t="str">
        <f>VLOOKUP(B245,Paramètres!$A$4:$C$11,3,FALSE)</f>
        <v>Petite couronne</v>
      </c>
      <c r="K245" s="13">
        <f>IFERROR(H245/G245,"")</f>
        <v>10.733333333333333</v>
      </c>
      <c r="L245" s="14">
        <f>IFERROR(I245/G245,"")</f>
        <v>0.8</v>
      </c>
      <c r="M245" s="11" t="str">
        <f>IF(K245&gt;=Paramètres!$F$6,"Très forte",IF(K245&gt;=Paramètres!$F$5,"Forte",IF(K245&gt;=Paramètres!$F$4,"Modérée","Faible")))</f>
        <v>Modérée</v>
      </c>
    </row>
    <row r="246" spans="1:13">
      <c r="A246" t="s">
        <v>1187</v>
      </c>
      <c r="B246" s="11">
        <v>94</v>
      </c>
      <c r="C246" t="s">
        <v>116</v>
      </c>
      <c r="D246" t="s">
        <v>1238</v>
      </c>
      <c r="E246" t="s">
        <v>1470</v>
      </c>
      <c r="F246" t="s">
        <v>92</v>
      </c>
      <c r="G246" s="12">
        <v>24</v>
      </c>
      <c r="H246" s="12">
        <v>250</v>
      </c>
      <c r="I246" s="12">
        <v>6</v>
      </c>
      <c r="J246" t="str">
        <f>VLOOKUP(B246,Paramètres!$A$4:$C$11,3,FALSE)</f>
        <v>Petite couronne</v>
      </c>
      <c r="K246" s="13">
        <f>IFERROR(H246/G246,"")</f>
        <v>10.416666666666666</v>
      </c>
      <c r="L246" s="14">
        <f>IFERROR(I246/G246,"")</f>
        <v>0.25</v>
      </c>
      <c r="M246" s="11" t="str">
        <f>IF(K246&gt;=Paramètres!$F$6,"Très forte",IF(K246&gt;=Paramètres!$F$5,"Forte",IF(K246&gt;=Paramètres!$F$4,"Modérée","Faible")))</f>
        <v>Modérée</v>
      </c>
    </row>
    <row r="247" spans="1:13">
      <c r="A247" t="s">
        <v>1000</v>
      </c>
      <c r="B247" s="11">
        <v>94</v>
      </c>
      <c r="C247" t="s">
        <v>116</v>
      </c>
      <c r="D247" t="s">
        <v>1238</v>
      </c>
      <c r="E247" t="s">
        <v>1799</v>
      </c>
      <c r="F247" t="s">
        <v>92</v>
      </c>
      <c r="G247" s="12">
        <v>15</v>
      </c>
      <c r="H247" s="12">
        <v>156</v>
      </c>
      <c r="I247" s="12">
        <v>7</v>
      </c>
      <c r="J247" t="str">
        <f>VLOOKUP(B247,Paramètres!$A$4:$C$11,3,FALSE)</f>
        <v>Petite couronne</v>
      </c>
      <c r="K247" s="13">
        <f>IFERROR(H247/G247,"")</f>
        <v>10.4</v>
      </c>
      <c r="L247" s="14">
        <f>IFERROR(I247/G247,"")</f>
        <v>0.46666666666666667</v>
      </c>
      <c r="M247" s="11" t="str">
        <f>IF(K247&gt;=Paramètres!$F$6,"Très forte",IF(K247&gt;=Paramètres!$F$5,"Forte",IF(K247&gt;=Paramètres!$F$4,"Modérée","Faible")))</f>
        <v>Modérée</v>
      </c>
    </row>
    <row r="248" spans="1:13">
      <c r="A248" t="s">
        <v>1384</v>
      </c>
      <c r="B248" s="11">
        <v>93</v>
      </c>
      <c r="C248" t="s">
        <v>100</v>
      </c>
      <c r="D248" t="s">
        <v>1238</v>
      </c>
      <c r="E248" t="s">
        <v>1492</v>
      </c>
      <c r="F248" t="s">
        <v>92</v>
      </c>
      <c r="G248" s="12">
        <v>12</v>
      </c>
      <c r="H248" s="12">
        <v>123</v>
      </c>
      <c r="I248" s="12">
        <v>11</v>
      </c>
      <c r="J248" t="str">
        <f>VLOOKUP(B248,Paramètres!$A$4:$C$11,3,FALSE)</f>
        <v>Petite couronne</v>
      </c>
      <c r="K248" s="13">
        <f>IFERROR(H248/G248,"")</f>
        <v>10.25</v>
      </c>
      <c r="L248" s="14">
        <f>IFERROR(I248/G248,"")</f>
        <v>0.91666666666666663</v>
      </c>
      <c r="M248" s="11" t="str">
        <f>IF(K248&gt;=Paramètres!$F$6,"Très forte",IF(K248&gt;=Paramètres!$F$5,"Forte",IF(K248&gt;=Paramètres!$F$4,"Modérée","Faible")))</f>
        <v>Modérée</v>
      </c>
    </row>
    <row r="249" spans="1:13">
      <c r="A249" t="s">
        <v>1764</v>
      </c>
      <c r="B249" s="11">
        <v>77</v>
      </c>
      <c r="C249" t="s">
        <v>132</v>
      </c>
      <c r="D249" t="s">
        <v>1238</v>
      </c>
      <c r="E249" t="s">
        <v>1765</v>
      </c>
      <c r="F249" t="s">
        <v>92</v>
      </c>
      <c r="G249" s="12">
        <v>14</v>
      </c>
      <c r="H249" s="12">
        <v>143</v>
      </c>
      <c r="I249" s="12">
        <v>12</v>
      </c>
      <c r="J249" t="str">
        <f>VLOOKUP(B249,Paramètres!$A$4:$C$11,3,FALSE)</f>
        <v>Grande couronne</v>
      </c>
      <c r="K249" s="13">
        <f>IFERROR(H249/G249,"")</f>
        <v>10.214285714285714</v>
      </c>
      <c r="L249" s="14">
        <f>IFERROR(I249/G249,"")</f>
        <v>0.8571428571428571</v>
      </c>
      <c r="M249" s="11" t="str">
        <f>IF(K249&gt;=Paramètres!$F$6,"Très forte",IF(K249&gt;=Paramètres!$F$5,"Forte",IF(K249&gt;=Paramètres!$F$4,"Modérée","Faible")))</f>
        <v>Modérée</v>
      </c>
    </row>
    <row r="250" spans="1:13">
      <c r="A250" t="s">
        <v>115</v>
      </c>
      <c r="B250" s="11">
        <v>94</v>
      </c>
      <c r="C250" t="s">
        <v>116</v>
      </c>
      <c r="D250" t="s">
        <v>1238</v>
      </c>
      <c r="E250" t="s">
        <v>1769</v>
      </c>
      <c r="F250" t="s">
        <v>92</v>
      </c>
      <c r="G250" s="12">
        <v>35</v>
      </c>
      <c r="H250" s="12">
        <v>351</v>
      </c>
      <c r="I250" s="12">
        <v>33</v>
      </c>
      <c r="J250" t="str">
        <f>VLOOKUP(B250,Paramètres!$A$4:$C$11,3,FALSE)</f>
        <v>Petite couronne</v>
      </c>
      <c r="K250" s="13">
        <f>IFERROR(H250/G250,"")</f>
        <v>10.028571428571428</v>
      </c>
      <c r="L250" s="14">
        <f>IFERROR(I250/G250,"")</f>
        <v>0.94285714285714284</v>
      </c>
      <c r="M250" s="11" t="str">
        <f>IF(K250&gt;=Paramètres!$F$6,"Très forte",IF(K250&gt;=Paramètres!$F$5,"Forte",IF(K250&gt;=Paramètres!$F$4,"Modérée","Faible")))</f>
        <v>Modérée</v>
      </c>
    </row>
    <row r="251" spans="1:13">
      <c r="A251" t="s">
        <v>1326</v>
      </c>
      <c r="B251" s="11">
        <v>93</v>
      </c>
      <c r="C251" t="s">
        <v>100</v>
      </c>
      <c r="D251" t="s">
        <v>1238</v>
      </c>
      <c r="E251" t="s">
        <v>1327</v>
      </c>
      <c r="F251" t="s">
        <v>92</v>
      </c>
      <c r="G251" s="12">
        <v>25</v>
      </c>
      <c r="H251" s="12">
        <v>246</v>
      </c>
      <c r="I251" s="12">
        <v>11</v>
      </c>
      <c r="J251" t="str">
        <f>VLOOKUP(B251,Paramètres!$A$4:$C$11,3,FALSE)</f>
        <v>Petite couronne</v>
      </c>
      <c r="K251" s="13">
        <f>IFERROR(H251/G251,"")</f>
        <v>9.84</v>
      </c>
      <c r="L251" s="14">
        <f>IFERROR(I251/G251,"")</f>
        <v>0.44</v>
      </c>
      <c r="M251" s="11" t="str">
        <f>IF(K251&gt;=Paramètres!$F$6,"Très forte",IF(K251&gt;=Paramètres!$F$5,"Forte",IF(K251&gt;=Paramètres!$F$4,"Modérée","Faible")))</f>
        <v>Faible</v>
      </c>
    </row>
    <row r="252" spans="1:13">
      <c r="A252" t="s">
        <v>302</v>
      </c>
      <c r="B252" s="11">
        <v>77</v>
      </c>
      <c r="C252" t="s">
        <v>132</v>
      </c>
      <c r="D252" t="s">
        <v>1238</v>
      </c>
      <c r="E252" t="s">
        <v>1697</v>
      </c>
      <c r="F252" t="s">
        <v>92</v>
      </c>
      <c r="G252" s="12">
        <v>70</v>
      </c>
      <c r="H252" s="12">
        <v>684</v>
      </c>
      <c r="I252" s="12">
        <v>70</v>
      </c>
      <c r="J252" t="str">
        <f>VLOOKUP(B252,Paramètres!$A$4:$C$11,3,FALSE)</f>
        <v>Grande couronne</v>
      </c>
      <c r="K252" s="13">
        <f>IFERROR(H252/G252,"")</f>
        <v>9.7714285714285722</v>
      </c>
      <c r="L252" s="14">
        <f>IFERROR(I252/G252,"")</f>
        <v>1</v>
      </c>
      <c r="M252" s="11" t="str">
        <f>IF(K252&gt;=Paramètres!$F$6,"Très forte",IF(K252&gt;=Paramètres!$F$5,"Forte",IF(K252&gt;=Paramètres!$F$4,"Modérée","Faible")))</f>
        <v>Faible</v>
      </c>
    </row>
    <row r="253" spans="1:13">
      <c r="A253" t="s">
        <v>1271</v>
      </c>
      <c r="B253" s="11">
        <v>75</v>
      </c>
      <c r="C253" t="s">
        <v>86</v>
      </c>
      <c r="D253" t="s">
        <v>1238</v>
      </c>
      <c r="E253" t="s">
        <v>1272</v>
      </c>
      <c r="F253" t="s">
        <v>92</v>
      </c>
      <c r="G253" s="12">
        <v>30</v>
      </c>
      <c r="H253" s="12">
        <v>293</v>
      </c>
      <c r="I253" s="12">
        <v>31</v>
      </c>
      <c r="J253" t="str">
        <f>VLOOKUP(B253,Paramètres!$A$4:$C$11,3,FALSE)</f>
        <v>Paris</v>
      </c>
      <c r="K253" s="13">
        <f>IFERROR(H253/G253,"")</f>
        <v>9.7666666666666675</v>
      </c>
      <c r="L253" s="14">
        <f>IFERROR(I253/G253,"")</f>
        <v>1.0333333333333334</v>
      </c>
      <c r="M253" s="11" t="str">
        <f>IF(K253&gt;=Paramètres!$F$6,"Très forte",IF(K253&gt;=Paramètres!$F$5,"Forte",IF(K253&gt;=Paramètres!$F$4,"Modérée","Faible")))</f>
        <v>Faible</v>
      </c>
    </row>
    <row r="254" spans="1:13">
      <c r="A254" t="s">
        <v>1189</v>
      </c>
      <c r="B254" s="11">
        <v>95</v>
      </c>
      <c r="C254" t="s">
        <v>90</v>
      </c>
      <c r="D254" t="s">
        <v>1238</v>
      </c>
      <c r="E254" t="s">
        <v>1301</v>
      </c>
      <c r="F254" t="s">
        <v>92</v>
      </c>
      <c r="G254" s="12">
        <v>36</v>
      </c>
      <c r="H254" s="12">
        <v>351</v>
      </c>
      <c r="I254" s="12">
        <v>29</v>
      </c>
      <c r="J254" t="str">
        <f>VLOOKUP(B254,Paramètres!$A$4:$C$11,3,FALSE)</f>
        <v>Grande couronne</v>
      </c>
      <c r="K254" s="13">
        <f>IFERROR(H254/G254,"")</f>
        <v>9.75</v>
      </c>
      <c r="L254" s="14">
        <f>IFERROR(I254/G254,"")</f>
        <v>0.80555555555555558</v>
      </c>
      <c r="M254" s="11" t="str">
        <f>IF(K254&gt;=Paramètres!$F$6,"Très forte",IF(K254&gt;=Paramètres!$F$5,"Forte",IF(K254&gt;=Paramètres!$F$4,"Modérée","Faible")))</f>
        <v>Faible</v>
      </c>
    </row>
    <row r="255" spans="1:13">
      <c r="A255" t="s">
        <v>1326</v>
      </c>
      <c r="B255" s="11">
        <v>93</v>
      </c>
      <c r="C255" t="s">
        <v>100</v>
      </c>
      <c r="D255" t="s">
        <v>1238</v>
      </c>
      <c r="E255" t="s">
        <v>1617</v>
      </c>
      <c r="F255" t="s">
        <v>92</v>
      </c>
      <c r="G255" s="12">
        <v>15</v>
      </c>
      <c r="H255" s="12">
        <v>145</v>
      </c>
      <c r="I255" s="12">
        <v>8</v>
      </c>
      <c r="J255" t="str">
        <f>VLOOKUP(B255,Paramètres!$A$4:$C$11,3,FALSE)</f>
        <v>Petite couronne</v>
      </c>
      <c r="K255" s="13">
        <f>IFERROR(H255/G255,"")</f>
        <v>9.6666666666666661</v>
      </c>
      <c r="L255" s="14">
        <f>IFERROR(I255/G255,"")</f>
        <v>0.53333333333333333</v>
      </c>
      <c r="M255" s="11" t="str">
        <f>IF(K255&gt;=Paramètres!$F$6,"Très forte",IF(K255&gt;=Paramètres!$F$5,"Forte",IF(K255&gt;=Paramètres!$F$4,"Modérée","Faible")))</f>
        <v>Faible</v>
      </c>
    </row>
    <row r="256" spans="1:13">
      <c r="A256" t="s">
        <v>1114</v>
      </c>
      <c r="B256" s="11">
        <v>93</v>
      </c>
      <c r="C256" t="s">
        <v>100</v>
      </c>
      <c r="D256" t="s">
        <v>1238</v>
      </c>
      <c r="E256" t="s">
        <v>1669</v>
      </c>
      <c r="F256" t="s">
        <v>92</v>
      </c>
      <c r="G256" s="12">
        <v>24</v>
      </c>
      <c r="H256" s="12">
        <v>232</v>
      </c>
      <c r="I256" s="12">
        <v>17</v>
      </c>
      <c r="J256" t="str">
        <f>VLOOKUP(B256,Paramètres!$A$4:$C$11,3,FALSE)</f>
        <v>Petite couronne</v>
      </c>
      <c r="K256" s="13">
        <f>IFERROR(H256/G256,"")</f>
        <v>9.6666666666666661</v>
      </c>
      <c r="L256" s="14">
        <f>IFERROR(I256/G256,"")</f>
        <v>0.70833333333333337</v>
      </c>
      <c r="M256" s="11" t="str">
        <f>IF(K256&gt;=Paramètres!$F$6,"Très forte",IF(K256&gt;=Paramètres!$F$5,"Forte",IF(K256&gt;=Paramètres!$F$4,"Modérée","Faible")))</f>
        <v>Faible</v>
      </c>
    </row>
    <row r="257" spans="1:13">
      <c r="A257" t="s">
        <v>1378</v>
      </c>
      <c r="B257" s="11">
        <v>75</v>
      </c>
      <c r="C257" t="s">
        <v>86</v>
      </c>
      <c r="D257" t="s">
        <v>1238</v>
      </c>
      <c r="E257" t="s">
        <v>1527</v>
      </c>
      <c r="F257" t="s">
        <v>92</v>
      </c>
      <c r="G257" s="12">
        <v>7</v>
      </c>
      <c r="H257" s="12">
        <v>67</v>
      </c>
      <c r="I257" s="12">
        <v>8</v>
      </c>
      <c r="J257" t="str">
        <f>VLOOKUP(B257,Paramètres!$A$4:$C$11,3,FALSE)</f>
        <v>Paris</v>
      </c>
      <c r="K257" s="13">
        <f>IFERROR(H257/G257,"")</f>
        <v>9.5714285714285712</v>
      </c>
      <c r="L257" s="14">
        <f>IFERROR(I257/G257,"")</f>
        <v>1.1428571428571428</v>
      </c>
      <c r="M257" s="11" t="str">
        <f>IF(K257&gt;=Paramètres!$F$6,"Très forte",IF(K257&gt;=Paramètres!$F$5,"Forte",IF(K257&gt;=Paramètres!$F$4,"Modérée","Faible")))</f>
        <v>Faible</v>
      </c>
    </row>
    <row r="258" spans="1:13">
      <c r="A258" t="s">
        <v>119</v>
      </c>
      <c r="B258" s="11">
        <v>75</v>
      </c>
      <c r="C258" t="s">
        <v>86</v>
      </c>
      <c r="D258" t="s">
        <v>1238</v>
      </c>
      <c r="E258" t="s">
        <v>1496</v>
      </c>
      <c r="F258" t="s">
        <v>92</v>
      </c>
      <c r="G258" s="12">
        <v>115</v>
      </c>
      <c r="H258" s="12">
        <v>1096</v>
      </c>
      <c r="I258" s="12">
        <v>115</v>
      </c>
      <c r="J258" t="str">
        <f>VLOOKUP(B258,Paramètres!$A$4:$C$11,3,FALSE)</f>
        <v>Paris</v>
      </c>
      <c r="K258" s="13">
        <f>IFERROR(H258/G258,"")</f>
        <v>9.5304347826086957</v>
      </c>
      <c r="L258" s="14">
        <f>IFERROR(I258/G258,"")</f>
        <v>1</v>
      </c>
      <c r="M258" s="11" t="str">
        <f>IF(K258&gt;=Paramètres!$F$6,"Très forte",IF(K258&gt;=Paramètres!$F$5,"Forte",IF(K258&gt;=Paramètres!$F$4,"Modérée","Faible")))</f>
        <v>Faible</v>
      </c>
    </row>
    <row r="259" spans="1:13">
      <c r="A259" t="s">
        <v>873</v>
      </c>
      <c r="B259" s="11">
        <v>75</v>
      </c>
      <c r="C259" t="s">
        <v>86</v>
      </c>
      <c r="D259" t="s">
        <v>1238</v>
      </c>
      <c r="E259" t="s">
        <v>1239</v>
      </c>
      <c r="F259" t="s">
        <v>92</v>
      </c>
      <c r="G259" s="12">
        <v>30</v>
      </c>
      <c r="H259" s="12">
        <v>283</v>
      </c>
      <c r="I259" s="12">
        <v>35</v>
      </c>
      <c r="J259" t="str">
        <f>VLOOKUP(B259,Paramètres!$A$4:$C$11,3,FALSE)</f>
        <v>Paris</v>
      </c>
      <c r="K259" s="13">
        <f>IFERROR(H259/G259,"")</f>
        <v>9.4333333333333336</v>
      </c>
      <c r="L259" s="14">
        <f>IFERROR(I259/G259,"")</f>
        <v>1.1666666666666667</v>
      </c>
      <c r="M259" s="11" t="str">
        <f>IF(K259&gt;=Paramètres!$F$6,"Très forte",IF(K259&gt;=Paramètres!$F$5,"Forte",IF(K259&gt;=Paramètres!$F$4,"Modérée","Faible")))</f>
        <v>Faible</v>
      </c>
    </row>
    <row r="260" spans="1:13">
      <c r="A260" t="s">
        <v>1456</v>
      </c>
      <c r="B260" s="11">
        <v>91</v>
      </c>
      <c r="C260" t="s">
        <v>105</v>
      </c>
      <c r="D260" t="s">
        <v>1238</v>
      </c>
      <c r="E260" t="s">
        <v>1457</v>
      </c>
      <c r="F260" t="s">
        <v>92</v>
      </c>
      <c r="G260" s="12">
        <v>25</v>
      </c>
      <c r="H260" s="12">
        <v>234</v>
      </c>
      <c r="I260" s="12">
        <v>24</v>
      </c>
      <c r="J260" t="str">
        <f>VLOOKUP(B260,Paramètres!$A$4:$C$11,3,FALSE)</f>
        <v>Grande couronne</v>
      </c>
      <c r="K260" s="13">
        <f>IFERROR(H260/G260,"")</f>
        <v>9.36</v>
      </c>
      <c r="L260" s="14">
        <f>IFERROR(I260/G260,"")</f>
        <v>0.96</v>
      </c>
      <c r="M260" s="11" t="str">
        <f>IF(K260&gt;=Paramètres!$F$6,"Très forte",IF(K260&gt;=Paramètres!$F$5,"Forte",IF(K260&gt;=Paramètres!$F$4,"Modérée","Faible")))</f>
        <v>Faible</v>
      </c>
    </row>
    <row r="261" spans="1:13">
      <c r="A261" t="s">
        <v>1212</v>
      </c>
      <c r="B261" s="11">
        <v>78</v>
      </c>
      <c r="C261" t="s">
        <v>135</v>
      </c>
      <c r="D261" t="s">
        <v>1238</v>
      </c>
      <c r="E261" t="s">
        <v>1356</v>
      </c>
      <c r="F261" t="s">
        <v>92</v>
      </c>
      <c r="G261" s="12">
        <v>12</v>
      </c>
      <c r="H261" s="12">
        <v>112</v>
      </c>
      <c r="I261" s="12">
        <v>8</v>
      </c>
      <c r="J261" t="str">
        <f>VLOOKUP(B261,Paramètres!$A$4:$C$11,3,FALSE)</f>
        <v>Grande couronne</v>
      </c>
      <c r="K261" s="13">
        <f>IFERROR(H261/G261,"")</f>
        <v>9.3333333333333339</v>
      </c>
      <c r="L261" s="14">
        <f>IFERROR(I261/G261,"")</f>
        <v>0.66666666666666663</v>
      </c>
      <c r="M261" s="11" t="str">
        <f>IF(K261&gt;=Paramètres!$F$6,"Très forte",IF(K261&gt;=Paramètres!$F$5,"Forte",IF(K261&gt;=Paramètres!$F$4,"Modérée","Faible")))</f>
        <v>Faible</v>
      </c>
    </row>
    <row r="262" spans="1:13">
      <c r="A262" t="s">
        <v>1488</v>
      </c>
      <c r="B262" s="11">
        <v>94</v>
      </c>
      <c r="C262" t="s">
        <v>116</v>
      </c>
      <c r="D262" t="s">
        <v>1238</v>
      </c>
      <c r="E262" t="s">
        <v>1489</v>
      </c>
      <c r="F262" t="s">
        <v>92</v>
      </c>
      <c r="G262" s="12">
        <v>30</v>
      </c>
      <c r="H262" s="12">
        <v>280</v>
      </c>
      <c r="I262" s="12">
        <v>19</v>
      </c>
      <c r="J262" t="str">
        <f>VLOOKUP(B262,Paramètres!$A$4:$C$11,3,FALSE)</f>
        <v>Petite couronne</v>
      </c>
      <c r="K262" s="13">
        <f>IFERROR(H262/G262,"")</f>
        <v>9.3333333333333339</v>
      </c>
      <c r="L262" s="14">
        <f>IFERROR(I262/G262,"")</f>
        <v>0.6333333333333333</v>
      </c>
      <c r="M262" s="11" t="str">
        <f>IF(K262&gt;=Paramètres!$F$6,"Très forte",IF(K262&gt;=Paramètres!$F$5,"Forte",IF(K262&gt;=Paramètres!$F$4,"Modérée","Faible")))</f>
        <v>Faible</v>
      </c>
    </row>
    <row r="263" spans="1:13">
      <c r="A263" t="s">
        <v>1474</v>
      </c>
      <c r="B263" s="11">
        <v>75</v>
      </c>
      <c r="C263" t="s">
        <v>86</v>
      </c>
      <c r="D263" t="s">
        <v>1238</v>
      </c>
      <c r="E263" t="s">
        <v>1475</v>
      </c>
      <c r="F263" t="s">
        <v>92</v>
      </c>
      <c r="G263" s="12">
        <v>52</v>
      </c>
      <c r="H263" s="12">
        <v>477</v>
      </c>
      <c r="I263" s="12">
        <v>53</v>
      </c>
      <c r="J263" t="str">
        <f>VLOOKUP(B263,Paramètres!$A$4:$C$11,3,FALSE)</f>
        <v>Paris</v>
      </c>
      <c r="K263" s="13">
        <f>IFERROR(H263/G263,"")</f>
        <v>9.1730769230769234</v>
      </c>
      <c r="L263" s="14">
        <f>IFERROR(I263/G263,"")</f>
        <v>1.0192307692307692</v>
      </c>
      <c r="M263" s="11" t="str">
        <f>IF(K263&gt;=Paramètres!$F$6,"Très forte",IF(K263&gt;=Paramètres!$F$5,"Forte",IF(K263&gt;=Paramètres!$F$4,"Modérée","Faible")))</f>
        <v>Faible</v>
      </c>
    </row>
    <row r="264" spans="1:13">
      <c r="A264" t="s">
        <v>1682</v>
      </c>
      <c r="B264" s="11">
        <v>75</v>
      </c>
      <c r="C264" t="s">
        <v>86</v>
      </c>
      <c r="D264" t="s">
        <v>1238</v>
      </c>
      <c r="E264" t="s">
        <v>1247</v>
      </c>
      <c r="F264" t="s">
        <v>92</v>
      </c>
      <c r="G264" s="12">
        <v>42</v>
      </c>
      <c r="H264" s="12">
        <v>383</v>
      </c>
      <c r="I264" s="12">
        <v>41</v>
      </c>
      <c r="J264" t="str">
        <f>VLOOKUP(B264,Paramètres!$A$4:$C$11,3,FALSE)</f>
        <v>Paris</v>
      </c>
      <c r="K264" s="13">
        <f>IFERROR(H264/G264,"")</f>
        <v>9.1190476190476186</v>
      </c>
      <c r="L264" s="14">
        <f>IFERROR(I264/G264,"")</f>
        <v>0.97619047619047616</v>
      </c>
      <c r="M264" s="11" t="str">
        <f>IF(K264&gt;=Paramètres!$F$6,"Très forte",IF(K264&gt;=Paramètres!$F$5,"Forte",IF(K264&gt;=Paramètres!$F$4,"Modérée","Faible")))</f>
        <v>Faible</v>
      </c>
    </row>
    <row r="265" spans="1:13">
      <c r="A265" t="s">
        <v>970</v>
      </c>
      <c r="B265" s="11">
        <v>94</v>
      </c>
      <c r="C265" t="s">
        <v>116</v>
      </c>
      <c r="D265" t="s">
        <v>1238</v>
      </c>
      <c r="E265" t="s">
        <v>1528</v>
      </c>
      <c r="F265" t="s">
        <v>92</v>
      </c>
      <c r="G265" s="12">
        <v>17</v>
      </c>
      <c r="H265" s="12">
        <v>155</v>
      </c>
      <c r="I265" s="12">
        <v>17</v>
      </c>
      <c r="J265" t="str">
        <f>VLOOKUP(B265,Paramètres!$A$4:$C$11,3,FALSE)</f>
        <v>Petite couronne</v>
      </c>
      <c r="K265" s="13">
        <f>IFERROR(H265/G265,"")</f>
        <v>9.117647058823529</v>
      </c>
      <c r="L265" s="14">
        <f>IFERROR(I265/G265,"")</f>
        <v>1</v>
      </c>
      <c r="M265" s="11" t="str">
        <f>IF(K265&gt;=Paramètres!$F$6,"Très forte",IF(K265&gt;=Paramètres!$F$5,"Forte",IF(K265&gt;=Paramètres!$F$4,"Modérée","Faible")))</f>
        <v>Faible</v>
      </c>
    </row>
    <row r="266" spans="1:13">
      <c r="A266" t="s">
        <v>1170</v>
      </c>
      <c r="B266" s="11">
        <v>93</v>
      </c>
      <c r="C266" t="s">
        <v>100</v>
      </c>
      <c r="D266" t="s">
        <v>1238</v>
      </c>
      <c r="E266" t="s">
        <v>1392</v>
      </c>
      <c r="F266" t="s">
        <v>92</v>
      </c>
      <c r="G266" s="12">
        <v>15</v>
      </c>
      <c r="H266" s="12">
        <v>135</v>
      </c>
      <c r="I266" s="12">
        <v>11</v>
      </c>
      <c r="J266" t="str">
        <f>VLOOKUP(B266,Paramètres!$A$4:$C$11,3,FALSE)</f>
        <v>Petite couronne</v>
      </c>
      <c r="K266" s="13">
        <f>IFERROR(H266/G266,"")</f>
        <v>9</v>
      </c>
      <c r="L266" s="14">
        <f>IFERROR(I266/G266,"")</f>
        <v>0.73333333333333328</v>
      </c>
      <c r="M266" s="11" t="str">
        <f>IF(K266&gt;=Paramètres!$F$6,"Très forte",IF(K266&gt;=Paramètres!$F$5,"Forte",IF(K266&gt;=Paramètres!$F$4,"Modérée","Faible")))</f>
        <v>Faible</v>
      </c>
    </row>
    <row r="267" spans="1:13">
      <c r="A267" t="s">
        <v>1485</v>
      </c>
      <c r="B267" s="11">
        <v>93</v>
      </c>
      <c r="C267" t="s">
        <v>100</v>
      </c>
      <c r="D267" t="s">
        <v>1238</v>
      </c>
      <c r="E267" t="s">
        <v>1486</v>
      </c>
      <c r="F267" t="s">
        <v>92</v>
      </c>
      <c r="G267" s="12">
        <v>12</v>
      </c>
      <c r="H267" s="12">
        <v>107</v>
      </c>
      <c r="I267" s="12">
        <v>11</v>
      </c>
      <c r="J267" t="str">
        <f>VLOOKUP(B267,Paramètres!$A$4:$C$11,3,FALSE)</f>
        <v>Petite couronne</v>
      </c>
      <c r="K267" s="13">
        <f>IFERROR(H267/G267,"")</f>
        <v>8.9166666666666661</v>
      </c>
      <c r="L267" s="14">
        <f>IFERROR(I267/G267,"")</f>
        <v>0.91666666666666663</v>
      </c>
      <c r="M267" s="11" t="str">
        <f>IF(K267&gt;=Paramètres!$F$6,"Très forte",IF(K267&gt;=Paramètres!$F$5,"Forte",IF(K267&gt;=Paramètres!$F$4,"Modérée","Faible")))</f>
        <v>Faible</v>
      </c>
    </row>
    <row r="268" spans="1:13">
      <c r="A268" t="s">
        <v>242</v>
      </c>
      <c r="B268" s="11">
        <v>95</v>
      </c>
      <c r="C268" t="s">
        <v>90</v>
      </c>
      <c r="D268" t="s">
        <v>1238</v>
      </c>
      <c r="E268" t="s">
        <v>1707</v>
      </c>
      <c r="F268" t="s">
        <v>92</v>
      </c>
      <c r="G268" s="12">
        <v>20</v>
      </c>
      <c r="H268" s="12">
        <v>178</v>
      </c>
      <c r="I268" s="12">
        <v>21</v>
      </c>
      <c r="J268" t="str">
        <f>VLOOKUP(B268,Paramètres!$A$4:$C$11,3,FALSE)</f>
        <v>Grande couronne</v>
      </c>
      <c r="K268" s="13">
        <f>IFERROR(H268/G268,"")</f>
        <v>8.9</v>
      </c>
      <c r="L268" s="14">
        <f>IFERROR(I268/G268,"")</f>
        <v>1.05</v>
      </c>
      <c r="M268" s="11" t="str">
        <f>IF(K268&gt;=Paramètres!$F$6,"Très forte",IF(K268&gt;=Paramètres!$F$5,"Forte",IF(K268&gt;=Paramètres!$F$4,"Modérée","Faible")))</f>
        <v>Faible</v>
      </c>
    </row>
    <row r="269" spans="1:13">
      <c r="A269" t="s">
        <v>1050</v>
      </c>
      <c r="B269" s="11">
        <v>77</v>
      </c>
      <c r="C269" t="s">
        <v>132</v>
      </c>
      <c r="D269" t="s">
        <v>1238</v>
      </c>
      <c r="E269" t="s">
        <v>1640</v>
      </c>
      <c r="F269" t="s">
        <v>92</v>
      </c>
      <c r="G269" s="12">
        <v>16</v>
      </c>
      <c r="H269" s="12">
        <v>141</v>
      </c>
      <c r="I269" s="12">
        <v>10</v>
      </c>
      <c r="J269" t="str">
        <f>VLOOKUP(B269,Paramètres!$A$4:$C$11,3,FALSE)</f>
        <v>Grande couronne</v>
      </c>
      <c r="K269" s="13">
        <f>IFERROR(H269/G269,"")</f>
        <v>8.8125</v>
      </c>
      <c r="L269" s="14">
        <f>IFERROR(I269/G269,"")</f>
        <v>0.625</v>
      </c>
      <c r="M269" s="11" t="str">
        <f>IF(K269&gt;=Paramètres!$F$6,"Très forte",IF(K269&gt;=Paramètres!$F$5,"Forte",IF(K269&gt;=Paramètres!$F$4,"Modérée","Faible")))</f>
        <v>Faible</v>
      </c>
    </row>
    <row r="270" spans="1:13">
      <c r="A270" t="s">
        <v>1098</v>
      </c>
      <c r="B270" s="11">
        <v>94</v>
      </c>
      <c r="C270" t="s">
        <v>116</v>
      </c>
      <c r="D270" t="s">
        <v>1238</v>
      </c>
      <c r="E270" t="s">
        <v>1642</v>
      </c>
      <c r="F270" t="s">
        <v>92</v>
      </c>
      <c r="G270" s="12">
        <v>23</v>
      </c>
      <c r="H270" s="12">
        <v>200</v>
      </c>
      <c r="I270" s="12">
        <v>21</v>
      </c>
      <c r="J270" t="str">
        <f>VLOOKUP(B270,Paramètres!$A$4:$C$11,3,FALSE)</f>
        <v>Petite couronne</v>
      </c>
      <c r="K270" s="13">
        <f>IFERROR(H270/G270,"")</f>
        <v>8.695652173913043</v>
      </c>
      <c r="L270" s="14">
        <f>IFERROR(I270/G270,"")</f>
        <v>0.91304347826086951</v>
      </c>
      <c r="M270" s="11" t="str">
        <f>IF(K270&gt;=Paramètres!$F$6,"Très forte",IF(K270&gt;=Paramètres!$F$5,"Forte",IF(K270&gt;=Paramètres!$F$4,"Modérée","Faible")))</f>
        <v>Faible</v>
      </c>
    </row>
    <row r="271" spans="1:13">
      <c r="A271" t="s">
        <v>1630</v>
      </c>
      <c r="B271" s="11">
        <v>92</v>
      </c>
      <c r="C271" t="s">
        <v>94</v>
      </c>
      <c r="D271" t="s">
        <v>1238</v>
      </c>
      <c r="E271" t="s">
        <v>1492</v>
      </c>
      <c r="F271" t="s">
        <v>92</v>
      </c>
      <c r="G271" s="12">
        <v>12</v>
      </c>
      <c r="H271" s="12">
        <v>104</v>
      </c>
      <c r="I271" s="12">
        <v>12</v>
      </c>
      <c r="J271" t="str">
        <f>VLOOKUP(B271,Paramètres!$A$4:$C$11,3,FALSE)</f>
        <v>Petite couronne</v>
      </c>
      <c r="K271" s="13">
        <f>IFERROR(H271/G271,"")</f>
        <v>8.6666666666666661</v>
      </c>
      <c r="L271" s="14">
        <f>IFERROR(I271/G271,"")</f>
        <v>1</v>
      </c>
      <c r="M271" s="11" t="str">
        <f>IF(K271&gt;=Paramètres!$F$6,"Très forte",IF(K271&gt;=Paramètres!$F$5,"Forte",IF(K271&gt;=Paramètres!$F$4,"Modérée","Faible")))</f>
        <v>Faible</v>
      </c>
    </row>
    <row r="272" spans="1:13">
      <c r="A272" t="s">
        <v>1080</v>
      </c>
      <c r="B272" s="11">
        <v>92</v>
      </c>
      <c r="C272" t="s">
        <v>94</v>
      </c>
      <c r="D272" t="s">
        <v>1238</v>
      </c>
      <c r="E272" t="s">
        <v>1492</v>
      </c>
      <c r="F272" t="s">
        <v>92</v>
      </c>
      <c r="G272" s="12">
        <v>18</v>
      </c>
      <c r="H272" s="12">
        <v>155</v>
      </c>
      <c r="I272" s="12">
        <v>16</v>
      </c>
      <c r="J272" t="str">
        <f>VLOOKUP(B272,Paramètres!$A$4:$C$11,3,FALSE)</f>
        <v>Petite couronne</v>
      </c>
      <c r="K272" s="13">
        <f>IFERROR(H272/G272,"")</f>
        <v>8.6111111111111107</v>
      </c>
      <c r="L272" s="14">
        <f>IFERROR(I272/G272,"")</f>
        <v>0.88888888888888884</v>
      </c>
      <c r="M272" s="11" t="str">
        <f>IF(K272&gt;=Paramètres!$F$6,"Très forte",IF(K272&gt;=Paramètres!$F$5,"Forte",IF(K272&gt;=Paramètres!$F$4,"Modérée","Faible")))</f>
        <v>Faible</v>
      </c>
    </row>
    <row r="273" spans="1:13">
      <c r="A273" t="s">
        <v>190</v>
      </c>
      <c r="B273" s="11">
        <v>75</v>
      </c>
      <c r="C273" t="s">
        <v>86</v>
      </c>
      <c r="D273" t="s">
        <v>1238</v>
      </c>
      <c r="E273" t="s">
        <v>1589</v>
      </c>
      <c r="F273" t="s">
        <v>92</v>
      </c>
      <c r="G273" s="12">
        <v>25</v>
      </c>
      <c r="H273" s="12">
        <v>215</v>
      </c>
      <c r="I273" s="12">
        <v>28</v>
      </c>
      <c r="J273" t="str">
        <f>VLOOKUP(B273,Paramètres!$A$4:$C$11,3,FALSE)</f>
        <v>Paris</v>
      </c>
      <c r="K273" s="13">
        <f>IFERROR(H273/G273,"")</f>
        <v>8.6</v>
      </c>
      <c r="L273" s="14">
        <f>IFERROR(I273/G273,"")</f>
        <v>1.1200000000000001</v>
      </c>
      <c r="M273" s="11" t="str">
        <f>IF(K273&gt;=Paramètres!$F$6,"Très forte",IF(K273&gt;=Paramètres!$F$5,"Forte",IF(K273&gt;=Paramètres!$F$4,"Modérée","Faible")))</f>
        <v>Faible</v>
      </c>
    </row>
    <row r="274" spans="1:13">
      <c r="A274" t="s">
        <v>1524</v>
      </c>
      <c r="B274" s="11">
        <v>75</v>
      </c>
      <c r="C274" t="s">
        <v>86</v>
      </c>
      <c r="D274" t="s">
        <v>1238</v>
      </c>
      <c r="E274" t="s">
        <v>1525</v>
      </c>
      <c r="F274" t="s">
        <v>92</v>
      </c>
      <c r="G274" s="12">
        <v>18</v>
      </c>
      <c r="H274" s="12">
        <v>152</v>
      </c>
      <c r="I274" s="12">
        <v>18</v>
      </c>
      <c r="J274" t="str">
        <f>VLOOKUP(B274,Paramètres!$A$4:$C$11,3,FALSE)</f>
        <v>Paris</v>
      </c>
      <c r="K274" s="13">
        <f>IFERROR(H274/G274,"")</f>
        <v>8.4444444444444446</v>
      </c>
      <c r="L274" s="14">
        <f>IFERROR(I274/G274,"")</f>
        <v>1</v>
      </c>
      <c r="M274" s="11" t="str">
        <f>IF(K274&gt;=Paramètres!$F$6,"Très forte",IF(K274&gt;=Paramètres!$F$5,"Forte",IF(K274&gt;=Paramètres!$F$4,"Modérée","Faible")))</f>
        <v>Faible</v>
      </c>
    </row>
    <row r="275" spans="1:13">
      <c r="A275" t="s">
        <v>1197</v>
      </c>
      <c r="B275" s="11">
        <v>95</v>
      </c>
      <c r="C275" t="s">
        <v>90</v>
      </c>
      <c r="D275" t="s">
        <v>1238</v>
      </c>
      <c r="E275" t="s">
        <v>1674</v>
      </c>
      <c r="F275" t="s">
        <v>92</v>
      </c>
      <c r="G275" s="12">
        <v>12</v>
      </c>
      <c r="H275" s="12">
        <v>98</v>
      </c>
      <c r="I275" s="12">
        <v>8</v>
      </c>
      <c r="J275" t="str">
        <f>VLOOKUP(B275,Paramètres!$A$4:$C$11,3,FALSE)</f>
        <v>Grande couronne</v>
      </c>
      <c r="K275" s="13">
        <f>IFERROR(H275/G275,"")</f>
        <v>8.1666666666666661</v>
      </c>
      <c r="L275" s="14">
        <f>IFERROR(I275/G275,"")</f>
        <v>0.66666666666666663</v>
      </c>
      <c r="M275" s="11" t="str">
        <f>IF(K275&gt;=Paramètres!$F$6,"Très forte",IF(K275&gt;=Paramètres!$F$5,"Forte",IF(K275&gt;=Paramètres!$F$4,"Modérée","Faible")))</f>
        <v>Faible</v>
      </c>
    </row>
    <row r="276" spans="1:13">
      <c r="A276" t="s">
        <v>1449</v>
      </c>
      <c r="B276" s="11">
        <v>75</v>
      </c>
      <c r="C276" t="s">
        <v>86</v>
      </c>
      <c r="D276" t="s">
        <v>1238</v>
      </c>
      <c r="E276" t="s">
        <v>1684</v>
      </c>
      <c r="F276" t="s">
        <v>92</v>
      </c>
      <c r="G276" s="12">
        <v>12</v>
      </c>
      <c r="H276" s="12">
        <v>98</v>
      </c>
      <c r="I276" s="12">
        <v>10</v>
      </c>
      <c r="J276" t="str">
        <f>VLOOKUP(B276,Paramètres!$A$4:$C$11,3,FALSE)</f>
        <v>Paris</v>
      </c>
      <c r="K276" s="13">
        <f>IFERROR(H276/G276,"")</f>
        <v>8.1666666666666661</v>
      </c>
      <c r="L276" s="14">
        <f>IFERROR(I276/G276,"")</f>
        <v>0.83333333333333337</v>
      </c>
      <c r="M276" s="11" t="str">
        <f>IF(K276&gt;=Paramètres!$F$6,"Très forte",IF(K276&gt;=Paramètres!$F$5,"Forte",IF(K276&gt;=Paramètres!$F$4,"Modérée","Faible")))</f>
        <v>Faible</v>
      </c>
    </row>
    <row r="277" spans="1:13">
      <c r="A277" t="s">
        <v>1223</v>
      </c>
      <c r="B277" s="11">
        <v>77</v>
      </c>
      <c r="C277" t="s">
        <v>132</v>
      </c>
      <c r="D277" t="s">
        <v>1238</v>
      </c>
      <c r="E277" t="s">
        <v>1239</v>
      </c>
      <c r="F277" t="s">
        <v>92</v>
      </c>
      <c r="G277" s="12">
        <v>26</v>
      </c>
      <c r="H277" s="12">
        <v>212</v>
      </c>
      <c r="I277" s="12">
        <v>19</v>
      </c>
      <c r="J277" t="str">
        <f>VLOOKUP(B277,Paramètres!$A$4:$C$11,3,FALSE)</f>
        <v>Grande couronne</v>
      </c>
      <c r="K277" s="13">
        <f>IFERROR(H277/G277,"")</f>
        <v>8.1538461538461533</v>
      </c>
      <c r="L277" s="14">
        <f>IFERROR(I277/G277,"")</f>
        <v>0.73076923076923073</v>
      </c>
      <c r="M277" s="11" t="str">
        <f>IF(K277&gt;=Paramètres!$F$6,"Très forte",IF(K277&gt;=Paramètres!$F$5,"Forte",IF(K277&gt;=Paramètres!$F$4,"Modérée","Faible")))</f>
        <v>Faible</v>
      </c>
    </row>
    <row r="278" spans="1:13">
      <c r="A278" t="s">
        <v>1488</v>
      </c>
      <c r="B278" s="11">
        <v>94</v>
      </c>
      <c r="C278" t="s">
        <v>116</v>
      </c>
      <c r="D278" t="s">
        <v>1238</v>
      </c>
      <c r="E278" t="s">
        <v>1489</v>
      </c>
      <c r="F278" t="s">
        <v>92</v>
      </c>
      <c r="G278" s="12">
        <v>35</v>
      </c>
      <c r="H278" s="12">
        <v>280</v>
      </c>
      <c r="I278" s="12">
        <v>21</v>
      </c>
      <c r="J278" t="str">
        <f>VLOOKUP(B278,Paramètres!$A$4:$C$11,3,FALSE)</f>
        <v>Petite couronne</v>
      </c>
      <c r="K278" s="13">
        <f>IFERROR(H278/G278,"")</f>
        <v>8</v>
      </c>
      <c r="L278" s="14">
        <f>IFERROR(I278/G278,"")</f>
        <v>0.6</v>
      </c>
      <c r="M278" s="11" t="str">
        <f>IF(K278&gt;=Paramètres!$F$6,"Très forte",IF(K278&gt;=Paramètres!$F$5,"Forte",IF(K278&gt;=Paramètres!$F$4,"Modérée","Faible")))</f>
        <v>Faible</v>
      </c>
    </row>
    <row r="279" spans="1:13">
      <c r="A279" t="s">
        <v>1333</v>
      </c>
      <c r="B279" s="11">
        <v>75</v>
      </c>
      <c r="C279" t="s">
        <v>86</v>
      </c>
      <c r="D279" t="s">
        <v>1238</v>
      </c>
      <c r="E279" t="s">
        <v>1332</v>
      </c>
      <c r="F279" t="s">
        <v>92</v>
      </c>
      <c r="G279" s="12">
        <v>12</v>
      </c>
      <c r="H279" s="12">
        <v>95</v>
      </c>
      <c r="I279" s="12">
        <v>8</v>
      </c>
      <c r="J279" t="str">
        <f>VLOOKUP(B279,Paramètres!$A$4:$C$11,3,FALSE)</f>
        <v>Paris</v>
      </c>
      <c r="K279" s="13">
        <f>IFERROR(H279/G279,"")</f>
        <v>7.916666666666667</v>
      </c>
      <c r="L279" s="14">
        <f>IFERROR(I279/G279,"")</f>
        <v>0.66666666666666663</v>
      </c>
      <c r="M279" s="11" t="str">
        <f>IF(K279&gt;=Paramètres!$F$6,"Très forte",IF(K279&gt;=Paramètres!$F$5,"Forte",IF(K279&gt;=Paramètres!$F$4,"Modérée","Faible")))</f>
        <v>Faible</v>
      </c>
    </row>
    <row r="280" spans="1:13">
      <c r="A280" t="s">
        <v>1452</v>
      </c>
      <c r="B280" s="11">
        <v>75</v>
      </c>
      <c r="C280" t="s">
        <v>86</v>
      </c>
      <c r="D280" t="s">
        <v>1238</v>
      </c>
      <c r="E280" t="s">
        <v>1577</v>
      </c>
      <c r="F280" t="s">
        <v>92</v>
      </c>
      <c r="G280" s="12">
        <v>90</v>
      </c>
      <c r="H280" s="12">
        <v>706</v>
      </c>
      <c r="I280" s="12">
        <v>92</v>
      </c>
      <c r="J280" t="str">
        <f>VLOOKUP(B280,Paramètres!$A$4:$C$11,3,FALSE)</f>
        <v>Paris</v>
      </c>
      <c r="K280" s="13">
        <f>IFERROR(H280/G280,"")</f>
        <v>7.8444444444444441</v>
      </c>
      <c r="L280" s="14">
        <f>IFERROR(I280/G280,"")</f>
        <v>1.0222222222222221</v>
      </c>
      <c r="M280" s="11" t="str">
        <f>IF(K280&gt;=Paramètres!$F$6,"Très forte",IF(K280&gt;=Paramètres!$F$5,"Forte",IF(K280&gt;=Paramètres!$F$4,"Modérée","Faible")))</f>
        <v>Faible</v>
      </c>
    </row>
    <row r="281" spans="1:13">
      <c r="A281" t="s">
        <v>1452</v>
      </c>
      <c r="B281" s="11">
        <v>75</v>
      </c>
      <c r="C281" t="s">
        <v>86</v>
      </c>
      <c r="D281" t="s">
        <v>1238</v>
      </c>
      <c r="E281" t="s">
        <v>1453</v>
      </c>
      <c r="F281" t="s">
        <v>92</v>
      </c>
      <c r="G281" s="12">
        <v>25</v>
      </c>
      <c r="H281" s="12">
        <v>191</v>
      </c>
      <c r="I281" s="12">
        <v>28</v>
      </c>
      <c r="J281" t="str">
        <f>VLOOKUP(B281,Paramètres!$A$4:$C$11,3,FALSE)</f>
        <v>Paris</v>
      </c>
      <c r="K281" s="13">
        <f>IFERROR(H281/G281,"")</f>
        <v>7.64</v>
      </c>
      <c r="L281" s="14">
        <f>IFERROR(I281/G281,"")</f>
        <v>1.1200000000000001</v>
      </c>
      <c r="M281" s="11" t="str">
        <f>IF(K281&gt;=Paramètres!$F$6,"Très forte",IF(K281&gt;=Paramètres!$F$5,"Forte",IF(K281&gt;=Paramètres!$F$4,"Modérée","Faible")))</f>
        <v>Faible</v>
      </c>
    </row>
    <row r="282" spans="1:13">
      <c r="A282" t="s">
        <v>533</v>
      </c>
      <c r="B282" s="11">
        <v>78</v>
      </c>
      <c r="C282" t="s">
        <v>135</v>
      </c>
      <c r="D282" t="s">
        <v>1238</v>
      </c>
      <c r="E282" t="s">
        <v>1789</v>
      </c>
      <c r="F282" t="s">
        <v>92</v>
      </c>
      <c r="G282" s="12">
        <v>16</v>
      </c>
      <c r="H282" s="12">
        <v>122</v>
      </c>
      <c r="I282" s="12">
        <v>17</v>
      </c>
      <c r="J282" t="str">
        <f>VLOOKUP(B282,Paramètres!$A$4:$C$11,3,FALSE)</f>
        <v>Grande couronne</v>
      </c>
      <c r="K282" s="13">
        <f>IFERROR(H282/G282,"")</f>
        <v>7.625</v>
      </c>
      <c r="L282" s="14">
        <f>IFERROR(I282/G282,"")</f>
        <v>1.0625</v>
      </c>
      <c r="M282" s="11" t="str">
        <f>IF(K282&gt;=Paramètres!$F$6,"Très forte",IF(K282&gt;=Paramètres!$F$5,"Forte",IF(K282&gt;=Paramètres!$F$4,"Modérée","Faible")))</f>
        <v>Faible</v>
      </c>
    </row>
    <row r="283" spans="1:13">
      <c r="A283" t="s">
        <v>1809</v>
      </c>
      <c r="B283" s="11">
        <v>91</v>
      </c>
      <c r="C283" t="s">
        <v>105</v>
      </c>
      <c r="D283" t="s">
        <v>1238</v>
      </c>
      <c r="E283" t="s">
        <v>1369</v>
      </c>
      <c r="F283" t="s">
        <v>92</v>
      </c>
      <c r="G283" s="12">
        <v>8</v>
      </c>
      <c r="H283" s="12">
        <v>61</v>
      </c>
      <c r="I283" s="12">
        <v>6</v>
      </c>
      <c r="J283" t="str">
        <f>VLOOKUP(B283,Paramètres!$A$4:$C$11,3,FALSE)</f>
        <v>Grande couronne</v>
      </c>
      <c r="K283" s="13">
        <f>IFERROR(H283/G283,"")</f>
        <v>7.625</v>
      </c>
      <c r="L283" s="14">
        <f>IFERROR(I283/G283,"")</f>
        <v>0.75</v>
      </c>
      <c r="M283" s="11" t="str">
        <f>IF(K283&gt;=Paramètres!$F$6,"Très forte",IF(K283&gt;=Paramètres!$F$5,"Forte",IF(K283&gt;=Paramètres!$F$4,"Modérée","Faible")))</f>
        <v>Faible</v>
      </c>
    </row>
    <row r="284" spans="1:13">
      <c r="A284" t="s">
        <v>903</v>
      </c>
      <c r="B284" s="11">
        <v>77</v>
      </c>
      <c r="C284" t="s">
        <v>132</v>
      </c>
      <c r="D284" t="s">
        <v>1238</v>
      </c>
      <c r="E284" t="s">
        <v>1799</v>
      </c>
      <c r="F284" t="s">
        <v>92</v>
      </c>
      <c r="G284" s="12">
        <v>20</v>
      </c>
      <c r="H284" s="12">
        <v>152</v>
      </c>
      <c r="I284" s="12">
        <v>11</v>
      </c>
      <c r="J284" t="str">
        <f>VLOOKUP(B284,Paramètres!$A$4:$C$11,3,FALSE)</f>
        <v>Grande couronne</v>
      </c>
      <c r="K284" s="13">
        <f>IFERROR(H284/G284,"")</f>
        <v>7.6</v>
      </c>
      <c r="L284" s="14">
        <f>IFERROR(I284/G284,"")</f>
        <v>0.55000000000000004</v>
      </c>
      <c r="M284" s="11" t="str">
        <f>IF(K284&gt;=Paramètres!$F$6,"Très forte",IF(K284&gt;=Paramètres!$F$5,"Forte",IF(K284&gt;=Paramètres!$F$4,"Modérée","Faible")))</f>
        <v>Faible</v>
      </c>
    </row>
    <row r="285" spans="1:13">
      <c r="A285" t="s">
        <v>1565</v>
      </c>
      <c r="B285" s="11">
        <v>75</v>
      </c>
      <c r="C285" t="s">
        <v>86</v>
      </c>
      <c r="D285" t="s">
        <v>1238</v>
      </c>
      <c r="E285" t="s">
        <v>1567</v>
      </c>
      <c r="F285" t="s">
        <v>92</v>
      </c>
      <c r="G285" s="12">
        <v>27</v>
      </c>
      <c r="H285" s="12">
        <v>204</v>
      </c>
      <c r="I285" s="12">
        <v>32</v>
      </c>
      <c r="J285" t="str">
        <f>VLOOKUP(B285,Paramètres!$A$4:$C$11,3,FALSE)</f>
        <v>Paris</v>
      </c>
      <c r="K285" s="13">
        <f>IFERROR(H285/G285,"")</f>
        <v>7.5555555555555554</v>
      </c>
      <c r="L285" s="14">
        <f>IFERROR(I285/G285,"")</f>
        <v>1.1851851851851851</v>
      </c>
      <c r="M285" s="11" t="str">
        <f>IF(K285&gt;=Paramètres!$F$6,"Très forte",IF(K285&gt;=Paramètres!$F$5,"Forte",IF(K285&gt;=Paramètres!$F$4,"Modérée","Faible")))</f>
        <v>Faible</v>
      </c>
    </row>
    <row r="286" spans="1:13">
      <c r="A286" t="s">
        <v>1227</v>
      </c>
      <c r="B286" s="11">
        <v>91</v>
      </c>
      <c r="C286" t="s">
        <v>105</v>
      </c>
      <c r="D286" t="s">
        <v>1238</v>
      </c>
      <c r="E286" t="s">
        <v>1625</v>
      </c>
      <c r="F286" t="s">
        <v>92</v>
      </c>
      <c r="G286" s="12">
        <v>12</v>
      </c>
      <c r="H286" s="12">
        <v>88</v>
      </c>
      <c r="I286" s="12">
        <v>12</v>
      </c>
      <c r="J286" t="str">
        <f>VLOOKUP(B286,Paramètres!$A$4:$C$11,3,FALSE)</f>
        <v>Grande couronne</v>
      </c>
      <c r="K286" s="13">
        <f>IFERROR(H286/G286,"")</f>
        <v>7.333333333333333</v>
      </c>
      <c r="L286" s="14">
        <f>IFERROR(I286/G286,"")</f>
        <v>1</v>
      </c>
      <c r="M286" s="11" t="str">
        <f>IF(K286&gt;=Paramètres!$F$6,"Très forte",IF(K286&gt;=Paramètres!$F$5,"Forte",IF(K286&gt;=Paramètres!$F$4,"Modérée","Faible")))</f>
        <v>Faible</v>
      </c>
    </row>
    <row r="287" spans="1:13">
      <c r="A287" t="s">
        <v>1336</v>
      </c>
      <c r="B287" s="11">
        <v>75</v>
      </c>
      <c r="C287" t="s">
        <v>86</v>
      </c>
      <c r="D287" t="s">
        <v>1238</v>
      </c>
      <c r="E287" t="s">
        <v>1790</v>
      </c>
      <c r="F287" t="s">
        <v>92</v>
      </c>
      <c r="G287" s="12">
        <v>20</v>
      </c>
      <c r="H287" s="12">
        <v>146</v>
      </c>
      <c r="I287" s="12">
        <v>17</v>
      </c>
      <c r="J287" t="str">
        <f>VLOOKUP(B287,Paramètres!$A$4:$C$11,3,FALSE)</f>
        <v>Paris</v>
      </c>
      <c r="K287" s="13">
        <f>IFERROR(H287/G287,"")</f>
        <v>7.3</v>
      </c>
      <c r="L287" s="14">
        <f>IFERROR(I287/G287,"")</f>
        <v>0.85</v>
      </c>
      <c r="M287" s="11" t="str">
        <f>IF(K287&gt;=Paramètres!$F$6,"Très forte",IF(K287&gt;=Paramètres!$F$5,"Forte",IF(K287&gt;=Paramètres!$F$4,"Modérée","Faible")))</f>
        <v>Faible</v>
      </c>
    </row>
    <row r="288" spans="1:13">
      <c r="A288" t="s">
        <v>893</v>
      </c>
      <c r="B288" s="11">
        <v>77</v>
      </c>
      <c r="C288" t="s">
        <v>132</v>
      </c>
      <c r="D288" t="s">
        <v>1238</v>
      </c>
      <c r="E288" t="s">
        <v>1552</v>
      </c>
      <c r="F288" t="s">
        <v>92</v>
      </c>
      <c r="G288" s="12">
        <v>15</v>
      </c>
      <c r="H288" s="12">
        <v>109</v>
      </c>
      <c r="I288" s="12">
        <v>15</v>
      </c>
      <c r="J288" t="str">
        <f>VLOOKUP(B288,Paramètres!$A$4:$C$11,3,FALSE)</f>
        <v>Grande couronne</v>
      </c>
      <c r="K288" s="13">
        <f>IFERROR(H288/G288,"")</f>
        <v>7.2666666666666666</v>
      </c>
      <c r="L288" s="14">
        <f>IFERROR(I288/G288,"")</f>
        <v>1</v>
      </c>
      <c r="M288" s="11" t="str">
        <f>IF(K288&gt;=Paramètres!$F$6,"Très forte",IF(K288&gt;=Paramètres!$F$5,"Forte",IF(K288&gt;=Paramètres!$F$4,"Modérée","Faible")))</f>
        <v>Faible</v>
      </c>
    </row>
    <row r="289" spans="1:13">
      <c r="A289" t="s">
        <v>242</v>
      </c>
      <c r="B289" s="11">
        <v>95</v>
      </c>
      <c r="C289" t="s">
        <v>90</v>
      </c>
      <c r="D289" t="s">
        <v>1238</v>
      </c>
      <c r="E289" t="s">
        <v>1770</v>
      </c>
      <c r="F289" t="s">
        <v>92</v>
      </c>
      <c r="G289" s="12">
        <v>20</v>
      </c>
      <c r="H289" s="12">
        <v>142</v>
      </c>
      <c r="I289" s="12">
        <v>23</v>
      </c>
      <c r="J289" t="str">
        <f>VLOOKUP(B289,Paramètres!$A$4:$C$11,3,FALSE)</f>
        <v>Grande couronne</v>
      </c>
      <c r="K289" s="13">
        <f>IFERROR(H289/G289,"")</f>
        <v>7.1</v>
      </c>
      <c r="L289" s="14">
        <f>IFERROR(I289/G289,"")</f>
        <v>1.1499999999999999</v>
      </c>
      <c r="M289" s="11" t="str">
        <f>IF(K289&gt;=Paramètres!$F$6,"Très forte",IF(K289&gt;=Paramètres!$F$5,"Forte",IF(K289&gt;=Paramètres!$F$4,"Modérée","Faible")))</f>
        <v>Faible</v>
      </c>
    </row>
    <row r="290" spans="1:13">
      <c r="A290" t="s">
        <v>144</v>
      </c>
      <c r="B290" s="11">
        <v>95</v>
      </c>
      <c r="C290" t="s">
        <v>90</v>
      </c>
      <c r="D290" t="s">
        <v>1238</v>
      </c>
      <c r="E290" t="s">
        <v>1405</v>
      </c>
      <c r="F290" t="s">
        <v>92</v>
      </c>
      <c r="G290" s="12">
        <v>15</v>
      </c>
      <c r="H290" s="12">
        <v>106</v>
      </c>
      <c r="I290" s="12">
        <v>5</v>
      </c>
      <c r="J290" t="str">
        <f>VLOOKUP(B290,Paramètres!$A$4:$C$11,3,FALSE)</f>
        <v>Grande couronne</v>
      </c>
      <c r="K290" s="13">
        <f>IFERROR(H290/G290,"")</f>
        <v>7.0666666666666664</v>
      </c>
      <c r="L290" s="14">
        <f>IFERROR(I290/G290,"")</f>
        <v>0.33333333333333331</v>
      </c>
      <c r="M290" s="11" t="str">
        <f>IF(K290&gt;=Paramètres!$F$6,"Très forte",IF(K290&gt;=Paramètres!$F$5,"Forte",IF(K290&gt;=Paramètres!$F$4,"Modérée","Faible")))</f>
        <v>Faible</v>
      </c>
    </row>
    <row r="291" spans="1:13">
      <c r="A291" t="s">
        <v>1050</v>
      </c>
      <c r="B291" s="11">
        <v>77</v>
      </c>
      <c r="C291" t="s">
        <v>132</v>
      </c>
      <c r="D291" t="s">
        <v>1238</v>
      </c>
      <c r="E291" t="s">
        <v>1239</v>
      </c>
      <c r="F291" t="s">
        <v>92</v>
      </c>
      <c r="G291" s="12">
        <v>24</v>
      </c>
      <c r="H291" s="12">
        <v>169</v>
      </c>
      <c r="I291" s="12">
        <v>11</v>
      </c>
      <c r="J291" t="str">
        <f>VLOOKUP(B291,Paramètres!$A$4:$C$11,3,FALSE)</f>
        <v>Grande couronne</v>
      </c>
      <c r="K291" s="13">
        <f>IFERROR(H291/G291,"")</f>
        <v>7.041666666666667</v>
      </c>
      <c r="L291" s="14">
        <f>IFERROR(I291/G291,"")</f>
        <v>0.45833333333333331</v>
      </c>
      <c r="M291" s="11" t="str">
        <f>IF(K291&gt;=Paramètres!$F$6,"Très forte",IF(K291&gt;=Paramètres!$F$5,"Forte",IF(K291&gt;=Paramètres!$F$4,"Modérée","Faible")))</f>
        <v>Faible</v>
      </c>
    </row>
    <row r="292" spans="1:13">
      <c r="A292" t="s">
        <v>115</v>
      </c>
      <c r="B292" s="11">
        <v>94</v>
      </c>
      <c r="C292" t="s">
        <v>116</v>
      </c>
      <c r="D292" t="s">
        <v>1238</v>
      </c>
      <c r="E292" t="s">
        <v>1782</v>
      </c>
      <c r="F292" t="s">
        <v>92</v>
      </c>
      <c r="G292" s="12">
        <v>50</v>
      </c>
      <c r="H292" s="12">
        <v>351</v>
      </c>
      <c r="I292" s="12">
        <v>49</v>
      </c>
      <c r="J292" t="str">
        <f>VLOOKUP(B292,Paramètres!$A$4:$C$11,3,FALSE)</f>
        <v>Petite couronne</v>
      </c>
      <c r="K292" s="13">
        <f>IFERROR(H292/G292,"")</f>
        <v>7.02</v>
      </c>
      <c r="L292" s="14">
        <f>IFERROR(I292/G292,"")</f>
        <v>0.98</v>
      </c>
      <c r="M292" s="11" t="str">
        <f>IF(K292&gt;=Paramètres!$F$6,"Très forte",IF(K292&gt;=Paramètres!$F$5,"Forte",IF(K292&gt;=Paramètres!$F$4,"Modérée","Faible")))</f>
        <v>Faible</v>
      </c>
    </row>
    <row r="293" spans="1:13">
      <c r="A293" t="s">
        <v>862</v>
      </c>
      <c r="B293" s="11">
        <v>95</v>
      </c>
      <c r="C293" t="s">
        <v>90</v>
      </c>
      <c r="D293" t="s">
        <v>1238</v>
      </c>
      <c r="E293" t="s">
        <v>1369</v>
      </c>
      <c r="F293" t="s">
        <v>92</v>
      </c>
      <c r="G293" s="12">
        <v>9</v>
      </c>
      <c r="H293" s="12">
        <v>63</v>
      </c>
      <c r="I293" s="12">
        <v>7</v>
      </c>
      <c r="J293" t="str">
        <f>VLOOKUP(B293,Paramètres!$A$4:$C$11,3,FALSE)</f>
        <v>Grande couronne</v>
      </c>
      <c r="K293" s="13">
        <f>IFERROR(H293/G293,"")</f>
        <v>7</v>
      </c>
      <c r="L293" s="14">
        <f>IFERROR(I293/G293,"")</f>
        <v>0.77777777777777779</v>
      </c>
      <c r="M293" s="11" t="str">
        <f>IF(K293&gt;=Paramètres!$F$6,"Très forte",IF(K293&gt;=Paramètres!$F$5,"Forte",IF(K293&gt;=Paramètres!$F$4,"Modérée","Faible")))</f>
        <v>Faible</v>
      </c>
    </row>
    <row r="294" spans="1:13">
      <c r="A294" t="s">
        <v>533</v>
      </c>
      <c r="B294" s="11">
        <v>78</v>
      </c>
      <c r="C294" t="s">
        <v>135</v>
      </c>
      <c r="D294" t="s">
        <v>1238</v>
      </c>
      <c r="E294" t="s">
        <v>1291</v>
      </c>
      <c r="F294" t="s">
        <v>92</v>
      </c>
      <c r="G294" s="12">
        <v>16</v>
      </c>
      <c r="H294" s="12">
        <v>111</v>
      </c>
      <c r="I294" s="12">
        <v>15</v>
      </c>
      <c r="J294" t="str">
        <f>VLOOKUP(B294,Paramètres!$A$4:$C$11,3,FALSE)</f>
        <v>Grande couronne</v>
      </c>
      <c r="K294" s="13">
        <f>IFERROR(H294/G294,"")</f>
        <v>6.9375</v>
      </c>
      <c r="L294" s="14">
        <f>IFERROR(I294/G294,"")</f>
        <v>0.9375</v>
      </c>
      <c r="M294" s="11" t="str">
        <f>IF(K294&gt;=Paramètres!$F$6,"Très forte",IF(K294&gt;=Paramètres!$F$5,"Forte",IF(K294&gt;=Paramètres!$F$4,"Modérée","Faible")))</f>
        <v>Faible</v>
      </c>
    </row>
    <row r="295" spans="1:13">
      <c r="A295" t="s">
        <v>975</v>
      </c>
      <c r="B295" s="11">
        <v>94</v>
      </c>
      <c r="C295" t="s">
        <v>116</v>
      </c>
      <c r="D295" t="s">
        <v>1238</v>
      </c>
      <c r="E295" t="s">
        <v>1369</v>
      </c>
      <c r="F295" t="s">
        <v>92</v>
      </c>
      <c r="G295" s="12">
        <v>12</v>
      </c>
      <c r="H295" s="12">
        <v>83</v>
      </c>
      <c r="I295" s="12">
        <v>12</v>
      </c>
      <c r="J295" t="str">
        <f>VLOOKUP(B295,Paramètres!$A$4:$C$11,3,FALSE)</f>
        <v>Petite couronne</v>
      </c>
      <c r="K295" s="13">
        <f>IFERROR(H295/G295,"")</f>
        <v>6.916666666666667</v>
      </c>
      <c r="L295" s="14">
        <f>IFERROR(I295/G295,"")</f>
        <v>1</v>
      </c>
      <c r="M295" s="11" t="str">
        <f>IF(K295&gt;=Paramètres!$F$6,"Très forte",IF(K295&gt;=Paramètres!$F$5,"Forte",IF(K295&gt;=Paramètres!$F$4,"Modérée","Faible")))</f>
        <v>Faible</v>
      </c>
    </row>
    <row r="296" spans="1:13">
      <c r="A296" t="s">
        <v>1687</v>
      </c>
      <c r="B296" s="11">
        <v>75</v>
      </c>
      <c r="C296" t="s">
        <v>86</v>
      </c>
      <c r="D296" t="s">
        <v>1238</v>
      </c>
      <c r="E296" t="s">
        <v>1470</v>
      </c>
      <c r="F296" t="s">
        <v>92</v>
      </c>
      <c r="G296" s="12">
        <v>16</v>
      </c>
      <c r="H296" s="12">
        <v>110</v>
      </c>
      <c r="I296" s="12">
        <v>16</v>
      </c>
      <c r="J296" t="str">
        <f>VLOOKUP(B296,Paramètres!$A$4:$C$11,3,FALSE)</f>
        <v>Paris</v>
      </c>
      <c r="K296" s="13">
        <f>IFERROR(H296/G296,"")</f>
        <v>6.875</v>
      </c>
      <c r="L296" s="14">
        <f>IFERROR(I296/G296,"")</f>
        <v>1</v>
      </c>
      <c r="M296" s="11" t="str">
        <f>IF(K296&gt;=Paramètres!$F$6,"Très forte",IF(K296&gt;=Paramètres!$F$5,"Forte",IF(K296&gt;=Paramètres!$F$4,"Modérée","Faible")))</f>
        <v>Faible</v>
      </c>
    </row>
    <row r="297" spans="1:13">
      <c r="A297" t="s">
        <v>1488</v>
      </c>
      <c r="B297" s="11">
        <v>94</v>
      </c>
      <c r="C297" t="s">
        <v>116</v>
      </c>
      <c r="D297" t="s">
        <v>1238</v>
      </c>
      <c r="E297" t="s">
        <v>1489</v>
      </c>
      <c r="F297" t="s">
        <v>92</v>
      </c>
      <c r="G297" s="12">
        <v>50</v>
      </c>
      <c r="H297" s="12">
        <v>343</v>
      </c>
      <c r="I297" s="12">
        <v>38</v>
      </c>
      <c r="J297" t="str">
        <f>VLOOKUP(B297,Paramètres!$A$4:$C$11,3,FALSE)</f>
        <v>Petite couronne</v>
      </c>
      <c r="K297" s="13">
        <f>IFERROR(H297/G297,"")</f>
        <v>6.86</v>
      </c>
      <c r="L297" s="14">
        <f>IFERROR(I297/G297,"")</f>
        <v>0.76</v>
      </c>
      <c r="M297" s="11" t="str">
        <f>IF(K297&gt;=Paramètres!$F$6,"Très forte",IF(K297&gt;=Paramètres!$F$5,"Forte",IF(K297&gt;=Paramètres!$F$4,"Modérée","Faible")))</f>
        <v>Faible</v>
      </c>
    </row>
    <row r="298" spans="1:13">
      <c r="A298" t="s">
        <v>1563</v>
      </c>
      <c r="B298" s="11">
        <v>75</v>
      </c>
      <c r="C298" t="s">
        <v>86</v>
      </c>
      <c r="D298" t="s">
        <v>1238</v>
      </c>
      <c r="E298" t="s">
        <v>1247</v>
      </c>
      <c r="F298" t="s">
        <v>92</v>
      </c>
      <c r="G298" s="12">
        <v>95</v>
      </c>
      <c r="H298" s="12">
        <v>648</v>
      </c>
      <c r="I298" s="12">
        <v>89</v>
      </c>
      <c r="J298" t="str">
        <f>VLOOKUP(B298,Paramètres!$A$4:$C$11,3,FALSE)</f>
        <v>Paris</v>
      </c>
      <c r="K298" s="13">
        <f>IFERROR(H298/G298,"")</f>
        <v>6.8210526315789473</v>
      </c>
      <c r="L298" s="14">
        <f>IFERROR(I298/G298,"")</f>
        <v>0.93684210526315792</v>
      </c>
      <c r="M298" s="11" t="str">
        <f>IF(K298&gt;=Paramètres!$F$6,"Très forte",IF(K298&gt;=Paramètres!$F$5,"Forte",IF(K298&gt;=Paramètres!$F$4,"Modérée","Faible")))</f>
        <v>Faible</v>
      </c>
    </row>
    <row r="299" spans="1:13">
      <c r="A299" t="s">
        <v>138</v>
      </c>
      <c r="B299" s="11">
        <v>75</v>
      </c>
      <c r="C299" t="s">
        <v>86</v>
      </c>
      <c r="D299" t="s">
        <v>1238</v>
      </c>
      <c r="E299" t="s">
        <v>1535</v>
      </c>
      <c r="F299" t="s">
        <v>92</v>
      </c>
      <c r="G299" s="12">
        <v>150</v>
      </c>
      <c r="H299" s="12">
        <v>1022</v>
      </c>
      <c r="I299" s="12">
        <v>147</v>
      </c>
      <c r="J299" t="str">
        <f>VLOOKUP(B299,Paramètres!$A$4:$C$11,3,FALSE)</f>
        <v>Paris</v>
      </c>
      <c r="K299" s="13">
        <f>IFERROR(H299/G299,"")</f>
        <v>6.8133333333333335</v>
      </c>
      <c r="L299" s="14">
        <f>IFERROR(I299/G299,"")</f>
        <v>0.98</v>
      </c>
      <c r="M299" s="11" t="str">
        <f>IF(K299&gt;=Paramètres!$F$6,"Très forte",IF(K299&gt;=Paramètres!$F$5,"Forte",IF(K299&gt;=Paramètres!$F$4,"Modérée","Faible")))</f>
        <v>Faible</v>
      </c>
    </row>
    <row r="300" spans="1:13">
      <c r="A300" t="s">
        <v>1227</v>
      </c>
      <c r="B300" s="11">
        <v>91</v>
      </c>
      <c r="C300" t="s">
        <v>105</v>
      </c>
      <c r="D300" t="s">
        <v>1238</v>
      </c>
      <c r="E300" t="s">
        <v>1626</v>
      </c>
      <c r="F300" t="s">
        <v>92</v>
      </c>
      <c r="G300" s="12">
        <v>6</v>
      </c>
      <c r="H300" s="12">
        <v>40</v>
      </c>
      <c r="I300" s="12">
        <v>6</v>
      </c>
      <c r="J300" t="str">
        <f>VLOOKUP(B300,Paramètres!$A$4:$C$11,3,FALSE)</f>
        <v>Grande couronne</v>
      </c>
      <c r="K300" s="13">
        <f>IFERROR(H300/G300,"")</f>
        <v>6.666666666666667</v>
      </c>
      <c r="L300" s="14">
        <f>IFERROR(I300/G300,"")</f>
        <v>1</v>
      </c>
      <c r="M300" s="11" t="str">
        <f>IF(K300&gt;=Paramètres!$F$6,"Très forte",IF(K300&gt;=Paramètres!$F$5,"Forte",IF(K300&gt;=Paramètres!$F$4,"Modérée","Faible")))</f>
        <v>Faible</v>
      </c>
    </row>
    <row r="301" spans="1:13">
      <c r="A301" t="s">
        <v>1629</v>
      </c>
      <c r="B301" s="11">
        <v>93</v>
      </c>
      <c r="C301" t="s">
        <v>100</v>
      </c>
      <c r="D301" t="s">
        <v>1238</v>
      </c>
      <c r="E301" t="s">
        <v>1369</v>
      </c>
      <c r="F301" t="s">
        <v>92</v>
      </c>
      <c r="G301" s="12">
        <v>15</v>
      </c>
      <c r="H301" s="12">
        <v>100</v>
      </c>
      <c r="I301" s="12">
        <v>12</v>
      </c>
      <c r="J301" t="str">
        <f>VLOOKUP(B301,Paramètres!$A$4:$C$11,3,FALSE)</f>
        <v>Petite couronne</v>
      </c>
      <c r="K301" s="13">
        <f>IFERROR(H301/G301,"")</f>
        <v>6.666666666666667</v>
      </c>
      <c r="L301" s="14">
        <f>IFERROR(I301/G301,"")</f>
        <v>0.8</v>
      </c>
      <c r="M301" s="11" t="str">
        <f>IF(K301&gt;=Paramètres!$F$6,"Très forte",IF(K301&gt;=Paramètres!$F$5,"Forte",IF(K301&gt;=Paramètres!$F$4,"Modérée","Faible")))</f>
        <v>Faible</v>
      </c>
    </row>
    <row r="302" spans="1:13">
      <c r="A302" t="s">
        <v>1193</v>
      </c>
      <c r="B302" s="11">
        <v>75</v>
      </c>
      <c r="C302" t="s">
        <v>86</v>
      </c>
      <c r="D302" t="s">
        <v>1238</v>
      </c>
      <c r="E302" t="s">
        <v>1335</v>
      </c>
      <c r="F302" t="s">
        <v>92</v>
      </c>
      <c r="G302" s="12">
        <v>15</v>
      </c>
      <c r="H302" s="12">
        <v>98</v>
      </c>
      <c r="I302" s="12">
        <v>12</v>
      </c>
      <c r="J302" t="str">
        <f>VLOOKUP(B302,Paramètres!$A$4:$C$11,3,FALSE)</f>
        <v>Paris</v>
      </c>
      <c r="K302" s="13">
        <f>IFERROR(H302/G302,"")</f>
        <v>6.5333333333333332</v>
      </c>
      <c r="L302" s="14">
        <f>IFERROR(I302/G302,"")</f>
        <v>0.8</v>
      </c>
      <c r="M302" s="11" t="str">
        <f>IF(K302&gt;=Paramètres!$F$6,"Très forte",IF(K302&gt;=Paramètres!$F$5,"Forte",IF(K302&gt;=Paramètres!$F$4,"Modérée","Faible")))</f>
        <v>Faible</v>
      </c>
    </row>
    <row r="303" spans="1:13">
      <c r="A303" t="s">
        <v>242</v>
      </c>
      <c r="B303" s="11">
        <v>95</v>
      </c>
      <c r="C303" t="s">
        <v>90</v>
      </c>
      <c r="D303" t="s">
        <v>1238</v>
      </c>
      <c r="E303" t="s">
        <v>1493</v>
      </c>
      <c r="F303" t="s">
        <v>92</v>
      </c>
      <c r="G303" s="12">
        <v>100</v>
      </c>
      <c r="H303" s="12">
        <v>647</v>
      </c>
      <c r="I303" s="12">
        <v>67</v>
      </c>
      <c r="J303" t="str">
        <f>VLOOKUP(B303,Paramètres!$A$4:$C$11,3,FALSE)</f>
        <v>Grande couronne</v>
      </c>
      <c r="K303" s="13">
        <f>IFERROR(H303/G303,"")</f>
        <v>6.47</v>
      </c>
      <c r="L303" s="14">
        <f>IFERROR(I303/G303,"")</f>
        <v>0.67</v>
      </c>
      <c r="M303" s="11" t="str">
        <f>IF(K303&gt;=Paramètres!$F$6,"Très forte",IF(K303&gt;=Paramètres!$F$5,"Forte",IF(K303&gt;=Paramètres!$F$4,"Modérée","Faible")))</f>
        <v>Faible</v>
      </c>
    </row>
    <row r="304" spans="1:13">
      <c r="A304" t="s">
        <v>1779</v>
      </c>
      <c r="B304" s="11">
        <v>75</v>
      </c>
      <c r="C304" t="s">
        <v>86</v>
      </c>
      <c r="D304" t="s">
        <v>1238</v>
      </c>
      <c r="E304" t="s">
        <v>1247</v>
      </c>
      <c r="F304" t="s">
        <v>92</v>
      </c>
      <c r="G304" s="12">
        <v>66</v>
      </c>
      <c r="H304" s="12">
        <v>427</v>
      </c>
      <c r="I304" s="12">
        <v>57</v>
      </c>
      <c r="J304" t="str">
        <f>VLOOKUP(B304,Paramètres!$A$4:$C$11,3,FALSE)</f>
        <v>Paris</v>
      </c>
      <c r="K304" s="13">
        <f>IFERROR(H304/G304,"")</f>
        <v>6.4696969696969697</v>
      </c>
      <c r="L304" s="14">
        <f>IFERROR(I304/G304,"")</f>
        <v>0.86363636363636365</v>
      </c>
      <c r="M304" s="11" t="str">
        <f>IF(K304&gt;=Paramètres!$F$6,"Très forte",IF(K304&gt;=Paramètres!$F$5,"Forte",IF(K304&gt;=Paramètres!$F$4,"Modérée","Faible")))</f>
        <v>Faible</v>
      </c>
    </row>
    <row r="305" spans="1:13">
      <c r="A305" t="s">
        <v>1260</v>
      </c>
      <c r="B305" s="11">
        <v>93</v>
      </c>
      <c r="C305" t="s">
        <v>100</v>
      </c>
      <c r="D305" t="s">
        <v>1238</v>
      </c>
      <c r="E305" t="s">
        <v>1783</v>
      </c>
      <c r="F305" t="s">
        <v>92</v>
      </c>
      <c r="G305" s="12">
        <v>15</v>
      </c>
      <c r="H305" s="12">
        <v>93</v>
      </c>
      <c r="I305" s="12">
        <v>15</v>
      </c>
      <c r="J305" t="str">
        <f>VLOOKUP(B305,Paramètres!$A$4:$C$11,3,FALSE)</f>
        <v>Petite couronne</v>
      </c>
      <c r="K305" s="13">
        <f>IFERROR(H305/G305,"")</f>
        <v>6.2</v>
      </c>
      <c r="L305" s="14">
        <f>IFERROR(I305/G305,"")</f>
        <v>1</v>
      </c>
      <c r="M305" s="11" t="str">
        <f>IF(K305&gt;=Paramètres!$F$6,"Très forte",IF(K305&gt;=Paramètres!$F$5,"Forte",IF(K305&gt;=Paramètres!$F$4,"Modérée","Faible")))</f>
        <v>Faible</v>
      </c>
    </row>
    <row r="306" spans="1:13">
      <c r="A306" t="s">
        <v>1419</v>
      </c>
      <c r="B306" s="11">
        <v>75</v>
      </c>
      <c r="C306" t="s">
        <v>86</v>
      </c>
      <c r="D306" t="s">
        <v>1238</v>
      </c>
      <c r="E306" t="s">
        <v>1392</v>
      </c>
      <c r="F306" t="s">
        <v>92</v>
      </c>
      <c r="G306" s="12">
        <v>24</v>
      </c>
      <c r="H306" s="12">
        <v>148</v>
      </c>
      <c r="I306" s="12">
        <v>17</v>
      </c>
      <c r="J306" t="str">
        <f>VLOOKUP(B306,Paramètres!$A$4:$C$11,3,FALSE)</f>
        <v>Paris</v>
      </c>
      <c r="K306" s="13">
        <f>IFERROR(H306/G306,"")</f>
        <v>6.166666666666667</v>
      </c>
      <c r="L306" s="14">
        <f>IFERROR(I306/G306,"")</f>
        <v>0.70833333333333337</v>
      </c>
      <c r="M306" s="11" t="str">
        <f>IF(K306&gt;=Paramètres!$F$6,"Très forte",IF(K306&gt;=Paramètres!$F$5,"Forte",IF(K306&gt;=Paramètres!$F$4,"Modérée","Faible")))</f>
        <v>Faible</v>
      </c>
    </row>
    <row r="307" spans="1:13">
      <c r="A307" t="s">
        <v>1655</v>
      </c>
      <c r="B307" s="11">
        <v>75</v>
      </c>
      <c r="C307" t="s">
        <v>86</v>
      </c>
      <c r="D307" t="s">
        <v>1238</v>
      </c>
      <c r="E307" t="s">
        <v>1392</v>
      </c>
      <c r="F307" t="s">
        <v>92</v>
      </c>
      <c r="G307" s="12">
        <v>24</v>
      </c>
      <c r="H307" s="12">
        <v>148</v>
      </c>
      <c r="I307" s="12">
        <v>22</v>
      </c>
      <c r="J307" t="str">
        <f>VLOOKUP(B307,Paramètres!$A$4:$C$11,3,FALSE)</f>
        <v>Paris</v>
      </c>
      <c r="K307" s="13">
        <f>IFERROR(H307/G307,"")</f>
        <v>6.166666666666667</v>
      </c>
      <c r="L307" s="14">
        <f>IFERROR(I307/G307,"")</f>
        <v>0.91666666666666663</v>
      </c>
      <c r="M307" s="11" t="str">
        <f>IF(K307&gt;=Paramètres!$F$6,"Très forte",IF(K307&gt;=Paramètres!$F$5,"Forte",IF(K307&gt;=Paramètres!$F$4,"Modérée","Faible")))</f>
        <v>Faible</v>
      </c>
    </row>
    <row r="308" spans="1:13">
      <c r="A308" t="s">
        <v>1273</v>
      </c>
      <c r="B308" s="11">
        <v>93</v>
      </c>
      <c r="C308" t="s">
        <v>100</v>
      </c>
      <c r="D308" t="s">
        <v>1238</v>
      </c>
      <c r="E308" t="s">
        <v>1576</v>
      </c>
      <c r="F308" t="s">
        <v>92</v>
      </c>
      <c r="G308" s="12">
        <v>3</v>
      </c>
      <c r="H308" s="12">
        <v>18</v>
      </c>
      <c r="I308" s="12">
        <v>3</v>
      </c>
      <c r="J308" t="str">
        <f>VLOOKUP(B308,Paramètres!$A$4:$C$11,3,FALSE)</f>
        <v>Petite couronne</v>
      </c>
      <c r="K308" s="13">
        <f>IFERROR(H308/G308,"")</f>
        <v>6</v>
      </c>
      <c r="L308" s="14">
        <f>IFERROR(I308/G308,"")</f>
        <v>1</v>
      </c>
      <c r="M308" s="11" t="str">
        <f>IF(K308&gt;=Paramètres!$F$6,"Très forte",IF(K308&gt;=Paramètres!$F$5,"Forte",IF(K308&gt;=Paramètres!$F$4,"Modérée","Faible")))</f>
        <v>Faible</v>
      </c>
    </row>
    <row r="309" spans="1:13">
      <c r="A309" t="s">
        <v>1806</v>
      </c>
      <c r="B309" s="11">
        <v>92</v>
      </c>
      <c r="C309" t="s">
        <v>94</v>
      </c>
      <c r="D309" t="s">
        <v>1238</v>
      </c>
      <c r="E309" t="s">
        <v>1807</v>
      </c>
      <c r="F309" t="s">
        <v>92</v>
      </c>
      <c r="G309" s="12">
        <v>12</v>
      </c>
      <c r="H309" s="12">
        <v>72</v>
      </c>
      <c r="I309" s="12">
        <v>11</v>
      </c>
      <c r="J309" t="str">
        <f>VLOOKUP(B309,Paramètres!$A$4:$C$11,3,FALSE)</f>
        <v>Petite couronne</v>
      </c>
      <c r="K309" s="13">
        <f>IFERROR(H309/G309,"")</f>
        <v>6</v>
      </c>
      <c r="L309" s="14">
        <f>IFERROR(I309/G309,"")</f>
        <v>0.91666666666666663</v>
      </c>
      <c r="M309" s="11" t="str">
        <f>IF(K309&gt;=Paramètres!$F$6,"Très forte",IF(K309&gt;=Paramètres!$F$5,"Forte",IF(K309&gt;=Paramètres!$F$4,"Modérée","Faible")))</f>
        <v>Faible</v>
      </c>
    </row>
    <row r="310" spans="1:13">
      <c r="A310" t="s">
        <v>1223</v>
      </c>
      <c r="B310" s="11">
        <v>77</v>
      </c>
      <c r="C310" t="s">
        <v>132</v>
      </c>
      <c r="D310" t="s">
        <v>1238</v>
      </c>
      <c r="E310" t="s">
        <v>1492</v>
      </c>
      <c r="F310" t="s">
        <v>92</v>
      </c>
      <c r="G310" s="12">
        <v>12</v>
      </c>
      <c r="H310" s="12">
        <v>71</v>
      </c>
      <c r="I310" s="12">
        <v>10</v>
      </c>
      <c r="J310" t="str">
        <f>VLOOKUP(B310,Paramètres!$A$4:$C$11,3,FALSE)</f>
        <v>Grande couronne</v>
      </c>
      <c r="K310" s="13">
        <f>IFERROR(H310/G310,"")</f>
        <v>5.916666666666667</v>
      </c>
      <c r="L310" s="14">
        <f>IFERROR(I310/G310,"")</f>
        <v>0.83333333333333337</v>
      </c>
      <c r="M310" s="11" t="str">
        <f>IF(K310&gt;=Paramètres!$F$6,"Très forte",IF(K310&gt;=Paramètres!$F$5,"Forte",IF(K310&gt;=Paramètres!$F$4,"Modérée","Faible")))</f>
        <v>Faible</v>
      </c>
    </row>
    <row r="311" spans="1:13">
      <c r="A311" t="s">
        <v>948</v>
      </c>
      <c r="B311" s="11">
        <v>93</v>
      </c>
      <c r="C311" t="s">
        <v>100</v>
      </c>
      <c r="D311" t="s">
        <v>1238</v>
      </c>
      <c r="E311" t="s">
        <v>1470</v>
      </c>
      <c r="F311" t="s">
        <v>92</v>
      </c>
      <c r="G311" s="12">
        <v>12</v>
      </c>
      <c r="H311" s="12">
        <v>69</v>
      </c>
      <c r="I311" s="12">
        <v>6</v>
      </c>
      <c r="J311" t="str">
        <f>VLOOKUP(B311,Paramètres!$A$4:$C$11,3,FALSE)</f>
        <v>Petite couronne</v>
      </c>
      <c r="K311" s="13">
        <f>IFERROR(H311/G311,"")</f>
        <v>5.75</v>
      </c>
      <c r="L311" s="14">
        <f>IFERROR(I311/G311,"")</f>
        <v>0.5</v>
      </c>
      <c r="M311" s="11" t="str">
        <f>IF(K311&gt;=Paramètres!$F$6,"Très forte",IF(K311&gt;=Paramètres!$F$5,"Forte",IF(K311&gt;=Paramètres!$F$4,"Modérée","Faible")))</f>
        <v>Faible</v>
      </c>
    </row>
    <row r="312" spans="1:13">
      <c r="A312" t="s">
        <v>1246</v>
      </c>
      <c r="B312" s="11">
        <v>75</v>
      </c>
      <c r="C312" t="s">
        <v>86</v>
      </c>
      <c r="D312" t="s">
        <v>1238</v>
      </c>
      <c r="E312" t="s">
        <v>1247</v>
      </c>
      <c r="F312" t="s">
        <v>92</v>
      </c>
      <c r="G312" s="12">
        <v>98</v>
      </c>
      <c r="H312" s="12">
        <v>561</v>
      </c>
      <c r="I312" s="12">
        <v>87</v>
      </c>
      <c r="J312" t="str">
        <f>VLOOKUP(B312,Paramètres!$A$4:$C$11,3,FALSE)</f>
        <v>Paris</v>
      </c>
      <c r="K312" s="13">
        <f>IFERROR(H312/G312,"")</f>
        <v>5.7244897959183669</v>
      </c>
      <c r="L312" s="14">
        <f>IFERROR(I312/G312,"")</f>
        <v>0.88775510204081631</v>
      </c>
      <c r="M312" s="11" t="str">
        <f>IF(K312&gt;=Paramètres!$F$6,"Très forte",IF(K312&gt;=Paramètres!$F$5,"Forte",IF(K312&gt;=Paramètres!$F$4,"Modérée","Faible")))</f>
        <v>Faible</v>
      </c>
    </row>
    <row r="313" spans="1:13">
      <c r="A313" t="s">
        <v>955</v>
      </c>
      <c r="B313" s="11">
        <v>93</v>
      </c>
      <c r="C313" t="s">
        <v>100</v>
      </c>
      <c r="D313" t="s">
        <v>1238</v>
      </c>
      <c r="E313" t="s">
        <v>1299</v>
      </c>
      <c r="F313" t="s">
        <v>92</v>
      </c>
      <c r="G313" s="12">
        <v>16</v>
      </c>
      <c r="H313" s="12">
        <v>91</v>
      </c>
      <c r="I313" s="12">
        <v>13</v>
      </c>
      <c r="J313" t="str">
        <f>VLOOKUP(B313,Paramètres!$A$4:$C$11,3,FALSE)</f>
        <v>Petite couronne</v>
      </c>
      <c r="K313" s="13">
        <f>IFERROR(H313/G313,"")</f>
        <v>5.6875</v>
      </c>
      <c r="L313" s="14">
        <f>IFERROR(I313/G313,"")</f>
        <v>0.8125</v>
      </c>
      <c r="M313" s="11" t="str">
        <f>IF(K313&gt;=Paramètres!$F$6,"Très forte",IF(K313&gt;=Paramètres!$F$5,"Forte",IF(K313&gt;=Paramètres!$F$4,"Modérée","Faible")))</f>
        <v>Faible</v>
      </c>
    </row>
    <row r="314" spans="1:13">
      <c r="A314" t="s">
        <v>1273</v>
      </c>
      <c r="B314" s="11">
        <v>93</v>
      </c>
      <c r="C314" t="s">
        <v>100</v>
      </c>
      <c r="D314" t="s">
        <v>1238</v>
      </c>
      <c r="E314" t="s">
        <v>1278</v>
      </c>
      <c r="F314" t="s">
        <v>92</v>
      </c>
      <c r="G314" s="12">
        <v>3</v>
      </c>
      <c r="H314" s="12">
        <v>17</v>
      </c>
      <c r="I314" s="12">
        <v>2</v>
      </c>
      <c r="J314" t="str">
        <f>VLOOKUP(B314,Paramètres!$A$4:$C$11,3,FALSE)</f>
        <v>Petite couronne</v>
      </c>
      <c r="K314" s="13">
        <f>IFERROR(H314/G314,"")</f>
        <v>5.666666666666667</v>
      </c>
      <c r="L314" s="14">
        <f>IFERROR(I314/G314,"")</f>
        <v>0.66666666666666663</v>
      </c>
      <c r="M314" s="11" t="str">
        <f>IF(K314&gt;=Paramètres!$F$6,"Très forte",IF(K314&gt;=Paramètres!$F$5,"Forte",IF(K314&gt;=Paramètres!$F$4,"Modérée","Faible")))</f>
        <v>Faible</v>
      </c>
    </row>
    <row r="315" spans="1:13">
      <c r="A315" t="s">
        <v>1583</v>
      </c>
      <c r="B315" s="11">
        <v>92</v>
      </c>
      <c r="C315" t="s">
        <v>94</v>
      </c>
      <c r="D315" t="s">
        <v>1238</v>
      </c>
      <c r="E315" t="s">
        <v>1584</v>
      </c>
      <c r="F315" t="s">
        <v>92</v>
      </c>
      <c r="G315" s="12">
        <v>12</v>
      </c>
      <c r="H315" s="12">
        <v>68</v>
      </c>
      <c r="I315" s="12">
        <v>6</v>
      </c>
      <c r="J315" t="str">
        <f>VLOOKUP(B315,Paramètres!$A$4:$C$11,3,FALSE)</f>
        <v>Petite couronne</v>
      </c>
      <c r="K315" s="13">
        <f>IFERROR(H315/G315,"")</f>
        <v>5.666666666666667</v>
      </c>
      <c r="L315" s="14">
        <f>IFERROR(I315/G315,"")</f>
        <v>0.5</v>
      </c>
      <c r="M315" s="11" t="str">
        <f>IF(K315&gt;=Paramètres!$F$6,"Très forte",IF(K315&gt;=Paramètres!$F$5,"Forte",IF(K315&gt;=Paramètres!$F$4,"Modérée","Faible")))</f>
        <v>Faible</v>
      </c>
    </row>
    <row r="316" spans="1:13">
      <c r="A316" t="s">
        <v>965</v>
      </c>
      <c r="B316" s="11">
        <v>94</v>
      </c>
      <c r="C316" t="s">
        <v>116</v>
      </c>
      <c r="D316" t="s">
        <v>1238</v>
      </c>
      <c r="E316" t="s">
        <v>1506</v>
      </c>
      <c r="F316" t="s">
        <v>92</v>
      </c>
      <c r="G316" s="12">
        <v>24</v>
      </c>
      <c r="H316" s="12">
        <v>135</v>
      </c>
      <c r="I316" s="12">
        <v>7</v>
      </c>
      <c r="J316" t="str">
        <f>VLOOKUP(B316,Paramètres!$A$4:$C$11,3,FALSE)</f>
        <v>Petite couronne</v>
      </c>
      <c r="K316" s="13">
        <f>IFERROR(H316/G316,"")</f>
        <v>5.625</v>
      </c>
      <c r="L316" s="14">
        <f>IFERROR(I316/G316,"")</f>
        <v>0.29166666666666669</v>
      </c>
      <c r="M316" s="11" t="str">
        <f>IF(K316&gt;=Paramètres!$F$6,"Très forte",IF(K316&gt;=Paramètres!$F$5,"Forte",IF(K316&gt;=Paramètres!$F$4,"Modérée","Faible")))</f>
        <v>Faible</v>
      </c>
    </row>
    <row r="317" spans="1:13">
      <c r="A317" t="s">
        <v>190</v>
      </c>
      <c r="B317" s="11">
        <v>75</v>
      </c>
      <c r="C317" t="s">
        <v>86</v>
      </c>
      <c r="D317" t="s">
        <v>1238</v>
      </c>
      <c r="E317" t="s">
        <v>1578</v>
      </c>
      <c r="F317" t="s">
        <v>92</v>
      </c>
      <c r="G317" s="12">
        <v>25</v>
      </c>
      <c r="H317" s="12">
        <v>137</v>
      </c>
      <c r="I317" s="12">
        <v>19</v>
      </c>
      <c r="J317" t="str">
        <f>VLOOKUP(B317,Paramètres!$A$4:$C$11,3,FALSE)</f>
        <v>Paris</v>
      </c>
      <c r="K317" s="13">
        <f>IFERROR(H317/G317,"")</f>
        <v>5.48</v>
      </c>
      <c r="L317" s="14">
        <f>IFERROR(I317/G317,"")</f>
        <v>0.76</v>
      </c>
      <c r="M317" s="11" t="str">
        <f>IF(K317&gt;=Paramètres!$F$6,"Très forte",IF(K317&gt;=Paramètres!$F$5,"Forte",IF(K317&gt;=Paramètres!$F$4,"Modérée","Faible")))</f>
        <v>Faible</v>
      </c>
    </row>
    <row r="318" spans="1:13">
      <c r="A318" t="s">
        <v>1117</v>
      </c>
      <c r="B318" s="11">
        <v>95</v>
      </c>
      <c r="C318" t="s">
        <v>90</v>
      </c>
      <c r="D318" t="s">
        <v>1238</v>
      </c>
      <c r="E318" t="s">
        <v>1335</v>
      </c>
      <c r="F318" t="s">
        <v>92</v>
      </c>
      <c r="G318" s="12">
        <v>15</v>
      </c>
      <c r="H318" s="12">
        <v>81</v>
      </c>
      <c r="I318" s="12">
        <v>6</v>
      </c>
      <c r="J318" t="str">
        <f>VLOOKUP(B318,Paramètres!$A$4:$C$11,3,FALSE)</f>
        <v>Grande couronne</v>
      </c>
      <c r="K318" s="13">
        <f>IFERROR(H318/G318,"")</f>
        <v>5.4</v>
      </c>
      <c r="L318" s="14">
        <f>IFERROR(I318/G318,"")</f>
        <v>0.4</v>
      </c>
      <c r="M318" s="11" t="str">
        <f>IF(K318&gt;=Paramètres!$F$6,"Très forte",IF(K318&gt;=Paramètres!$F$5,"Forte",IF(K318&gt;=Paramètres!$F$4,"Modérée","Faible")))</f>
        <v>Faible</v>
      </c>
    </row>
    <row r="319" spans="1:13">
      <c r="A319" t="s">
        <v>1574</v>
      </c>
      <c r="B319" s="11">
        <v>93</v>
      </c>
      <c r="C319" t="s">
        <v>100</v>
      </c>
      <c r="D319" t="s">
        <v>1238</v>
      </c>
      <c r="E319" t="s">
        <v>1247</v>
      </c>
      <c r="F319" t="s">
        <v>92</v>
      </c>
      <c r="G319" s="12">
        <v>58</v>
      </c>
      <c r="H319" s="12">
        <v>313</v>
      </c>
      <c r="I319" s="12">
        <v>53</v>
      </c>
      <c r="J319" t="str">
        <f>VLOOKUP(B319,Paramètres!$A$4:$C$11,3,FALSE)</f>
        <v>Petite couronne</v>
      </c>
      <c r="K319" s="13">
        <f>IFERROR(H319/G319,"")</f>
        <v>5.3965517241379306</v>
      </c>
      <c r="L319" s="14">
        <f>IFERROR(I319/G319,"")</f>
        <v>0.91379310344827591</v>
      </c>
      <c r="M319" s="11" t="str">
        <f>IF(K319&gt;=Paramètres!$F$6,"Très forte",IF(K319&gt;=Paramètres!$F$5,"Forte",IF(K319&gt;=Paramètres!$F$4,"Modérée","Faible")))</f>
        <v>Faible</v>
      </c>
    </row>
    <row r="320" spans="1:13">
      <c r="A320" t="s">
        <v>1166</v>
      </c>
      <c r="B320" s="11">
        <v>92</v>
      </c>
      <c r="C320" t="s">
        <v>94</v>
      </c>
      <c r="D320" t="s">
        <v>1238</v>
      </c>
      <c r="E320" t="s">
        <v>1332</v>
      </c>
      <c r="F320" t="s">
        <v>92</v>
      </c>
      <c r="G320" s="12">
        <v>8</v>
      </c>
      <c r="H320" s="12">
        <v>43</v>
      </c>
      <c r="I320" s="12">
        <v>5</v>
      </c>
      <c r="J320" t="str">
        <f>VLOOKUP(B320,Paramètres!$A$4:$C$11,3,FALSE)</f>
        <v>Petite couronne</v>
      </c>
      <c r="K320" s="13">
        <f>IFERROR(H320/G320,"")</f>
        <v>5.375</v>
      </c>
      <c r="L320" s="14">
        <f>IFERROR(I320/G320,"")</f>
        <v>0.625</v>
      </c>
      <c r="M320" s="11" t="str">
        <f>IF(K320&gt;=Paramètres!$F$6,"Très forte",IF(K320&gt;=Paramètres!$F$5,"Forte",IF(K320&gt;=Paramètres!$F$4,"Modérée","Faible")))</f>
        <v>Faible</v>
      </c>
    </row>
    <row r="321" spans="1:13">
      <c r="A321" t="s">
        <v>1053</v>
      </c>
      <c r="B321" s="11">
        <v>95</v>
      </c>
      <c r="C321" t="s">
        <v>90</v>
      </c>
      <c r="D321" t="s">
        <v>1238</v>
      </c>
      <c r="E321" t="s">
        <v>1807</v>
      </c>
      <c r="F321" t="s">
        <v>92</v>
      </c>
      <c r="G321" s="12">
        <v>14</v>
      </c>
      <c r="H321" s="12">
        <v>75</v>
      </c>
      <c r="I321" s="12">
        <v>8</v>
      </c>
      <c r="J321" t="str">
        <f>VLOOKUP(B321,Paramètres!$A$4:$C$11,3,FALSE)</f>
        <v>Grande couronne</v>
      </c>
      <c r="K321" s="13">
        <f>IFERROR(H321/G321,"")</f>
        <v>5.3571428571428568</v>
      </c>
      <c r="L321" s="14">
        <f>IFERROR(I321/G321,"")</f>
        <v>0.5714285714285714</v>
      </c>
      <c r="M321" s="11" t="str">
        <f>IF(K321&gt;=Paramètres!$F$6,"Très forte",IF(K321&gt;=Paramètres!$F$5,"Forte",IF(K321&gt;=Paramètres!$F$4,"Modérée","Faible")))</f>
        <v>Faible</v>
      </c>
    </row>
    <row r="322" spans="1:13">
      <c r="A322" t="s">
        <v>1197</v>
      </c>
      <c r="B322" s="11">
        <v>95</v>
      </c>
      <c r="C322" t="s">
        <v>90</v>
      </c>
      <c r="D322" t="s">
        <v>1238</v>
      </c>
      <c r="E322" t="s">
        <v>1585</v>
      </c>
      <c r="F322" t="s">
        <v>92</v>
      </c>
      <c r="G322" s="12">
        <v>12</v>
      </c>
      <c r="H322" s="12">
        <v>64</v>
      </c>
      <c r="I322" s="12">
        <v>7</v>
      </c>
      <c r="J322" t="str">
        <f>VLOOKUP(B322,Paramètres!$A$4:$C$11,3,FALSE)</f>
        <v>Grande couronne</v>
      </c>
      <c r="K322" s="13">
        <f>IFERROR(H322/G322,"")</f>
        <v>5.333333333333333</v>
      </c>
      <c r="L322" s="14">
        <f>IFERROR(I322/G322,"")</f>
        <v>0.58333333333333337</v>
      </c>
      <c r="M322" s="11" t="str">
        <f>IF(K322&gt;=Paramètres!$F$6,"Très forte",IF(K322&gt;=Paramètres!$F$5,"Forte",IF(K322&gt;=Paramètres!$F$4,"Modérée","Faible")))</f>
        <v>Faible</v>
      </c>
    </row>
    <row r="323" spans="1:13">
      <c r="A323" t="s">
        <v>418</v>
      </c>
      <c r="B323" s="11">
        <v>92</v>
      </c>
      <c r="C323" t="s">
        <v>94</v>
      </c>
      <c r="D323" t="s">
        <v>1238</v>
      </c>
      <c r="E323" t="s">
        <v>1469</v>
      </c>
      <c r="F323" t="s">
        <v>92</v>
      </c>
      <c r="G323" s="12">
        <v>34</v>
      </c>
      <c r="H323" s="12">
        <v>181</v>
      </c>
      <c r="I323" s="12">
        <v>32</v>
      </c>
      <c r="J323" t="str">
        <f>VLOOKUP(B323,Paramètres!$A$4:$C$11,3,FALSE)</f>
        <v>Petite couronne</v>
      </c>
      <c r="K323" s="13">
        <f>IFERROR(H323/G323,"")</f>
        <v>5.3235294117647056</v>
      </c>
      <c r="L323" s="14">
        <f>IFERROR(I323/G323,"")</f>
        <v>0.94117647058823528</v>
      </c>
      <c r="M323" s="11" t="str">
        <f>IF(K323&gt;=Paramètres!$F$6,"Très forte",IF(K323&gt;=Paramètres!$F$5,"Forte",IF(K323&gt;=Paramètres!$F$4,"Modérée","Faible")))</f>
        <v>Faible</v>
      </c>
    </row>
    <row r="324" spans="1:13">
      <c r="A324" t="s">
        <v>1251</v>
      </c>
      <c r="B324" s="11">
        <v>75</v>
      </c>
      <c r="C324" t="s">
        <v>86</v>
      </c>
      <c r="D324" t="s">
        <v>1238</v>
      </c>
      <c r="E324" t="s">
        <v>1252</v>
      </c>
      <c r="F324" t="s">
        <v>92</v>
      </c>
      <c r="G324" s="12">
        <v>70</v>
      </c>
      <c r="H324" s="12">
        <v>367</v>
      </c>
      <c r="I324" s="12">
        <v>70</v>
      </c>
      <c r="J324" t="str">
        <f>VLOOKUP(B324,Paramètres!$A$4:$C$11,3,FALSE)</f>
        <v>Paris</v>
      </c>
      <c r="K324" s="13">
        <f>IFERROR(H324/G324,"")</f>
        <v>5.2428571428571429</v>
      </c>
      <c r="L324" s="14">
        <f>IFERROR(I324/G324,"")</f>
        <v>1</v>
      </c>
      <c r="M324" s="11" t="str">
        <f>IF(K324&gt;=Paramètres!$F$6,"Très forte",IF(K324&gt;=Paramètres!$F$5,"Forte",IF(K324&gt;=Paramètres!$F$4,"Modérée","Faible")))</f>
        <v>Faible</v>
      </c>
    </row>
    <row r="325" spans="1:13">
      <c r="A325" t="s">
        <v>1808</v>
      </c>
      <c r="B325" s="11">
        <v>75</v>
      </c>
      <c r="C325" t="s">
        <v>86</v>
      </c>
      <c r="D325" t="s">
        <v>1238</v>
      </c>
      <c r="E325" t="s">
        <v>1368</v>
      </c>
      <c r="F325" t="s">
        <v>92</v>
      </c>
      <c r="G325" s="12">
        <v>15</v>
      </c>
      <c r="H325" s="12">
        <v>78</v>
      </c>
      <c r="I325" s="12">
        <v>14</v>
      </c>
      <c r="J325" t="str">
        <f>VLOOKUP(B325,Paramètres!$A$4:$C$11,3,FALSE)</f>
        <v>Paris</v>
      </c>
      <c r="K325" s="13">
        <f>IFERROR(H325/G325,"")</f>
        <v>5.2</v>
      </c>
      <c r="L325" s="14">
        <f>IFERROR(I325/G325,"")</f>
        <v>0.93333333333333335</v>
      </c>
      <c r="M325" s="11" t="str">
        <f>IF(K325&gt;=Paramètres!$F$6,"Très forte",IF(K325&gt;=Paramètres!$F$5,"Forte",IF(K325&gt;=Paramètres!$F$4,"Modérée","Faible")))</f>
        <v>Faible</v>
      </c>
    </row>
    <row r="326" spans="1:13">
      <c r="A326" t="s">
        <v>1053</v>
      </c>
      <c r="B326" s="11">
        <v>95</v>
      </c>
      <c r="C326" t="s">
        <v>90</v>
      </c>
      <c r="D326" t="s">
        <v>1238</v>
      </c>
      <c r="E326" t="s">
        <v>1730</v>
      </c>
      <c r="F326" t="s">
        <v>92</v>
      </c>
      <c r="G326" s="12">
        <v>15</v>
      </c>
      <c r="H326" s="12">
        <v>77</v>
      </c>
      <c r="I326" s="12">
        <v>7</v>
      </c>
      <c r="J326" t="str">
        <f>VLOOKUP(B326,Paramètres!$A$4:$C$11,3,FALSE)</f>
        <v>Grande couronne</v>
      </c>
      <c r="K326" s="13">
        <f>IFERROR(H326/G326,"")</f>
        <v>5.1333333333333337</v>
      </c>
      <c r="L326" s="14">
        <f>IFERROR(I326/G326,"")</f>
        <v>0.46666666666666667</v>
      </c>
      <c r="M326" s="11" t="str">
        <f>IF(K326&gt;=Paramètres!$F$6,"Très forte",IF(K326&gt;=Paramètres!$F$5,"Forte",IF(K326&gt;=Paramètres!$F$4,"Modérée","Faible")))</f>
        <v>Faible</v>
      </c>
    </row>
    <row r="327" spans="1:13">
      <c r="A327" t="s">
        <v>1049</v>
      </c>
      <c r="B327" s="11">
        <v>77</v>
      </c>
      <c r="C327" t="s">
        <v>132</v>
      </c>
      <c r="D327" t="s">
        <v>1238</v>
      </c>
      <c r="E327" t="s">
        <v>1343</v>
      </c>
      <c r="F327" t="s">
        <v>92</v>
      </c>
      <c r="G327" s="12">
        <v>12</v>
      </c>
      <c r="H327" s="12">
        <v>61</v>
      </c>
      <c r="I327" s="12">
        <v>2</v>
      </c>
      <c r="J327" t="str">
        <f>VLOOKUP(B327,Paramètres!$A$4:$C$11,3,FALSE)</f>
        <v>Grande couronne</v>
      </c>
      <c r="K327" s="13">
        <f>IFERROR(H327/G327,"")</f>
        <v>5.083333333333333</v>
      </c>
      <c r="L327" s="14">
        <f>IFERROR(I327/G327,"")</f>
        <v>0.16666666666666666</v>
      </c>
      <c r="M327" s="11" t="str">
        <f>IF(K327&gt;=Paramètres!$F$6,"Très forte",IF(K327&gt;=Paramètres!$F$5,"Forte",IF(K327&gt;=Paramètres!$F$4,"Modérée","Faible")))</f>
        <v>Faible</v>
      </c>
    </row>
    <row r="328" spans="1:13">
      <c r="A328" t="s">
        <v>978</v>
      </c>
      <c r="B328" s="11">
        <v>95</v>
      </c>
      <c r="C328" t="s">
        <v>90</v>
      </c>
      <c r="D328" t="s">
        <v>1238</v>
      </c>
      <c r="E328" t="s">
        <v>1392</v>
      </c>
      <c r="F328" t="s">
        <v>92</v>
      </c>
      <c r="G328" s="12">
        <v>12</v>
      </c>
      <c r="H328" s="12">
        <v>59</v>
      </c>
      <c r="I328" s="12">
        <v>12</v>
      </c>
      <c r="J328" t="str">
        <f>VLOOKUP(B328,Paramètres!$A$4:$C$11,3,FALSE)</f>
        <v>Grande couronne</v>
      </c>
      <c r="K328" s="13">
        <f>IFERROR(H328/G328,"")</f>
        <v>4.916666666666667</v>
      </c>
      <c r="L328" s="14">
        <f>IFERROR(I328/G328,"")</f>
        <v>1</v>
      </c>
      <c r="M328" s="11" t="str">
        <f>IF(K328&gt;=Paramètres!$F$6,"Très forte",IF(K328&gt;=Paramètres!$F$5,"Forte",IF(K328&gt;=Paramètres!$F$4,"Modérée","Faible")))</f>
        <v>Faible</v>
      </c>
    </row>
    <row r="329" spans="1:13">
      <c r="A329" t="s">
        <v>190</v>
      </c>
      <c r="B329" s="11">
        <v>75</v>
      </c>
      <c r="C329" t="s">
        <v>86</v>
      </c>
      <c r="D329" t="s">
        <v>1238</v>
      </c>
      <c r="E329" t="s">
        <v>1781</v>
      </c>
      <c r="F329" t="s">
        <v>92</v>
      </c>
      <c r="G329" s="12">
        <v>25</v>
      </c>
      <c r="H329" s="12">
        <v>120</v>
      </c>
      <c r="I329" s="12">
        <v>12</v>
      </c>
      <c r="J329" t="str">
        <f>VLOOKUP(B329,Paramètres!$A$4:$C$11,3,FALSE)</f>
        <v>Paris</v>
      </c>
      <c r="K329" s="13">
        <f>IFERROR(H329/G329,"")</f>
        <v>4.8</v>
      </c>
      <c r="L329" s="14">
        <f>IFERROR(I329/G329,"")</f>
        <v>0.48</v>
      </c>
      <c r="M329" s="11" t="str">
        <f>IF(K329&gt;=Paramètres!$F$6,"Très forte",IF(K329&gt;=Paramètres!$F$5,"Forte",IF(K329&gt;=Paramètres!$F$4,"Modérée","Faible")))</f>
        <v>Faible</v>
      </c>
    </row>
    <row r="330" spans="1:13">
      <c r="A330" t="s">
        <v>1655</v>
      </c>
      <c r="B330" s="11">
        <v>75</v>
      </c>
      <c r="C330" t="s">
        <v>86</v>
      </c>
      <c r="D330" t="s">
        <v>1238</v>
      </c>
      <c r="E330" t="s">
        <v>1838</v>
      </c>
      <c r="F330" t="s">
        <v>92</v>
      </c>
      <c r="G330" s="12">
        <v>15</v>
      </c>
      <c r="H330" s="12">
        <v>72</v>
      </c>
      <c r="I330" s="12">
        <v>17</v>
      </c>
      <c r="J330" t="str">
        <f>VLOOKUP(B330,Paramètres!$A$4:$C$11,3,FALSE)</f>
        <v>Paris</v>
      </c>
      <c r="K330" s="13">
        <f>IFERROR(H330/G330,"")</f>
        <v>4.8</v>
      </c>
      <c r="L330" s="14">
        <f>IFERROR(I330/G330,"")</f>
        <v>1.1333333333333333</v>
      </c>
      <c r="M330" s="11" t="str">
        <f>IF(K330&gt;=Paramètres!$F$6,"Très forte",IF(K330&gt;=Paramètres!$F$5,"Forte",IF(K330&gt;=Paramètres!$F$4,"Modérée","Faible")))</f>
        <v>Faible</v>
      </c>
    </row>
    <row r="331" spans="1:13">
      <c r="A331" t="s">
        <v>1429</v>
      </c>
      <c r="B331" s="11">
        <v>75</v>
      </c>
      <c r="C331" t="s">
        <v>86</v>
      </c>
      <c r="D331" t="s">
        <v>1238</v>
      </c>
      <c r="E331" t="s">
        <v>1430</v>
      </c>
      <c r="F331" t="s">
        <v>92</v>
      </c>
      <c r="G331" s="12">
        <v>220</v>
      </c>
      <c r="H331" s="12">
        <v>1042</v>
      </c>
      <c r="I331" s="12">
        <v>230</v>
      </c>
      <c r="J331" t="str">
        <f>VLOOKUP(B331,Paramètres!$A$4:$C$11,3,FALSE)</f>
        <v>Paris</v>
      </c>
      <c r="K331" s="13">
        <f>IFERROR(H331/G331,"")</f>
        <v>4.7363636363636363</v>
      </c>
      <c r="L331" s="14">
        <f>IFERROR(I331/G331,"")</f>
        <v>1.0454545454545454</v>
      </c>
      <c r="M331" s="11" t="str">
        <f>IF(K331&gt;=Paramètres!$F$6,"Très forte",IF(K331&gt;=Paramètres!$F$5,"Forte",IF(K331&gt;=Paramètres!$F$4,"Modérée","Faible")))</f>
        <v>Faible</v>
      </c>
    </row>
    <row r="332" spans="1:13">
      <c r="A332" t="s">
        <v>1439</v>
      </c>
      <c r="B332" s="11">
        <v>75</v>
      </c>
      <c r="C332" t="s">
        <v>86</v>
      </c>
      <c r="D332" t="s">
        <v>1238</v>
      </c>
      <c r="E332" t="s">
        <v>1440</v>
      </c>
      <c r="F332" t="s">
        <v>92</v>
      </c>
      <c r="G332" s="12">
        <v>300</v>
      </c>
      <c r="H332" s="12">
        <v>1397</v>
      </c>
      <c r="I332" s="12">
        <v>299</v>
      </c>
      <c r="J332" t="str">
        <f>VLOOKUP(B332,Paramètres!$A$4:$C$11,3,FALSE)</f>
        <v>Paris</v>
      </c>
      <c r="K332" s="13">
        <f>IFERROR(H332/G332,"")</f>
        <v>4.6566666666666663</v>
      </c>
      <c r="L332" s="14">
        <f>IFERROR(I332/G332,"")</f>
        <v>0.9966666666666667</v>
      </c>
      <c r="M332" s="11" t="str">
        <f>IF(K332&gt;=Paramètres!$F$6,"Très forte",IF(K332&gt;=Paramètres!$F$5,"Forte",IF(K332&gt;=Paramètres!$F$4,"Modérée","Faible")))</f>
        <v>Faible</v>
      </c>
    </row>
    <row r="333" spans="1:13">
      <c r="A333" t="s">
        <v>104</v>
      </c>
      <c r="B333" s="11">
        <v>91</v>
      </c>
      <c r="C333" t="s">
        <v>105</v>
      </c>
      <c r="D333" t="s">
        <v>1238</v>
      </c>
      <c r="E333" t="s">
        <v>1712</v>
      </c>
      <c r="F333" t="s">
        <v>92</v>
      </c>
      <c r="G333" s="12">
        <v>120</v>
      </c>
      <c r="H333" s="12">
        <v>550</v>
      </c>
      <c r="I333" s="12">
        <v>119</v>
      </c>
      <c r="J333" t="str">
        <f>VLOOKUP(B333,Paramètres!$A$4:$C$11,3,FALSE)</f>
        <v>Grande couronne</v>
      </c>
      <c r="K333" s="13">
        <f>IFERROR(H333/G333,"")</f>
        <v>4.583333333333333</v>
      </c>
      <c r="L333" s="14">
        <f>IFERROR(I333/G333,"")</f>
        <v>0.9916666666666667</v>
      </c>
      <c r="M333" s="11" t="str">
        <f>IF(K333&gt;=Paramètres!$F$6,"Très forte",IF(K333&gt;=Paramètres!$F$5,"Forte",IF(K333&gt;=Paramètres!$F$4,"Modérée","Faible")))</f>
        <v>Faible</v>
      </c>
    </row>
    <row r="334" spans="1:13">
      <c r="A334" t="s">
        <v>1273</v>
      </c>
      <c r="B334" s="11">
        <v>93</v>
      </c>
      <c r="C334" t="s">
        <v>100</v>
      </c>
      <c r="D334" t="s">
        <v>1238</v>
      </c>
      <c r="E334" t="s">
        <v>1274</v>
      </c>
      <c r="F334" t="s">
        <v>92</v>
      </c>
      <c r="G334" s="12">
        <v>2</v>
      </c>
      <c r="H334" s="12">
        <v>9</v>
      </c>
      <c r="I334" s="12">
        <v>3</v>
      </c>
      <c r="J334" t="str">
        <f>VLOOKUP(B334,Paramètres!$A$4:$C$11,3,FALSE)</f>
        <v>Petite couronne</v>
      </c>
      <c r="K334" s="13">
        <f>IFERROR(H334/G334,"")</f>
        <v>4.5</v>
      </c>
      <c r="L334" s="14">
        <f>IFERROR(I334/G334,"")</f>
        <v>1.5</v>
      </c>
      <c r="M334" s="11" t="str">
        <f>IF(K334&gt;=Paramètres!$F$6,"Très forte",IF(K334&gt;=Paramètres!$F$5,"Forte",IF(K334&gt;=Paramètres!$F$4,"Modérée","Faible")))</f>
        <v>Faible</v>
      </c>
    </row>
    <row r="335" spans="1:13">
      <c r="A335" t="s">
        <v>1227</v>
      </c>
      <c r="B335" s="11">
        <v>91</v>
      </c>
      <c r="C335" t="s">
        <v>105</v>
      </c>
      <c r="D335" t="s">
        <v>1238</v>
      </c>
      <c r="E335" t="s">
        <v>1509</v>
      </c>
      <c r="F335" t="s">
        <v>92</v>
      </c>
      <c r="G335" s="12">
        <v>6</v>
      </c>
      <c r="H335" s="12">
        <v>27</v>
      </c>
      <c r="I335" s="12">
        <v>6</v>
      </c>
      <c r="J335" t="str">
        <f>VLOOKUP(B335,Paramètres!$A$4:$C$11,3,FALSE)</f>
        <v>Grande couronne</v>
      </c>
      <c r="K335" s="13">
        <f>IFERROR(H335/G335,"")</f>
        <v>4.5</v>
      </c>
      <c r="L335" s="14">
        <f>IFERROR(I335/G335,"")</f>
        <v>1</v>
      </c>
      <c r="M335" s="11" t="str">
        <f>IF(K335&gt;=Paramètres!$F$6,"Très forte",IF(K335&gt;=Paramètres!$F$5,"Forte",IF(K335&gt;=Paramètres!$F$4,"Modérée","Faible")))</f>
        <v>Faible</v>
      </c>
    </row>
    <row r="336" spans="1:13">
      <c r="A336" t="s">
        <v>1565</v>
      </c>
      <c r="B336" s="11">
        <v>75</v>
      </c>
      <c r="C336" t="s">
        <v>86</v>
      </c>
      <c r="D336" t="s">
        <v>1238</v>
      </c>
      <c r="E336" t="s">
        <v>1681</v>
      </c>
      <c r="F336" t="s">
        <v>92</v>
      </c>
      <c r="G336" s="12">
        <v>55</v>
      </c>
      <c r="H336" s="12">
        <v>246</v>
      </c>
      <c r="I336" s="12">
        <v>64</v>
      </c>
      <c r="J336" t="str">
        <f>VLOOKUP(B336,Paramètres!$A$4:$C$11,3,FALSE)</f>
        <v>Paris</v>
      </c>
      <c r="K336" s="13">
        <f>IFERROR(H336/G336,"")</f>
        <v>4.4727272727272727</v>
      </c>
      <c r="L336" s="14">
        <f>IFERROR(I336/G336,"")</f>
        <v>1.1636363636363636</v>
      </c>
      <c r="M336" s="11" t="str">
        <f>IF(K336&gt;=Paramètres!$F$6,"Très forte",IF(K336&gt;=Paramètres!$F$5,"Forte",IF(K336&gt;=Paramètres!$F$4,"Modérée","Faible")))</f>
        <v>Faible</v>
      </c>
    </row>
    <row r="337" spans="1:13">
      <c r="A337" t="s">
        <v>882</v>
      </c>
      <c r="B337" s="11">
        <v>77</v>
      </c>
      <c r="C337" t="s">
        <v>132</v>
      </c>
      <c r="D337" t="s">
        <v>1238</v>
      </c>
      <c r="E337" t="s">
        <v>1667</v>
      </c>
      <c r="F337" t="s">
        <v>92</v>
      </c>
      <c r="G337" s="12">
        <v>24</v>
      </c>
      <c r="H337" s="12">
        <v>106</v>
      </c>
      <c r="I337" s="12">
        <v>19</v>
      </c>
      <c r="J337" t="str">
        <f>VLOOKUP(B337,Paramètres!$A$4:$C$11,3,FALSE)</f>
        <v>Grande couronne</v>
      </c>
      <c r="K337" s="13">
        <f>IFERROR(H337/G337,"")</f>
        <v>4.416666666666667</v>
      </c>
      <c r="L337" s="14">
        <f>IFERROR(I337/G337,"")</f>
        <v>0.79166666666666663</v>
      </c>
      <c r="M337" s="11" t="str">
        <f>IF(K337&gt;=Paramètres!$F$6,"Très forte",IF(K337&gt;=Paramètres!$F$5,"Forte",IF(K337&gt;=Paramètres!$F$4,"Modérée","Faible")))</f>
        <v>Faible</v>
      </c>
    </row>
    <row r="338" spans="1:13">
      <c r="A338" t="s">
        <v>996</v>
      </c>
      <c r="B338" s="11">
        <v>75</v>
      </c>
      <c r="C338" t="s">
        <v>86</v>
      </c>
      <c r="D338" t="s">
        <v>1238</v>
      </c>
      <c r="E338" t="s">
        <v>1330</v>
      </c>
      <c r="F338" t="s">
        <v>92</v>
      </c>
      <c r="G338" s="12">
        <v>9</v>
      </c>
      <c r="H338" s="12">
        <v>39</v>
      </c>
      <c r="I338" s="12">
        <v>7</v>
      </c>
      <c r="J338" t="str">
        <f>VLOOKUP(B338,Paramètres!$A$4:$C$11,3,FALSE)</f>
        <v>Paris</v>
      </c>
      <c r="K338" s="13">
        <f>IFERROR(H338/G338,"")</f>
        <v>4.333333333333333</v>
      </c>
      <c r="L338" s="14">
        <f>IFERROR(I338/G338,"")</f>
        <v>0.77777777777777779</v>
      </c>
      <c r="M338" s="11" t="str">
        <f>IF(K338&gt;=Paramètres!$F$6,"Très forte",IF(K338&gt;=Paramètres!$F$5,"Forte",IF(K338&gt;=Paramètres!$F$4,"Modérée","Faible")))</f>
        <v>Faible</v>
      </c>
    </row>
    <row r="339" spans="1:13">
      <c r="A339" t="s">
        <v>1357</v>
      </c>
      <c r="B339" s="11">
        <v>92</v>
      </c>
      <c r="C339" t="s">
        <v>94</v>
      </c>
      <c r="D339" t="s">
        <v>1238</v>
      </c>
      <c r="E339" t="s">
        <v>1368</v>
      </c>
      <c r="F339" t="s">
        <v>92</v>
      </c>
      <c r="G339" s="12">
        <v>12</v>
      </c>
      <c r="H339" s="12">
        <v>52</v>
      </c>
      <c r="I339" s="12">
        <v>7</v>
      </c>
      <c r="J339" t="str">
        <f>VLOOKUP(B339,Paramètres!$A$4:$C$11,3,FALSE)</f>
        <v>Petite couronne</v>
      </c>
      <c r="K339" s="13">
        <f>IFERROR(H339/G339,"")</f>
        <v>4.333333333333333</v>
      </c>
      <c r="L339" s="14">
        <f>IFERROR(I339/G339,"")</f>
        <v>0.58333333333333337</v>
      </c>
      <c r="M339" s="11" t="str">
        <f>IF(K339&gt;=Paramètres!$F$6,"Très forte",IF(K339&gt;=Paramètres!$F$5,"Forte",IF(K339&gt;=Paramètres!$F$4,"Modérée","Faible")))</f>
        <v>Faible</v>
      </c>
    </row>
    <row r="340" spans="1:13">
      <c r="A340" t="s">
        <v>1568</v>
      </c>
      <c r="B340" s="11">
        <v>92</v>
      </c>
      <c r="C340" t="s">
        <v>94</v>
      </c>
      <c r="D340" t="s">
        <v>1238</v>
      </c>
      <c r="E340" t="s">
        <v>1569</v>
      </c>
      <c r="F340" t="s">
        <v>92</v>
      </c>
      <c r="G340" s="12">
        <v>135</v>
      </c>
      <c r="H340" s="12">
        <v>583</v>
      </c>
      <c r="I340" s="12">
        <v>113</v>
      </c>
      <c r="J340" t="str">
        <f>VLOOKUP(B340,Paramètres!$A$4:$C$11,3,FALSE)</f>
        <v>Petite couronne</v>
      </c>
      <c r="K340" s="13">
        <f>IFERROR(H340/G340,"")</f>
        <v>4.3185185185185189</v>
      </c>
      <c r="L340" s="14">
        <f>IFERROR(I340/G340,"")</f>
        <v>0.83703703703703702</v>
      </c>
      <c r="M340" s="11" t="str">
        <f>IF(K340&gt;=Paramètres!$F$6,"Très forte",IF(K340&gt;=Paramètres!$F$5,"Forte",IF(K340&gt;=Paramètres!$F$4,"Modérée","Faible")))</f>
        <v>Faible</v>
      </c>
    </row>
    <row r="341" spans="1:13">
      <c r="A341" t="s">
        <v>1119</v>
      </c>
      <c r="B341" s="11">
        <v>78</v>
      </c>
      <c r="C341" t="s">
        <v>135</v>
      </c>
      <c r="D341" t="s">
        <v>1238</v>
      </c>
      <c r="E341" t="s">
        <v>1392</v>
      </c>
      <c r="F341" t="s">
        <v>92</v>
      </c>
      <c r="G341" s="12">
        <v>16</v>
      </c>
      <c r="H341" s="12">
        <v>67</v>
      </c>
      <c r="I341" s="12">
        <v>10</v>
      </c>
      <c r="J341" t="str">
        <f>VLOOKUP(B341,Paramètres!$A$4:$C$11,3,FALSE)</f>
        <v>Grande couronne</v>
      </c>
      <c r="K341" s="13">
        <f>IFERROR(H341/G341,"")</f>
        <v>4.1875</v>
      </c>
      <c r="L341" s="14">
        <f>IFERROR(I341/G341,"")</f>
        <v>0.625</v>
      </c>
      <c r="M341" s="11" t="str">
        <f>IF(K341&gt;=Paramètres!$F$6,"Très forte",IF(K341&gt;=Paramètres!$F$5,"Forte",IF(K341&gt;=Paramètres!$F$4,"Modérée","Faible")))</f>
        <v>Faible</v>
      </c>
    </row>
    <row r="342" spans="1:13">
      <c r="A342" t="s">
        <v>110</v>
      </c>
      <c r="B342" s="11">
        <v>75</v>
      </c>
      <c r="C342" t="s">
        <v>86</v>
      </c>
      <c r="D342" t="s">
        <v>1238</v>
      </c>
      <c r="E342" t="s">
        <v>1374</v>
      </c>
      <c r="F342" t="s">
        <v>92</v>
      </c>
      <c r="G342" s="12">
        <v>360</v>
      </c>
      <c r="H342" s="12">
        <v>1499</v>
      </c>
      <c r="I342" s="12">
        <v>291</v>
      </c>
      <c r="J342" t="str">
        <f>VLOOKUP(B342,Paramètres!$A$4:$C$11,3,FALSE)</f>
        <v>Paris</v>
      </c>
      <c r="K342" s="13">
        <f>IFERROR(H342/G342,"")</f>
        <v>4.1638888888888888</v>
      </c>
      <c r="L342" s="14">
        <f>IFERROR(I342/G342,"")</f>
        <v>0.80833333333333335</v>
      </c>
      <c r="M342" s="11" t="str">
        <f>IF(K342&gt;=Paramètres!$F$6,"Très forte",IF(K342&gt;=Paramètres!$F$5,"Forte",IF(K342&gt;=Paramètres!$F$4,"Modérée","Faible")))</f>
        <v>Faible</v>
      </c>
    </row>
    <row r="343" spans="1:13">
      <c r="A343" t="s">
        <v>1596</v>
      </c>
      <c r="B343" s="11">
        <v>91</v>
      </c>
      <c r="C343" t="s">
        <v>105</v>
      </c>
      <c r="D343" t="s">
        <v>1238</v>
      </c>
      <c r="E343" t="s">
        <v>1492</v>
      </c>
      <c r="F343" t="s">
        <v>92</v>
      </c>
      <c r="G343" s="12">
        <v>12</v>
      </c>
      <c r="H343" s="12">
        <v>49</v>
      </c>
      <c r="I343" s="12">
        <v>0</v>
      </c>
      <c r="J343" t="str">
        <f>VLOOKUP(B343,Paramètres!$A$4:$C$11,3,FALSE)</f>
        <v>Grande couronne</v>
      </c>
      <c r="K343" s="13">
        <f>IFERROR(H343/G343,"")</f>
        <v>4.083333333333333</v>
      </c>
      <c r="L343" s="14">
        <f>IFERROR(I343/G343,"")</f>
        <v>0</v>
      </c>
      <c r="M343" s="11" t="str">
        <f>IF(K343&gt;=Paramètres!$F$6,"Très forte",IF(K343&gt;=Paramètres!$F$5,"Forte",IF(K343&gt;=Paramètres!$F$4,"Modérée","Faible")))</f>
        <v>Faible</v>
      </c>
    </row>
    <row r="344" spans="1:13">
      <c r="A344" t="s">
        <v>138</v>
      </c>
      <c r="B344" s="11">
        <v>75</v>
      </c>
      <c r="C344" t="s">
        <v>86</v>
      </c>
      <c r="D344" t="s">
        <v>1238</v>
      </c>
      <c r="E344" t="s">
        <v>1536</v>
      </c>
      <c r="F344" t="s">
        <v>92</v>
      </c>
      <c r="G344" s="12">
        <v>200</v>
      </c>
      <c r="H344" s="12">
        <v>805</v>
      </c>
      <c r="I344" s="12">
        <v>209</v>
      </c>
      <c r="J344" t="str">
        <f>VLOOKUP(B344,Paramètres!$A$4:$C$11,3,FALSE)</f>
        <v>Paris</v>
      </c>
      <c r="K344" s="13">
        <f>IFERROR(H344/G344,"")</f>
        <v>4.0250000000000004</v>
      </c>
      <c r="L344" s="14">
        <f>IFERROR(I344/G344,"")</f>
        <v>1.0449999999999999</v>
      </c>
      <c r="M344" s="11" t="str">
        <f>IF(K344&gt;=Paramètres!$F$6,"Très forte",IF(K344&gt;=Paramètres!$F$5,"Forte",IF(K344&gt;=Paramètres!$F$4,"Modérée","Faible")))</f>
        <v>Faible</v>
      </c>
    </row>
    <row r="345" spans="1:13">
      <c r="A345" t="s">
        <v>1260</v>
      </c>
      <c r="B345" s="11">
        <v>93</v>
      </c>
      <c r="C345" t="s">
        <v>100</v>
      </c>
      <c r="D345" t="s">
        <v>1238</v>
      </c>
      <c r="E345" t="s">
        <v>1261</v>
      </c>
      <c r="F345" t="s">
        <v>92</v>
      </c>
      <c r="G345" s="12">
        <v>15</v>
      </c>
      <c r="H345" s="12">
        <v>60</v>
      </c>
      <c r="I345" s="12">
        <v>9</v>
      </c>
      <c r="J345" t="str">
        <f>VLOOKUP(B345,Paramètres!$A$4:$C$11,3,FALSE)</f>
        <v>Petite couronne</v>
      </c>
      <c r="K345" s="13">
        <f>IFERROR(H345/G345,"")</f>
        <v>4</v>
      </c>
      <c r="L345" s="14">
        <f>IFERROR(I345/G345,"")</f>
        <v>0.6</v>
      </c>
      <c r="M345" s="11" t="str">
        <f>IF(K345&gt;=Paramètres!$F$6,"Très forte",IF(K345&gt;=Paramètres!$F$5,"Forte",IF(K345&gt;=Paramètres!$F$4,"Modérée","Faible")))</f>
        <v>Faible</v>
      </c>
    </row>
    <row r="346" spans="1:13">
      <c r="A346" t="s">
        <v>1273</v>
      </c>
      <c r="B346" s="11">
        <v>93</v>
      </c>
      <c r="C346" t="s">
        <v>100</v>
      </c>
      <c r="D346" t="s">
        <v>1238</v>
      </c>
      <c r="E346" t="s">
        <v>1575</v>
      </c>
      <c r="F346" t="s">
        <v>92</v>
      </c>
      <c r="G346" s="12">
        <v>2</v>
      </c>
      <c r="H346" s="12">
        <v>8</v>
      </c>
      <c r="I346" s="12">
        <v>2</v>
      </c>
      <c r="J346" t="str">
        <f>VLOOKUP(B346,Paramètres!$A$4:$C$11,3,FALSE)</f>
        <v>Petite couronne</v>
      </c>
      <c r="K346" s="13">
        <f>IFERROR(H346/G346,"")</f>
        <v>4</v>
      </c>
      <c r="L346" s="14">
        <f>IFERROR(I346/G346,"")</f>
        <v>1</v>
      </c>
      <c r="M346" s="11" t="str">
        <f>IF(K346&gt;=Paramètres!$F$6,"Très forte",IF(K346&gt;=Paramètres!$F$5,"Forte",IF(K346&gt;=Paramètres!$F$4,"Modérée","Faible")))</f>
        <v>Faible</v>
      </c>
    </row>
    <row r="347" spans="1:13">
      <c r="A347" t="s">
        <v>962</v>
      </c>
      <c r="B347" s="11">
        <v>93</v>
      </c>
      <c r="C347" t="s">
        <v>100</v>
      </c>
      <c r="D347" t="s">
        <v>1238</v>
      </c>
      <c r="E347" t="s">
        <v>1332</v>
      </c>
      <c r="F347" t="s">
        <v>92</v>
      </c>
      <c r="G347" s="12">
        <v>12</v>
      </c>
      <c r="H347" s="12">
        <v>48</v>
      </c>
      <c r="I347" s="12">
        <v>9</v>
      </c>
      <c r="J347" t="str">
        <f>VLOOKUP(B347,Paramètres!$A$4:$C$11,3,FALSE)</f>
        <v>Petite couronne</v>
      </c>
      <c r="K347" s="13">
        <f>IFERROR(H347/G347,"")</f>
        <v>4</v>
      </c>
      <c r="L347" s="14">
        <f>IFERROR(I347/G347,"")</f>
        <v>0.75</v>
      </c>
      <c r="M347" s="11" t="str">
        <f>IF(K347&gt;=Paramètres!$F$6,"Très forte",IF(K347&gt;=Paramètres!$F$5,"Forte",IF(K347&gt;=Paramètres!$F$4,"Modérée","Faible")))</f>
        <v>Faible</v>
      </c>
    </row>
    <row r="348" spans="1:13">
      <c r="A348" t="s">
        <v>89</v>
      </c>
      <c r="B348" s="11">
        <v>95</v>
      </c>
      <c r="C348" t="s">
        <v>90</v>
      </c>
      <c r="D348" t="s">
        <v>1238</v>
      </c>
      <c r="E348" t="s">
        <v>1346</v>
      </c>
      <c r="F348" t="s">
        <v>92</v>
      </c>
      <c r="G348" s="12">
        <v>55</v>
      </c>
      <c r="H348" s="12">
        <v>217</v>
      </c>
      <c r="I348" s="12">
        <v>54</v>
      </c>
      <c r="J348" t="str">
        <f>VLOOKUP(B348,Paramètres!$A$4:$C$11,3,FALSE)</f>
        <v>Grande couronne</v>
      </c>
      <c r="K348" s="13">
        <f>IFERROR(H348/G348,"")</f>
        <v>3.9454545454545453</v>
      </c>
      <c r="L348" s="14">
        <f>IFERROR(I348/G348,"")</f>
        <v>0.98181818181818181</v>
      </c>
      <c r="M348" s="11" t="str">
        <f>IF(K348&gt;=Paramètres!$F$6,"Très forte",IF(K348&gt;=Paramètres!$F$5,"Forte",IF(K348&gt;=Paramètres!$F$4,"Modérée","Faible")))</f>
        <v>Faible</v>
      </c>
    </row>
    <row r="349" spans="1:13">
      <c r="A349" t="s">
        <v>969</v>
      </c>
      <c r="B349" s="11">
        <v>94</v>
      </c>
      <c r="C349" t="s">
        <v>116</v>
      </c>
      <c r="D349" t="s">
        <v>1238</v>
      </c>
      <c r="E349" t="s">
        <v>1814</v>
      </c>
      <c r="F349" t="s">
        <v>92</v>
      </c>
      <c r="G349" s="12">
        <v>7</v>
      </c>
      <c r="H349" s="12">
        <v>27</v>
      </c>
      <c r="I349" s="12">
        <v>4</v>
      </c>
      <c r="J349" t="str">
        <f>VLOOKUP(B349,Paramètres!$A$4:$C$11,3,FALSE)</f>
        <v>Petite couronne</v>
      </c>
      <c r="K349" s="13">
        <f>IFERROR(H349/G349,"")</f>
        <v>3.8571428571428572</v>
      </c>
      <c r="L349" s="14">
        <f>IFERROR(I349/G349,"")</f>
        <v>0.5714285714285714</v>
      </c>
      <c r="M349" s="11" t="str">
        <f>IF(K349&gt;=Paramètres!$F$6,"Très forte",IF(K349&gt;=Paramètres!$F$5,"Forte",IF(K349&gt;=Paramètres!$F$4,"Modérée","Faible")))</f>
        <v>Faible</v>
      </c>
    </row>
    <row r="350" spans="1:13">
      <c r="A350" t="s">
        <v>1758</v>
      </c>
      <c r="B350" s="11">
        <v>95</v>
      </c>
      <c r="C350" t="s">
        <v>90</v>
      </c>
      <c r="D350" t="s">
        <v>1238</v>
      </c>
      <c r="E350" t="s">
        <v>1759</v>
      </c>
      <c r="F350" t="s">
        <v>92</v>
      </c>
      <c r="G350" s="12">
        <v>12</v>
      </c>
      <c r="H350" s="12">
        <v>46</v>
      </c>
      <c r="I350" s="12">
        <v>10</v>
      </c>
      <c r="J350" t="str">
        <f>VLOOKUP(B350,Paramètres!$A$4:$C$11,3,FALSE)</f>
        <v>Grande couronne</v>
      </c>
      <c r="K350" s="13">
        <f>IFERROR(H350/G350,"")</f>
        <v>3.8333333333333335</v>
      </c>
      <c r="L350" s="14">
        <f>IFERROR(I350/G350,"")</f>
        <v>0.83333333333333337</v>
      </c>
      <c r="M350" s="11" t="str">
        <f>IF(K350&gt;=Paramètres!$F$6,"Très forte",IF(K350&gt;=Paramètres!$F$5,"Forte",IF(K350&gt;=Paramètres!$F$4,"Modérée","Faible")))</f>
        <v>Faible</v>
      </c>
    </row>
    <row r="351" spans="1:13">
      <c r="A351" t="s">
        <v>1623</v>
      </c>
      <c r="B351" s="11">
        <v>75</v>
      </c>
      <c r="C351" t="s">
        <v>86</v>
      </c>
      <c r="D351" t="s">
        <v>1238</v>
      </c>
      <c r="E351" t="s">
        <v>1624</v>
      </c>
      <c r="F351" t="s">
        <v>92</v>
      </c>
      <c r="G351" s="12">
        <v>30</v>
      </c>
      <c r="H351" s="12">
        <v>113</v>
      </c>
      <c r="I351" s="12">
        <v>29</v>
      </c>
      <c r="J351" t="str">
        <f>VLOOKUP(B351,Paramètres!$A$4:$C$11,3,FALSE)</f>
        <v>Paris</v>
      </c>
      <c r="K351" s="13">
        <f>IFERROR(H351/G351,"")</f>
        <v>3.7666666666666666</v>
      </c>
      <c r="L351" s="14">
        <f>IFERROR(I351/G351,"")</f>
        <v>0.96666666666666667</v>
      </c>
      <c r="M351" s="11" t="str">
        <f>IF(K351&gt;=Paramètres!$F$6,"Très forte",IF(K351&gt;=Paramètres!$F$5,"Forte",IF(K351&gt;=Paramètres!$F$4,"Modérée","Faible")))</f>
        <v>Faible</v>
      </c>
    </row>
    <row r="352" spans="1:13">
      <c r="A352" t="s">
        <v>1197</v>
      </c>
      <c r="B352" s="11">
        <v>77</v>
      </c>
      <c r="C352" t="s">
        <v>132</v>
      </c>
      <c r="D352" t="s">
        <v>1238</v>
      </c>
      <c r="E352" t="s">
        <v>1369</v>
      </c>
      <c r="F352" t="s">
        <v>92</v>
      </c>
      <c r="G352" s="12">
        <v>12</v>
      </c>
      <c r="H352" s="12">
        <v>45</v>
      </c>
      <c r="I352" s="12">
        <v>7</v>
      </c>
      <c r="J352" t="str">
        <f>VLOOKUP(B352,Paramètres!$A$4:$C$11,3,FALSE)</f>
        <v>Grande couronne</v>
      </c>
      <c r="K352" s="13">
        <f>IFERROR(H352/G352,"")</f>
        <v>3.75</v>
      </c>
      <c r="L352" s="14">
        <f>IFERROR(I352/G352,"")</f>
        <v>0.58333333333333337</v>
      </c>
      <c r="M352" s="11" t="str">
        <f>IF(K352&gt;=Paramètres!$F$6,"Très forte",IF(K352&gt;=Paramètres!$F$5,"Forte",IF(K352&gt;=Paramètres!$F$4,"Modérée","Faible")))</f>
        <v>Faible</v>
      </c>
    </row>
    <row r="353" spans="1:13">
      <c r="A353" t="s">
        <v>1147</v>
      </c>
      <c r="B353" s="11">
        <v>91</v>
      </c>
      <c r="C353" t="s">
        <v>105</v>
      </c>
      <c r="D353" t="s">
        <v>1238</v>
      </c>
      <c r="E353" t="s">
        <v>1239</v>
      </c>
      <c r="F353" t="s">
        <v>92</v>
      </c>
      <c r="G353" s="12">
        <v>36</v>
      </c>
      <c r="H353" s="12">
        <v>133</v>
      </c>
      <c r="I353" s="12">
        <v>10</v>
      </c>
      <c r="J353" t="str">
        <f>VLOOKUP(B353,Paramètres!$A$4:$C$11,3,FALSE)</f>
        <v>Grande couronne</v>
      </c>
      <c r="K353" s="13">
        <f>IFERROR(H353/G353,"")</f>
        <v>3.6944444444444446</v>
      </c>
      <c r="L353" s="14">
        <f>IFERROR(I353/G353,"")</f>
        <v>0.27777777777777779</v>
      </c>
      <c r="M353" s="11" t="str">
        <f>IF(K353&gt;=Paramètres!$F$6,"Très forte",IF(K353&gt;=Paramètres!$F$5,"Forte",IF(K353&gt;=Paramètres!$F$4,"Modérée","Faible")))</f>
        <v>Faible</v>
      </c>
    </row>
    <row r="354" spans="1:13">
      <c r="A354" t="s">
        <v>1331</v>
      </c>
      <c r="B354" s="11">
        <v>95</v>
      </c>
      <c r="C354" t="s">
        <v>90</v>
      </c>
      <c r="D354" t="s">
        <v>1238</v>
      </c>
      <c r="E354" t="s">
        <v>1332</v>
      </c>
      <c r="F354" t="s">
        <v>92</v>
      </c>
      <c r="G354" s="12">
        <v>12</v>
      </c>
      <c r="H354" s="12">
        <v>44</v>
      </c>
      <c r="I354" s="12">
        <v>6</v>
      </c>
      <c r="J354" t="str">
        <f>VLOOKUP(B354,Paramètres!$A$4:$C$11,3,FALSE)</f>
        <v>Grande couronne</v>
      </c>
      <c r="K354" s="13">
        <f>IFERROR(H354/G354,"")</f>
        <v>3.6666666666666665</v>
      </c>
      <c r="L354" s="14">
        <f>IFERROR(I354/G354,"")</f>
        <v>0.5</v>
      </c>
      <c r="M354" s="11" t="str">
        <f>IF(K354&gt;=Paramètres!$F$6,"Très forte",IF(K354&gt;=Paramètres!$F$5,"Forte",IF(K354&gt;=Paramètres!$F$4,"Modérée","Faible")))</f>
        <v>Faible</v>
      </c>
    </row>
    <row r="355" spans="1:13">
      <c r="A355" t="s">
        <v>1273</v>
      </c>
      <c r="B355" s="11">
        <v>93</v>
      </c>
      <c r="C355" t="s">
        <v>100</v>
      </c>
      <c r="D355" t="s">
        <v>1238</v>
      </c>
      <c r="E355" t="s">
        <v>1471</v>
      </c>
      <c r="F355" t="s">
        <v>92</v>
      </c>
      <c r="G355" s="12">
        <v>2</v>
      </c>
      <c r="H355" s="12">
        <v>7</v>
      </c>
      <c r="I355" s="12">
        <v>2</v>
      </c>
      <c r="J355" t="str">
        <f>VLOOKUP(B355,Paramètres!$A$4:$C$11,3,FALSE)</f>
        <v>Petite couronne</v>
      </c>
      <c r="K355" s="13">
        <f>IFERROR(H355/G355,"")</f>
        <v>3.5</v>
      </c>
      <c r="L355" s="14">
        <f>IFERROR(I355/G355,"")</f>
        <v>1</v>
      </c>
      <c r="M355" s="11" t="str">
        <f>IF(K355&gt;=Paramètres!$F$6,"Très forte",IF(K355&gt;=Paramètres!$F$5,"Forte",IF(K355&gt;=Paramètres!$F$4,"Modérée","Faible")))</f>
        <v>Faible</v>
      </c>
    </row>
    <row r="356" spans="1:13">
      <c r="A356" t="s">
        <v>1796</v>
      </c>
      <c r="B356" s="11">
        <v>94</v>
      </c>
      <c r="C356" t="s">
        <v>116</v>
      </c>
      <c r="D356" t="s">
        <v>1238</v>
      </c>
      <c r="E356" t="s">
        <v>1797</v>
      </c>
      <c r="F356" t="s">
        <v>92</v>
      </c>
      <c r="G356" s="12">
        <v>200</v>
      </c>
      <c r="H356" s="12">
        <v>693</v>
      </c>
      <c r="I356" s="12">
        <v>96</v>
      </c>
      <c r="J356" t="str">
        <f>VLOOKUP(B356,Paramètres!$A$4:$C$11,3,FALSE)</f>
        <v>Petite couronne</v>
      </c>
      <c r="K356" s="13">
        <f>IFERROR(H356/G356,"")</f>
        <v>3.4649999999999999</v>
      </c>
      <c r="L356" s="14">
        <f>IFERROR(I356/G356,"")</f>
        <v>0.48</v>
      </c>
      <c r="M356" s="11" t="str">
        <f>IF(K356&gt;=Paramètres!$F$6,"Très forte",IF(K356&gt;=Paramètres!$F$5,"Forte",IF(K356&gt;=Paramètres!$F$4,"Modérée","Faible")))</f>
        <v>Faible</v>
      </c>
    </row>
    <row r="357" spans="1:13">
      <c r="A357" t="s">
        <v>138</v>
      </c>
      <c r="B357" s="11">
        <v>75</v>
      </c>
      <c r="C357" t="s">
        <v>86</v>
      </c>
      <c r="D357" t="s">
        <v>1238</v>
      </c>
      <c r="E357" t="s">
        <v>1737</v>
      </c>
      <c r="F357" t="s">
        <v>92</v>
      </c>
      <c r="G357" s="12">
        <v>100</v>
      </c>
      <c r="H357" s="12">
        <v>344</v>
      </c>
      <c r="I357" s="12">
        <v>105</v>
      </c>
      <c r="J357" t="str">
        <f>VLOOKUP(B357,Paramètres!$A$4:$C$11,3,FALSE)</f>
        <v>Paris</v>
      </c>
      <c r="K357" s="13">
        <f>IFERROR(H357/G357,"")</f>
        <v>3.44</v>
      </c>
      <c r="L357" s="14">
        <f>IFERROR(I357/G357,"")</f>
        <v>1.05</v>
      </c>
      <c r="M357" s="11" t="str">
        <f>IF(K357&gt;=Paramètres!$F$6,"Très forte",IF(K357&gt;=Paramètres!$F$5,"Forte",IF(K357&gt;=Paramètres!$F$4,"Modérée","Faible")))</f>
        <v>Faible</v>
      </c>
    </row>
    <row r="358" spans="1:13">
      <c r="A358" t="s">
        <v>1268</v>
      </c>
      <c r="B358" s="11">
        <v>78</v>
      </c>
      <c r="C358" t="s">
        <v>135</v>
      </c>
      <c r="D358" t="s">
        <v>1238</v>
      </c>
      <c r="E358" t="s">
        <v>1270</v>
      </c>
      <c r="F358" t="s">
        <v>92</v>
      </c>
      <c r="G358" s="12">
        <v>50</v>
      </c>
      <c r="H358" s="12">
        <v>171</v>
      </c>
      <c r="I358" s="12">
        <v>20</v>
      </c>
      <c r="J358" t="str">
        <f>VLOOKUP(B358,Paramètres!$A$4:$C$11,3,FALSE)</f>
        <v>Grande couronne</v>
      </c>
      <c r="K358" s="13">
        <f>IFERROR(H358/G358,"")</f>
        <v>3.42</v>
      </c>
      <c r="L358" s="14">
        <f>IFERROR(I358/G358,"")</f>
        <v>0.4</v>
      </c>
      <c r="M358" s="11" t="str">
        <f>IF(K358&gt;=Paramètres!$F$6,"Très forte",IF(K358&gt;=Paramètres!$F$5,"Forte",IF(K358&gt;=Paramètres!$F$4,"Modérée","Faible")))</f>
        <v>Faible</v>
      </c>
    </row>
    <row r="359" spans="1:13">
      <c r="A359" t="s">
        <v>1158</v>
      </c>
      <c r="B359" s="11">
        <v>94</v>
      </c>
      <c r="C359" t="s">
        <v>116</v>
      </c>
      <c r="D359" t="s">
        <v>1238</v>
      </c>
      <c r="E359" t="s">
        <v>1753</v>
      </c>
      <c r="F359" t="s">
        <v>92</v>
      </c>
      <c r="G359" s="12">
        <v>12</v>
      </c>
      <c r="H359" s="12">
        <v>41</v>
      </c>
      <c r="I359" s="12">
        <v>5</v>
      </c>
      <c r="J359" t="str">
        <f>VLOOKUP(B359,Paramètres!$A$4:$C$11,3,FALSE)</f>
        <v>Petite couronne</v>
      </c>
      <c r="K359" s="13">
        <f>IFERROR(H359/G359,"")</f>
        <v>3.4166666666666665</v>
      </c>
      <c r="L359" s="14">
        <f>IFERROR(I359/G359,"")</f>
        <v>0.41666666666666669</v>
      </c>
      <c r="M359" s="11" t="str">
        <f>IF(K359&gt;=Paramètres!$F$6,"Très forte",IF(K359&gt;=Paramètres!$F$5,"Forte",IF(K359&gt;=Paramètres!$F$4,"Modérée","Faible")))</f>
        <v>Faible</v>
      </c>
    </row>
    <row r="360" spans="1:13">
      <c r="A360" t="s">
        <v>1565</v>
      </c>
      <c r="B360" s="11">
        <v>75</v>
      </c>
      <c r="C360" t="s">
        <v>86</v>
      </c>
      <c r="D360" t="s">
        <v>1238</v>
      </c>
      <c r="E360" t="s">
        <v>1566</v>
      </c>
      <c r="F360" t="s">
        <v>92</v>
      </c>
      <c r="G360" s="12">
        <v>115</v>
      </c>
      <c r="H360" s="12">
        <v>390</v>
      </c>
      <c r="I360" s="12">
        <v>113</v>
      </c>
      <c r="J360" t="str">
        <f>VLOOKUP(B360,Paramètres!$A$4:$C$11,3,FALSE)</f>
        <v>Paris</v>
      </c>
      <c r="K360" s="13">
        <f>IFERROR(H360/G360,"")</f>
        <v>3.3913043478260869</v>
      </c>
      <c r="L360" s="14">
        <f>IFERROR(I360/G360,"")</f>
        <v>0.9826086956521739</v>
      </c>
      <c r="M360" s="11" t="str">
        <f>IF(K360&gt;=Paramètres!$F$6,"Très forte",IF(K360&gt;=Paramètres!$F$5,"Forte",IF(K360&gt;=Paramètres!$F$4,"Modérée","Faible")))</f>
        <v>Faible</v>
      </c>
    </row>
    <row r="361" spans="1:13">
      <c r="A361" t="s">
        <v>1044</v>
      </c>
      <c r="B361" s="11">
        <v>77</v>
      </c>
      <c r="C361" t="s">
        <v>132</v>
      </c>
      <c r="D361" t="s">
        <v>1238</v>
      </c>
      <c r="E361" t="s">
        <v>1392</v>
      </c>
      <c r="F361" t="s">
        <v>92</v>
      </c>
      <c r="G361" s="12">
        <v>12</v>
      </c>
      <c r="H361" s="12">
        <v>40</v>
      </c>
      <c r="I361" s="12">
        <v>7</v>
      </c>
      <c r="J361" t="str">
        <f>VLOOKUP(B361,Paramètres!$A$4:$C$11,3,FALSE)</f>
        <v>Grande couronne</v>
      </c>
      <c r="K361" s="13">
        <f>IFERROR(H361/G361,"")</f>
        <v>3.3333333333333335</v>
      </c>
      <c r="L361" s="14">
        <f>IFERROR(I361/G361,"")</f>
        <v>0.58333333333333337</v>
      </c>
      <c r="M361" s="11" t="str">
        <f>IF(K361&gt;=Paramètres!$F$6,"Très forte",IF(K361&gt;=Paramètres!$F$5,"Forte",IF(K361&gt;=Paramètres!$F$4,"Modérée","Faible")))</f>
        <v>Faible</v>
      </c>
    </row>
    <row r="362" spans="1:13">
      <c r="A362" t="s">
        <v>1197</v>
      </c>
      <c r="B362" s="11">
        <v>95</v>
      </c>
      <c r="C362" t="s">
        <v>90</v>
      </c>
      <c r="D362" t="s">
        <v>1238</v>
      </c>
      <c r="E362" t="s">
        <v>1368</v>
      </c>
      <c r="F362" t="s">
        <v>92</v>
      </c>
      <c r="G362" s="12">
        <v>12</v>
      </c>
      <c r="H362" s="12">
        <v>40</v>
      </c>
      <c r="I362" s="12">
        <v>4</v>
      </c>
      <c r="J362" t="str">
        <f>VLOOKUP(B362,Paramètres!$A$4:$C$11,3,FALSE)</f>
        <v>Grande couronne</v>
      </c>
      <c r="K362" s="13">
        <f>IFERROR(H362/G362,"")</f>
        <v>3.3333333333333335</v>
      </c>
      <c r="L362" s="14">
        <f>IFERROR(I362/G362,"")</f>
        <v>0.33333333333333331</v>
      </c>
      <c r="M362" s="11" t="str">
        <f>IF(K362&gt;=Paramètres!$F$6,"Très forte",IF(K362&gt;=Paramètres!$F$5,"Forte",IF(K362&gt;=Paramètres!$F$4,"Modérée","Faible")))</f>
        <v>Faible</v>
      </c>
    </row>
    <row r="363" spans="1:13">
      <c r="A363" t="s">
        <v>907</v>
      </c>
      <c r="B363" s="11">
        <v>78</v>
      </c>
      <c r="C363" t="s">
        <v>135</v>
      </c>
      <c r="D363" t="s">
        <v>1238</v>
      </c>
      <c r="E363" t="s">
        <v>1785</v>
      </c>
      <c r="F363" t="s">
        <v>92</v>
      </c>
      <c r="G363" s="12">
        <v>24</v>
      </c>
      <c r="H363" s="12">
        <v>79</v>
      </c>
      <c r="I363" s="12">
        <v>13</v>
      </c>
      <c r="J363" t="str">
        <f>VLOOKUP(B363,Paramètres!$A$4:$C$11,3,FALSE)</f>
        <v>Grande couronne</v>
      </c>
      <c r="K363" s="13">
        <f>IFERROR(H363/G363,"")</f>
        <v>3.2916666666666665</v>
      </c>
      <c r="L363" s="14">
        <f>IFERROR(I363/G363,"")</f>
        <v>0.54166666666666663</v>
      </c>
      <c r="M363" s="11" t="str">
        <f>IF(K363&gt;=Paramètres!$F$6,"Très forte",IF(K363&gt;=Paramètres!$F$5,"Forte",IF(K363&gt;=Paramètres!$F$4,"Modérée","Faible")))</f>
        <v>Faible</v>
      </c>
    </row>
    <row r="364" spans="1:13">
      <c r="A364" t="s">
        <v>1286</v>
      </c>
      <c r="B364" s="11">
        <v>78</v>
      </c>
      <c r="C364" t="s">
        <v>135</v>
      </c>
      <c r="D364" t="s">
        <v>1238</v>
      </c>
      <c r="E364" t="s">
        <v>1685</v>
      </c>
      <c r="F364" t="s">
        <v>92</v>
      </c>
      <c r="G364" s="12">
        <v>84</v>
      </c>
      <c r="H364" s="12">
        <v>275</v>
      </c>
      <c r="I364" s="12">
        <v>85</v>
      </c>
      <c r="J364" t="str">
        <f>VLOOKUP(B364,Paramètres!$A$4:$C$11,3,FALSE)</f>
        <v>Grande couronne</v>
      </c>
      <c r="K364" s="13">
        <f>IFERROR(H364/G364,"")</f>
        <v>3.2738095238095237</v>
      </c>
      <c r="L364" s="14">
        <f>IFERROR(I364/G364,"")</f>
        <v>1.0119047619047619</v>
      </c>
      <c r="M364" s="11" t="str">
        <f>IF(K364&gt;=Paramètres!$F$6,"Très forte",IF(K364&gt;=Paramètres!$F$5,"Forte",IF(K364&gt;=Paramètres!$F$4,"Modérée","Faible")))</f>
        <v>Faible</v>
      </c>
    </row>
    <row r="365" spans="1:13">
      <c r="A365" t="s">
        <v>1772</v>
      </c>
      <c r="B365" s="11">
        <v>94</v>
      </c>
      <c r="C365" t="s">
        <v>116</v>
      </c>
      <c r="D365" t="s">
        <v>1238</v>
      </c>
      <c r="E365" t="s">
        <v>1332</v>
      </c>
      <c r="F365" t="s">
        <v>92</v>
      </c>
      <c r="G365" s="12">
        <v>12</v>
      </c>
      <c r="H365" s="12">
        <v>39</v>
      </c>
      <c r="I365" s="12">
        <v>4</v>
      </c>
      <c r="J365" t="str">
        <f>VLOOKUP(B365,Paramètres!$A$4:$C$11,3,FALSE)</f>
        <v>Petite couronne</v>
      </c>
      <c r="K365" s="13">
        <f>IFERROR(H365/G365,"")</f>
        <v>3.25</v>
      </c>
      <c r="L365" s="14">
        <f>IFERROR(I365/G365,"")</f>
        <v>0.33333333333333331</v>
      </c>
      <c r="M365" s="11" t="str">
        <f>IF(K365&gt;=Paramètres!$F$6,"Très forte",IF(K365&gt;=Paramètres!$F$5,"Forte",IF(K365&gt;=Paramètres!$F$4,"Modérée","Faible")))</f>
        <v>Faible</v>
      </c>
    </row>
    <row r="366" spans="1:13">
      <c r="A366" t="s">
        <v>1197</v>
      </c>
      <c r="B366" s="11">
        <v>77</v>
      </c>
      <c r="C366" t="s">
        <v>132</v>
      </c>
      <c r="D366" t="s">
        <v>1238</v>
      </c>
      <c r="E366" t="s">
        <v>1850</v>
      </c>
      <c r="F366" t="s">
        <v>92</v>
      </c>
      <c r="G366" s="12">
        <v>12</v>
      </c>
      <c r="H366" s="12">
        <v>37</v>
      </c>
      <c r="I366" s="12">
        <v>2</v>
      </c>
      <c r="J366" t="str">
        <f>VLOOKUP(B366,Paramètres!$A$4:$C$11,3,FALSE)</f>
        <v>Grande couronne</v>
      </c>
      <c r="K366" s="13">
        <f>IFERROR(H366/G366,"")</f>
        <v>3.0833333333333335</v>
      </c>
      <c r="L366" s="14">
        <f>IFERROR(I366/G366,"")</f>
        <v>0.16666666666666666</v>
      </c>
      <c r="M366" s="11" t="str">
        <f>IF(K366&gt;=Paramètres!$F$6,"Très forte",IF(K366&gt;=Paramètres!$F$5,"Forte",IF(K366&gt;=Paramètres!$F$4,"Modérée","Faible")))</f>
        <v>Faible</v>
      </c>
    </row>
    <row r="367" spans="1:13">
      <c r="A367" t="s">
        <v>1597</v>
      </c>
      <c r="B367" s="11">
        <v>94</v>
      </c>
      <c r="C367" t="s">
        <v>116</v>
      </c>
      <c r="D367" t="s">
        <v>1238</v>
      </c>
      <c r="E367" t="s">
        <v>1598</v>
      </c>
      <c r="F367" t="s">
        <v>92</v>
      </c>
      <c r="G367" s="12">
        <v>70</v>
      </c>
      <c r="H367" s="12">
        <v>214</v>
      </c>
      <c r="I367" s="12">
        <v>43</v>
      </c>
      <c r="J367" t="str">
        <f>VLOOKUP(B367,Paramètres!$A$4:$C$11,3,FALSE)</f>
        <v>Petite couronne</v>
      </c>
      <c r="K367" s="13">
        <f>IFERROR(H367/G367,"")</f>
        <v>3.0571428571428569</v>
      </c>
      <c r="L367" s="14">
        <f>IFERROR(I367/G367,"")</f>
        <v>0.61428571428571432</v>
      </c>
      <c r="M367" s="11" t="str">
        <f>IF(K367&gt;=Paramètres!$F$6,"Très forte",IF(K367&gt;=Paramètres!$F$5,"Forte",IF(K367&gt;=Paramètres!$F$4,"Modérée","Faible")))</f>
        <v>Faible</v>
      </c>
    </row>
    <row r="368" spans="1:13">
      <c r="A368" t="s">
        <v>1273</v>
      </c>
      <c r="B368" s="11">
        <v>93</v>
      </c>
      <c r="C368" t="s">
        <v>100</v>
      </c>
      <c r="D368" t="s">
        <v>1238</v>
      </c>
      <c r="E368" t="s">
        <v>1275</v>
      </c>
      <c r="F368" t="s">
        <v>92</v>
      </c>
      <c r="G368" s="12">
        <v>3</v>
      </c>
      <c r="H368" s="12">
        <v>9</v>
      </c>
      <c r="I368" s="12">
        <v>2</v>
      </c>
      <c r="J368" t="str">
        <f>VLOOKUP(B368,Paramètres!$A$4:$C$11,3,FALSE)</f>
        <v>Petite couronne</v>
      </c>
      <c r="K368" s="13">
        <f>IFERROR(H368/G368,"")</f>
        <v>3</v>
      </c>
      <c r="L368" s="14">
        <f>IFERROR(I368/G368,"")</f>
        <v>0.66666666666666663</v>
      </c>
      <c r="M368" s="11" t="str">
        <f>IF(K368&gt;=Paramètres!$F$6,"Très forte",IF(K368&gt;=Paramètres!$F$5,"Forte",IF(K368&gt;=Paramètres!$F$4,"Modérée","Faible")))</f>
        <v>Faible</v>
      </c>
    </row>
    <row r="369" spans="1:13">
      <c r="A369" t="s">
        <v>881</v>
      </c>
      <c r="B369" s="11">
        <v>77</v>
      </c>
      <c r="C369" t="s">
        <v>132</v>
      </c>
      <c r="D369" t="s">
        <v>1238</v>
      </c>
      <c r="E369" t="s">
        <v>1626</v>
      </c>
      <c r="F369" t="s">
        <v>92</v>
      </c>
      <c r="G369" s="12">
        <v>12</v>
      </c>
      <c r="H369" s="12">
        <v>36</v>
      </c>
      <c r="I369" s="12">
        <v>4</v>
      </c>
      <c r="J369" t="str">
        <f>VLOOKUP(B369,Paramètres!$A$4:$C$11,3,FALSE)</f>
        <v>Grande couronne</v>
      </c>
      <c r="K369" s="13">
        <f>IFERROR(H369/G369,"")</f>
        <v>3</v>
      </c>
      <c r="L369" s="14">
        <f>IFERROR(I369/G369,"")</f>
        <v>0.33333333333333331</v>
      </c>
      <c r="M369" s="11" t="str">
        <f>IF(K369&gt;=Paramètres!$F$6,"Très forte",IF(K369&gt;=Paramètres!$F$5,"Forte",IF(K369&gt;=Paramètres!$F$4,"Modérée","Faible")))</f>
        <v>Faible</v>
      </c>
    </row>
    <row r="370" spans="1:13">
      <c r="A370" t="s">
        <v>89</v>
      </c>
      <c r="B370" s="11">
        <v>95</v>
      </c>
      <c r="C370" t="s">
        <v>90</v>
      </c>
      <c r="D370" t="s">
        <v>1238</v>
      </c>
      <c r="E370" t="s">
        <v>1346</v>
      </c>
      <c r="F370" t="s">
        <v>92</v>
      </c>
      <c r="G370" s="12">
        <v>40</v>
      </c>
      <c r="H370" s="12">
        <v>119</v>
      </c>
      <c r="I370" s="12">
        <v>28</v>
      </c>
      <c r="J370" t="str">
        <f>VLOOKUP(B370,Paramètres!$A$4:$C$11,3,FALSE)</f>
        <v>Grande couronne</v>
      </c>
      <c r="K370" s="13">
        <f>IFERROR(H370/G370,"")</f>
        <v>2.9750000000000001</v>
      </c>
      <c r="L370" s="14">
        <f>IFERROR(I370/G370,"")</f>
        <v>0.7</v>
      </c>
      <c r="M370" s="11" t="str">
        <f>IF(K370&gt;=Paramètres!$F$6,"Très forte",IF(K370&gt;=Paramètres!$F$5,"Forte",IF(K370&gt;=Paramètres!$F$4,"Modérée","Faible")))</f>
        <v>Faible</v>
      </c>
    </row>
    <row r="371" spans="1:13">
      <c r="A371" t="s">
        <v>1081</v>
      </c>
      <c r="B371" s="11">
        <v>92</v>
      </c>
      <c r="C371" t="s">
        <v>94</v>
      </c>
      <c r="D371" t="s">
        <v>1238</v>
      </c>
      <c r="E371" t="s">
        <v>1356</v>
      </c>
      <c r="F371" t="s">
        <v>92</v>
      </c>
      <c r="G371" s="12">
        <v>20</v>
      </c>
      <c r="H371" s="12">
        <v>59</v>
      </c>
      <c r="I371" s="12">
        <v>12</v>
      </c>
      <c r="J371" t="str">
        <f>VLOOKUP(B371,Paramètres!$A$4:$C$11,3,FALSE)</f>
        <v>Petite couronne</v>
      </c>
      <c r="K371" s="13">
        <f>IFERROR(H371/G371,"")</f>
        <v>2.95</v>
      </c>
      <c r="L371" s="14">
        <f>IFERROR(I371/G371,"")</f>
        <v>0.6</v>
      </c>
      <c r="M371" s="11" t="str">
        <f>IF(K371&gt;=Paramètres!$F$6,"Très forte",IF(K371&gt;=Paramètres!$F$5,"Forte",IF(K371&gt;=Paramètres!$F$4,"Modérée","Faible")))</f>
        <v>Faible</v>
      </c>
    </row>
    <row r="372" spans="1:13">
      <c r="A372" t="s">
        <v>962</v>
      </c>
      <c r="B372" s="11">
        <v>93</v>
      </c>
      <c r="C372" t="s">
        <v>100</v>
      </c>
      <c r="D372" t="s">
        <v>1238</v>
      </c>
      <c r="E372" t="s">
        <v>1367</v>
      </c>
      <c r="F372" t="s">
        <v>92</v>
      </c>
      <c r="G372" s="12">
        <v>12</v>
      </c>
      <c r="H372" s="12">
        <v>35</v>
      </c>
      <c r="I372" s="12">
        <v>9</v>
      </c>
      <c r="J372" t="str">
        <f>VLOOKUP(B372,Paramètres!$A$4:$C$11,3,FALSE)</f>
        <v>Petite couronne</v>
      </c>
      <c r="K372" s="13">
        <f>IFERROR(H372/G372,"")</f>
        <v>2.9166666666666665</v>
      </c>
      <c r="L372" s="14">
        <f>IFERROR(I372/G372,"")</f>
        <v>0.75</v>
      </c>
      <c r="M372" s="11" t="str">
        <f>IF(K372&gt;=Paramètres!$F$6,"Très forte",IF(K372&gt;=Paramètres!$F$5,"Forte",IF(K372&gt;=Paramètres!$F$4,"Modérée","Faible")))</f>
        <v>Faible</v>
      </c>
    </row>
    <row r="373" spans="1:13">
      <c r="A373" t="s">
        <v>996</v>
      </c>
      <c r="B373" s="11">
        <v>75</v>
      </c>
      <c r="C373" t="s">
        <v>86</v>
      </c>
      <c r="D373" t="s">
        <v>1238</v>
      </c>
      <c r="E373" t="s">
        <v>1672</v>
      </c>
      <c r="F373" t="s">
        <v>92</v>
      </c>
      <c r="G373" s="12">
        <v>9</v>
      </c>
      <c r="H373" s="12">
        <v>26</v>
      </c>
      <c r="I373" s="12">
        <v>10</v>
      </c>
      <c r="J373" t="str">
        <f>VLOOKUP(B373,Paramètres!$A$4:$C$11,3,FALSE)</f>
        <v>Paris</v>
      </c>
      <c r="K373" s="13">
        <f>IFERROR(H373/G373,"")</f>
        <v>2.8888888888888888</v>
      </c>
      <c r="L373" s="14">
        <f>IFERROR(I373/G373,"")</f>
        <v>1.1111111111111112</v>
      </c>
      <c r="M373" s="11" t="str">
        <f>IF(K373&gt;=Paramètres!$F$6,"Très forte",IF(K373&gt;=Paramètres!$F$5,"Forte",IF(K373&gt;=Paramètres!$F$4,"Modérée","Faible")))</f>
        <v>Faible</v>
      </c>
    </row>
    <row r="374" spans="1:13">
      <c r="A374" t="s">
        <v>1494</v>
      </c>
      <c r="B374" s="11">
        <v>75</v>
      </c>
      <c r="C374" t="s">
        <v>86</v>
      </c>
      <c r="D374" t="s">
        <v>1238</v>
      </c>
      <c r="E374" t="s">
        <v>1470</v>
      </c>
      <c r="F374" t="s">
        <v>92</v>
      </c>
      <c r="G374" s="12">
        <v>20</v>
      </c>
      <c r="H374" s="12">
        <v>57</v>
      </c>
      <c r="I374" s="12">
        <v>10</v>
      </c>
      <c r="J374" t="str">
        <f>VLOOKUP(B374,Paramètres!$A$4:$C$11,3,FALSE)</f>
        <v>Paris</v>
      </c>
      <c r="K374" s="13">
        <f>IFERROR(H374/G374,"")</f>
        <v>2.85</v>
      </c>
      <c r="L374" s="14">
        <f>IFERROR(I374/G374,"")</f>
        <v>0.5</v>
      </c>
      <c r="M374" s="11" t="str">
        <f>IF(K374&gt;=Paramètres!$F$6,"Très forte",IF(K374&gt;=Paramètres!$F$5,"Forte",IF(K374&gt;=Paramètres!$F$4,"Modérée","Faible")))</f>
        <v>Faible</v>
      </c>
    </row>
    <row r="375" spans="1:13">
      <c r="A375" t="s">
        <v>1042</v>
      </c>
      <c r="B375" s="11">
        <v>75</v>
      </c>
      <c r="C375" t="s">
        <v>86</v>
      </c>
      <c r="D375" t="s">
        <v>1238</v>
      </c>
      <c r="E375" t="s">
        <v>1470</v>
      </c>
      <c r="F375" t="s">
        <v>92</v>
      </c>
      <c r="G375" s="12">
        <v>15</v>
      </c>
      <c r="H375" s="12">
        <v>41</v>
      </c>
      <c r="I375" s="12">
        <v>12</v>
      </c>
      <c r="J375" t="str">
        <f>VLOOKUP(B375,Paramètres!$A$4:$C$11,3,FALSE)</f>
        <v>Paris</v>
      </c>
      <c r="K375" s="13">
        <f>IFERROR(H375/G375,"")</f>
        <v>2.7333333333333334</v>
      </c>
      <c r="L375" s="14">
        <f>IFERROR(I375/G375,"")</f>
        <v>0.8</v>
      </c>
      <c r="M375" s="11" t="str">
        <f>IF(K375&gt;=Paramètres!$F$6,"Très forte",IF(K375&gt;=Paramètres!$F$5,"Forte",IF(K375&gt;=Paramètres!$F$4,"Modérée","Faible")))</f>
        <v>Faible</v>
      </c>
    </row>
    <row r="376" spans="1:13">
      <c r="A376" t="s">
        <v>1849</v>
      </c>
      <c r="B376" s="11">
        <v>75</v>
      </c>
      <c r="C376" t="s">
        <v>86</v>
      </c>
      <c r="D376" t="s">
        <v>1238</v>
      </c>
      <c r="E376" t="s">
        <v>1392</v>
      </c>
      <c r="F376" t="s">
        <v>92</v>
      </c>
      <c r="G376" s="12">
        <v>25</v>
      </c>
      <c r="H376" s="12">
        <v>68</v>
      </c>
      <c r="I376" s="12">
        <v>11</v>
      </c>
      <c r="J376" t="str">
        <f>VLOOKUP(B376,Paramètres!$A$4:$C$11,3,FALSE)</f>
        <v>Paris</v>
      </c>
      <c r="K376" s="13">
        <f>IFERROR(H376/G376,"")</f>
        <v>2.72</v>
      </c>
      <c r="L376" s="14">
        <f>IFERROR(I376/G376,"")</f>
        <v>0.44</v>
      </c>
      <c r="M376" s="11" t="str">
        <f>IF(K376&gt;=Paramètres!$F$6,"Très forte",IF(K376&gt;=Paramètres!$F$5,"Forte",IF(K376&gt;=Paramètres!$F$4,"Modérée","Faible")))</f>
        <v>Faible</v>
      </c>
    </row>
    <row r="377" spans="1:13">
      <c r="A377" t="s">
        <v>880</v>
      </c>
      <c r="B377" s="11">
        <v>77</v>
      </c>
      <c r="C377" t="s">
        <v>132</v>
      </c>
      <c r="D377" t="s">
        <v>1238</v>
      </c>
      <c r="E377" t="s">
        <v>1484</v>
      </c>
      <c r="F377" t="s">
        <v>92</v>
      </c>
      <c r="G377" s="12">
        <v>12</v>
      </c>
      <c r="H377" s="12">
        <v>32</v>
      </c>
      <c r="I377" s="12">
        <v>6</v>
      </c>
      <c r="J377" t="str">
        <f>VLOOKUP(B377,Paramètres!$A$4:$C$11,3,FALSE)</f>
        <v>Grande couronne</v>
      </c>
      <c r="K377" s="13">
        <f>IFERROR(H377/G377,"")</f>
        <v>2.6666666666666665</v>
      </c>
      <c r="L377" s="14">
        <f>IFERROR(I377/G377,"")</f>
        <v>0.5</v>
      </c>
      <c r="M377" s="11" t="str">
        <f>IF(K377&gt;=Paramètres!$F$6,"Très forte",IF(K377&gt;=Paramètres!$F$5,"Forte",IF(K377&gt;=Paramètres!$F$4,"Modérée","Faible")))</f>
        <v>Faible</v>
      </c>
    </row>
    <row r="378" spans="1:13">
      <c r="A378" t="s">
        <v>89</v>
      </c>
      <c r="B378" s="11">
        <v>95</v>
      </c>
      <c r="C378" t="s">
        <v>90</v>
      </c>
      <c r="D378" t="s">
        <v>1238</v>
      </c>
      <c r="E378" t="s">
        <v>1346</v>
      </c>
      <c r="F378" t="s">
        <v>92</v>
      </c>
      <c r="G378" s="12">
        <v>20</v>
      </c>
      <c r="H378" s="12">
        <v>53</v>
      </c>
      <c r="I378" s="12">
        <v>7</v>
      </c>
      <c r="J378" t="str">
        <f>VLOOKUP(B378,Paramètres!$A$4:$C$11,3,FALSE)</f>
        <v>Grande couronne</v>
      </c>
      <c r="K378" s="13">
        <f>IFERROR(H378/G378,"")</f>
        <v>2.65</v>
      </c>
      <c r="L378" s="14">
        <f>IFERROR(I378/G378,"")</f>
        <v>0.35</v>
      </c>
      <c r="M378" s="11" t="str">
        <f>IF(K378&gt;=Paramètres!$F$6,"Très forte",IF(K378&gt;=Paramètres!$F$5,"Forte",IF(K378&gt;=Paramètres!$F$4,"Modérée","Faible")))</f>
        <v>Faible</v>
      </c>
    </row>
    <row r="379" spans="1:13">
      <c r="A379" t="s">
        <v>1257</v>
      </c>
      <c r="B379" s="11">
        <v>75</v>
      </c>
      <c r="C379" t="s">
        <v>86</v>
      </c>
      <c r="D379" t="s">
        <v>1238</v>
      </c>
      <c r="E379" t="s">
        <v>1259</v>
      </c>
      <c r="F379" t="s">
        <v>92</v>
      </c>
      <c r="G379" s="12">
        <v>30</v>
      </c>
      <c r="H379" s="12">
        <v>76</v>
      </c>
      <c r="I379" s="12">
        <v>10</v>
      </c>
      <c r="J379" t="str">
        <f>VLOOKUP(B379,Paramètres!$A$4:$C$11,3,FALSE)</f>
        <v>Paris</v>
      </c>
      <c r="K379" s="13">
        <f>IFERROR(H379/G379,"")</f>
        <v>2.5333333333333332</v>
      </c>
      <c r="L379" s="14">
        <f>IFERROR(I379/G379,"")</f>
        <v>0.33333333333333331</v>
      </c>
      <c r="M379" s="11" t="str">
        <f>IF(K379&gt;=Paramètres!$F$6,"Très forte",IF(K379&gt;=Paramètres!$F$5,"Forte",IF(K379&gt;=Paramètres!$F$4,"Modérée","Faible")))</f>
        <v>Faible</v>
      </c>
    </row>
    <row r="380" spans="1:13">
      <c r="A380" t="s">
        <v>1596</v>
      </c>
      <c r="B380" s="11">
        <v>91</v>
      </c>
      <c r="C380" t="s">
        <v>105</v>
      </c>
      <c r="D380" t="s">
        <v>1238</v>
      </c>
      <c r="E380" t="s">
        <v>1354</v>
      </c>
      <c r="F380" t="s">
        <v>92</v>
      </c>
      <c r="G380" s="12">
        <v>12</v>
      </c>
      <c r="H380" s="12">
        <v>29</v>
      </c>
      <c r="I380" s="12">
        <v>1</v>
      </c>
      <c r="J380" t="str">
        <f>VLOOKUP(B380,Paramètres!$A$4:$C$11,3,FALSE)</f>
        <v>Grande couronne</v>
      </c>
      <c r="K380" s="13">
        <f>IFERROR(H380/G380,"")</f>
        <v>2.4166666666666665</v>
      </c>
      <c r="L380" s="14">
        <f>IFERROR(I380/G380,"")</f>
        <v>8.3333333333333329E-2</v>
      </c>
      <c r="M380" s="11" t="str">
        <f>IF(K380&gt;=Paramètres!$F$6,"Très forte",IF(K380&gt;=Paramètres!$F$5,"Forte",IF(K380&gt;=Paramètres!$F$4,"Modérée","Faible")))</f>
        <v>Faible</v>
      </c>
    </row>
    <row r="381" spans="1:13">
      <c r="A381" t="s">
        <v>1326</v>
      </c>
      <c r="B381" s="11">
        <v>93</v>
      </c>
      <c r="C381" t="s">
        <v>100</v>
      </c>
      <c r="D381" t="s">
        <v>1238</v>
      </c>
      <c r="E381" t="s">
        <v>1618</v>
      </c>
      <c r="F381" t="s">
        <v>92</v>
      </c>
      <c r="G381" s="12">
        <v>60</v>
      </c>
      <c r="H381" s="12">
        <v>141</v>
      </c>
      <c r="I381" s="12">
        <v>0</v>
      </c>
      <c r="J381" t="str">
        <f>VLOOKUP(B381,Paramètres!$A$4:$C$11,3,FALSE)</f>
        <v>Petite couronne</v>
      </c>
      <c r="K381" s="13">
        <f>IFERROR(H381/G381,"")</f>
        <v>2.35</v>
      </c>
      <c r="L381" s="14">
        <f>IFERROR(I381/G381,"")</f>
        <v>0</v>
      </c>
      <c r="M381" s="11" t="str">
        <f>IF(K381&gt;=Paramètres!$F$6,"Très forte",IF(K381&gt;=Paramètres!$F$5,"Forte",IF(K381&gt;=Paramètres!$F$4,"Modérée","Faible")))</f>
        <v>Faible</v>
      </c>
    </row>
    <row r="382" spans="1:13">
      <c r="A382" t="s">
        <v>939</v>
      </c>
      <c r="B382" s="11">
        <v>77</v>
      </c>
      <c r="C382" t="s">
        <v>132</v>
      </c>
      <c r="D382" t="s">
        <v>1238</v>
      </c>
      <c r="E382" t="s">
        <v>1368</v>
      </c>
      <c r="F382" t="s">
        <v>92</v>
      </c>
      <c r="G382" s="12">
        <v>12</v>
      </c>
      <c r="H382" s="12">
        <v>27</v>
      </c>
      <c r="I382" s="12">
        <v>3</v>
      </c>
      <c r="J382" t="str">
        <f>VLOOKUP(B382,Paramètres!$A$4:$C$11,3,FALSE)</f>
        <v>Grande couronne</v>
      </c>
      <c r="K382" s="13">
        <f>IFERROR(H382/G382,"")</f>
        <v>2.25</v>
      </c>
      <c r="L382" s="14">
        <f>IFERROR(I382/G382,"")</f>
        <v>0.25</v>
      </c>
      <c r="M382" s="11" t="str">
        <f>IF(K382&gt;=Paramètres!$F$6,"Très forte",IF(K382&gt;=Paramètres!$F$5,"Forte",IF(K382&gt;=Paramètres!$F$4,"Modérée","Faible")))</f>
        <v>Faible</v>
      </c>
    </row>
    <row r="383" spans="1:13">
      <c r="A383" t="s">
        <v>1320</v>
      </c>
      <c r="B383" s="11">
        <v>93</v>
      </c>
      <c r="C383" t="s">
        <v>100</v>
      </c>
      <c r="D383" t="s">
        <v>1238</v>
      </c>
      <c r="E383" t="s">
        <v>1321</v>
      </c>
      <c r="F383" t="s">
        <v>92</v>
      </c>
      <c r="G383" s="12">
        <v>12</v>
      </c>
      <c r="H383" s="12">
        <v>25</v>
      </c>
      <c r="I383" s="12">
        <v>2</v>
      </c>
      <c r="J383" t="str">
        <f>VLOOKUP(B383,Paramètres!$A$4:$C$11,3,FALSE)</f>
        <v>Petite couronne</v>
      </c>
      <c r="K383" s="13">
        <f>IFERROR(H383/G383,"")</f>
        <v>2.0833333333333335</v>
      </c>
      <c r="L383" s="14">
        <f>IFERROR(I383/G383,"")</f>
        <v>0.16666666666666666</v>
      </c>
      <c r="M383" s="11" t="str">
        <f>IF(K383&gt;=Paramètres!$F$6,"Très forte",IF(K383&gt;=Paramètres!$F$5,"Forte",IF(K383&gt;=Paramètres!$F$4,"Modérée","Faible")))</f>
        <v>Faible</v>
      </c>
    </row>
    <row r="384" spans="1:13">
      <c r="A384" t="s">
        <v>1268</v>
      </c>
      <c r="B384" s="11">
        <v>78</v>
      </c>
      <c r="C384" t="s">
        <v>135</v>
      </c>
      <c r="D384" t="s">
        <v>1238</v>
      </c>
      <c r="E384" t="s">
        <v>1269</v>
      </c>
      <c r="F384" t="s">
        <v>92</v>
      </c>
      <c r="G384" s="12">
        <v>100</v>
      </c>
      <c r="H384" s="12">
        <v>205</v>
      </c>
      <c r="I384" s="12">
        <v>25</v>
      </c>
      <c r="J384" t="str">
        <f>VLOOKUP(B384,Paramètres!$A$4:$C$11,3,FALSE)</f>
        <v>Grande couronne</v>
      </c>
      <c r="K384" s="13">
        <f>IFERROR(H384/G384,"")</f>
        <v>2.0499999999999998</v>
      </c>
      <c r="L384" s="14">
        <f>IFERROR(I384/G384,"")</f>
        <v>0.25</v>
      </c>
      <c r="M384" s="11" t="str">
        <f>IF(K384&gt;=Paramètres!$F$6,"Très forte",IF(K384&gt;=Paramètres!$F$5,"Forte",IF(K384&gt;=Paramètres!$F$4,"Modérée","Faible")))</f>
        <v>Faible</v>
      </c>
    </row>
    <row r="385" spans="1:13">
      <c r="A385" t="s">
        <v>1268</v>
      </c>
      <c r="B385" s="11">
        <v>78</v>
      </c>
      <c r="C385" t="s">
        <v>135</v>
      </c>
      <c r="D385" t="s">
        <v>1238</v>
      </c>
      <c r="E385" t="s">
        <v>1270</v>
      </c>
      <c r="F385" t="s">
        <v>92</v>
      </c>
      <c r="G385" s="12">
        <v>200</v>
      </c>
      <c r="H385" s="12">
        <v>408</v>
      </c>
      <c r="I385" s="12">
        <v>75</v>
      </c>
      <c r="J385" t="str">
        <f>VLOOKUP(B385,Paramètres!$A$4:$C$11,3,FALSE)</f>
        <v>Grande couronne</v>
      </c>
      <c r="K385" s="13">
        <f>IFERROR(H385/G385,"")</f>
        <v>2.04</v>
      </c>
      <c r="L385" s="14">
        <f>IFERROR(I385/G385,"")</f>
        <v>0.375</v>
      </c>
      <c r="M385" s="11" t="str">
        <f>IF(K385&gt;=Paramètres!$F$6,"Très forte",IF(K385&gt;=Paramètres!$F$5,"Forte",IF(K385&gt;=Paramètres!$F$4,"Modérée","Faible")))</f>
        <v>Faible</v>
      </c>
    </row>
    <row r="386" spans="1:13">
      <c r="A386" t="s">
        <v>1273</v>
      </c>
      <c r="B386" s="11">
        <v>93</v>
      </c>
      <c r="C386" t="s">
        <v>100</v>
      </c>
      <c r="D386" t="s">
        <v>1238</v>
      </c>
      <c r="E386" t="s">
        <v>1611</v>
      </c>
      <c r="F386" t="s">
        <v>92</v>
      </c>
      <c r="G386" s="12">
        <v>2</v>
      </c>
      <c r="H386" s="12">
        <v>4</v>
      </c>
      <c r="I386" s="12">
        <v>1</v>
      </c>
      <c r="J386" t="str">
        <f>VLOOKUP(B386,Paramètres!$A$4:$C$11,3,FALSE)</f>
        <v>Petite couronne</v>
      </c>
      <c r="K386" s="13">
        <f>IFERROR(H386/G386,"")</f>
        <v>2</v>
      </c>
      <c r="L386" s="14">
        <f>IFERROR(I386/G386,"")</f>
        <v>0.5</v>
      </c>
      <c r="M386" s="11" t="str">
        <f>IF(K386&gt;=Paramètres!$F$6,"Très forte",IF(K386&gt;=Paramètres!$F$5,"Forte",IF(K386&gt;=Paramètres!$F$4,"Modérée","Faible")))</f>
        <v>Faible</v>
      </c>
    </row>
    <row r="387" spans="1:13">
      <c r="A387" t="s">
        <v>1197</v>
      </c>
      <c r="B387" s="11">
        <v>77</v>
      </c>
      <c r="C387" t="s">
        <v>132</v>
      </c>
      <c r="D387" t="s">
        <v>1238</v>
      </c>
      <c r="E387" t="s">
        <v>1819</v>
      </c>
      <c r="F387" t="s">
        <v>92</v>
      </c>
      <c r="G387" s="12">
        <v>12</v>
      </c>
      <c r="H387" s="12">
        <v>24</v>
      </c>
      <c r="I387" s="12">
        <v>11</v>
      </c>
      <c r="J387" t="str">
        <f>VLOOKUP(B387,Paramètres!$A$4:$C$11,3,FALSE)</f>
        <v>Grande couronne</v>
      </c>
      <c r="K387" s="13">
        <f>IFERROR(H387/G387,"")</f>
        <v>2</v>
      </c>
      <c r="L387" s="14">
        <f>IFERROR(I387/G387,"")</f>
        <v>0.91666666666666663</v>
      </c>
      <c r="M387" s="11" t="str">
        <f>IF(K387&gt;=Paramètres!$F$6,"Très forte",IF(K387&gt;=Paramètres!$F$5,"Forte",IF(K387&gt;=Paramètres!$F$4,"Modérée","Faible")))</f>
        <v>Faible</v>
      </c>
    </row>
    <row r="388" spans="1:13">
      <c r="A388" t="s">
        <v>162</v>
      </c>
      <c r="B388" s="11">
        <v>91</v>
      </c>
      <c r="C388" t="s">
        <v>105</v>
      </c>
      <c r="D388" t="s">
        <v>1238</v>
      </c>
      <c r="E388" t="s">
        <v>1763</v>
      </c>
      <c r="F388" t="s">
        <v>92</v>
      </c>
      <c r="G388" s="12">
        <v>60</v>
      </c>
      <c r="H388" s="12">
        <v>107</v>
      </c>
      <c r="I388" s="12">
        <v>0</v>
      </c>
      <c r="J388" t="str">
        <f>VLOOKUP(B388,Paramètres!$A$4:$C$11,3,FALSE)</f>
        <v>Grande couronne</v>
      </c>
      <c r="K388" s="13">
        <f>IFERROR(H388/G388,"")</f>
        <v>1.7833333333333334</v>
      </c>
      <c r="L388" s="14">
        <f>IFERROR(I388/G388,"")</f>
        <v>0</v>
      </c>
      <c r="M388" s="11" t="str">
        <f>IF(K388&gt;=Paramètres!$F$6,"Très forte",IF(K388&gt;=Paramètres!$F$5,"Forte",IF(K388&gt;=Paramètres!$F$4,"Modérée","Faible")))</f>
        <v>Faible</v>
      </c>
    </row>
    <row r="389" spans="1:13">
      <c r="A389" t="s">
        <v>1111</v>
      </c>
      <c r="B389" s="11">
        <v>75</v>
      </c>
      <c r="C389" t="s">
        <v>86</v>
      </c>
      <c r="D389" t="s">
        <v>1238</v>
      </c>
      <c r="E389" t="s">
        <v>1328</v>
      </c>
      <c r="F389" t="s">
        <v>92</v>
      </c>
      <c r="G389" s="12">
        <v>32</v>
      </c>
      <c r="H389" s="12">
        <v>54</v>
      </c>
      <c r="I389" s="12">
        <v>6</v>
      </c>
      <c r="J389" t="str">
        <f>VLOOKUP(B389,Paramètres!$A$4:$C$11,3,FALSE)</f>
        <v>Paris</v>
      </c>
      <c r="K389" s="13">
        <f>IFERROR(H389/G389,"")</f>
        <v>1.6875</v>
      </c>
      <c r="L389" s="14">
        <f>IFERROR(I389/G389,"")</f>
        <v>0.1875</v>
      </c>
      <c r="M389" s="11" t="str">
        <f>IF(K389&gt;=Paramètres!$F$6,"Très forte",IF(K389&gt;=Paramètres!$F$5,"Forte",IF(K389&gt;=Paramètres!$F$4,"Modérée","Faible")))</f>
        <v>Faible</v>
      </c>
    </row>
    <row r="390" spans="1:13">
      <c r="A390" t="s">
        <v>1273</v>
      </c>
      <c r="B390" s="11">
        <v>93</v>
      </c>
      <c r="C390" t="s">
        <v>100</v>
      </c>
      <c r="D390" t="s">
        <v>1238</v>
      </c>
      <c r="E390" t="s">
        <v>1277</v>
      </c>
      <c r="F390" t="s">
        <v>92</v>
      </c>
      <c r="G390" s="12">
        <v>3</v>
      </c>
      <c r="H390" s="12">
        <v>5</v>
      </c>
      <c r="I390" s="12">
        <v>2</v>
      </c>
      <c r="J390" t="str">
        <f>VLOOKUP(B390,Paramètres!$A$4:$C$11,3,FALSE)</f>
        <v>Petite couronne</v>
      </c>
      <c r="K390" s="13">
        <f>IFERROR(H390/G390,"")</f>
        <v>1.6666666666666667</v>
      </c>
      <c r="L390" s="14">
        <f>IFERROR(I390/G390,"")</f>
        <v>0.66666666666666663</v>
      </c>
      <c r="M390" s="11" t="str">
        <f>IF(K390&gt;=Paramètres!$F$6,"Très forte",IF(K390&gt;=Paramètres!$F$5,"Forte",IF(K390&gt;=Paramètres!$F$4,"Modérée","Faible")))</f>
        <v>Faible</v>
      </c>
    </row>
    <row r="391" spans="1:13">
      <c r="A391" t="s">
        <v>873</v>
      </c>
      <c r="B391" s="11">
        <v>75</v>
      </c>
      <c r="C391" t="s">
        <v>86</v>
      </c>
      <c r="D391" t="s">
        <v>1238</v>
      </c>
      <c r="E391" t="s">
        <v>1354</v>
      </c>
      <c r="F391" t="s">
        <v>92</v>
      </c>
      <c r="G391" s="12">
        <v>15</v>
      </c>
      <c r="H391" s="12">
        <v>25</v>
      </c>
      <c r="I391" s="12">
        <v>3</v>
      </c>
      <c r="J391" t="str">
        <f>VLOOKUP(B391,Paramètres!$A$4:$C$11,3,FALSE)</f>
        <v>Paris</v>
      </c>
      <c r="K391" s="13">
        <f>IFERROR(H391/G391,"")</f>
        <v>1.6666666666666667</v>
      </c>
      <c r="L391" s="14">
        <f>IFERROR(I391/G391,"")</f>
        <v>0.2</v>
      </c>
      <c r="M391" s="11" t="str">
        <f>IF(K391&gt;=Paramètres!$F$6,"Très forte",IF(K391&gt;=Paramètres!$F$5,"Forte",IF(K391&gt;=Paramètres!$F$4,"Modérée","Faible")))</f>
        <v>Faible</v>
      </c>
    </row>
    <row r="392" spans="1:13">
      <c r="A392" t="s">
        <v>886</v>
      </c>
      <c r="B392" s="11">
        <v>77</v>
      </c>
      <c r="C392" t="s">
        <v>132</v>
      </c>
      <c r="D392" t="s">
        <v>1238</v>
      </c>
      <c r="E392" t="s">
        <v>1334</v>
      </c>
      <c r="F392" t="s">
        <v>92</v>
      </c>
      <c r="G392" s="12">
        <v>12</v>
      </c>
      <c r="H392" s="12">
        <v>19</v>
      </c>
      <c r="I392" s="12">
        <v>3</v>
      </c>
      <c r="J392" t="str">
        <f>VLOOKUP(B392,Paramètres!$A$4:$C$11,3,FALSE)</f>
        <v>Grande couronne</v>
      </c>
      <c r="K392" s="13">
        <f>IFERROR(H392/G392,"")</f>
        <v>1.5833333333333333</v>
      </c>
      <c r="L392" s="14">
        <f>IFERROR(I392/G392,"")</f>
        <v>0.25</v>
      </c>
      <c r="M392" s="11" t="str">
        <f>IF(K392&gt;=Paramètres!$F$6,"Très forte",IF(K392&gt;=Paramètres!$F$5,"Forte",IF(K392&gt;=Paramètres!$F$4,"Modérée","Faible")))</f>
        <v>Faible</v>
      </c>
    </row>
    <row r="393" spans="1:13">
      <c r="A393" t="s">
        <v>1080</v>
      </c>
      <c r="B393" s="11">
        <v>92</v>
      </c>
      <c r="C393" t="s">
        <v>94</v>
      </c>
      <c r="D393" t="s">
        <v>1238</v>
      </c>
      <c r="E393" t="s">
        <v>1367</v>
      </c>
      <c r="F393" t="s">
        <v>92</v>
      </c>
      <c r="G393" s="12">
        <v>16</v>
      </c>
      <c r="H393" s="12">
        <v>25</v>
      </c>
      <c r="I393" s="12">
        <v>7</v>
      </c>
      <c r="J393" t="str">
        <f>VLOOKUP(B393,Paramètres!$A$4:$C$11,3,FALSE)</f>
        <v>Petite couronne</v>
      </c>
      <c r="K393" s="13">
        <f>IFERROR(H393/G393,"")</f>
        <v>1.5625</v>
      </c>
      <c r="L393" s="14">
        <f>IFERROR(I393/G393,"")</f>
        <v>0.4375</v>
      </c>
      <c r="M393" s="11" t="str">
        <f>IF(K393&gt;=Paramètres!$F$6,"Très forte",IF(K393&gt;=Paramètres!$F$5,"Forte",IF(K393&gt;=Paramètres!$F$4,"Modérée","Faible")))</f>
        <v>Faible</v>
      </c>
    </row>
    <row r="394" spans="1:13">
      <c r="A394" t="s">
        <v>1257</v>
      </c>
      <c r="B394" s="11">
        <v>75</v>
      </c>
      <c r="C394" t="s">
        <v>86</v>
      </c>
      <c r="D394" t="s">
        <v>1238</v>
      </c>
      <c r="E394" t="s">
        <v>1570</v>
      </c>
      <c r="F394" t="s">
        <v>92</v>
      </c>
      <c r="G394" s="12">
        <v>300</v>
      </c>
      <c r="H394" s="12">
        <v>404</v>
      </c>
      <c r="I394" s="12">
        <v>133</v>
      </c>
      <c r="J394" t="str">
        <f>VLOOKUP(B394,Paramètres!$A$4:$C$11,3,FALSE)</f>
        <v>Paris</v>
      </c>
      <c r="K394" s="13">
        <f>IFERROR(H394/G394,"")</f>
        <v>1.3466666666666667</v>
      </c>
      <c r="L394" s="14">
        <f>IFERROR(I394/G394,"")</f>
        <v>0.44333333333333336</v>
      </c>
      <c r="M394" s="11" t="str">
        <f>IF(K394&gt;=Paramètres!$F$6,"Très forte",IF(K394&gt;=Paramètres!$F$5,"Forte",IF(K394&gt;=Paramètres!$F$4,"Modérée","Faible")))</f>
        <v>Faible</v>
      </c>
    </row>
    <row r="395" spans="1:13">
      <c r="A395" t="s">
        <v>1033</v>
      </c>
      <c r="B395" s="11">
        <v>75</v>
      </c>
      <c r="C395" t="s">
        <v>86</v>
      </c>
      <c r="D395" t="s">
        <v>1238</v>
      </c>
      <c r="E395" t="s">
        <v>1451</v>
      </c>
      <c r="F395" t="s">
        <v>92</v>
      </c>
      <c r="G395" s="12">
        <v>15</v>
      </c>
      <c r="H395" s="12">
        <v>20</v>
      </c>
      <c r="I395" s="12">
        <v>10</v>
      </c>
      <c r="J395" t="str">
        <f>VLOOKUP(B395,Paramètres!$A$4:$C$11,3,FALSE)</f>
        <v>Paris</v>
      </c>
      <c r="K395" s="13">
        <f>IFERROR(H395/G395,"")</f>
        <v>1.3333333333333333</v>
      </c>
      <c r="L395" s="14">
        <f>IFERROR(I395/G395,"")</f>
        <v>0.66666666666666663</v>
      </c>
      <c r="M395" s="11" t="str">
        <f>IF(K395&gt;=Paramètres!$F$6,"Très forte",IF(K395&gt;=Paramètres!$F$5,"Forte",IF(K395&gt;=Paramètres!$F$4,"Modérée","Faible")))</f>
        <v>Faible</v>
      </c>
    </row>
    <row r="396" spans="1:13">
      <c r="A396" t="s">
        <v>1197</v>
      </c>
      <c r="B396" s="11">
        <v>77</v>
      </c>
      <c r="C396" t="s">
        <v>132</v>
      </c>
      <c r="D396" t="s">
        <v>1238</v>
      </c>
      <c r="E396" t="s">
        <v>1709</v>
      </c>
      <c r="F396" t="s">
        <v>92</v>
      </c>
      <c r="G396" s="12">
        <v>12</v>
      </c>
      <c r="H396" s="12">
        <v>16</v>
      </c>
      <c r="I396" s="12">
        <v>3</v>
      </c>
      <c r="J396" t="str">
        <f>VLOOKUP(B396,Paramètres!$A$4:$C$11,3,FALSE)</f>
        <v>Grande couronne</v>
      </c>
      <c r="K396" s="13">
        <f>IFERROR(H396/G396,"")</f>
        <v>1.3333333333333333</v>
      </c>
      <c r="L396" s="14">
        <f>IFERROR(I396/G396,"")</f>
        <v>0.25</v>
      </c>
      <c r="M396" s="11" t="str">
        <f>IF(K396&gt;=Paramètres!$F$6,"Très forte",IF(K396&gt;=Paramètres!$F$5,"Forte",IF(K396&gt;=Paramètres!$F$4,"Modérée","Faible")))</f>
        <v>Faible</v>
      </c>
    </row>
    <row r="397" spans="1:13">
      <c r="A397" t="s">
        <v>1771</v>
      </c>
      <c r="B397" s="11">
        <v>77</v>
      </c>
      <c r="C397" t="s">
        <v>132</v>
      </c>
      <c r="D397" t="s">
        <v>1238</v>
      </c>
      <c r="E397" t="s">
        <v>1367</v>
      </c>
      <c r="F397" t="s">
        <v>92</v>
      </c>
      <c r="G397" s="12">
        <v>12</v>
      </c>
      <c r="H397" s="12">
        <v>10</v>
      </c>
      <c r="I397" s="12">
        <v>3</v>
      </c>
      <c r="J397" t="str">
        <f>VLOOKUP(B397,Paramètres!$A$4:$C$11,3,FALSE)</f>
        <v>Grande couronne</v>
      </c>
      <c r="K397" s="13">
        <f>IFERROR(H397/G397,"")</f>
        <v>0.83333333333333337</v>
      </c>
      <c r="L397" s="14">
        <f>IFERROR(I397/G397,"")</f>
        <v>0.25</v>
      </c>
      <c r="M397" s="11" t="str">
        <f>IF(K397&gt;=Paramètres!$F$6,"Très forte",IF(K397&gt;=Paramètres!$F$5,"Forte",IF(K397&gt;=Paramètres!$F$4,"Modérée","Faible")))</f>
        <v>Faible</v>
      </c>
    </row>
    <row r="398" spans="1:13">
      <c r="A398" t="s">
        <v>1257</v>
      </c>
      <c r="B398" s="11">
        <v>75</v>
      </c>
      <c r="C398" t="s">
        <v>86</v>
      </c>
      <c r="D398" t="s">
        <v>1238</v>
      </c>
      <c r="E398" t="s">
        <v>1258</v>
      </c>
      <c r="F398" t="s">
        <v>92</v>
      </c>
      <c r="G398" s="12">
        <v>250</v>
      </c>
      <c r="H398" s="12">
        <v>208</v>
      </c>
      <c r="I398" s="12">
        <v>87</v>
      </c>
      <c r="J398" t="str">
        <f>VLOOKUP(B398,Paramètres!$A$4:$C$11,3,FALSE)</f>
        <v>Paris</v>
      </c>
      <c r="K398" s="13">
        <f>IFERROR(H398/G398,"")</f>
        <v>0.83199999999999996</v>
      </c>
      <c r="L398" s="14">
        <f>IFERROR(I398/G398,"")</f>
        <v>0.34799999999999998</v>
      </c>
      <c r="M398" s="11" t="str">
        <f>IF(K398&gt;=Paramètres!$F$6,"Très forte",IF(K398&gt;=Paramètres!$F$5,"Forte",IF(K398&gt;=Paramètres!$F$4,"Modérée","Faible")))</f>
        <v>Faible</v>
      </c>
    </row>
    <row r="399" spans="1:13">
      <c r="A399" t="s">
        <v>1273</v>
      </c>
      <c r="B399" s="11">
        <v>93</v>
      </c>
      <c r="C399" t="s">
        <v>100</v>
      </c>
      <c r="D399" t="s">
        <v>1238</v>
      </c>
      <c r="E399" t="s">
        <v>1688</v>
      </c>
      <c r="F399" t="s">
        <v>92</v>
      </c>
      <c r="G399" s="12">
        <v>2</v>
      </c>
      <c r="H399" s="12">
        <v>1</v>
      </c>
      <c r="I399" s="12">
        <v>0</v>
      </c>
      <c r="J399" t="str">
        <f>VLOOKUP(B399,Paramètres!$A$4:$C$11,3,FALSE)</f>
        <v>Petite couronne</v>
      </c>
      <c r="K399" s="13">
        <f>IFERROR(H399/G399,"")</f>
        <v>0.5</v>
      </c>
      <c r="L399" s="14">
        <f>IFERROR(I399/G399,"")</f>
        <v>0</v>
      </c>
      <c r="M399" s="11" t="str">
        <f>IF(K399&gt;=Paramètres!$F$6,"Très forte",IF(K399&gt;=Paramètres!$F$5,"Forte",IF(K399&gt;=Paramètres!$F$4,"Modérée","Faible")))</f>
        <v>Faible</v>
      </c>
    </row>
    <row r="400" spans="1:13">
      <c r="A400" t="s">
        <v>1042</v>
      </c>
      <c r="B400" s="11">
        <v>75</v>
      </c>
      <c r="C400" t="s">
        <v>86</v>
      </c>
      <c r="D400" t="s">
        <v>1238</v>
      </c>
      <c r="E400" t="s">
        <v>1335</v>
      </c>
      <c r="F400" t="s">
        <v>92</v>
      </c>
      <c r="G400" s="12">
        <v>15</v>
      </c>
      <c r="H400" s="12">
        <v>7</v>
      </c>
      <c r="I400" s="12">
        <v>2</v>
      </c>
      <c r="J400" t="str">
        <f>VLOOKUP(B400,Paramètres!$A$4:$C$11,3,FALSE)</f>
        <v>Paris</v>
      </c>
      <c r="K400" s="13">
        <f>IFERROR(H400/G400,"")</f>
        <v>0.46666666666666667</v>
      </c>
      <c r="L400" s="14">
        <f>IFERROR(I400/G400,"")</f>
        <v>0.13333333333333333</v>
      </c>
      <c r="M400" s="11" t="str">
        <f>IF(K400&gt;=Paramètres!$F$6,"Très forte",IF(K400&gt;=Paramètres!$F$5,"Forte",IF(K400&gt;=Paramètres!$F$4,"Modérée","Faible")))</f>
        <v>Faible</v>
      </c>
    </row>
    <row r="401" spans="1:13">
      <c r="A401" t="s">
        <v>1478</v>
      </c>
      <c r="B401" s="11">
        <v>75</v>
      </c>
      <c r="C401" t="s">
        <v>86</v>
      </c>
      <c r="D401" t="s">
        <v>1238</v>
      </c>
      <c r="E401" t="s">
        <v>1479</v>
      </c>
      <c r="F401" t="s">
        <v>92</v>
      </c>
      <c r="G401" s="12">
        <v>7</v>
      </c>
      <c r="H401" s="12">
        <v>3</v>
      </c>
      <c r="I401" s="12">
        <v>3</v>
      </c>
      <c r="J401" t="str">
        <f>VLOOKUP(B401,Paramètres!$A$4:$C$11,3,FALSE)</f>
        <v>Paris</v>
      </c>
      <c r="K401" s="13">
        <f>IFERROR(H401/G401,"")</f>
        <v>0.42857142857142855</v>
      </c>
      <c r="L401" s="14">
        <f>IFERROR(I401/G401,"")</f>
        <v>0.42857142857142855</v>
      </c>
      <c r="M401" s="11" t="str">
        <f>IF(K401&gt;=Paramètres!$F$6,"Très forte",IF(K401&gt;=Paramètres!$F$5,"Forte",IF(K401&gt;=Paramètres!$F$4,"Modérée","Faible")))</f>
        <v>Faible</v>
      </c>
    </row>
    <row r="402" spans="1:13">
      <c r="A402" t="s">
        <v>1802</v>
      </c>
      <c r="B402" s="11">
        <v>75</v>
      </c>
      <c r="C402" t="s">
        <v>86</v>
      </c>
      <c r="D402" t="s">
        <v>1238</v>
      </c>
      <c r="E402" t="s">
        <v>1803</v>
      </c>
      <c r="F402" t="s">
        <v>92</v>
      </c>
      <c r="G402" s="12">
        <v>30</v>
      </c>
      <c r="H402" s="12">
        <v>7</v>
      </c>
      <c r="I402" s="12">
        <v>1</v>
      </c>
      <c r="J402" t="str">
        <f>VLOOKUP(B402,Paramètres!$A$4:$C$11,3,FALSE)</f>
        <v>Paris</v>
      </c>
      <c r="K402" s="13">
        <f>IFERROR(H402/G402,"")</f>
        <v>0.23333333333333334</v>
      </c>
      <c r="L402" s="14">
        <f>IFERROR(I402/G402,"")</f>
        <v>3.3333333333333333E-2</v>
      </c>
      <c r="M402" s="11" t="str">
        <f>IF(K402&gt;=Paramètres!$F$6,"Très forte",IF(K402&gt;=Paramètres!$F$5,"Forte",IF(K402&gt;=Paramètres!$F$4,"Modérée","Faible")))</f>
        <v>Faible</v>
      </c>
    </row>
    <row r="403" spans="1:13">
      <c r="A403" t="s">
        <v>1211</v>
      </c>
      <c r="B403" s="11">
        <v>78</v>
      </c>
      <c r="C403" t="s">
        <v>135</v>
      </c>
      <c r="D403" t="s">
        <v>1238</v>
      </c>
      <c r="E403" t="s">
        <v>1451</v>
      </c>
      <c r="F403" t="s">
        <v>92</v>
      </c>
      <c r="G403" s="12">
        <v>6</v>
      </c>
      <c r="H403" s="12">
        <v>1</v>
      </c>
      <c r="I403" s="12">
        <v>0</v>
      </c>
      <c r="J403" t="str">
        <f>VLOOKUP(B403,Paramètres!$A$4:$C$11,3,FALSE)</f>
        <v>Grande couronne</v>
      </c>
      <c r="K403" s="13">
        <f>IFERROR(H403/G403,"")</f>
        <v>0.16666666666666666</v>
      </c>
      <c r="L403" s="14">
        <f>IFERROR(I403/G403,"")</f>
        <v>0</v>
      </c>
      <c r="M403" s="11" t="str">
        <f>IF(K403&gt;=Paramètres!$F$6,"Très forte",IF(K403&gt;=Paramètres!$F$5,"Forte",IF(K403&gt;=Paramètres!$F$4,"Modérée","Faible")))</f>
        <v>Faible</v>
      </c>
    </row>
    <row r="404" spans="1:13">
      <c r="A404" t="s">
        <v>1132</v>
      </c>
      <c r="B404" s="11">
        <v>75</v>
      </c>
      <c r="C404" t="s">
        <v>86</v>
      </c>
      <c r="D404" t="s">
        <v>797</v>
      </c>
      <c r="E404" t="s">
        <v>891</v>
      </c>
      <c r="F404" t="s">
        <v>92</v>
      </c>
      <c r="G404" s="12">
        <v>24</v>
      </c>
      <c r="H404" s="12">
        <v>4955</v>
      </c>
      <c r="I404" s="12">
        <v>23</v>
      </c>
      <c r="J404" t="str">
        <f>VLOOKUP(B404,Paramètres!$A$4:$C$11,3,FALSE)</f>
        <v>Paris</v>
      </c>
      <c r="K404" s="13">
        <f>IFERROR(H404/G404,"")</f>
        <v>206.45833333333334</v>
      </c>
      <c r="L404" s="14">
        <f>IFERROR(I404/G404,"")</f>
        <v>0.95833333333333337</v>
      </c>
      <c r="M404" s="11" t="str">
        <f>IF(K404&gt;=Paramètres!$F$6,"Très forte",IF(K404&gt;=Paramètres!$F$5,"Forte",IF(K404&gt;=Paramètres!$F$4,"Modérée","Faible")))</f>
        <v>Très forte</v>
      </c>
    </row>
    <row r="405" spans="1:13">
      <c r="A405" t="s">
        <v>1026</v>
      </c>
      <c r="B405" s="11">
        <v>75</v>
      </c>
      <c r="C405" t="s">
        <v>86</v>
      </c>
      <c r="D405" t="s">
        <v>797</v>
      </c>
      <c r="E405" t="s">
        <v>891</v>
      </c>
      <c r="F405" t="s">
        <v>92</v>
      </c>
      <c r="G405" s="12">
        <v>24</v>
      </c>
      <c r="H405" s="12">
        <v>4689</v>
      </c>
      <c r="I405" s="12">
        <v>24</v>
      </c>
      <c r="J405" t="str">
        <f>VLOOKUP(B405,Paramètres!$A$4:$C$11,3,FALSE)</f>
        <v>Paris</v>
      </c>
      <c r="K405" s="13">
        <f>IFERROR(H405/G405,"")</f>
        <v>195.375</v>
      </c>
      <c r="L405" s="14">
        <f>IFERROR(I405/G405,"")</f>
        <v>1</v>
      </c>
      <c r="M405" s="11" t="str">
        <f>IF(K405&gt;=Paramètres!$F$6,"Très forte",IF(K405&gt;=Paramètres!$F$5,"Forte",IF(K405&gt;=Paramètres!$F$4,"Modérée","Faible")))</f>
        <v>Très forte</v>
      </c>
    </row>
    <row r="406" spans="1:13">
      <c r="A406" t="s">
        <v>856</v>
      </c>
      <c r="B406" s="11">
        <v>75</v>
      </c>
      <c r="C406" t="s">
        <v>86</v>
      </c>
      <c r="D406" t="s">
        <v>797</v>
      </c>
      <c r="E406" t="s">
        <v>891</v>
      </c>
      <c r="F406" t="s">
        <v>92</v>
      </c>
      <c r="G406" s="12">
        <v>70</v>
      </c>
      <c r="H406" s="12">
        <v>11222</v>
      </c>
      <c r="I406" s="12">
        <v>69</v>
      </c>
      <c r="J406" t="str">
        <f>VLOOKUP(B406,Paramètres!$A$4:$C$11,3,FALSE)</f>
        <v>Paris</v>
      </c>
      <c r="K406" s="13">
        <f>IFERROR(H406/G406,"")</f>
        <v>160.31428571428572</v>
      </c>
      <c r="L406" s="14">
        <f>IFERROR(I406/G406,"")</f>
        <v>0.98571428571428577</v>
      </c>
      <c r="M406" s="11" t="str">
        <f>IF(K406&gt;=Paramètres!$F$6,"Très forte",IF(K406&gt;=Paramètres!$F$5,"Forte",IF(K406&gt;=Paramètres!$F$4,"Modérée","Faible")))</f>
        <v>Très forte</v>
      </c>
    </row>
    <row r="407" spans="1:13">
      <c r="A407" t="s">
        <v>865</v>
      </c>
      <c r="B407" s="11">
        <v>75</v>
      </c>
      <c r="C407" t="s">
        <v>86</v>
      </c>
      <c r="D407" t="s">
        <v>797</v>
      </c>
      <c r="E407" t="s">
        <v>885</v>
      </c>
      <c r="F407" t="s">
        <v>92</v>
      </c>
      <c r="G407" s="12">
        <v>35</v>
      </c>
      <c r="H407" s="12">
        <v>5519</v>
      </c>
      <c r="I407" s="12">
        <v>35</v>
      </c>
      <c r="J407" t="str">
        <f>VLOOKUP(B407,Paramètres!$A$4:$C$11,3,FALSE)</f>
        <v>Paris</v>
      </c>
      <c r="K407" s="13">
        <f>IFERROR(H407/G407,"")</f>
        <v>157.68571428571428</v>
      </c>
      <c r="L407" s="14">
        <f>IFERROR(I407/G407,"")</f>
        <v>1</v>
      </c>
      <c r="M407" s="11" t="str">
        <f>IF(K407&gt;=Paramètres!$F$6,"Très forte",IF(K407&gt;=Paramètres!$F$5,"Forte",IF(K407&gt;=Paramètres!$F$4,"Modérée","Faible")))</f>
        <v>Très forte</v>
      </c>
    </row>
    <row r="408" spans="1:13">
      <c r="A408" t="s">
        <v>1034</v>
      </c>
      <c r="B408" s="11">
        <v>75</v>
      </c>
      <c r="C408" t="s">
        <v>86</v>
      </c>
      <c r="D408" t="s">
        <v>797</v>
      </c>
      <c r="E408" t="s">
        <v>891</v>
      </c>
      <c r="F408" t="s">
        <v>92</v>
      </c>
      <c r="G408" s="12">
        <v>35</v>
      </c>
      <c r="H408" s="12">
        <v>5326</v>
      </c>
      <c r="I408" s="12">
        <v>39</v>
      </c>
      <c r="J408" t="str">
        <f>VLOOKUP(B408,Paramètres!$A$4:$C$11,3,FALSE)</f>
        <v>Paris</v>
      </c>
      <c r="K408" s="13">
        <f>IFERROR(H408/G408,"")</f>
        <v>152.17142857142858</v>
      </c>
      <c r="L408" s="14">
        <f>IFERROR(I408/G408,"")</f>
        <v>1.1142857142857143</v>
      </c>
      <c r="M408" s="11" t="str">
        <f>IF(K408&gt;=Paramètres!$F$6,"Très forte",IF(K408&gt;=Paramètres!$F$5,"Forte",IF(K408&gt;=Paramètres!$F$4,"Modérée","Faible")))</f>
        <v>Très forte</v>
      </c>
    </row>
    <row r="409" spans="1:13">
      <c r="A409" t="s">
        <v>930</v>
      </c>
      <c r="B409" s="11">
        <v>92</v>
      </c>
      <c r="C409" t="s">
        <v>94</v>
      </c>
      <c r="D409" t="s">
        <v>797</v>
      </c>
      <c r="E409" t="s">
        <v>1181</v>
      </c>
      <c r="F409" t="s">
        <v>92</v>
      </c>
      <c r="G409" s="12">
        <v>12</v>
      </c>
      <c r="H409" s="12">
        <v>1725</v>
      </c>
      <c r="I409" s="12">
        <v>11</v>
      </c>
      <c r="J409" t="str">
        <f>VLOOKUP(B409,Paramètres!$A$4:$C$11,3,FALSE)</f>
        <v>Petite couronne</v>
      </c>
      <c r="K409" s="13">
        <f>IFERROR(H409/G409,"")</f>
        <v>143.75</v>
      </c>
      <c r="L409" s="14">
        <f>IFERROR(I409/G409,"")</f>
        <v>0.91666666666666663</v>
      </c>
      <c r="M409" s="11" t="str">
        <f>IF(K409&gt;=Paramètres!$F$6,"Très forte",IF(K409&gt;=Paramètres!$F$5,"Forte",IF(K409&gt;=Paramètres!$F$4,"Modérée","Faible")))</f>
        <v>Très forte</v>
      </c>
    </row>
    <row r="410" spans="1:13">
      <c r="A410" t="s">
        <v>930</v>
      </c>
      <c r="B410" s="11">
        <v>92</v>
      </c>
      <c r="C410" t="s">
        <v>94</v>
      </c>
      <c r="D410" t="s">
        <v>797</v>
      </c>
      <c r="E410" t="s">
        <v>960</v>
      </c>
      <c r="F410" t="s">
        <v>92</v>
      </c>
      <c r="G410" s="12">
        <v>12</v>
      </c>
      <c r="H410" s="12">
        <v>1697</v>
      </c>
      <c r="I410" s="12">
        <v>12</v>
      </c>
      <c r="J410" t="str">
        <f>VLOOKUP(B410,Paramètres!$A$4:$C$11,3,FALSE)</f>
        <v>Petite couronne</v>
      </c>
      <c r="K410" s="13">
        <f>IFERROR(H410/G410,"")</f>
        <v>141.41666666666666</v>
      </c>
      <c r="L410" s="14">
        <f>IFERROR(I410/G410,"")</f>
        <v>1</v>
      </c>
      <c r="M410" s="11" t="str">
        <f>IF(K410&gt;=Paramètres!$F$6,"Très forte",IF(K410&gt;=Paramètres!$F$5,"Forte",IF(K410&gt;=Paramètres!$F$4,"Modérée","Faible")))</f>
        <v>Très forte</v>
      </c>
    </row>
    <row r="411" spans="1:13">
      <c r="A411" t="s">
        <v>1130</v>
      </c>
      <c r="B411" s="11">
        <v>75</v>
      </c>
      <c r="C411" t="s">
        <v>86</v>
      </c>
      <c r="D411" t="s">
        <v>797</v>
      </c>
      <c r="E411" t="s">
        <v>867</v>
      </c>
      <c r="F411" t="s">
        <v>92</v>
      </c>
      <c r="G411" s="12">
        <v>24</v>
      </c>
      <c r="H411" s="12">
        <v>3293</v>
      </c>
      <c r="I411" s="12">
        <v>20</v>
      </c>
      <c r="J411" t="str">
        <f>VLOOKUP(B411,Paramètres!$A$4:$C$11,3,FALSE)</f>
        <v>Paris</v>
      </c>
      <c r="K411" s="13">
        <f>IFERROR(H411/G411,"")</f>
        <v>137.20833333333334</v>
      </c>
      <c r="L411" s="14">
        <f>IFERROR(I411/G411,"")</f>
        <v>0.83333333333333337</v>
      </c>
      <c r="M411" s="11" t="str">
        <f>IF(K411&gt;=Paramètres!$F$6,"Très forte",IF(K411&gt;=Paramètres!$F$5,"Forte",IF(K411&gt;=Paramètres!$F$4,"Modérée","Faible")))</f>
        <v>Très forte</v>
      </c>
    </row>
    <row r="412" spans="1:13">
      <c r="A412" t="s">
        <v>959</v>
      </c>
      <c r="B412" s="11">
        <v>93</v>
      </c>
      <c r="C412" t="s">
        <v>100</v>
      </c>
      <c r="D412" t="s">
        <v>797</v>
      </c>
      <c r="E412" t="s">
        <v>960</v>
      </c>
      <c r="F412" t="s">
        <v>92</v>
      </c>
      <c r="G412" s="12">
        <v>13</v>
      </c>
      <c r="H412" s="12">
        <v>1743</v>
      </c>
      <c r="I412" s="12">
        <v>13</v>
      </c>
      <c r="J412" t="str">
        <f>VLOOKUP(B412,Paramètres!$A$4:$C$11,3,FALSE)</f>
        <v>Petite couronne</v>
      </c>
      <c r="K412" s="13">
        <f>IFERROR(H412/G412,"")</f>
        <v>134.07692307692307</v>
      </c>
      <c r="L412" s="14">
        <f>IFERROR(I412/G412,"")</f>
        <v>1</v>
      </c>
      <c r="M412" s="11" t="str">
        <f>IF(K412&gt;=Paramètres!$F$6,"Très forte",IF(K412&gt;=Paramètres!$F$5,"Forte",IF(K412&gt;=Paramètres!$F$4,"Modérée","Faible")))</f>
        <v>Très forte</v>
      </c>
    </row>
    <row r="413" spans="1:13">
      <c r="A413" t="s">
        <v>1193</v>
      </c>
      <c r="B413" s="11">
        <v>75</v>
      </c>
      <c r="C413" t="s">
        <v>86</v>
      </c>
      <c r="D413" t="s">
        <v>797</v>
      </c>
      <c r="E413" t="s">
        <v>1194</v>
      </c>
      <c r="F413" t="s">
        <v>92</v>
      </c>
      <c r="G413" s="12">
        <v>15</v>
      </c>
      <c r="H413" s="12">
        <v>1977</v>
      </c>
      <c r="I413" s="12">
        <v>13</v>
      </c>
      <c r="J413" t="str">
        <f>VLOOKUP(B413,Paramètres!$A$4:$C$11,3,FALSE)</f>
        <v>Paris</v>
      </c>
      <c r="K413" s="13">
        <f>IFERROR(H413/G413,"")</f>
        <v>131.80000000000001</v>
      </c>
      <c r="L413" s="14">
        <f>IFERROR(I413/G413,"")</f>
        <v>0.8666666666666667</v>
      </c>
      <c r="M413" s="11" t="str">
        <f>IF(K413&gt;=Paramètres!$F$6,"Très forte",IF(K413&gt;=Paramètres!$F$5,"Forte",IF(K413&gt;=Paramètres!$F$4,"Modérée","Faible")))</f>
        <v>Très forte</v>
      </c>
    </row>
    <row r="414" spans="1:13">
      <c r="A414" t="s">
        <v>857</v>
      </c>
      <c r="B414" s="11">
        <v>75</v>
      </c>
      <c r="C414" t="s">
        <v>86</v>
      </c>
      <c r="D414" t="s">
        <v>797</v>
      </c>
      <c r="E414" t="s">
        <v>837</v>
      </c>
      <c r="F414" t="s">
        <v>92</v>
      </c>
      <c r="G414" s="12">
        <v>30</v>
      </c>
      <c r="H414" s="12">
        <v>3914</v>
      </c>
      <c r="I414" s="12">
        <v>30</v>
      </c>
      <c r="J414" t="str">
        <f>VLOOKUP(B414,Paramètres!$A$4:$C$11,3,FALSE)</f>
        <v>Paris</v>
      </c>
      <c r="K414" s="13">
        <f>IFERROR(H414/G414,"")</f>
        <v>130.46666666666667</v>
      </c>
      <c r="L414" s="14">
        <f>IFERROR(I414/G414,"")</f>
        <v>1</v>
      </c>
      <c r="M414" s="11" t="str">
        <f>IF(K414&gt;=Paramètres!$F$6,"Très forte",IF(K414&gt;=Paramètres!$F$5,"Forte",IF(K414&gt;=Paramètres!$F$4,"Modérée","Faible")))</f>
        <v>Très forte</v>
      </c>
    </row>
    <row r="415" spans="1:13">
      <c r="A415" t="s">
        <v>1138</v>
      </c>
      <c r="B415" s="11">
        <v>75</v>
      </c>
      <c r="C415" t="s">
        <v>86</v>
      </c>
      <c r="D415" t="s">
        <v>797</v>
      </c>
      <c r="E415" t="s">
        <v>891</v>
      </c>
      <c r="F415" t="s">
        <v>92</v>
      </c>
      <c r="G415" s="12">
        <v>35</v>
      </c>
      <c r="H415" s="12">
        <v>4513</v>
      </c>
      <c r="I415" s="12">
        <v>33</v>
      </c>
      <c r="J415" t="str">
        <f>VLOOKUP(B415,Paramètres!$A$4:$C$11,3,FALSE)</f>
        <v>Paris</v>
      </c>
      <c r="K415" s="13">
        <f>IFERROR(H415/G415,"")</f>
        <v>128.94285714285715</v>
      </c>
      <c r="L415" s="14">
        <f>IFERROR(I415/G415,"")</f>
        <v>0.94285714285714284</v>
      </c>
      <c r="M415" s="11" t="str">
        <f>IF(K415&gt;=Paramètres!$F$6,"Très forte",IF(K415&gt;=Paramètres!$F$5,"Forte",IF(K415&gt;=Paramètres!$F$4,"Modérée","Faible")))</f>
        <v>Très forte</v>
      </c>
    </row>
    <row r="416" spans="1:13">
      <c r="A416" t="s">
        <v>1115</v>
      </c>
      <c r="B416" s="11">
        <v>75</v>
      </c>
      <c r="C416" t="s">
        <v>86</v>
      </c>
      <c r="D416" t="s">
        <v>797</v>
      </c>
      <c r="E416" t="s">
        <v>891</v>
      </c>
      <c r="F416" t="s">
        <v>92</v>
      </c>
      <c r="G416" s="12">
        <v>35</v>
      </c>
      <c r="H416" s="12">
        <v>4328</v>
      </c>
      <c r="I416" s="12">
        <v>34</v>
      </c>
      <c r="J416" t="str">
        <f>VLOOKUP(B416,Paramètres!$A$4:$C$11,3,FALSE)</f>
        <v>Paris</v>
      </c>
      <c r="K416" s="13">
        <f>IFERROR(H416/G416,"")</f>
        <v>123.65714285714286</v>
      </c>
      <c r="L416" s="14">
        <f>IFERROR(I416/G416,"")</f>
        <v>0.97142857142857142</v>
      </c>
      <c r="M416" s="11" t="str">
        <f>IF(K416&gt;=Paramètres!$F$6,"Très forte",IF(K416&gt;=Paramètres!$F$5,"Forte",IF(K416&gt;=Paramètres!$F$4,"Modérée","Faible")))</f>
        <v>Très forte</v>
      </c>
    </row>
    <row r="417" spans="1:13">
      <c r="A417" t="s">
        <v>959</v>
      </c>
      <c r="B417" s="11">
        <v>93</v>
      </c>
      <c r="C417" t="s">
        <v>100</v>
      </c>
      <c r="D417" t="s">
        <v>797</v>
      </c>
      <c r="E417" t="s">
        <v>1181</v>
      </c>
      <c r="F417" t="s">
        <v>92</v>
      </c>
      <c r="G417" s="12">
        <v>12</v>
      </c>
      <c r="H417" s="12">
        <v>1433</v>
      </c>
      <c r="I417" s="12">
        <v>12</v>
      </c>
      <c r="J417" t="str">
        <f>VLOOKUP(B417,Paramètres!$A$4:$C$11,3,FALSE)</f>
        <v>Petite couronne</v>
      </c>
      <c r="K417" s="13">
        <f>IFERROR(H417/G417,"")</f>
        <v>119.41666666666667</v>
      </c>
      <c r="L417" s="14">
        <f>IFERROR(I417/G417,"")</f>
        <v>1</v>
      </c>
      <c r="M417" s="11" t="str">
        <f>IF(K417&gt;=Paramètres!$F$6,"Très forte",IF(K417&gt;=Paramètres!$F$5,"Forte",IF(K417&gt;=Paramètres!$F$4,"Modérée","Faible")))</f>
        <v>Très forte</v>
      </c>
    </row>
    <row r="418" spans="1:13">
      <c r="A418" t="s">
        <v>963</v>
      </c>
      <c r="B418" s="11">
        <v>94</v>
      </c>
      <c r="C418" t="s">
        <v>116</v>
      </c>
      <c r="D418" t="s">
        <v>797</v>
      </c>
      <c r="E418" t="s">
        <v>891</v>
      </c>
      <c r="F418" t="s">
        <v>92</v>
      </c>
      <c r="G418" s="12">
        <v>35</v>
      </c>
      <c r="H418" s="12">
        <v>4044</v>
      </c>
      <c r="I418" s="12">
        <v>31</v>
      </c>
      <c r="J418" t="str">
        <f>VLOOKUP(B418,Paramètres!$A$4:$C$11,3,FALSE)</f>
        <v>Petite couronne</v>
      </c>
      <c r="K418" s="13">
        <f>IFERROR(H418/G418,"")</f>
        <v>115.54285714285714</v>
      </c>
      <c r="L418" s="14">
        <f>IFERROR(I418/G418,"")</f>
        <v>0.88571428571428568</v>
      </c>
      <c r="M418" s="11" t="str">
        <f>IF(K418&gt;=Paramètres!$F$6,"Très forte",IF(K418&gt;=Paramètres!$F$5,"Forte",IF(K418&gt;=Paramètres!$F$4,"Modérée","Faible")))</f>
        <v>Très forte</v>
      </c>
    </row>
    <row r="419" spans="1:13">
      <c r="A419" t="s">
        <v>1084</v>
      </c>
      <c r="B419" s="11">
        <v>93</v>
      </c>
      <c r="C419" t="s">
        <v>100</v>
      </c>
      <c r="D419" t="s">
        <v>797</v>
      </c>
      <c r="E419" t="s">
        <v>837</v>
      </c>
      <c r="F419" t="s">
        <v>92</v>
      </c>
      <c r="G419" s="12">
        <v>12</v>
      </c>
      <c r="H419" s="12">
        <v>1385</v>
      </c>
      <c r="I419" s="12">
        <v>12</v>
      </c>
      <c r="J419" t="str">
        <f>VLOOKUP(B419,Paramètres!$A$4:$C$11,3,FALSE)</f>
        <v>Petite couronne</v>
      </c>
      <c r="K419" s="13">
        <f>IFERROR(H419/G419,"")</f>
        <v>115.41666666666667</v>
      </c>
      <c r="L419" s="14">
        <f>IFERROR(I419/G419,"")</f>
        <v>1</v>
      </c>
      <c r="M419" s="11" t="str">
        <f>IF(K419&gt;=Paramètres!$F$6,"Très forte",IF(K419&gt;=Paramètres!$F$5,"Forte",IF(K419&gt;=Paramètres!$F$4,"Modérée","Faible")))</f>
        <v>Très forte</v>
      </c>
    </row>
    <row r="420" spans="1:13">
      <c r="A420" t="s">
        <v>865</v>
      </c>
      <c r="B420" s="11">
        <v>75</v>
      </c>
      <c r="C420" t="s">
        <v>86</v>
      </c>
      <c r="D420" t="s">
        <v>797</v>
      </c>
      <c r="E420" t="s">
        <v>891</v>
      </c>
      <c r="F420" t="s">
        <v>92</v>
      </c>
      <c r="G420" s="12">
        <v>35</v>
      </c>
      <c r="H420" s="12">
        <v>4011</v>
      </c>
      <c r="I420" s="12">
        <v>35</v>
      </c>
      <c r="J420" t="str">
        <f>VLOOKUP(B420,Paramètres!$A$4:$C$11,3,FALSE)</f>
        <v>Paris</v>
      </c>
      <c r="K420" s="13">
        <f>IFERROR(H420/G420,"")</f>
        <v>114.6</v>
      </c>
      <c r="L420" s="14">
        <f>IFERROR(I420/G420,"")</f>
        <v>1</v>
      </c>
      <c r="M420" s="11" t="str">
        <f>IF(K420&gt;=Paramètres!$F$6,"Très forte",IF(K420&gt;=Paramètres!$F$5,"Forte",IF(K420&gt;=Paramètres!$F$4,"Modérée","Faible")))</f>
        <v>Très forte</v>
      </c>
    </row>
    <row r="421" spans="1:13">
      <c r="A421" t="s">
        <v>1135</v>
      </c>
      <c r="B421" s="11">
        <v>75</v>
      </c>
      <c r="C421" t="s">
        <v>86</v>
      </c>
      <c r="D421" t="s">
        <v>797</v>
      </c>
      <c r="E421" t="s">
        <v>885</v>
      </c>
      <c r="F421" t="s">
        <v>92</v>
      </c>
      <c r="G421" s="12">
        <v>24</v>
      </c>
      <c r="H421" s="12">
        <v>2718</v>
      </c>
      <c r="I421" s="12">
        <v>18</v>
      </c>
      <c r="J421" t="str">
        <f>VLOOKUP(B421,Paramètres!$A$4:$C$11,3,FALSE)</f>
        <v>Paris</v>
      </c>
      <c r="K421" s="13">
        <f>IFERROR(H421/G421,"")</f>
        <v>113.25</v>
      </c>
      <c r="L421" s="14">
        <f>IFERROR(I421/G421,"")</f>
        <v>0.75</v>
      </c>
      <c r="M421" s="11" t="str">
        <f>IF(K421&gt;=Paramètres!$F$6,"Très forte",IF(K421&gt;=Paramètres!$F$5,"Forte",IF(K421&gt;=Paramètres!$F$4,"Modérée","Faible")))</f>
        <v>Très forte</v>
      </c>
    </row>
    <row r="422" spans="1:13">
      <c r="A422" t="s">
        <v>859</v>
      </c>
      <c r="B422" s="11">
        <v>75</v>
      </c>
      <c r="C422" t="s">
        <v>86</v>
      </c>
      <c r="D422" t="s">
        <v>797</v>
      </c>
      <c r="E422" t="s">
        <v>837</v>
      </c>
      <c r="F422" t="s">
        <v>92</v>
      </c>
      <c r="G422" s="12">
        <v>24</v>
      </c>
      <c r="H422" s="12">
        <v>2694</v>
      </c>
      <c r="I422" s="12">
        <v>26</v>
      </c>
      <c r="J422" t="str">
        <f>VLOOKUP(B422,Paramètres!$A$4:$C$11,3,FALSE)</f>
        <v>Paris</v>
      </c>
      <c r="K422" s="13">
        <f>IFERROR(H422/G422,"")</f>
        <v>112.25</v>
      </c>
      <c r="L422" s="14">
        <f>IFERROR(I422/G422,"")</f>
        <v>1.0833333333333333</v>
      </c>
      <c r="M422" s="11" t="str">
        <f>IF(K422&gt;=Paramètres!$F$6,"Très forte",IF(K422&gt;=Paramètres!$F$5,"Forte",IF(K422&gt;=Paramètres!$F$4,"Modérée","Faible")))</f>
        <v>Très forte</v>
      </c>
    </row>
    <row r="423" spans="1:13">
      <c r="A423" t="s">
        <v>856</v>
      </c>
      <c r="B423" s="11">
        <v>75</v>
      </c>
      <c r="C423" t="s">
        <v>86</v>
      </c>
      <c r="D423" t="s">
        <v>797</v>
      </c>
      <c r="E423" t="s">
        <v>823</v>
      </c>
      <c r="F423" t="s">
        <v>92</v>
      </c>
      <c r="G423" s="12">
        <v>32</v>
      </c>
      <c r="H423" s="12">
        <v>3567</v>
      </c>
      <c r="I423" s="12">
        <v>33</v>
      </c>
      <c r="J423" t="str">
        <f>VLOOKUP(B423,Paramètres!$A$4:$C$11,3,FALSE)</f>
        <v>Paris</v>
      </c>
      <c r="K423" s="13">
        <f>IFERROR(H423/G423,"")</f>
        <v>111.46875</v>
      </c>
      <c r="L423" s="14">
        <f>IFERROR(I423/G423,"")</f>
        <v>1.03125</v>
      </c>
      <c r="M423" s="11" t="str">
        <f>IF(K423&gt;=Paramètres!$F$6,"Très forte",IF(K423&gt;=Paramètres!$F$5,"Forte",IF(K423&gt;=Paramètres!$F$4,"Modérée","Faible")))</f>
        <v>Très forte</v>
      </c>
    </row>
    <row r="424" spans="1:13">
      <c r="A424" t="s">
        <v>1029</v>
      </c>
      <c r="B424" s="11">
        <v>75</v>
      </c>
      <c r="C424" t="s">
        <v>86</v>
      </c>
      <c r="D424" t="s">
        <v>797</v>
      </c>
      <c r="E424" t="s">
        <v>885</v>
      </c>
      <c r="F424" t="s">
        <v>92</v>
      </c>
      <c r="G424" s="12">
        <v>35</v>
      </c>
      <c r="H424" s="12">
        <v>3869</v>
      </c>
      <c r="I424" s="12">
        <v>29</v>
      </c>
      <c r="J424" t="str">
        <f>VLOOKUP(B424,Paramètres!$A$4:$C$11,3,FALSE)</f>
        <v>Paris</v>
      </c>
      <c r="K424" s="13">
        <f>IFERROR(H424/G424,"")</f>
        <v>110.54285714285714</v>
      </c>
      <c r="L424" s="14">
        <f>IFERROR(I424/G424,"")</f>
        <v>0.82857142857142863</v>
      </c>
      <c r="M424" s="11" t="str">
        <f>IF(K424&gt;=Paramètres!$F$6,"Très forte",IF(K424&gt;=Paramètres!$F$5,"Forte",IF(K424&gt;=Paramètres!$F$4,"Modérée","Faible")))</f>
        <v>Très forte</v>
      </c>
    </row>
    <row r="425" spans="1:13">
      <c r="A425" t="s">
        <v>862</v>
      </c>
      <c r="B425" s="11">
        <v>75</v>
      </c>
      <c r="C425" t="s">
        <v>86</v>
      </c>
      <c r="D425" t="s">
        <v>797</v>
      </c>
      <c r="E425" t="s">
        <v>825</v>
      </c>
      <c r="F425" t="s">
        <v>92</v>
      </c>
      <c r="G425" s="12">
        <v>35</v>
      </c>
      <c r="H425" s="12">
        <v>3721</v>
      </c>
      <c r="I425" s="12">
        <v>34</v>
      </c>
      <c r="J425" t="str">
        <f>VLOOKUP(B425,Paramètres!$A$4:$C$11,3,FALSE)</f>
        <v>Paris</v>
      </c>
      <c r="K425" s="13">
        <f>IFERROR(H425/G425,"")</f>
        <v>106.31428571428572</v>
      </c>
      <c r="L425" s="14">
        <f>IFERROR(I425/G425,"")</f>
        <v>0.97142857142857142</v>
      </c>
      <c r="M425" s="11" t="str">
        <f>IF(K425&gt;=Paramètres!$F$6,"Très forte",IF(K425&gt;=Paramètres!$F$5,"Forte",IF(K425&gt;=Paramètres!$F$4,"Modérée","Faible")))</f>
        <v>Très forte</v>
      </c>
    </row>
    <row r="426" spans="1:13">
      <c r="A426" t="s">
        <v>835</v>
      </c>
      <c r="B426" s="11">
        <v>75</v>
      </c>
      <c r="C426" t="s">
        <v>86</v>
      </c>
      <c r="D426" t="s">
        <v>797</v>
      </c>
      <c r="E426" t="s">
        <v>837</v>
      </c>
      <c r="F426" t="s">
        <v>92</v>
      </c>
      <c r="G426" s="12">
        <v>24</v>
      </c>
      <c r="H426" s="12">
        <v>2493</v>
      </c>
      <c r="I426" s="12">
        <v>25</v>
      </c>
      <c r="J426" t="str">
        <f>VLOOKUP(B426,Paramètres!$A$4:$C$11,3,FALSE)</f>
        <v>Paris</v>
      </c>
      <c r="K426" s="13">
        <f>IFERROR(H426/G426,"")</f>
        <v>103.875</v>
      </c>
      <c r="L426" s="14">
        <f>IFERROR(I426/G426,"")</f>
        <v>1.0416666666666667</v>
      </c>
      <c r="M426" s="11" t="str">
        <f>IF(K426&gt;=Paramètres!$F$6,"Très forte",IF(K426&gt;=Paramètres!$F$5,"Forte",IF(K426&gt;=Paramètres!$F$4,"Modérée","Faible")))</f>
        <v>Très forte</v>
      </c>
    </row>
    <row r="427" spans="1:13">
      <c r="A427" t="s">
        <v>944</v>
      </c>
      <c r="B427" s="11">
        <v>93</v>
      </c>
      <c r="C427" t="s">
        <v>100</v>
      </c>
      <c r="D427" t="s">
        <v>797</v>
      </c>
      <c r="E427" t="s">
        <v>885</v>
      </c>
      <c r="F427" t="s">
        <v>92</v>
      </c>
      <c r="G427" s="12">
        <v>24</v>
      </c>
      <c r="H427" s="12">
        <v>2358</v>
      </c>
      <c r="I427" s="12">
        <v>20</v>
      </c>
      <c r="J427" t="str">
        <f>VLOOKUP(B427,Paramètres!$A$4:$C$11,3,FALSE)</f>
        <v>Petite couronne</v>
      </c>
      <c r="K427" s="13">
        <f>IFERROR(H427/G427,"")</f>
        <v>98.25</v>
      </c>
      <c r="L427" s="14">
        <f>IFERROR(I427/G427,"")</f>
        <v>0.83333333333333337</v>
      </c>
      <c r="M427" s="11" t="str">
        <f>IF(K427&gt;=Paramètres!$F$6,"Très forte",IF(K427&gt;=Paramètres!$F$5,"Forte",IF(K427&gt;=Paramètres!$F$4,"Modérée","Faible")))</f>
        <v>Très forte</v>
      </c>
    </row>
    <row r="428" spans="1:13">
      <c r="A428" t="s">
        <v>824</v>
      </c>
      <c r="B428" s="11">
        <v>75</v>
      </c>
      <c r="C428" t="s">
        <v>86</v>
      </c>
      <c r="D428" t="s">
        <v>797</v>
      </c>
      <c r="E428" t="s">
        <v>822</v>
      </c>
      <c r="F428" t="s">
        <v>92</v>
      </c>
      <c r="G428" s="12">
        <v>24</v>
      </c>
      <c r="H428" s="12">
        <v>2304</v>
      </c>
      <c r="I428" s="12">
        <v>23</v>
      </c>
      <c r="J428" t="str">
        <f>VLOOKUP(B428,Paramètres!$A$4:$C$11,3,FALSE)</f>
        <v>Paris</v>
      </c>
      <c r="K428" s="13">
        <f>IFERROR(H428/G428,"")</f>
        <v>96</v>
      </c>
      <c r="L428" s="14">
        <f>IFERROR(I428/G428,"")</f>
        <v>0.95833333333333337</v>
      </c>
      <c r="M428" s="11" t="str">
        <f>IF(K428&gt;=Paramètres!$F$6,"Très forte",IF(K428&gt;=Paramètres!$F$5,"Forte",IF(K428&gt;=Paramètres!$F$4,"Modérée","Faible")))</f>
        <v>Très forte</v>
      </c>
    </row>
    <row r="429" spans="1:13">
      <c r="A429" t="s">
        <v>831</v>
      </c>
      <c r="B429" s="11">
        <v>75</v>
      </c>
      <c r="C429" t="s">
        <v>86</v>
      </c>
      <c r="D429" t="s">
        <v>797</v>
      </c>
      <c r="E429" t="s">
        <v>991</v>
      </c>
      <c r="F429" t="s">
        <v>92</v>
      </c>
      <c r="G429" s="12">
        <v>24</v>
      </c>
      <c r="H429" s="12">
        <v>2279</v>
      </c>
      <c r="I429" s="12">
        <v>27</v>
      </c>
      <c r="J429" t="str">
        <f>VLOOKUP(B429,Paramètres!$A$4:$C$11,3,FALSE)</f>
        <v>Paris</v>
      </c>
      <c r="K429" s="13">
        <f>IFERROR(H429/G429,"")</f>
        <v>94.958333333333329</v>
      </c>
      <c r="L429" s="14">
        <f>IFERROR(I429/G429,"")</f>
        <v>1.125</v>
      </c>
      <c r="M429" s="11" t="str">
        <f>IF(K429&gt;=Paramètres!$F$6,"Très forte",IF(K429&gt;=Paramètres!$F$5,"Forte",IF(K429&gt;=Paramètres!$F$4,"Modérée","Faible")))</f>
        <v>Très forte</v>
      </c>
    </row>
    <row r="430" spans="1:13">
      <c r="A430" t="s">
        <v>1154</v>
      </c>
      <c r="B430" s="11">
        <v>93</v>
      </c>
      <c r="C430" t="s">
        <v>100</v>
      </c>
      <c r="D430" t="s">
        <v>797</v>
      </c>
      <c r="E430" t="s">
        <v>885</v>
      </c>
      <c r="F430" t="s">
        <v>92</v>
      </c>
      <c r="G430" s="12">
        <v>24</v>
      </c>
      <c r="H430" s="12">
        <v>2274</v>
      </c>
      <c r="I430" s="12">
        <v>19</v>
      </c>
      <c r="J430" t="str">
        <f>VLOOKUP(B430,Paramètres!$A$4:$C$11,3,FALSE)</f>
        <v>Petite couronne</v>
      </c>
      <c r="K430" s="13">
        <f>IFERROR(H430/G430,"")</f>
        <v>94.75</v>
      </c>
      <c r="L430" s="14">
        <f>IFERROR(I430/G430,"")</f>
        <v>0.79166666666666663</v>
      </c>
      <c r="M430" s="11" t="str">
        <f>IF(K430&gt;=Paramètres!$F$6,"Très forte",IF(K430&gt;=Paramètres!$F$5,"Forte",IF(K430&gt;=Paramètres!$F$4,"Modérée","Faible")))</f>
        <v>Très forte</v>
      </c>
    </row>
    <row r="431" spans="1:13">
      <c r="A431" t="s">
        <v>930</v>
      </c>
      <c r="B431" s="11">
        <v>92</v>
      </c>
      <c r="C431" t="s">
        <v>94</v>
      </c>
      <c r="D431" t="s">
        <v>797</v>
      </c>
      <c r="E431" t="s">
        <v>1069</v>
      </c>
      <c r="F431" t="s">
        <v>92</v>
      </c>
      <c r="G431" s="12">
        <v>12</v>
      </c>
      <c r="H431" s="12">
        <v>1115</v>
      </c>
      <c r="I431" s="12">
        <v>8</v>
      </c>
      <c r="J431" t="str">
        <f>VLOOKUP(B431,Paramètres!$A$4:$C$11,3,FALSE)</f>
        <v>Petite couronne</v>
      </c>
      <c r="K431" s="13">
        <f>IFERROR(H431/G431,"")</f>
        <v>92.916666666666671</v>
      </c>
      <c r="L431" s="14">
        <f>IFERROR(I431/G431,"")</f>
        <v>0.66666666666666663</v>
      </c>
      <c r="M431" s="11" t="str">
        <f>IF(K431&gt;=Paramètres!$F$6,"Très forte",IF(K431&gt;=Paramètres!$F$5,"Forte",IF(K431&gt;=Paramètres!$F$4,"Modérée","Faible")))</f>
        <v>Très forte</v>
      </c>
    </row>
    <row r="432" spans="1:13">
      <c r="A432" t="s">
        <v>1087</v>
      </c>
      <c r="B432" s="11">
        <v>93</v>
      </c>
      <c r="C432" t="s">
        <v>100</v>
      </c>
      <c r="D432" t="s">
        <v>797</v>
      </c>
      <c r="E432" t="s">
        <v>837</v>
      </c>
      <c r="F432" t="s">
        <v>92</v>
      </c>
      <c r="G432" s="12">
        <v>12</v>
      </c>
      <c r="H432" s="12">
        <v>1085</v>
      </c>
      <c r="I432" s="12">
        <v>11</v>
      </c>
      <c r="J432" t="str">
        <f>VLOOKUP(B432,Paramètres!$A$4:$C$11,3,FALSE)</f>
        <v>Petite couronne</v>
      </c>
      <c r="K432" s="13">
        <f>IFERROR(H432/G432,"")</f>
        <v>90.416666666666671</v>
      </c>
      <c r="L432" s="14">
        <f>IFERROR(I432/G432,"")</f>
        <v>0.91666666666666663</v>
      </c>
      <c r="M432" s="11" t="str">
        <f>IF(K432&gt;=Paramètres!$F$6,"Très forte",IF(K432&gt;=Paramètres!$F$5,"Forte",IF(K432&gt;=Paramètres!$F$4,"Modérée","Faible")))</f>
        <v>Très forte</v>
      </c>
    </row>
    <row r="433" spans="1:13">
      <c r="A433" t="s">
        <v>1034</v>
      </c>
      <c r="B433" s="11">
        <v>75</v>
      </c>
      <c r="C433" t="s">
        <v>86</v>
      </c>
      <c r="D433" t="s">
        <v>797</v>
      </c>
      <c r="E433" t="s">
        <v>825</v>
      </c>
      <c r="F433" t="s">
        <v>92</v>
      </c>
      <c r="G433" s="12">
        <v>37</v>
      </c>
      <c r="H433" s="12">
        <v>3303</v>
      </c>
      <c r="I433" s="12">
        <v>40</v>
      </c>
      <c r="J433" t="str">
        <f>VLOOKUP(B433,Paramètres!$A$4:$C$11,3,FALSE)</f>
        <v>Paris</v>
      </c>
      <c r="K433" s="13">
        <f>IFERROR(H433/G433,"")</f>
        <v>89.270270270270274</v>
      </c>
      <c r="L433" s="14">
        <f>IFERROR(I433/G433,"")</f>
        <v>1.0810810810810811</v>
      </c>
      <c r="M433" s="11" t="str">
        <f>IF(K433&gt;=Paramètres!$F$6,"Très forte",IF(K433&gt;=Paramètres!$F$5,"Forte",IF(K433&gt;=Paramètres!$F$4,"Modérée","Faible")))</f>
        <v>Très forte</v>
      </c>
    </row>
    <row r="434" spans="1:13">
      <c r="A434" t="s">
        <v>932</v>
      </c>
      <c r="B434" s="11">
        <v>92</v>
      </c>
      <c r="C434" t="s">
        <v>94</v>
      </c>
      <c r="D434" t="s">
        <v>797</v>
      </c>
      <c r="E434" t="s">
        <v>837</v>
      </c>
      <c r="F434" t="s">
        <v>92</v>
      </c>
      <c r="G434" s="12">
        <v>30</v>
      </c>
      <c r="H434" s="12">
        <v>2649</v>
      </c>
      <c r="I434" s="12">
        <v>30</v>
      </c>
      <c r="J434" t="str">
        <f>VLOOKUP(B434,Paramètres!$A$4:$C$11,3,FALSE)</f>
        <v>Petite couronne</v>
      </c>
      <c r="K434" s="13">
        <f>IFERROR(H434/G434,"")</f>
        <v>88.3</v>
      </c>
      <c r="L434" s="14">
        <f>IFERROR(I434/G434,"")</f>
        <v>1</v>
      </c>
      <c r="M434" s="11" t="str">
        <f>IF(K434&gt;=Paramètres!$F$6,"Très forte",IF(K434&gt;=Paramètres!$F$5,"Forte",IF(K434&gt;=Paramètres!$F$4,"Modérée","Faible")))</f>
        <v>Très forte</v>
      </c>
    </row>
    <row r="435" spans="1:13">
      <c r="A435" t="s">
        <v>1034</v>
      </c>
      <c r="B435" s="11">
        <v>75</v>
      </c>
      <c r="C435" t="s">
        <v>86</v>
      </c>
      <c r="D435" t="s">
        <v>797</v>
      </c>
      <c r="E435" t="s">
        <v>885</v>
      </c>
      <c r="F435" t="s">
        <v>92</v>
      </c>
      <c r="G435" s="12">
        <v>35</v>
      </c>
      <c r="H435" s="12">
        <v>3077</v>
      </c>
      <c r="I435" s="12">
        <v>34</v>
      </c>
      <c r="J435" t="str">
        <f>VLOOKUP(B435,Paramètres!$A$4:$C$11,3,FALSE)</f>
        <v>Paris</v>
      </c>
      <c r="K435" s="13">
        <f>IFERROR(H435/G435,"")</f>
        <v>87.914285714285711</v>
      </c>
      <c r="L435" s="14">
        <f>IFERROR(I435/G435,"")</f>
        <v>0.97142857142857142</v>
      </c>
      <c r="M435" s="11" t="str">
        <f>IF(K435&gt;=Paramètres!$F$6,"Très forte",IF(K435&gt;=Paramètres!$F$5,"Forte",IF(K435&gt;=Paramètres!$F$4,"Modérée","Faible")))</f>
        <v>Très forte</v>
      </c>
    </row>
    <row r="436" spans="1:13">
      <c r="A436" t="s">
        <v>1026</v>
      </c>
      <c r="B436" s="11">
        <v>75</v>
      </c>
      <c r="C436" t="s">
        <v>86</v>
      </c>
      <c r="D436" t="s">
        <v>797</v>
      </c>
      <c r="E436" t="s">
        <v>885</v>
      </c>
      <c r="F436" t="s">
        <v>92</v>
      </c>
      <c r="G436" s="12">
        <v>35</v>
      </c>
      <c r="H436" s="12">
        <v>3068</v>
      </c>
      <c r="I436" s="12">
        <v>29</v>
      </c>
      <c r="J436" t="str">
        <f>VLOOKUP(B436,Paramètres!$A$4:$C$11,3,FALSE)</f>
        <v>Paris</v>
      </c>
      <c r="K436" s="13">
        <f>IFERROR(H436/G436,"")</f>
        <v>87.657142857142858</v>
      </c>
      <c r="L436" s="14">
        <f>IFERROR(I436/G436,"")</f>
        <v>0.82857142857142863</v>
      </c>
      <c r="M436" s="11" t="str">
        <f>IF(K436&gt;=Paramètres!$F$6,"Très forte",IF(K436&gt;=Paramètres!$F$5,"Forte",IF(K436&gt;=Paramètres!$F$4,"Modérée","Faible")))</f>
        <v>Très forte</v>
      </c>
    </row>
    <row r="437" spans="1:13">
      <c r="A437" t="s">
        <v>996</v>
      </c>
      <c r="B437" s="11">
        <v>75</v>
      </c>
      <c r="C437" t="s">
        <v>86</v>
      </c>
      <c r="D437" t="s">
        <v>797</v>
      </c>
      <c r="E437" t="s">
        <v>997</v>
      </c>
      <c r="F437" t="s">
        <v>92</v>
      </c>
      <c r="G437" s="12">
        <v>15</v>
      </c>
      <c r="H437" s="12">
        <v>1311</v>
      </c>
      <c r="I437" s="12">
        <v>17</v>
      </c>
      <c r="J437" t="str">
        <f>VLOOKUP(B437,Paramètres!$A$4:$C$11,3,FALSE)</f>
        <v>Paris</v>
      </c>
      <c r="K437" s="13">
        <f>IFERROR(H437/G437,"")</f>
        <v>87.4</v>
      </c>
      <c r="L437" s="14">
        <f>IFERROR(I437/G437,"")</f>
        <v>1.1333333333333333</v>
      </c>
      <c r="M437" s="11" t="str">
        <f>IF(K437&gt;=Paramètres!$F$6,"Très forte",IF(K437&gt;=Paramètres!$F$5,"Forte",IF(K437&gt;=Paramètres!$F$4,"Modérée","Faible")))</f>
        <v>Très forte</v>
      </c>
    </row>
    <row r="438" spans="1:13">
      <c r="A438" t="s">
        <v>856</v>
      </c>
      <c r="B438" s="11">
        <v>75</v>
      </c>
      <c r="C438" t="s">
        <v>86</v>
      </c>
      <c r="D438" t="s">
        <v>797</v>
      </c>
      <c r="E438" t="s">
        <v>819</v>
      </c>
      <c r="F438" t="s">
        <v>92</v>
      </c>
      <c r="G438" s="12">
        <v>35</v>
      </c>
      <c r="H438" s="12">
        <v>3013</v>
      </c>
      <c r="I438" s="12">
        <v>34</v>
      </c>
      <c r="J438" t="str">
        <f>VLOOKUP(B438,Paramètres!$A$4:$C$11,3,FALSE)</f>
        <v>Paris</v>
      </c>
      <c r="K438" s="13">
        <f>IFERROR(H438/G438,"")</f>
        <v>86.085714285714289</v>
      </c>
      <c r="L438" s="14">
        <f>IFERROR(I438/G438,"")</f>
        <v>0.97142857142857142</v>
      </c>
      <c r="M438" s="11" t="str">
        <f>IF(K438&gt;=Paramètres!$F$6,"Très forte",IF(K438&gt;=Paramètres!$F$5,"Forte",IF(K438&gt;=Paramètres!$F$4,"Modérée","Faible")))</f>
        <v>Très forte</v>
      </c>
    </row>
    <row r="439" spans="1:13">
      <c r="A439" t="s">
        <v>1026</v>
      </c>
      <c r="B439" s="11">
        <v>75</v>
      </c>
      <c r="C439" t="s">
        <v>86</v>
      </c>
      <c r="D439" t="s">
        <v>797</v>
      </c>
      <c r="E439" t="s">
        <v>798</v>
      </c>
      <c r="F439" t="s">
        <v>92</v>
      </c>
      <c r="G439" s="12">
        <v>35</v>
      </c>
      <c r="H439" s="12">
        <v>2997</v>
      </c>
      <c r="I439" s="12">
        <v>34</v>
      </c>
      <c r="J439" t="str">
        <f>VLOOKUP(B439,Paramètres!$A$4:$C$11,3,FALSE)</f>
        <v>Paris</v>
      </c>
      <c r="K439" s="13">
        <f>IFERROR(H439/G439,"")</f>
        <v>85.628571428571433</v>
      </c>
      <c r="L439" s="14">
        <f>IFERROR(I439/G439,"")</f>
        <v>0.97142857142857142</v>
      </c>
      <c r="M439" s="11" t="str">
        <f>IF(K439&gt;=Paramètres!$F$6,"Très forte",IF(K439&gt;=Paramètres!$F$5,"Forte",IF(K439&gt;=Paramètres!$F$4,"Modérée","Faible")))</f>
        <v>Très forte</v>
      </c>
    </row>
    <row r="440" spans="1:13">
      <c r="A440" t="s">
        <v>934</v>
      </c>
      <c r="B440" s="11">
        <v>92</v>
      </c>
      <c r="C440" t="s">
        <v>94</v>
      </c>
      <c r="D440" t="s">
        <v>797</v>
      </c>
      <c r="E440" t="s">
        <v>885</v>
      </c>
      <c r="F440" t="s">
        <v>92</v>
      </c>
      <c r="G440" s="12">
        <v>30</v>
      </c>
      <c r="H440" s="12">
        <v>2563</v>
      </c>
      <c r="I440" s="12">
        <v>30</v>
      </c>
      <c r="J440" t="str">
        <f>VLOOKUP(B440,Paramètres!$A$4:$C$11,3,FALSE)</f>
        <v>Petite couronne</v>
      </c>
      <c r="K440" s="13">
        <f>IFERROR(H440/G440,"")</f>
        <v>85.433333333333337</v>
      </c>
      <c r="L440" s="14">
        <f>IFERROR(I440/G440,"")</f>
        <v>1</v>
      </c>
      <c r="M440" s="11" t="str">
        <f>IF(K440&gt;=Paramètres!$F$6,"Très forte",IF(K440&gt;=Paramètres!$F$5,"Forte",IF(K440&gt;=Paramètres!$F$4,"Modérée","Faible")))</f>
        <v>Très forte</v>
      </c>
    </row>
    <row r="441" spans="1:13">
      <c r="A441" t="s">
        <v>959</v>
      </c>
      <c r="B441" s="11">
        <v>93</v>
      </c>
      <c r="C441" t="s">
        <v>100</v>
      </c>
      <c r="D441" t="s">
        <v>797</v>
      </c>
      <c r="E441" t="s">
        <v>1069</v>
      </c>
      <c r="F441" t="s">
        <v>92</v>
      </c>
      <c r="G441" s="12">
        <v>13</v>
      </c>
      <c r="H441" s="12">
        <v>1075</v>
      </c>
      <c r="I441" s="12">
        <v>13</v>
      </c>
      <c r="J441" t="str">
        <f>VLOOKUP(B441,Paramètres!$A$4:$C$11,3,FALSE)</f>
        <v>Petite couronne</v>
      </c>
      <c r="K441" s="13">
        <f>IFERROR(H441/G441,"")</f>
        <v>82.692307692307693</v>
      </c>
      <c r="L441" s="14">
        <f>IFERROR(I441/G441,"")</f>
        <v>1</v>
      </c>
      <c r="M441" s="11" t="str">
        <f>IF(K441&gt;=Paramètres!$F$6,"Très forte",IF(K441&gt;=Paramètres!$F$5,"Forte",IF(K441&gt;=Paramètres!$F$4,"Modérée","Faible")))</f>
        <v>Très forte</v>
      </c>
    </row>
    <row r="442" spans="1:13">
      <c r="A442" t="s">
        <v>1130</v>
      </c>
      <c r="B442" s="11">
        <v>75</v>
      </c>
      <c r="C442" t="s">
        <v>86</v>
      </c>
      <c r="D442" t="s">
        <v>797</v>
      </c>
      <c r="E442" t="s">
        <v>991</v>
      </c>
      <c r="F442" t="s">
        <v>92</v>
      </c>
      <c r="G442" s="12">
        <v>24</v>
      </c>
      <c r="H442" s="12">
        <v>1980</v>
      </c>
      <c r="I442" s="12">
        <v>21</v>
      </c>
      <c r="J442" t="str">
        <f>VLOOKUP(B442,Paramètres!$A$4:$C$11,3,FALSE)</f>
        <v>Paris</v>
      </c>
      <c r="K442" s="13">
        <f>IFERROR(H442/G442,"")</f>
        <v>82.5</v>
      </c>
      <c r="L442" s="14">
        <f>IFERROR(I442/G442,"")</f>
        <v>0.875</v>
      </c>
      <c r="M442" s="11" t="str">
        <f>IF(K442&gt;=Paramètres!$F$6,"Très forte",IF(K442&gt;=Paramètres!$F$5,"Forte",IF(K442&gt;=Paramètres!$F$4,"Modérée","Faible")))</f>
        <v>Très forte</v>
      </c>
    </row>
    <row r="443" spans="1:13">
      <c r="A443" t="s">
        <v>859</v>
      </c>
      <c r="B443" s="11">
        <v>75</v>
      </c>
      <c r="C443" t="s">
        <v>86</v>
      </c>
      <c r="D443" t="s">
        <v>797</v>
      </c>
      <c r="E443" t="s">
        <v>798</v>
      </c>
      <c r="F443" t="s">
        <v>92</v>
      </c>
      <c r="G443" s="12">
        <v>35</v>
      </c>
      <c r="H443" s="12">
        <v>2840</v>
      </c>
      <c r="I443" s="12">
        <v>31</v>
      </c>
      <c r="J443" t="str">
        <f>VLOOKUP(B443,Paramètres!$A$4:$C$11,3,FALSE)</f>
        <v>Paris</v>
      </c>
      <c r="K443" s="13">
        <f>IFERROR(H443/G443,"")</f>
        <v>81.142857142857139</v>
      </c>
      <c r="L443" s="14">
        <f>IFERROR(I443/G443,"")</f>
        <v>0.88571428571428568</v>
      </c>
      <c r="M443" s="11" t="str">
        <f>IF(K443&gt;=Paramètres!$F$6,"Très forte",IF(K443&gt;=Paramètres!$F$5,"Forte",IF(K443&gt;=Paramètres!$F$4,"Modérée","Faible")))</f>
        <v>Très forte</v>
      </c>
    </row>
    <row r="444" spans="1:13">
      <c r="A444" t="s">
        <v>907</v>
      </c>
      <c r="B444" s="11">
        <v>93</v>
      </c>
      <c r="C444" t="s">
        <v>100</v>
      </c>
      <c r="D444" t="s">
        <v>797</v>
      </c>
      <c r="E444" t="s">
        <v>837</v>
      </c>
      <c r="F444" t="s">
        <v>92</v>
      </c>
      <c r="G444" s="12">
        <v>24</v>
      </c>
      <c r="H444" s="12">
        <v>1924</v>
      </c>
      <c r="I444" s="12">
        <v>23</v>
      </c>
      <c r="J444" t="str">
        <f>VLOOKUP(B444,Paramètres!$A$4:$C$11,3,FALSE)</f>
        <v>Petite couronne</v>
      </c>
      <c r="K444" s="13">
        <f>IFERROR(H444/G444,"")</f>
        <v>80.166666666666671</v>
      </c>
      <c r="L444" s="14">
        <f>IFERROR(I444/G444,"")</f>
        <v>0.95833333333333337</v>
      </c>
      <c r="M444" s="11" t="str">
        <f>IF(K444&gt;=Paramètres!$F$6,"Très forte",IF(K444&gt;=Paramètres!$F$5,"Forte",IF(K444&gt;=Paramètres!$F$4,"Modérée","Faible")))</f>
        <v>Très forte</v>
      </c>
    </row>
    <row r="445" spans="1:13">
      <c r="A445" t="s">
        <v>865</v>
      </c>
      <c r="B445" s="11">
        <v>75</v>
      </c>
      <c r="C445" t="s">
        <v>86</v>
      </c>
      <c r="D445" t="s">
        <v>797</v>
      </c>
      <c r="E445" t="s">
        <v>867</v>
      </c>
      <c r="F445" t="s">
        <v>92</v>
      </c>
      <c r="G445" s="12">
        <v>35</v>
      </c>
      <c r="H445" s="12">
        <v>2797</v>
      </c>
      <c r="I445" s="12">
        <v>34</v>
      </c>
      <c r="J445" t="str">
        <f>VLOOKUP(B445,Paramètres!$A$4:$C$11,3,FALSE)</f>
        <v>Paris</v>
      </c>
      <c r="K445" s="13">
        <f>IFERROR(H445/G445,"")</f>
        <v>79.914285714285711</v>
      </c>
      <c r="L445" s="14">
        <f>IFERROR(I445/G445,"")</f>
        <v>0.97142857142857142</v>
      </c>
      <c r="M445" s="11" t="str">
        <f>IF(K445&gt;=Paramètres!$F$6,"Très forte",IF(K445&gt;=Paramètres!$F$5,"Forte",IF(K445&gt;=Paramètres!$F$4,"Modérée","Faible")))</f>
        <v>Très forte</v>
      </c>
    </row>
    <row r="446" spans="1:13">
      <c r="A446" t="s">
        <v>862</v>
      </c>
      <c r="B446" s="11">
        <v>75</v>
      </c>
      <c r="C446" t="s">
        <v>86</v>
      </c>
      <c r="D446" t="s">
        <v>797</v>
      </c>
      <c r="E446" t="s">
        <v>823</v>
      </c>
      <c r="F446" t="s">
        <v>92</v>
      </c>
      <c r="G446" s="12">
        <v>48</v>
      </c>
      <c r="H446" s="12">
        <v>3790</v>
      </c>
      <c r="I446" s="12">
        <v>50</v>
      </c>
      <c r="J446" t="str">
        <f>VLOOKUP(B446,Paramètres!$A$4:$C$11,3,FALSE)</f>
        <v>Paris</v>
      </c>
      <c r="K446" s="13">
        <f>IFERROR(H446/G446,"")</f>
        <v>78.958333333333329</v>
      </c>
      <c r="L446" s="14">
        <f>IFERROR(I446/G446,"")</f>
        <v>1.0416666666666667</v>
      </c>
      <c r="M446" s="11" t="str">
        <f>IF(K446&gt;=Paramètres!$F$6,"Très forte",IF(K446&gt;=Paramètres!$F$5,"Forte",IF(K446&gt;=Paramètres!$F$4,"Modérée","Faible")))</f>
        <v>Très forte</v>
      </c>
    </row>
    <row r="447" spans="1:13">
      <c r="A447" t="s">
        <v>948</v>
      </c>
      <c r="B447" s="11">
        <v>93</v>
      </c>
      <c r="C447" t="s">
        <v>100</v>
      </c>
      <c r="D447" t="s">
        <v>797</v>
      </c>
      <c r="E447" t="s">
        <v>823</v>
      </c>
      <c r="F447" t="s">
        <v>92</v>
      </c>
      <c r="G447" s="12">
        <v>24</v>
      </c>
      <c r="H447" s="12">
        <v>1894</v>
      </c>
      <c r="I447" s="12">
        <v>22</v>
      </c>
      <c r="J447" t="str">
        <f>VLOOKUP(B447,Paramètres!$A$4:$C$11,3,FALSE)</f>
        <v>Petite couronne</v>
      </c>
      <c r="K447" s="13">
        <f>IFERROR(H447/G447,"")</f>
        <v>78.916666666666671</v>
      </c>
      <c r="L447" s="14">
        <f>IFERROR(I447/G447,"")</f>
        <v>0.91666666666666663</v>
      </c>
      <c r="M447" s="11" t="str">
        <f>IF(K447&gt;=Paramètres!$F$6,"Très forte",IF(K447&gt;=Paramètres!$F$5,"Forte",IF(K447&gt;=Paramètres!$F$4,"Modérée","Faible")))</f>
        <v>Très forte</v>
      </c>
    </row>
    <row r="448" spans="1:13">
      <c r="A448" t="s">
        <v>1026</v>
      </c>
      <c r="B448" s="11">
        <v>75</v>
      </c>
      <c r="C448" t="s">
        <v>86</v>
      </c>
      <c r="D448" t="s">
        <v>797</v>
      </c>
      <c r="E448" t="s">
        <v>991</v>
      </c>
      <c r="F448" t="s">
        <v>92</v>
      </c>
      <c r="G448" s="12">
        <v>35</v>
      </c>
      <c r="H448" s="12">
        <v>2759</v>
      </c>
      <c r="I448" s="12">
        <v>35</v>
      </c>
      <c r="J448" t="str">
        <f>VLOOKUP(B448,Paramètres!$A$4:$C$11,3,FALSE)</f>
        <v>Paris</v>
      </c>
      <c r="K448" s="13">
        <f>IFERROR(H448/G448,"")</f>
        <v>78.828571428571422</v>
      </c>
      <c r="L448" s="14">
        <f>IFERROR(I448/G448,"")</f>
        <v>1</v>
      </c>
      <c r="M448" s="11" t="str">
        <f>IF(K448&gt;=Paramètres!$F$6,"Très forte",IF(K448&gt;=Paramètres!$F$5,"Forte",IF(K448&gt;=Paramètres!$F$4,"Modérée","Faible")))</f>
        <v>Très forte</v>
      </c>
    </row>
    <row r="449" spans="1:13">
      <c r="A449" t="s">
        <v>865</v>
      </c>
      <c r="B449" s="11">
        <v>75</v>
      </c>
      <c r="C449" t="s">
        <v>86</v>
      </c>
      <c r="D449" t="s">
        <v>797</v>
      </c>
      <c r="E449" t="s">
        <v>819</v>
      </c>
      <c r="F449" t="s">
        <v>92</v>
      </c>
      <c r="G449" s="12">
        <v>35</v>
      </c>
      <c r="H449" s="12">
        <v>2750</v>
      </c>
      <c r="I449" s="12">
        <v>36</v>
      </c>
      <c r="J449" t="str">
        <f>VLOOKUP(B449,Paramètres!$A$4:$C$11,3,FALSE)</f>
        <v>Paris</v>
      </c>
      <c r="K449" s="13">
        <f>IFERROR(H449/G449,"")</f>
        <v>78.571428571428569</v>
      </c>
      <c r="L449" s="14">
        <f>IFERROR(I449/G449,"")</f>
        <v>1.0285714285714285</v>
      </c>
      <c r="M449" s="11" t="str">
        <f>IF(K449&gt;=Paramètres!$F$6,"Très forte",IF(K449&gt;=Paramètres!$F$5,"Forte",IF(K449&gt;=Paramètres!$F$4,"Modérée","Faible")))</f>
        <v>Très forte</v>
      </c>
    </row>
    <row r="450" spans="1:13">
      <c r="A450" t="s">
        <v>1138</v>
      </c>
      <c r="B450" s="11">
        <v>75</v>
      </c>
      <c r="C450" t="s">
        <v>86</v>
      </c>
      <c r="D450" t="s">
        <v>797</v>
      </c>
      <c r="E450" t="s">
        <v>819</v>
      </c>
      <c r="F450" t="s">
        <v>92</v>
      </c>
      <c r="G450" s="12">
        <v>35</v>
      </c>
      <c r="H450" s="12">
        <v>2718</v>
      </c>
      <c r="I450" s="12">
        <v>30</v>
      </c>
      <c r="J450" t="str">
        <f>VLOOKUP(B450,Paramètres!$A$4:$C$11,3,FALSE)</f>
        <v>Paris</v>
      </c>
      <c r="K450" s="13">
        <f>IFERROR(H450/G450,"")</f>
        <v>77.657142857142858</v>
      </c>
      <c r="L450" s="14">
        <f>IFERROR(I450/G450,"")</f>
        <v>0.8571428571428571</v>
      </c>
      <c r="M450" s="11" t="str">
        <f>IF(K450&gt;=Paramètres!$F$6,"Très forte",IF(K450&gt;=Paramètres!$F$5,"Forte",IF(K450&gt;=Paramètres!$F$4,"Modérée","Faible")))</f>
        <v>Très forte</v>
      </c>
    </row>
    <row r="451" spans="1:13">
      <c r="A451" t="s">
        <v>1026</v>
      </c>
      <c r="B451" s="11">
        <v>75</v>
      </c>
      <c r="C451" t="s">
        <v>86</v>
      </c>
      <c r="D451" t="s">
        <v>797</v>
      </c>
      <c r="E451" t="s">
        <v>825</v>
      </c>
      <c r="F451" t="s">
        <v>92</v>
      </c>
      <c r="G451" s="12">
        <v>24</v>
      </c>
      <c r="H451" s="12">
        <v>1848</v>
      </c>
      <c r="I451" s="12">
        <v>23</v>
      </c>
      <c r="J451" t="str">
        <f>VLOOKUP(B451,Paramètres!$A$4:$C$11,3,FALSE)</f>
        <v>Paris</v>
      </c>
      <c r="K451" s="13">
        <f>IFERROR(H451/G451,"")</f>
        <v>77</v>
      </c>
      <c r="L451" s="14">
        <f>IFERROR(I451/G451,"")</f>
        <v>0.95833333333333337</v>
      </c>
      <c r="M451" s="11" t="str">
        <f>IF(K451&gt;=Paramètres!$F$6,"Très forte",IF(K451&gt;=Paramètres!$F$5,"Forte",IF(K451&gt;=Paramètres!$F$4,"Modérée","Faible")))</f>
        <v>Très forte</v>
      </c>
    </row>
    <row r="452" spans="1:13">
      <c r="A452" t="s">
        <v>1202</v>
      </c>
      <c r="B452" s="11">
        <v>75</v>
      </c>
      <c r="C452" t="s">
        <v>86</v>
      </c>
      <c r="D452" t="s">
        <v>797</v>
      </c>
      <c r="E452" t="s">
        <v>798</v>
      </c>
      <c r="F452" t="s">
        <v>92</v>
      </c>
      <c r="G452" s="12">
        <v>35</v>
      </c>
      <c r="H452" s="12">
        <v>2645</v>
      </c>
      <c r="I452" s="12">
        <v>35</v>
      </c>
      <c r="J452" t="str">
        <f>VLOOKUP(B452,Paramètres!$A$4:$C$11,3,FALSE)</f>
        <v>Paris</v>
      </c>
      <c r="K452" s="13">
        <f>IFERROR(H452/G452,"")</f>
        <v>75.571428571428569</v>
      </c>
      <c r="L452" s="14">
        <f>IFERROR(I452/G452,"")</f>
        <v>1</v>
      </c>
      <c r="M452" s="11" t="str">
        <f>IF(K452&gt;=Paramètres!$F$6,"Très forte",IF(K452&gt;=Paramètres!$F$5,"Forte",IF(K452&gt;=Paramètres!$F$4,"Modérée","Faible")))</f>
        <v>Très forte</v>
      </c>
    </row>
    <row r="453" spans="1:13">
      <c r="A453" t="s">
        <v>1115</v>
      </c>
      <c r="B453" s="11">
        <v>75</v>
      </c>
      <c r="C453" t="s">
        <v>86</v>
      </c>
      <c r="D453" t="s">
        <v>797</v>
      </c>
      <c r="E453" t="s">
        <v>822</v>
      </c>
      <c r="F453" t="s">
        <v>92</v>
      </c>
      <c r="G453" s="12">
        <v>24</v>
      </c>
      <c r="H453" s="12">
        <v>1768</v>
      </c>
      <c r="I453" s="12">
        <v>22</v>
      </c>
      <c r="J453" t="str">
        <f>VLOOKUP(B453,Paramètres!$A$4:$C$11,3,FALSE)</f>
        <v>Paris</v>
      </c>
      <c r="K453" s="13">
        <f>IFERROR(H453/G453,"")</f>
        <v>73.666666666666671</v>
      </c>
      <c r="L453" s="14">
        <f>IFERROR(I453/G453,"")</f>
        <v>0.91666666666666663</v>
      </c>
      <c r="M453" s="11" t="str">
        <f>IF(K453&gt;=Paramètres!$F$6,"Très forte",IF(K453&gt;=Paramètres!$F$5,"Forte",IF(K453&gt;=Paramètres!$F$4,"Modérée","Faible")))</f>
        <v>Très forte</v>
      </c>
    </row>
    <row r="454" spans="1:13">
      <c r="A454" t="s">
        <v>1121</v>
      </c>
      <c r="B454" s="11">
        <v>75</v>
      </c>
      <c r="C454" t="s">
        <v>86</v>
      </c>
      <c r="D454" t="s">
        <v>797</v>
      </c>
      <c r="E454" t="s">
        <v>819</v>
      </c>
      <c r="F454" t="s">
        <v>92</v>
      </c>
      <c r="G454" s="12">
        <v>24</v>
      </c>
      <c r="H454" s="12">
        <v>1756</v>
      </c>
      <c r="I454" s="12">
        <v>22</v>
      </c>
      <c r="J454" t="str">
        <f>VLOOKUP(B454,Paramètres!$A$4:$C$11,3,FALSE)</f>
        <v>Paris</v>
      </c>
      <c r="K454" s="13">
        <f>IFERROR(H454/G454,"")</f>
        <v>73.166666666666671</v>
      </c>
      <c r="L454" s="14">
        <f>IFERROR(I454/G454,"")</f>
        <v>0.91666666666666663</v>
      </c>
      <c r="M454" s="11" t="str">
        <f>IF(K454&gt;=Paramètres!$F$6,"Très forte",IF(K454&gt;=Paramètres!$F$5,"Forte",IF(K454&gt;=Paramètres!$F$4,"Modérée","Faible")))</f>
        <v>Très forte</v>
      </c>
    </row>
    <row r="455" spans="1:13">
      <c r="A455" t="s">
        <v>862</v>
      </c>
      <c r="B455" s="11">
        <v>75</v>
      </c>
      <c r="C455" t="s">
        <v>86</v>
      </c>
      <c r="D455" t="s">
        <v>797</v>
      </c>
      <c r="E455" t="s">
        <v>798</v>
      </c>
      <c r="F455" t="s">
        <v>92</v>
      </c>
      <c r="G455" s="12">
        <v>35</v>
      </c>
      <c r="H455" s="12">
        <v>2550</v>
      </c>
      <c r="I455" s="12">
        <v>37</v>
      </c>
      <c r="J455" t="str">
        <f>VLOOKUP(B455,Paramètres!$A$4:$C$11,3,FALSE)</f>
        <v>Paris</v>
      </c>
      <c r="K455" s="13">
        <f>IFERROR(H455/G455,"")</f>
        <v>72.857142857142861</v>
      </c>
      <c r="L455" s="14">
        <f>IFERROR(I455/G455,"")</f>
        <v>1.0571428571428572</v>
      </c>
      <c r="M455" s="11" t="str">
        <f>IF(K455&gt;=Paramètres!$F$6,"Très forte",IF(K455&gt;=Paramètres!$F$5,"Forte",IF(K455&gt;=Paramètres!$F$4,"Modérée","Faible")))</f>
        <v>Très forte</v>
      </c>
    </row>
    <row r="456" spans="1:13">
      <c r="A456" t="s">
        <v>1154</v>
      </c>
      <c r="B456" s="11">
        <v>93</v>
      </c>
      <c r="C456" t="s">
        <v>100</v>
      </c>
      <c r="D456" t="s">
        <v>797</v>
      </c>
      <c r="E456" t="s">
        <v>823</v>
      </c>
      <c r="F456" t="s">
        <v>92</v>
      </c>
      <c r="G456" s="12">
        <v>24</v>
      </c>
      <c r="H456" s="12">
        <v>1735</v>
      </c>
      <c r="I456" s="12">
        <v>24</v>
      </c>
      <c r="J456" t="str">
        <f>VLOOKUP(B456,Paramètres!$A$4:$C$11,3,FALSE)</f>
        <v>Petite couronne</v>
      </c>
      <c r="K456" s="13">
        <f>IFERROR(H456/G456,"")</f>
        <v>72.291666666666671</v>
      </c>
      <c r="L456" s="14">
        <f>IFERROR(I456/G456,"")</f>
        <v>1</v>
      </c>
      <c r="M456" s="11" t="str">
        <f>IF(K456&gt;=Paramètres!$F$6,"Très forte",IF(K456&gt;=Paramètres!$F$5,"Forte",IF(K456&gt;=Paramètres!$F$4,"Modérée","Faible")))</f>
        <v>Très forte</v>
      </c>
    </row>
    <row r="457" spans="1:13">
      <c r="A457" t="s">
        <v>903</v>
      </c>
      <c r="B457" s="11">
        <v>91</v>
      </c>
      <c r="C457" t="s">
        <v>105</v>
      </c>
      <c r="D457" t="s">
        <v>797</v>
      </c>
      <c r="E457" t="s">
        <v>798</v>
      </c>
      <c r="F457" t="s">
        <v>92</v>
      </c>
      <c r="G457" s="12">
        <v>18</v>
      </c>
      <c r="H457" s="12">
        <v>1298</v>
      </c>
      <c r="I457" s="12">
        <v>19</v>
      </c>
      <c r="J457" t="str">
        <f>VLOOKUP(B457,Paramètres!$A$4:$C$11,3,FALSE)</f>
        <v>Grande couronne</v>
      </c>
      <c r="K457" s="13">
        <f>IFERROR(H457/G457,"")</f>
        <v>72.111111111111114</v>
      </c>
      <c r="L457" s="14">
        <f>IFERROR(I457/G457,"")</f>
        <v>1.0555555555555556</v>
      </c>
      <c r="M457" s="11" t="str">
        <f>IF(K457&gt;=Paramètres!$F$6,"Très forte",IF(K457&gt;=Paramètres!$F$5,"Forte",IF(K457&gt;=Paramètres!$F$4,"Modérée","Faible")))</f>
        <v>Très forte</v>
      </c>
    </row>
    <row r="458" spans="1:13">
      <c r="A458" t="s">
        <v>1132</v>
      </c>
      <c r="B458" s="11">
        <v>75</v>
      </c>
      <c r="C458" t="s">
        <v>86</v>
      </c>
      <c r="D458" t="s">
        <v>797</v>
      </c>
      <c r="E458" t="s">
        <v>822</v>
      </c>
      <c r="F458" t="s">
        <v>92</v>
      </c>
      <c r="G458" s="12">
        <v>24</v>
      </c>
      <c r="H458" s="12">
        <v>1728</v>
      </c>
      <c r="I458" s="12">
        <v>24</v>
      </c>
      <c r="J458" t="str">
        <f>VLOOKUP(B458,Paramètres!$A$4:$C$11,3,FALSE)</f>
        <v>Paris</v>
      </c>
      <c r="K458" s="13">
        <f>IFERROR(H458/G458,"")</f>
        <v>72</v>
      </c>
      <c r="L458" s="14">
        <f>IFERROR(I458/G458,"")</f>
        <v>1</v>
      </c>
      <c r="M458" s="11" t="str">
        <f>IF(K458&gt;=Paramètres!$F$6,"Très forte",IF(K458&gt;=Paramètres!$F$5,"Forte",IF(K458&gt;=Paramètres!$F$4,"Modérée","Faible")))</f>
        <v>Très forte</v>
      </c>
    </row>
    <row r="459" spans="1:13">
      <c r="A459" t="s">
        <v>1086</v>
      </c>
      <c r="B459" s="11">
        <v>93</v>
      </c>
      <c r="C459" t="s">
        <v>100</v>
      </c>
      <c r="D459" t="s">
        <v>797</v>
      </c>
      <c r="E459" t="s">
        <v>891</v>
      </c>
      <c r="F459" t="s">
        <v>92</v>
      </c>
      <c r="G459" s="12">
        <v>35</v>
      </c>
      <c r="H459" s="12">
        <v>2500</v>
      </c>
      <c r="I459" s="12">
        <v>35</v>
      </c>
      <c r="J459" t="str">
        <f>VLOOKUP(B459,Paramètres!$A$4:$C$11,3,FALSE)</f>
        <v>Petite couronne</v>
      </c>
      <c r="K459" s="13">
        <f>IFERROR(H459/G459,"")</f>
        <v>71.428571428571431</v>
      </c>
      <c r="L459" s="14">
        <f>IFERROR(I459/G459,"")</f>
        <v>1</v>
      </c>
      <c r="M459" s="11" t="str">
        <f>IF(K459&gt;=Paramètres!$F$6,"Très forte",IF(K459&gt;=Paramètres!$F$5,"Forte",IF(K459&gt;=Paramètres!$F$4,"Modérée","Faible")))</f>
        <v>Très forte</v>
      </c>
    </row>
    <row r="460" spans="1:13">
      <c r="A460" t="s">
        <v>856</v>
      </c>
      <c r="B460" s="11">
        <v>75</v>
      </c>
      <c r="C460" t="s">
        <v>86</v>
      </c>
      <c r="D460" t="s">
        <v>797</v>
      </c>
      <c r="E460" t="s">
        <v>885</v>
      </c>
      <c r="F460" t="s">
        <v>92</v>
      </c>
      <c r="G460" s="12">
        <v>70</v>
      </c>
      <c r="H460" s="12">
        <v>4990</v>
      </c>
      <c r="I460" s="12">
        <v>70</v>
      </c>
      <c r="J460" t="str">
        <f>VLOOKUP(B460,Paramètres!$A$4:$C$11,3,FALSE)</f>
        <v>Paris</v>
      </c>
      <c r="K460" s="13">
        <f>IFERROR(H460/G460,"")</f>
        <v>71.285714285714292</v>
      </c>
      <c r="L460" s="14">
        <f>IFERROR(I460/G460,"")</f>
        <v>1</v>
      </c>
      <c r="M460" s="11" t="str">
        <f>IF(K460&gt;=Paramètres!$F$6,"Très forte",IF(K460&gt;=Paramètres!$F$5,"Forte",IF(K460&gt;=Paramètres!$F$4,"Modérée","Faible")))</f>
        <v>Très forte</v>
      </c>
    </row>
    <row r="461" spans="1:13">
      <c r="A461" t="s">
        <v>820</v>
      </c>
      <c r="B461" s="11">
        <v>75</v>
      </c>
      <c r="C461" t="s">
        <v>86</v>
      </c>
      <c r="D461" t="s">
        <v>797</v>
      </c>
      <c r="E461" t="s">
        <v>823</v>
      </c>
      <c r="F461" t="s">
        <v>92</v>
      </c>
      <c r="G461" s="12">
        <v>48</v>
      </c>
      <c r="H461" s="12">
        <v>3383</v>
      </c>
      <c r="I461" s="12">
        <v>50</v>
      </c>
      <c r="J461" t="str">
        <f>VLOOKUP(B461,Paramètres!$A$4:$C$11,3,FALSE)</f>
        <v>Paris</v>
      </c>
      <c r="K461" s="13">
        <f>IFERROR(H461/G461,"")</f>
        <v>70.479166666666671</v>
      </c>
      <c r="L461" s="14">
        <f>IFERROR(I461/G461,"")</f>
        <v>1.0416666666666667</v>
      </c>
      <c r="M461" s="11" t="str">
        <f>IF(K461&gt;=Paramètres!$F$6,"Très forte",IF(K461&gt;=Paramètres!$F$5,"Forte",IF(K461&gt;=Paramètres!$F$4,"Modérée","Faible")))</f>
        <v>Très forte</v>
      </c>
    </row>
    <row r="462" spans="1:13">
      <c r="A462" t="s">
        <v>1071</v>
      </c>
      <c r="B462" s="11">
        <v>92</v>
      </c>
      <c r="C462" t="s">
        <v>94</v>
      </c>
      <c r="D462" t="s">
        <v>797</v>
      </c>
      <c r="E462" t="s">
        <v>837</v>
      </c>
      <c r="F462" t="s">
        <v>92</v>
      </c>
      <c r="G462" s="12">
        <v>30</v>
      </c>
      <c r="H462" s="12">
        <v>2107</v>
      </c>
      <c r="I462" s="12">
        <v>30</v>
      </c>
      <c r="J462" t="str">
        <f>VLOOKUP(B462,Paramètres!$A$4:$C$11,3,FALSE)</f>
        <v>Petite couronne</v>
      </c>
      <c r="K462" s="13">
        <f>IFERROR(H462/G462,"")</f>
        <v>70.233333333333334</v>
      </c>
      <c r="L462" s="14">
        <f>IFERROR(I462/G462,"")</f>
        <v>1</v>
      </c>
      <c r="M462" s="11" t="str">
        <f>IF(K462&gt;=Paramètres!$F$6,"Très forte",IF(K462&gt;=Paramètres!$F$5,"Forte",IF(K462&gt;=Paramètres!$F$4,"Modérée","Faible")))</f>
        <v>Très forte</v>
      </c>
    </row>
    <row r="463" spans="1:13">
      <c r="A463" t="s">
        <v>865</v>
      </c>
      <c r="B463" s="11">
        <v>75</v>
      </c>
      <c r="C463" t="s">
        <v>86</v>
      </c>
      <c r="D463" t="s">
        <v>797</v>
      </c>
      <c r="E463" t="s">
        <v>798</v>
      </c>
      <c r="F463" t="s">
        <v>92</v>
      </c>
      <c r="G463" s="12">
        <v>35</v>
      </c>
      <c r="H463" s="12">
        <v>2452</v>
      </c>
      <c r="I463" s="12">
        <v>33</v>
      </c>
      <c r="J463" t="str">
        <f>VLOOKUP(B463,Paramètres!$A$4:$C$11,3,FALSE)</f>
        <v>Paris</v>
      </c>
      <c r="K463" s="13">
        <f>IFERROR(H463/G463,"")</f>
        <v>70.057142857142864</v>
      </c>
      <c r="L463" s="14">
        <f>IFERROR(I463/G463,"")</f>
        <v>0.94285714285714284</v>
      </c>
      <c r="M463" s="11" t="str">
        <f>IF(K463&gt;=Paramètres!$F$6,"Très forte",IF(K463&gt;=Paramètres!$F$5,"Forte",IF(K463&gt;=Paramètres!$F$4,"Modérée","Faible")))</f>
        <v>Très forte</v>
      </c>
    </row>
    <row r="464" spans="1:13">
      <c r="A464" t="s">
        <v>930</v>
      </c>
      <c r="B464" s="11">
        <v>92</v>
      </c>
      <c r="C464" t="s">
        <v>94</v>
      </c>
      <c r="D464" t="s">
        <v>797</v>
      </c>
      <c r="E464" t="s">
        <v>961</v>
      </c>
      <c r="F464" t="s">
        <v>92</v>
      </c>
      <c r="G464" s="12">
        <v>12</v>
      </c>
      <c r="H464" s="12">
        <v>828</v>
      </c>
      <c r="I464" s="12">
        <v>11</v>
      </c>
      <c r="J464" t="str">
        <f>VLOOKUP(B464,Paramètres!$A$4:$C$11,3,FALSE)</f>
        <v>Petite couronne</v>
      </c>
      <c r="K464" s="13">
        <f>IFERROR(H464/G464,"")</f>
        <v>69</v>
      </c>
      <c r="L464" s="14">
        <f>IFERROR(I464/G464,"")</f>
        <v>0.91666666666666663</v>
      </c>
      <c r="M464" s="11" t="str">
        <f>IF(K464&gt;=Paramètres!$F$6,"Très forte",IF(K464&gt;=Paramètres!$F$5,"Forte",IF(K464&gt;=Paramètres!$F$4,"Modérée","Faible")))</f>
        <v>Très forte</v>
      </c>
    </row>
    <row r="465" spans="1:13">
      <c r="A465" t="s">
        <v>856</v>
      </c>
      <c r="B465" s="11">
        <v>75</v>
      </c>
      <c r="C465" t="s">
        <v>86</v>
      </c>
      <c r="D465" t="s">
        <v>797</v>
      </c>
      <c r="E465" t="s">
        <v>798</v>
      </c>
      <c r="F465" t="s">
        <v>92</v>
      </c>
      <c r="G465" s="12">
        <v>70</v>
      </c>
      <c r="H465" s="12">
        <v>4789</v>
      </c>
      <c r="I465" s="12">
        <v>69</v>
      </c>
      <c r="J465" t="str">
        <f>VLOOKUP(B465,Paramètres!$A$4:$C$11,3,FALSE)</f>
        <v>Paris</v>
      </c>
      <c r="K465" s="13">
        <f>IFERROR(H465/G465,"")</f>
        <v>68.414285714285711</v>
      </c>
      <c r="L465" s="14">
        <f>IFERROR(I465/G465,"")</f>
        <v>0.98571428571428577</v>
      </c>
      <c r="M465" s="11" t="str">
        <f>IF(K465&gt;=Paramètres!$F$6,"Très forte",IF(K465&gt;=Paramètres!$F$5,"Forte",IF(K465&gt;=Paramètres!$F$4,"Modérée","Faible")))</f>
        <v>Très forte</v>
      </c>
    </row>
    <row r="466" spans="1:13">
      <c r="A466" t="s">
        <v>939</v>
      </c>
      <c r="B466" s="11">
        <v>92</v>
      </c>
      <c r="C466" t="s">
        <v>94</v>
      </c>
      <c r="D466" t="s">
        <v>797</v>
      </c>
      <c r="E466" t="s">
        <v>923</v>
      </c>
      <c r="F466" t="s">
        <v>92</v>
      </c>
      <c r="G466" s="12">
        <v>15</v>
      </c>
      <c r="H466" s="12">
        <v>1011</v>
      </c>
      <c r="I466" s="12">
        <v>13</v>
      </c>
      <c r="J466" t="str">
        <f>VLOOKUP(B466,Paramètres!$A$4:$C$11,3,FALSE)</f>
        <v>Petite couronne</v>
      </c>
      <c r="K466" s="13">
        <f>IFERROR(H466/G466,"")</f>
        <v>67.400000000000006</v>
      </c>
      <c r="L466" s="14">
        <f>IFERROR(I466/G466,"")</f>
        <v>0.8666666666666667</v>
      </c>
      <c r="M466" s="11" t="str">
        <f>IF(K466&gt;=Paramètres!$F$6,"Très forte",IF(K466&gt;=Paramètres!$F$5,"Forte",IF(K466&gt;=Paramètres!$F$4,"Modérée","Faible")))</f>
        <v>Très forte</v>
      </c>
    </row>
    <row r="467" spans="1:13">
      <c r="A467" t="s">
        <v>856</v>
      </c>
      <c r="B467" s="11">
        <v>75</v>
      </c>
      <c r="C467" t="s">
        <v>86</v>
      </c>
      <c r="D467" t="s">
        <v>797</v>
      </c>
      <c r="E467" t="s">
        <v>867</v>
      </c>
      <c r="F467" t="s">
        <v>92</v>
      </c>
      <c r="G467" s="12">
        <v>70</v>
      </c>
      <c r="H467" s="12">
        <v>4690</v>
      </c>
      <c r="I467" s="12">
        <v>69</v>
      </c>
      <c r="J467" t="str">
        <f>VLOOKUP(B467,Paramètres!$A$4:$C$11,3,FALSE)</f>
        <v>Paris</v>
      </c>
      <c r="K467" s="13">
        <f>IFERROR(H467/G467,"")</f>
        <v>67</v>
      </c>
      <c r="L467" s="14">
        <f>IFERROR(I467/G467,"")</f>
        <v>0.98571428571428577</v>
      </c>
      <c r="M467" s="11" t="str">
        <f>IF(K467&gt;=Paramètres!$F$6,"Très forte",IF(K467&gt;=Paramètres!$F$5,"Forte",IF(K467&gt;=Paramètres!$F$4,"Modérée","Faible")))</f>
        <v>Très forte</v>
      </c>
    </row>
    <row r="468" spans="1:13">
      <c r="A468" t="s">
        <v>1034</v>
      </c>
      <c r="B468" s="11">
        <v>75</v>
      </c>
      <c r="C468" t="s">
        <v>86</v>
      </c>
      <c r="D468" t="s">
        <v>797</v>
      </c>
      <c r="E468" t="s">
        <v>798</v>
      </c>
      <c r="F468" t="s">
        <v>92</v>
      </c>
      <c r="G468" s="12">
        <v>35</v>
      </c>
      <c r="H468" s="12">
        <v>2321</v>
      </c>
      <c r="I468" s="12">
        <v>31</v>
      </c>
      <c r="J468" t="str">
        <f>VLOOKUP(B468,Paramètres!$A$4:$C$11,3,FALSE)</f>
        <v>Paris</v>
      </c>
      <c r="K468" s="13">
        <f>IFERROR(H468/G468,"")</f>
        <v>66.314285714285717</v>
      </c>
      <c r="L468" s="14">
        <f>IFERROR(I468/G468,"")</f>
        <v>0.88571428571428568</v>
      </c>
      <c r="M468" s="11" t="str">
        <f>IF(K468&gt;=Paramètres!$F$6,"Très forte",IF(K468&gt;=Paramètres!$F$5,"Forte",IF(K468&gt;=Paramètres!$F$4,"Modérée","Faible")))</f>
        <v>Très forte</v>
      </c>
    </row>
    <row r="469" spans="1:13">
      <c r="A469" t="s">
        <v>859</v>
      </c>
      <c r="B469" s="11">
        <v>75</v>
      </c>
      <c r="C469" t="s">
        <v>86</v>
      </c>
      <c r="D469" t="s">
        <v>797</v>
      </c>
      <c r="E469" t="s">
        <v>866</v>
      </c>
      <c r="F469" t="s">
        <v>92</v>
      </c>
      <c r="G469" s="12">
        <v>24</v>
      </c>
      <c r="H469" s="12">
        <v>1586</v>
      </c>
      <c r="I469" s="12">
        <v>24</v>
      </c>
      <c r="J469" t="str">
        <f>VLOOKUP(B469,Paramètres!$A$4:$C$11,3,FALSE)</f>
        <v>Paris</v>
      </c>
      <c r="K469" s="13">
        <f>IFERROR(H469/G469,"")</f>
        <v>66.083333333333329</v>
      </c>
      <c r="L469" s="14">
        <f>IFERROR(I469/G469,"")</f>
        <v>1</v>
      </c>
      <c r="M469" s="11" t="str">
        <f>IF(K469&gt;=Paramètres!$F$6,"Très forte",IF(K469&gt;=Paramètres!$F$5,"Forte",IF(K469&gt;=Paramètres!$F$4,"Modérée","Faible")))</f>
        <v>Très forte</v>
      </c>
    </row>
    <row r="470" spans="1:13">
      <c r="A470" t="s">
        <v>856</v>
      </c>
      <c r="B470" s="11">
        <v>75</v>
      </c>
      <c r="C470" t="s">
        <v>86</v>
      </c>
      <c r="D470" t="s">
        <v>797</v>
      </c>
      <c r="E470" t="s">
        <v>825</v>
      </c>
      <c r="F470" t="s">
        <v>92</v>
      </c>
      <c r="G470" s="12">
        <v>35</v>
      </c>
      <c r="H470" s="12">
        <v>2311</v>
      </c>
      <c r="I470" s="12">
        <v>35</v>
      </c>
      <c r="J470" t="str">
        <f>VLOOKUP(B470,Paramètres!$A$4:$C$11,3,FALSE)</f>
        <v>Paris</v>
      </c>
      <c r="K470" s="13">
        <f>IFERROR(H470/G470,"")</f>
        <v>66.028571428571425</v>
      </c>
      <c r="L470" s="14">
        <f>IFERROR(I470/G470,"")</f>
        <v>1</v>
      </c>
      <c r="M470" s="11" t="str">
        <f>IF(K470&gt;=Paramètres!$F$6,"Très forte",IF(K470&gt;=Paramètres!$F$5,"Forte",IF(K470&gt;=Paramètres!$F$4,"Modérée","Faible")))</f>
        <v>Très forte</v>
      </c>
    </row>
    <row r="471" spans="1:13">
      <c r="A471" t="s">
        <v>945</v>
      </c>
      <c r="B471" s="11">
        <v>93</v>
      </c>
      <c r="C471" t="s">
        <v>100</v>
      </c>
      <c r="D471" t="s">
        <v>797</v>
      </c>
      <c r="E471" t="s">
        <v>885</v>
      </c>
      <c r="F471" t="s">
        <v>92</v>
      </c>
      <c r="G471" s="12">
        <v>24</v>
      </c>
      <c r="H471" s="12">
        <v>1558</v>
      </c>
      <c r="I471" s="12">
        <v>23</v>
      </c>
      <c r="J471" t="str">
        <f>VLOOKUP(B471,Paramètres!$A$4:$C$11,3,FALSE)</f>
        <v>Petite couronne</v>
      </c>
      <c r="K471" s="13">
        <f>IFERROR(H471/G471,"")</f>
        <v>64.916666666666671</v>
      </c>
      <c r="L471" s="14">
        <f>IFERROR(I471/G471,"")</f>
        <v>0.95833333333333337</v>
      </c>
      <c r="M471" s="11" t="str">
        <f>IF(K471&gt;=Paramètres!$F$6,"Très forte",IF(K471&gt;=Paramètres!$F$5,"Forte",IF(K471&gt;=Paramètres!$F$4,"Modérée","Faible")))</f>
        <v>Très forte</v>
      </c>
    </row>
    <row r="472" spans="1:13">
      <c r="A472" t="s">
        <v>862</v>
      </c>
      <c r="B472" s="11">
        <v>75</v>
      </c>
      <c r="C472" t="s">
        <v>86</v>
      </c>
      <c r="D472" t="s">
        <v>797</v>
      </c>
      <c r="E472" t="s">
        <v>839</v>
      </c>
      <c r="F472" t="s">
        <v>92</v>
      </c>
      <c r="G472" s="12">
        <v>24</v>
      </c>
      <c r="H472" s="12">
        <v>1555</v>
      </c>
      <c r="I472" s="12">
        <v>27</v>
      </c>
      <c r="J472" t="str">
        <f>VLOOKUP(B472,Paramètres!$A$4:$C$11,3,FALSE)</f>
        <v>Paris</v>
      </c>
      <c r="K472" s="13">
        <f>IFERROR(H472/G472,"")</f>
        <v>64.791666666666671</v>
      </c>
      <c r="L472" s="14">
        <f>IFERROR(I472/G472,"")</f>
        <v>1.125</v>
      </c>
      <c r="M472" s="11" t="str">
        <f>IF(K472&gt;=Paramètres!$F$6,"Très forte",IF(K472&gt;=Paramètres!$F$5,"Forte",IF(K472&gt;=Paramètres!$F$4,"Modérée","Faible")))</f>
        <v>Très forte</v>
      </c>
    </row>
    <row r="473" spans="1:13">
      <c r="A473" t="s">
        <v>944</v>
      </c>
      <c r="B473" s="11">
        <v>93</v>
      </c>
      <c r="C473" t="s">
        <v>100</v>
      </c>
      <c r="D473" t="s">
        <v>797</v>
      </c>
      <c r="E473" t="s">
        <v>905</v>
      </c>
      <c r="F473" t="s">
        <v>92</v>
      </c>
      <c r="G473" s="12">
        <v>35</v>
      </c>
      <c r="H473" s="12">
        <v>2231</v>
      </c>
      <c r="I473" s="12">
        <v>34</v>
      </c>
      <c r="J473" t="str">
        <f>VLOOKUP(B473,Paramètres!$A$4:$C$11,3,FALSE)</f>
        <v>Petite couronne</v>
      </c>
      <c r="K473" s="13">
        <f>IFERROR(H473/G473,"")</f>
        <v>63.74285714285714</v>
      </c>
      <c r="L473" s="14">
        <f>IFERROR(I473/G473,"")</f>
        <v>0.97142857142857142</v>
      </c>
      <c r="M473" s="11" t="str">
        <f>IF(K473&gt;=Paramètres!$F$6,"Très forte",IF(K473&gt;=Paramètres!$F$5,"Forte",IF(K473&gt;=Paramètres!$F$4,"Modérée","Faible")))</f>
        <v>Très forte</v>
      </c>
    </row>
    <row r="474" spans="1:13">
      <c r="A474" t="s">
        <v>909</v>
      </c>
      <c r="B474" s="11">
        <v>78</v>
      </c>
      <c r="C474" t="s">
        <v>135</v>
      </c>
      <c r="D474" t="s">
        <v>797</v>
      </c>
      <c r="E474" t="s">
        <v>837</v>
      </c>
      <c r="F474" t="s">
        <v>92</v>
      </c>
      <c r="G474" s="12">
        <v>29</v>
      </c>
      <c r="H474" s="12">
        <v>1840</v>
      </c>
      <c r="I474" s="12">
        <v>29</v>
      </c>
      <c r="J474" t="str">
        <f>VLOOKUP(B474,Paramètres!$A$4:$C$11,3,FALSE)</f>
        <v>Grande couronne</v>
      </c>
      <c r="K474" s="13">
        <f>IFERROR(H474/G474,"")</f>
        <v>63.448275862068968</v>
      </c>
      <c r="L474" s="14">
        <f>IFERROR(I474/G474,"")</f>
        <v>1</v>
      </c>
      <c r="M474" s="11" t="str">
        <f>IF(K474&gt;=Paramètres!$F$6,"Très forte",IF(K474&gt;=Paramètres!$F$5,"Forte",IF(K474&gt;=Paramètres!$F$4,"Modérée","Faible")))</f>
        <v>Très forte</v>
      </c>
    </row>
    <row r="475" spans="1:13">
      <c r="A475" t="s">
        <v>1205</v>
      </c>
      <c r="B475" s="11">
        <v>75</v>
      </c>
      <c r="C475" t="s">
        <v>86</v>
      </c>
      <c r="D475" t="s">
        <v>797</v>
      </c>
      <c r="E475" t="s">
        <v>825</v>
      </c>
      <c r="F475" t="s">
        <v>92</v>
      </c>
      <c r="G475" s="12">
        <v>24</v>
      </c>
      <c r="H475" s="12">
        <v>1502</v>
      </c>
      <c r="I475" s="12">
        <v>22</v>
      </c>
      <c r="J475" t="str">
        <f>VLOOKUP(B475,Paramètres!$A$4:$C$11,3,FALSE)</f>
        <v>Paris</v>
      </c>
      <c r="K475" s="13">
        <f>IFERROR(H475/G475,"")</f>
        <v>62.583333333333336</v>
      </c>
      <c r="L475" s="14">
        <f>IFERROR(I475/G475,"")</f>
        <v>0.91666666666666663</v>
      </c>
      <c r="M475" s="11" t="str">
        <f>IF(K475&gt;=Paramètres!$F$6,"Très forte",IF(K475&gt;=Paramètres!$F$5,"Forte",IF(K475&gt;=Paramètres!$F$4,"Modérée","Faible")))</f>
        <v>Très forte</v>
      </c>
    </row>
    <row r="476" spans="1:13">
      <c r="A476" t="s">
        <v>935</v>
      </c>
      <c r="B476" s="11">
        <v>92</v>
      </c>
      <c r="C476" t="s">
        <v>94</v>
      </c>
      <c r="D476" t="s">
        <v>797</v>
      </c>
      <c r="E476" t="s">
        <v>891</v>
      </c>
      <c r="F476" t="s">
        <v>92</v>
      </c>
      <c r="G476" s="12">
        <v>35</v>
      </c>
      <c r="H476" s="12">
        <v>2182</v>
      </c>
      <c r="I476" s="12">
        <v>29</v>
      </c>
      <c r="J476" t="str">
        <f>VLOOKUP(B476,Paramètres!$A$4:$C$11,3,FALSE)</f>
        <v>Petite couronne</v>
      </c>
      <c r="K476" s="13">
        <f>IFERROR(H476/G476,"")</f>
        <v>62.342857142857142</v>
      </c>
      <c r="L476" s="14">
        <f>IFERROR(I476/G476,"")</f>
        <v>0.82857142857142863</v>
      </c>
      <c r="M476" s="11" t="str">
        <f>IF(K476&gt;=Paramètres!$F$6,"Très forte",IF(K476&gt;=Paramètres!$F$5,"Forte",IF(K476&gt;=Paramètres!$F$4,"Modérée","Faible")))</f>
        <v>Très forte</v>
      </c>
    </row>
    <row r="477" spans="1:13">
      <c r="A477" t="s">
        <v>949</v>
      </c>
      <c r="B477" s="11">
        <v>93</v>
      </c>
      <c r="C477" t="s">
        <v>100</v>
      </c>
      <c r="D477" t="s">
        <v>797</v>
      </c>
      <c r="E477" t="s">
        <v>891</v>
      </c>
      <c r="F477" t="s">
        <v>92</v>
      </c>
      <c r="G477" s="12">
        <v>35</v>
      </c>
      <c r="H477" s="12">
        <v>2164</v>
      </c>
      <c r="I477" s="12">
        <v>35</v>
      </c>
      <c r="J477" t="str">
        <f>VLOOKUP(B477,Paramètres!$A$4:$C$11,3,FALSE)</f>
        <v>Petite couronne</v>
      </c>
      <c r="K477" s="13">
        <f>IFERROR(H477/G477,"")</f>
        <v>61.828571428571429</v>
      </c>
      <c r="L477" s="14">
        <f>IFERROR(I477/G477,"")</f>
        <v>1</v>
      </c>
      <c r="M477" s="11" t="str">
        <f>IF(K477&gt;=Paramètres!$F$6,"Très forte",IF(K477&gt;=Paramètres!$F$5,"Forte",IF(K477&gt;=Paramètres!$F$4,"Modérée","Faible")))</f>
        <v>Très forte</v>
      </c>
    </row>
    <row r="478" spans="1:13">
      <c r="A478" t="s">
        <v>1034</v>
      </c>
      <c r="B478" s="11">
        <v>75</v>
      </c>
      <c r="C478" t="s">
        <v>86</v>
      </c>
      <c r="D478" t="s">
        <v>797</v>
      </c>
      <c r="E478" t="s">
        <v>822</v>
      </c>
      <c r="F478" t="s">
        <v>92</v>
      </c>
      <c r="G478" s="12">
        <v>35</v>
      </c>
      <c r="H478" s="12">
        <v>2160</v>
      </c>
      <c r="I478" s="12">
        <v>35</v>
      </c>
      <c r="J478" t="str">
        <f>VLOOKUP(B478,Paramètres!$A$4:$C$11,3,FALSE)</f>
        <v>Paris</v>
      </c>
      <c r="K478" s="13">
        <f>IFERROR(H478/G478,"")</f>
        <v>61.714285714285715</v>
      </c>
      <c r="L478" s="14">
        <f>IFERROR(I478/G478,"")</f>
        <v>1</v>
      </c>
      <c r="M478" s="11" t="str">
        <f>IF(K478&gt;=Paramètres!$F$6,"Très forte",IF(K478&gt;=Paramètres!$F$5,"Forte",IF(K478&gt;=Paramètres!$F$4,"Modérée","Faible")))</f>
        <v>Très forte</v>
      </c>
    </row>
    <row r="479" spans="1:13">
      <c r="A479" t="s">
        <v>1214</v>
      </c>
      <c r="B479" s="11">
        <v>92</v>
      </c>
      <c r="C479" t="s">
        <v>94</v>
      </c>
      <c r="D479" t="s">
        <v>797</v>
      </c>
      <c r="E479" t="s">
        <v>823</v>
      </c>
      <c r="F479" t="s">
        <v>92</v>
      </c>
      <c r="G479" s="12">
        <v>30</v>
      </c>
      <c r="H479" s="12">
        <v>1806</v>
      </c>
      <c r="I479" s="12">
        <v>29</v>
      </c>
      <c r="J479" t="str">
        <f>VLOOKUP(B479,Paramètres!$A$4:$C$11,3,FALSE)</f>
        <v>Petite couronne</v>
      </c>
      <c r="K479" s="13">
        <f>IFERROR(H479/G479,"")</f>
        <v>60.2</v>
      </c>
      <c r="L479" s="14">
        <f>IFERROR(I479/G479,"")</f>
        <v>0.96666666666666667</v>
      </c>
      <c r="M479" s="11" t="str">
        <f>IF(K479&gt;=Paramètres!$F$6,"Très forte",IF(K479&gt;=Paramètres!$F$5,"Forte",IF(K479&gt;=Paramètres!$F$4,"Modérée","Faible")))</f>
        <v>Très forte</v>
      </c>
    </row>
    <row r="480" spans="1:13">
      <c r="A480" t="s">
        <v>865</v>
      </c>
      <c r="B480" s="11">
        <v>75</v>
      </c>
      <c r="C480" t="s">
        <v>86</v>
      </c>
      <c r="D480" t="s">
        <v>797</v>
      </c>
      <c r="E480" t="s">
        <v>825</v>
      </c>
      <c r="F480" t="s">
        <v>92</v>
      </c>
      <c r="G480" s="12">
        <v>35</v>
      </c>
      <c r="H480" s="12">
        <v>2089</v>
      </c>
      <c r="I480" s="12">
        <v>31</v>
      </c>
      <c r="J480" t="str">
        <f>VLOOKUP(B480,Paramètres!$A$4:$C$11,3,FALSE)</f>
        <v>Paris</v>
      </c>
      <c r="K480" s="13">
        <f>IFERROR(H480/G480,"")</f>
        <v>59.685714285714283</v>
      </c>
      <c r="L480" s="14">
        <f>IFERROR(I480/G480,"")</f>
        <v>0.88571428571428568</v>
      </c>
      <c r="M480" s="11" t="str">
        <f>IF(K480&gt;=Paramètres!$F$6,"Très forte",IF(K480&gt;=Paramètres!$F$5,"Forte",IF(K480&gt;=Paramètres!$F$4,"Modérée","Faible")))</f>
        <v>Très forte</v>
      </c>
    </row>
    <row r="481" spans="1:13">
      <c r="A481" t="s">
        <v>943</v>
      </c>
      <c r="B481" s="11">
        <v>93</v>
      </c>
      <c r="C481" t="s">
        <v>100</v>
      </c>
      <c r="D481" t="s">
        <v>797</v>
      </c>
      <c r="E481" t="s">
        <v>798</v>
      </c>
      <c r="F481" t="s">
        <v>92</v>
      </c>
      <c r="G481" s="12">
        <v>35</v>
      </c>
      <c r="H481" s="12">
        <v>2066</v>
      </c>
      <c r="I481" s="12">
        <v>37</v>
      </c>
      <c r="J481" t="str">
        <f>VLOOKUP(B481,Paramètres!$A$4:$C$11,3,FALSE)</f>
        <v>Petite couronne</v>
      </c>
      <c r="K481" s="13">
        <f>IFERROR(H481/G481,"")</f>
        <v>59.028571428571432</v>
      </c>
      <c r="L481" s="14">
        <f>IFERROR(I481/G481,"")</f>
        <v>1.0571428571428572</v>
      </c>
      <c r="M481" s="11" t="str">
        <f>IF(K481&gt;=Paramètres!$F$6,"Très forte",IF(K481&gt;=Paramètres!$F$5,"Forte",IF(K481&gt;=Paramètres!$F$4,"Modérée","Faible")))</f>
        <v>Très forte</v>
      </c>
    </row>
    <row r="482" spans="1:13">
      <c r="A482" t="s">
        <v>957</v>
      </c>
      <c r="B482" s="11">
        <v>93</v>
      </c>
      <c r="C482" t="s">
        <v>100</v>
      </c>
      <c r="D482" t="s">
        <v>797</v>
      </c>
      <c r="E482" t="s">
        <v>798</v>
      </c>
      <c r="F482" t="s">
        <v>92</v>
      </c>
      <c r="G482" s="12">
        <v>35</v>
      </c>
      <c r="H482" s="12">
        <v>2027</v>
      </c>
      <c r="I482" s="12">
        <v>28</v>
      </c>
      <c r="J482" t="str">
        <f>VLOOKUP(B482,Paramètres!$A$4:$C$11,3,FALSE)</f>
        <v>Petite couronne</v>
      </c>
      <c r="K482" s="13">
        <f>IFERROR(H482/G482,"")</f>
        <v>57.914285714285711</v>
      </c>
      <c r="L482" s="14">
        <f>IFERROR(I482/G482,"")</f>
        <v>0.8</v>
      </c>
      <c r="M482" s="11" t="str">
        <f>IF(K482&gt;=Paramètres!$F$6,"Très forte",IF(K482&gt;=Paramètres!$F$5,"Forte",IF(K482&gt;=Paramètres!$F$4,"Modérée","Faible")))</f>
        <v>Très forte</v>
      </c>
    </row>
    <row r="483" spans="1:13">
      <c r="A483" t="s">
        <v>856</v>
      </c>
      <c r="B483" s="11">
        <v>75</v>
      </c>
      <c r="C483" t="s">
        <v>86</v>
      </c>
      <c r="D483" t="s">
        <v>797</v>
      </c>
      <c r="E483" t="s">
        <v>905</v>
      </c>
      <c r="F483" t="s">
        <v>92</v>
      </c>
      <c r="G483" s="12">
        <v>105</v>
      </c>
      <c r="H483" s="12">
        <v>6074</v>
      </c>
      <c r="I483" s="12">
        <v>96</v>
      </c>
      <c r="J483" t="str">
        <f>VLOOKUP(B483,Paramètres!$A$4:$C$11,3,FALSE)</f>
        <v>Paris</v>
      </c>
      <c r="K483" s="13">
        <f>IFERROR(H483/G483,"")</f>
        <v>57.847619047619048</v>
      </c>
      <c r="L483" s="14">
        <f>IFERROR(I483/G483,"")</f>
        <v>0.91428571428571426</v>
      </c>
      <c r="M483" s="11" t="str">
        <f>IF(K483&gt;=Paramètres!$F$6,"Très forte",IF(K483&gt;=Paramètres!$F$5,"Forte",IF(K483&gt;=Paramètres!$F$4,"Modérée","Faible")))</f>
        <v>Très forte</v>
      </c>
    </row>
    <row r="484" spans="1:13">
      <c r="A484" t="s">
        <v>824</v>
      </c>
      <c r="B484" s="11">
        <v>75</v>
      </c>
      <c r="C484" t="s">
        <v>86</v>
      </c>
      <c r="D484" t="s">
        <v>797</v>
      </c>
      <c r="E484" t="s">
        <v>825</v>
      </c>
      <c r="F484" t="s">
        <v>92</v>
      </c>
      <c r="G484" s="12">
        <v>24</v>
      </c>
      <c r="H484" s="12">
        <v>1380</v>
      </c>
      <c r="I484" s="12">
        <v>23</v>
      </c>
      <c r="J484" t="str">
        <f>VLOOKUP(B484,Paramètres!$A$4:$C$11,3,FALSE)</f>
        <v>Paris</v>
      </c>
      <c r="K484" s="13">
        <f>IFERROR(H484/G484,"")</f>
        <v>57.5</v>
      </c>
      <c r="L484" s="14">
        <f>IFERROR(I484/G484,"")</f>
        <v>0.95833333333333337</v>
      </c>
      <c r="M484" s="11" t="str">
        <f>IF(K484&gt;=Paramètres!$F$6,"Très forte",IF(K484&gt;=Paramètres!$F$5,"Forte",IF(K484&gt;=Paramètres!$F$4,"Modérée","Faible")))</f>
        <v>Très forte</v>
      </c>
    </row>
    <row r="485" spans="1:13">
      <c r="A485" t="s">
        <v>831</v>
      </c>
      <c r="B485" s="11">
        <v>75</v>
      </c>
      <c r="C485" t="s">
        <v>86</v>
      </c>
      <c r="D485" t="s">
        <v>797</v>
      </c>
      <c r="E485" t="s">
        <v>832</v>
      </c>
      <c r="F485" t="s">
        <v>92</v>
      </c>
      <c r="G485" s="12">
        <v>24</v>
      </c>
      <c r="H485" s="12">
        <v>1380</v>
      </c>
      <c r="I485" s="12">
        <v>25</v>
      </c>
      <c r="J485" t="str">
        <f>VLOOKUP(B485,Paramètres!$A$4:$C$11,3,FALSE)</f>
        <v>Paris</v>
      </c>
      <c r="K485" s="13">
        <f>IFERROR(H485/G485,"")</f>
        <v>57.5</v>
      </c>
      <c r="L485" s="14">
        <f>IFERROR(I485/G485,"")</f>
        <v>1.0416666666666667</v>
      </c>
      <c r="M485" s="11" t="str">
        <f>IF(K485&gt;=Paramètres!$F$6,"Très forte",IF(K485&gt;=Paramètres!$F$5,"Forte",IF(K485&gt;=Paramètres!$F$4,"Modérée","Faible")))</f>
        <v>Très forte</v>
      </c>
    </row>
    <row r="486" spans="1:13">
      <c r="A486" t="s">
        <v>913</v>
      </c>
      <c r="B486" s="11">
        <v>93</v>
      </c>
      <c r="C486" t="s">
        <v>100</v>
      </c>
      <c r="D486" t="s">
        <v>797</v>
      </c>
      <c r="E486" t="s">
        <v>961</v>
      </c>
      <c r="F486" t="s">
        <v>92</v>
      </c>
      <c r="G486" s="12">
        <v>12</v>
      </c>
      <c r="H486" s="12">
        <v>689</v>
      </c>
      <c r="I486" s="12">
        <v>10</v>
      </c>
      <c r="J486" t="str">
        <f>VLOOKUP(B486,Paramètres!$A$4:$C$11,3,FALSE)</f>
        <v>Petite couronne</v>
      </c>
      <c r="K486" s="13">
        <f>IFERROR(H486/G486,"")</f>
        <v>57.416666666666664</v>
      </c>
      <c r="L486" s="14">
        <f>IFERROR(I486/G486,"")</f>
        <v>0.83333333333333337</v>
      </c>
      <c r="M486" s="11" t="str">
        <f>IF(K486&gt;=Paramètres!$F$6,"Très forte",IF(K486&gt;=Paramètres!$F$5,"Forte",IF(K486&gt;=Paramètres!$F$4,"Modérée","Faible")))</f>
        <v>Très forte</v>
      </c>
    </row>
    <row r="487" spans="1:13">
      <c r="A487" t="s">
        <v>841</v>
      </c>
      <c r="B487" s="11">
        <v>75</v>
      </c>
      <c r="C487" t="s">
        <v>86</v>
      </c>
      <c r="D487" t="s">
        <v>797</v>
      </c>
      <c r="E487" t="s">
        <v>912</v>
      </c>
      <c r="F487" t="s">
        <v>92</v>
      </c>
      <c r="G487" s="12">
        <v>60</v>
      </c>
      <c r="H487" s="12">
        <v>3429</v>
      </c>
      <c r="I487" s="12">
        <v>54</v>
      </c>
      <c r="J487" t="str">
        <f>VLOOKUP(B487,Paramètres!$A$4:$C$11,3,FALSE)</f>
        <v>Paris</v>
      </c>
      <c r="K487" s="13">
        <f>IFERROR(H487/G487,"")</f>
        <v>57.15</v>
      </c>
      <c r="L487" s="14">
        <f>IFERROR(I487/G487,"")</f>
        <v>0.9</v>
      </c>
      <c r="M487" s="11" t="str">
        <f>IF(K487&gt;=Paramètres!$F$6,"Très forte",IF(K487&gt;=Paramètres!$F$5,"Forte",IF(K487&gt;=Paramètres!$F$4,"Modérée","Faible")))</f>
        <v>Très forte</v>
      </c>
    </row>
    <row r="488" spans="1:13">
      <c r="A488" t="s">
        <v>908</v>
      </c>
      <c r="B488" s="11">
        <v>78</v>
      </c>
      <c r="C488" t="s">
        <v>135</v>
      </c>
      <c r="D488" t="s">
        <v>797</v>
      </c>
      <c r="E488" t="s">
        <v>891</v>
      </c>
      <c r="F488" t="s">
        <v>92</v>
      </c>
      <c r="G488" s="12">
        <v>35</v>
      </c>
      <c r="H488" s="12">
        <v>1983</v>
      </c>
      <c r="I488" s="12">
        <v>30</v>
      </c>
      <c r="J488" t="str">
        <f>VLOOKUP(B488,Paramètres!$A$4:$C$11,3,FALSE)</f>
        <v>Grande couronne</v>
      </c>
      <c r="K488" s="13">
        <f>IFERROR(H488/G488,"")</f>
        <v>56.657142857142858</v>
      </c>
      <c r="L488" s="14">
        <f>IFERROR(I488/G488,"")</f>
        <v>0.8571428571428571</v>
      </c>
      <c r="M488" s="11" t="str">
        <f>IF(K488&gt;=Paramètres!$F$6,"Très forte",IF(K488&gt;=Paramètres!$F$5,"Forte",IF(K488&gt;=Paramètres!$F$4,"Modérée","Faible")))</f>
        <v>Très forte</v>
      </c>
    </row>
    <row r="489" spans="1:13">
      <c r="A489" t="s">
        <v>985</v>
      </c>
      <c r="B489" s="11">
        <v>95</v>
      </c>
      <c r="C489" t="s">
        <v>90</v>
      </c>
      <c r="D489" t="s">
        <v>797</v>
      </c>
      <c r="E489" t="s">
        <v>837</v>
      </c>
      <c r="F489" t="s">
        <v>92</v>
      </c>
      <c r="G489" s="12">
        <v>23</v>
      </c>
      <c r="H489" s="12">
        <v>1297</v>
      </c>
      <c r="I489" s="12">
        <v>18</v>
      </c>
      <c r="J489" t="str">
        <f>VLOOKUP(B489,Paramètres!$A$4:$C$11,3,FALSE)</f>
        <v>Grande couronne</v>
      </c>
      <c r="K489" s="13">
        <f>IFERROR(H489/G489,"")</f>
        <v>56.391304347826086</v>
      </c>
      <c r="L489" s="14">
        <f>IFERROR(I489/G489,"")</f>
        <v>0.78260869565217395</v>
      </c>
      <c r="M489" s="11" t="str">
        <f>IF(K489&gt;=Paramètres!$F$6,"Très forte",IF(K489&gt;=Paramètres!$F$5,"Forte",IF(K489&gt;=Paramètres!$F$4,"Modérée","Faible")))</f>
        <v>Très forte</v>
      </c>
    </row>
    <row r="490" spans="1:13">
      <c r="A490" t="s">
        <v>859</v>
      </c>
      <c r="B490" s="11">
        <v>75</v>
      </c>
      <c r="C490" t="s">
        <v>86</v>
      </c>
      <c r="D490" t="s">
        <v>797</v>
      </c>
      <c r="E490" t="s">
        <v>839</v>
      </c>
      <c r="F490" t="s">
        <v>92</v>
      </c>
      <c r="G490" s="12">
        <v>24</v>
      </c>
      <c r="H490" s="12">
        <v>1350</v>
      </c>
      <c r="I490" s="12">
        <v>23</v>
      </c>
      <c r="J490" t="str">
        <f>VLOOKUP(B490,Paramètres!$A$4:$C$11,3,FALSE)</f>
        <v>Paris</v>
      </c>
      <c r="K490" s="13">
        <f>IFERROR(H490/G490,"")</f>
        <v>56.25</v>
      </c>
      <c r="L490" s="14">
        <f>IFERROR(I490/G490,"")</f>
        <v>0.95833333333333337</v>
      </c>
      <c r="M490" s="11" t="str">
        <f>IF(K490&gt;=Paramètres!$F$6,"Très forte",IF(K490&gt;=Paramètres!$F$5,"Forte",IF(K490&gt;=Paramètres!$F$4,"Modérée","Faible")))</f>
        <v>Très forte</v>
      </c>
    </row>
    <row r="491" spans="1:13">
      <c r="A491" t="s">
        <v>919</v>
      </c>
      <c r="B491" s="11">
        <v>91</v>
      </c>
      <c r="C491" t="s">
        <v>105</v>
      </c>
      <c r="D491" t="s">
        <v>797</v>
      </c>
      <c r="E491" t="s">
        <v>885</v>
      </c>
      <c r="F491" t="s">
        <v>92</v>
      </c>
      <c r="G491" s="12">
        <v>32</v>
      </c>
      <c r="H491" s="12">
        <v>1794</v>
      </c>
      <c r="I491" s="12">
        <v>33</v>
      </c>
      <c r="J491" t="str">
        <f>VLOOKUP(B491,Paramètres!$A$4:$C$11,3,FALSE)</f>
        <v>Grande couronne</v>
      </c>
      <c r="K491" s="13">
        <f>IFERROR(H491/G491,"")</f>
        <v>56.0625</v>
      </c>
      <c r="L491" s="14">
        <f>IFERROR(I491/G491,"")</f>
        <v>1.03125</v>
      </c>
      <c r="M491" s="11" t="str">
        <f>IF(K491&gt;=Paramètres!$F$6,"Très forte",IF(K491&gt;=Paramètres!$F$5,"Forte",IF(K491&gt;=Paramètres!$F$4,"Modérée","Faible")))</f>
        <v>Très forte</v>
      </c>
    </row>
    <row r="492" spans="1:13">
      <c r="A492" t="s">
        <v>1221</v>
      </c>
      <c r="B492" s="11">
        <v>92</v>
      </c>
      <c r="C492" t="s">
        <v>94</v>
      </c>
      <c r="D492" t="s">
        <v>797</v>
      </c>
      <c r="E492" t="s">
        <v>867</v>
      </c>
      <c r="F492" t="s">
        <v>92</v>
      </c>
      <c r="G492" s="12">
        <v>34</v>
      </c>
      <c r="H492" s="12">
        <v>1906</v>
      </c>
      <c r="I492" s="12">
        <v>25</v>
      </c>
      <c r="J492" t="str">
        <f>VLOOKUP(B492,Paramètres!$A$4:$C$11,3,FALSE)</f>
        <v>Petite couronne</v>
      </c>
      <c r="K492" s="13">
        <f>IFERROR(H492/G492,"")</f>
        <v>56.058823529411768</v>
      </c>
      <c r="L492" s="14">
        <f>IFERROR(I492/G492,"")</f>
        <v>0.73529411764705888</v>
      </c>
      <c r="M492" s="11" t="str">
        <f>IF(K492&gt;=Paramètres!$F$6,"Très forte",IF(K492&gt;=Paramètres!$F$5,"Forte",IF(K492&gt;=Paramètres!$F$4,"Modérée","Faible")))</f>
        <v>Très forte</v>
      </c>
    </row>
    <row r="493" spans="1:13">
      <c r="A493" t="s">
        <v>814</v>
      </c>
      <c r="B493" s="11">
        <v>95</v>
      </c>
      <c r="C493" t="s">
        <v>90</v>
      </c>
      <c r="D493" t="s">
        <v>797</v>
      </c>
      <c r="E493" t="s">
        <v>885</v>
      </c>
      <c r="F493" t="s">
        <v>92</v>
      </c>
      <c r="G493" s="12">
        <v>30</v>
      </c>
      <c r="H493" s="12">
        <v>1680</v>
      </c>
      <c r="I493" s="12">
        <v>30</v>
      </c>
      <c r="J493" t="str">
        <f>VLOOKUP(B493,Paramètres!$A$4:$C$11,3,FALSE)</f>
        <v>Grande couronne</v>
      </c>
      <c r="K493" s="13">
        <f>IFERROR(H493/G493,"")</f>
        <v>56</v>
      </c>
      <c r="L493" s="14">
        <f>IFERROR(I493/G493,"")</f>
        <v>1</v>
      </c>
      <c r="M493" s="11" t="str">
        <f>IF(K493&gt;=Paramètres!$F$6,"Très forte",IF(K493&gt;=Paramètres!$F$5,"Forte",IF(K493&gt;=Paramètres!$F$4,"Modérée","Faible")))</f>
        <v>Très forte</v>
      </c>
    </row>
    <row r="494" spans="1:13">
      <c r="A494" t="s">
        <v>924</v>
      </c>
      <c r="B494" s="11">
        <v>91</v>
      </c>
      <c r="C494" t="s">
        <v>105</v>
      </c>
      <c r="D494" t="s">
        <v>797</v>
      </c>
      <c r="E494" t="s">
        <v>891</v>
      </c>
      <c r="F494" t="s">
        <v>92</v>
      </c>
      <c r="G494" s="12">
        <v>35</v>
      </c>
      <c r="H494" s="12">
        <v>1958</v>
      </c>
      <c r="I494" s="12">
        <v>34</v>
      </c>
      <c r="J494" t="str">
        <f>VLOOKUP(B494,Paramètres!$A$4:$C$11,3,FALSE)</f>
        <v>Grande couronne</v>
      </c>
      <c r="K494" s="13">
        <f>IFERROR(H494/G494,"")</f>
        <v>55.942857142857143</v>
      </c>
      <c r="L494" s="14">
        <f>IFERROR(I494/G494,"")</f>
        <v>0.97142857142857142</v>
      </c>
      <c r="M494" s="11" t="str">
        <f>IF(K494&gt;=Paramètres!$F$6,"Très forte",IF(K494&gt;=Paramètres!$F$5,"Forte",IF(K494&gt;=Paramètres!$F$4,"Modérée","Faible")))</f>
        <v>Très forte</v>
      </c>
    </row>
    <row r="495" spans="1:13">
      <c r="A495" t="s">
        <v>1155</v>
      </c>
      <c r="B495" s="11">
        <v>93</v>
      </c>
      <c r="C495" t="s">
        <v>100</v>
      </c>
      <c r="D495" t="s">
        <v>797</v>
      </c>
      <c r="E495" t="s">
        <v>885</v>
      </c>
      <c r="F495" t="s">
        <v>92</v>
      </c>
      <c r="G495" s="12">
        <v>30</v>
      </c>
      <c r="H495" s="12">
        <v>1646</v>
      </c>
      <c r="I495" s="12">
        <v>23</v>
      </c>
      <c r="J495" t="str">
        <f>VLOOKUP(B495,Paramètres!$A$4:$C$11,3,FALSE)</f>
        <v>Petite couronne</v>
      </c>
      <c r="K495" s="13">
        <f>IFERROR(H495/G495,"")</f>
        <v>54.866666666666667</v>
      </c>
      <c r="L495" s="14">
        <f>IFERROR(I495/G495,"")</f>
        <v>0.76666666666666672</v>
      </c>
      <c r="M495" s="11" t="str">
        <f>IF(K495&gt;=Paramètres!$F$6,"Très forte",IF(K495&gt;=Paramètres!$F$5,"Forte",IF(K495&gt;=Paramètres!$F$4,"Modérée","Faible")))</f>
        <v>Très forte</v>
      </c>
    </row>
    <row r="496" spans="1:13">
      <c r="A496" t="s">
        <v>1070</v>
      </c>
      <c r="B496" s="11">
        <v>92</v>
      </c>
      <c r="C496" t="s">
        <v>94</v>
      </c>
      <c r="D496" t="s">
        <v>797</v>
      </c>
      <c r="E496" t="s">
        <v>823</v>
      </c>
      <c r="F496" t="s">
        <v>92</v>
      </c>
      <c r="G496" s="12">
        <v>35</v>
      </c>
      <c r="H496" s="12">
        <v>1914</v>
      </c>
      <c r="I496" s="12">
        <v>32</v>
      </c>
      <c r="J496" t="str">
        <f>VLOOKUP(B496,Paramètres!$A$4:$C$11,3,FALSE)</f>
        <v>Petite couronne</v>
      </c>
      <c r="K496" s="13">
        <f>IFERROR(H496/G496,"")</f>
        <v>54.685714285714283</v>
      </c>
      <c r="L496" s="14">
        <f>IFERROR(I496/G496,"")</f>
        <v>0.91428571428571426</v>
      </c>
      <c r="M496" s="11" t="str">
        <f>IF(K496&gt;=Paramètres!$F$6,"Très forte",IF(K496&gt;=Paramètres!$F$5,"Forte",IF(K496&gt;=Paramètres!$F$4,"Modérée","Faible")))</f>
        <v>Très forte</v>
      </c>
    </row>
    <row r="497" spans="1:13">
      <c r="A497" t="s">
        <v>835</v>
      </c>
      <c r="B497" s="11">
        <v>75</v>
      </c>
      <c r="C497" t="s">
        <v>86</v>
      </c>
      <c r="D497" t="s">
        <v>797</v>
      </c>
      <c r="E497" t="s">
        <v>839</v>
      </c>
      <c r="F497" t="s">
        <v>92</v>
      </c>
      <c r="G497" s="12">
        <v>24</v>
      </c>
      <c r="H497" s="12">
        <v>1296</v>
      </c>
      <c r="I497" s="12">
        <v>25</v>
      </c>
      <c r="J497" t="str">
        <f>VLOOKUP(B497,Paramètres!$A$4:$C$11,3,FALSE)</f>
        <v>Paris</v>
      </c>
      <c r="K497" s="13">
        <f>IFERROR(H497/G497,"")</f>
        <v>54</v>
      </c>
      <c r="L497" s="14">
        <f>IFERROR(I497/G497,"")</f>
        <v>1.0416666666666667</v>
      </c>
      <c r="M497" s="11" t="str">
        <f>IF(K497&gt;=Paramètres!$F$6,"Très forte",IF(K497&gt;=Paramètres!$F$5,"Forte",IF(K497&gt;=Paramètres!$F$4,"Modérée","Faible")))</f>
        <v>Très forte</v>
      </c>
    </row>
    <row r="498" spans="1:13">
      <c r="A498" t="s">
        <v>914</v>
      </c>
      <c r="B498" s="11">
        <v>91</v>
      </c>
      <c r="C498" t="s">
        <v>105</v>
      </c>
      <c r="D498" t="s">
        <v>797</v>
      </c>
      <c r="E498" t="s">
        <v>837</v>
      </c>
      <c r="F498" t="s">
        <v>92</v>
      </c>
      <c r="G498" s="12">
        <v>27</v>
      </c>
      <c r="H498" s="12">
        <v>1445</v>
      </c>
      <c r="I498" s="12">
        <v>25</v>
      </c>
      <c r="J498" t="str">
        <f>VLOOKUP(B498,Paramètres!$A$4:$C$11,3,FALSE)</f>
        <v>Grande couronne</v>
      </c>
      <c r="K498" s="13">
        <f>IFERROR(H498/G498,"")</f>
        <v>53.518518518518519</v>
      </c>
      <c r="L498" s="14">
        <f>IFERROR(I498/G498,"")</f>
        <v>0.92592592592592593</v>
      </c>
      <c r="M498" s="11" t="str">
        <f>IF(K498&gt;=Paramètres!$F$6,"Très forte",IF(K498&gt;=Paramètres!$F$5,"Forte",IF(K498&gt;=Paramètres!$F$4,"Modérée","Faible")))</f>
        <v>Très forte</v>
      </c>
    </row>
    <row r="499" spans="1:13">
      <c r="A499" t="s">
        <v>862</v>
      </c>
      <c r="B499" s="11">
        <v>94</v>
      </c>
      <c r="C499" t="s">
        <v>116</v>
      </c>
      <c r="D499" t="s">
        <v>797</v>
      </c>
      <c r="E499" t="s">
        <v>823</v>
      </c>
      <c r="F499" t="s">
        <v>92</v>
      </c>
      <c r="G499" s="12">
        <v>35</v>
      </c>
      <c r="H499" s="12">
        <v>1866</v>
      </c>
      <c r="I499" s="12">
        <v>35</v>
      </c>
      <c r="J499" t="str">
        <f>VLOOKUP(B499,Paramètres!$A$4:$C$11,3,FALSE)</f>
        <v>Petite couronne</v>
      </c>
      <c r="K499" s="13">
        <f>IFERROR(H499/G499,"")</f>
        <v>53.314285714285717</v>
      </c>
      <c r="L499" s="14">
        <f>IFERROR(I499/G499,"")</f>
        <v>1</v>
      </c>
      <c r="M499" s="11" t="str">
        <f>IF(K499&gt;=Paramètres!$F$6,"Très forte",IF(K499&gt;=Paramètres!$F$5,"Forte",IF(K499&gt;=Paramètres!$F$4,"Modérée","Faible")))</f>
        <v>Très forte</v>
      </c>
    </row>
    <row r="500" spans="1:13">
      <c r="A500" t="s">
        <v>983</v>
      </c>
      <c r="B500" s="11">
        <v>95</v>
      </c>
      <c r="C500" t="s">
        <v>90</v>
      </c>
      <c r="D500" t="s">
        <v>797</v>
      </c>
      <c r="E500" t="s">
        <v>798</v>
      </c>
      <c r="F500" t="s">
        <v>92</v>
      </c>
      <c r="G500" s="12">
        <v>35</v>
      </c>
      <c r="H500" s="12">
        <v>1852</v>
      </c>
      <c r="I500" s="12">
        <v>31</v>
      </c>
      <c r="J500" t="str">
        <f>VLOOKUP(B500,Paramètres!$A$4:$C$11,3,FALSE)</f>
        <v>Grande couronne</v>
      </c>
      <c r="K500" s="13">
        <f>IFERROR(H500/G500,"")</f>
        <v>52.914285714285711</v>
      </c>
      <c r="L500" s="14">
        <f>IFERROR(I500/G500,"")</f>
        <v>0.88571428571428568</v>
      </c>
      <c r="M500" s="11" t="str">
        <f>IF(K500&gt;=Paramètres!$F$6,"Très forte",IF(K500&gt;=Paramètres!$F$5,"Forte",IF(K500&gt;=Paramètres!$F$4,"Modérée","Faible")))</f>
        <v>Très forte</v>
      </c>
    </row>
    <row r="501" spans="1:13">
      <c r="A501" t="s">
        <v>1138</v>
      </c>
      <c r="B501" s="11">
        <v>75</v>
      </c>
      <c r="C501" t="s">
        <v>86</v>
      </c>
      <c r="D501" t="s">
        <v>797</v>
      </c>
      <c r="E501" t="s">
        <v>911</v>
      </c>
      <c r="F501" t="s">
        <v>92</v>
      </c>
      <c r="G501" s="12">
        <v>35</v>
      </c>
      <c r="H501" s="12">
        <v>1848</v>
      </c>
      <c r="I501" s="12">
        <v>32</v>
      </c>
      <c r="J501" t="str">
        <f>VLOOKUP(B501,Paramètres!$A$4:$C$11,3,FALSE)</f>
        <v>Paris</v>
      </c>
      <c r="K501" s="13">
        <f>IFERROR(H501/G501,"")</f>
        <v>52.8</v>
      </c>
      <c r="L501" s="14">
        <f>IFERROR(I501/G501,"")</f>
        <v>0.91428571428571426</v>
      </c>
      <c r="M501" s="11" t="str">
        <f>IF(K501&gt;=Paramètres!$F$6,"Très forte",IF(K501&gt;=Paramètres!$F$5,"Forte",IF(K501&gt;=Paramètres!$F$4,"Modérée","Faible")))</f>
        <v>Très forte</v>
      </c>
    </row>
    <row r="502" spans="1:13">
      <c r="A502" t="s">
        <v>877</v>
      </c>
      <c r="B502" s="11">
        <v>75</v>
      </c>
      <c r="C502" t="s">
        <v>86</v>
      </c>
      <c r="D502" t="s">
        <v>797</v>
      </c>
      <c r="E502" t="s">
        <v>998</v>
      </c>
      <c r="F502" t="s">
        <v>92</v>
      </c>
      <c r="G502" s="12">
        <v>24</v>
      </c>
      <c r="H502" s="12">
        <v>1267</v>
      </c>
      <c r="I502" s="12">
        <v>26</v>
      </c>
      <c r="J502" t="str">
        <f>VLOOKUP(B502,Paramètres!$A$4:$C$11,3,FALSE)</f>
        <v>Paris</v>
      </c>
      <c r="K502" s="13">
        <f>IFERROR(H502/G502,"")</f>
        <v>52.791666666666664</v>
      </c>
      <c r="L502" s="14">
        <f>IFERROR(I502/G502,"")</f>
        <v>1.0833333333333333</v>
      </c>
      <c r="M502" s="11" t="str">
        <f>IF(K502&gt;=Paramètres!$F$6,"Très forte",IF(K502&gt;=Paramètres!$F$5,"Forte",IF(K502&gt;=Paramètres!$F$4,"Modérée","Faible")))</f>
        <v>Très forte</v>
      </c>
    </row>
    <row r="503" spans="1:13">
      <c r="A503" t="s">
        <v>916</v>
      </c>
      <c r="B503" s="11">
        <v>91</v>
      </c>
      <c r="C503" t="s">
        <v>105</v>
      </c>
      <c r="D503" t="s">
        <v>797</v>
      </c>
      <c r="E503" t="s">
        <v>798</v>
      </c>
      <c r="F503" t="s">
        <v>92</v>
      </c>
      <c r="G503" s="12">
        <v>32</v>
      </c>
      <c r="H503" s="12">
        <v>1679</v>
      </c>
      <c r="I503" s="12">
        <v>32</v>
      </c>
      <c r="J503" t="str">
        <f>VLOOKUP(B503,Paramètres!$A$4:$C$11,3,FALSE)</f>
        <v>Grande couronne</v>
      </c>
      <c r="K503" s="13">
        <f>IFERROR(H503/G503,"")</f>
        <v>52.46875</v>
      </c>
      <c r="L503" s="14">
        <f>IFERROR(I503/G503,"")</f>
        <v>1</v>
      </c>
      <c r="M503" s="11" t="str">
        <f>IF(K503&gt;=Paramètres!$F$6,"Très forte",IF(K503&gt;=Paramètres!$F$5,"Forte",IF(K503&gt;=Paramètres!$F$4,"Modérée","Faible")))</f>
        <v>Très forte</v>
      </c>
    </row>
    <row r="504" spans="1:13">
      <c r="A504" t="s">
        <v>976</v>
      </c>
      <c r="B504" s="11">
        <v>95</v>
      </c>
      <c r="C504" t="s">
        <v>90</v>
      </c>
      <c r="D504" t="s">
        <v>797</v>
      </c>
      <c r="E504" t="s">
        <v>837</v>
      </c>
      <c r="F504" t="s">
        <v>92</v>
      </c>
      <c r="G504" s="12">
        <v>30</v>
      </c>
      <c r="H504" s="12">
        <v>1567</v>
      </c>
      <c r="I504" s="12">
        <v>30</v>
      </c>
      <c r="J504" t="str">
        <f>VLOOKUP(B504,Paramètres!$A$4:$C$11,3,FALSE)</f>
        <v>Grande couronne</v>
      </c>
      <c r="K504" s="13">
        <f>IFERROR(H504/G504,"")</f>
        <v>52.233333333333334</v>
      </c>
      <c r="L504" s="14">
        <f>IFERROR(I504/G504,"")</f>
        <v>1</v>
      </c>
      <c r="M504" s="11" t="str">
        <f>IF(K504&gt;=Paramètres!$F$6,"Très forte",IF(K504&gt;=Paramètres!$F$5,"Forte",IF(K504&gt;=Paramètres!$F$4,"Modérée","Faible")))</f>
        <v>Très forte</v>
      </c>
    </row>
    <row r="505" spans="1:13">
      <c r="A505" t="s">
        <v>1053</v>
      </c>
      <c r="B505" s="11">
        <v>95</v>
      </c>
      <c r="C505" t="s">
        <v>90</v>
      </c>
      <c r="D505" t="s">
        <v>797</v>
      </c>
      <c r="E505" t="s">
        <v>891</v>
      </c>
      <c r="F505" t="s">
        <v>92</v>
      </c>
      <c r="G505" s="12">
        <v>35</v>
      </c>
      <c r="H505" s="12">
        <v>1823</v>
      </c>
      <c r="I505" s="12">
        <v>35</v>
      </c>
      <c r="J505" t="str">
        <f>VLOOKUP(B505,Paramètres!$A$4:$C$11,3,FALSE)</f>
        <v>Grande couronne</v>
      </c>
      <c r="K505" s="13">
        <f>IFERROR(H505/G505,"")</f>
        <v>52.085714285714289</v>
      </c>
      <c r="L505" s="14">
        <f>IFERROR(I505/G505,"")</f>
        <v>1</v>
      </c>
      <c r="M505" s="11" t="str">
        <f>IF(K505&gt;=Paramètres!$F$6,"Très forte",IF(K505&gt;=Paramètres!$F$5,"Forte",IF(K505&gt;=Paramètres!$F$4,"Modérée","Faible")))</f>
        <v>Très forte</v>
      </c>
    </row>
    <row r="506" spans="1:13">
      <c r="A506" t="s">
        <v>914</v>
      </c>
      <c r="B506" s="11">
        <v>91</v>
      </c>
      <c r="C506" t="s">
        <v>105</v>
      </c>
      <c r="D506" t="s">
        <v>797</v>
      </c>
      <c r="E506" t="s">
        <v>885</v>
      </c>
      <c r="F506" t="s">
        <v>92</v>
      </c>
      <c r="G506" s="12">
        <v>34</v>
      </c>
      <c r="H506" s="12">
        <v>1762</v>
      </c>
      <c r="I506" s="12">
        <v>32</v>
      </c>
      <c r="J506" t="str">
        <f>VLOOKUP(B506,Paramètres!$A$4:$C$11,3,FALSE)</f>
        <v>Grande couronne</v>
      </c>
      <c r="K506" s="13">
        <f>IFERROR(H506/G506,"")</f>
        <v>51.823529411764703</v>
      </c>
      <c r="L506" s="14">
        <f>IFERROR(I506/G506,"")</f>
        <v>0.94117647058823528</v>
      </c>
      <c r="M506" s="11" t="str">
        <f>IF(K506&gt;=Paramètres!$F$6,"Très forte",IF(K506&gt;=Paramètres!$F$5,"Forte",IF(K506&gt;=Paramètres!$F$4,"Modérée","Faible")))</f>
        <v>Très forte</v>
      </c>
    </row>
    <row r="507" spans="1:13">
      <c r="A507" t="s">
        <v>1020</v>
      </c>
      <c r="B507" s="11">
        <v>93</v>
      </c>
      <c r="C507" t="s">
        <v>100</v>
      </c>
      <c r="D507" t="s">
        <v>797</v>
      </c>
      <c r="E507" t="s">
        <v>885</v>
      </c>
      <c r="F507" t="s">
        <v>92</v>
      </c>
      <c r="G507" s="12">
        <v>30</v>
      </c>
      <c r="H507" s="12">
        <v>1553</v>
      </c>
      <c r="I507" s="12">
        <v>29</v>
      </c>
      <c r="J507" t="str">
        <f>VLOOKUP(B507,Paramètres!$A$4:$C$11,3,FALSE)</f>
        <v>Petite couronne</v>
      </c>
      <c r="K507" s="13">
        <f>IFERROR(H507/G507,"")</f>
        <v>51.766666666666666</v>
      </c>
      <c r="L507" s="14">
        <f>IFERROR(I507/G507,"")</f>
        <v>0.96666666666666667</v>
      </c>
      <c r="M507" s="11" t="str">
        <f>IF(K507&gt;=Paramètres!$F$6,"Très forte",IF(K507&gt;=Paramètres!$F$5,"Forte",IF(K507&gt;=Paramètres!$F$4,"Modérée","Faible")))</f>
        <v>Très forte</v>
      </c>
    </row>
    <row r="508" spans="1:13">
      <c r="A508" t="s">
        <v>1103</v>
      </c>
      <c r="B508" s="11">
        <v>94</v>
      </c>
      <c r="C508" t="s">
        <v>116</v>
      </c>
      <c r="D508" t="s">
        <v>797</v>
      </c>
      <c r="E508" t="s">
        <v>885</v>
      </c>
      <c r="F508" t="s">
        <v>92</v>
      </c>
      <c r="G508" s="12">
        <v>35</v>
      </c>
      <c r="H508" s="12">
        <v>1794</v>
      </c>
      <c r="I508" s="12">
        <v>33</v>
      </c>
      <c r="J508" t="str">
        <f>VLOOKUP(B508,Paramètres!$A$4:$C$11,3,FALSE)</f>
        <v>Petite couronne</v>
      </c>
      <c r="K508" s="13">
        <f>IFERROR(H508/G508,"")</f>
        <v>51.25714285714286</v>
      </c>
      <c r="L508" s="14">
        <f>IFERROR(I508/G508,"")</f>
        <v>0.94285714285714284</v>
      </c>
      <c r="M508" s="11" t="str">
        <f>IF(K508&gt;=Paramètres!$F$6,"Très forte",IF(K508&gt;=Paramètres!$F$5,"Forte",IF(K508&gt;=Paramètres!$F$4,"Modérée","Faible")))</f>
        <v>Très forte</v>
      </c>
    </row>
    <row r="509" spans="1:13">
      <c r="A509" t="s">
        <v>1088</v>
      </c>
      <c r="B509" s="11">
        <v>93</v>
      </c>
      <c r="C509" t="s">
        <v>100</v>
      </c>
      <c r="D509" t="s">
        <v>797</v>
      </c>
      <c r="E509" t="s">
        <v>822</v>
      </c>
      <c r="F509" t="s">
        <v>92</v>
      </c>
      <c r="G509" s="12">
        <v>35</v>
      </c>
      <c r="H509" s="12">
        <v>1782</v>
      </c>
      <c r="I509" s="12">
        <v>34</v>
      </c>
      <c r="J509" t="str">
        <f>VLOOKUP(B509,Paramètres!$A$4:$C$11,3,FALSE)</f>
        <v>Petite couronne</v>
      </c>
      <c r="K509" s="13">
        <f>IFERROR(H509/G509,"")</f>
        <v>50.914285714285711</v>
      </c>
      <c r="L509" s="14">
        <f>IFERROR(I509/G509,"")</f>
        <v>0.97142857142857142</v>
      </c>
      <c r="M509" s="11" t="str">
        <f>IF(K509&gt;=Paramètres!$F$6,"Très forte",IF(K509&gt;=Paramètres!$F$5,"Forte",IF(K509&gt;=Paramètres!$F$4,"Modérée","Faible")))</f>
        <v>Très forte</v>
      </c>
    </row>
    <row r="510" spans="1:13">
      <c r="A510" t="s">
        <v>857</v>
      </c>
      <c r="B510" s="11">
        <v>75</v>
      </c>
      <c r="C510" t="s">
        <v>86</v>
      </c>
      <c r="D510" t="s">
        <v>797</v>
      </c>
      <c r="E510" t="s">
        <v>839</v>
      </c>
      <c r="F510" t="s">
        <v>92</v>
      </c>
      <c r="G510" s="12">
        <v>24</v>
      </c>
      <c r="H510" s="12">
        <v>1219</v>
      </c>
      <c r="I510" s="12">
        <v>21</v>
      </c>
      <c r="J510" t="str">
        <f>VLOOKUP(B510,Paramètres!$A$4:$C$11,3,FALSE)</f>
        <v>Paris</v>
      </c>
      <c r="K510" s="13">
        <f>IFERROR(H510/G510,"")</f>
        <v>50.791666666666664</v>
      </c>
      <c r="L510" s="14">
        <f>IFERROR(I510/G510,"")</f>
        <v>0.875</v>
      </c>
      <c r="M510" s="11" t="str">
        <f>IF(K510&gt;=Paramètres!$F$6,"Très forte",IF(K510&gt;=Paramètres!$F$5,"Forte",IF(K510&gt;=Paramètres!$F$4,"Modérée","Faible")))</f>
        <v>Très forte</v>
      </c>
    </row>
    <row r="511" spans="1:13">
      <c r="A511" t="s">
        <v>959</v>
      </c>
      <c r="B511" s="11">
        <v>93</v>
      </c>
      <c r="C511" t="s">
        <v>100</v>
      </c>
      <c r="D511" t="s">
        <v>797</v>
      </c>
      <c r="E511" t="s">
        <v>961</v>
      </c>
      <c r="F511" t="s">
        <v>92</v>
      </c>
      <c r="G511" s="12">
        <v>13</v>
      </c>
      <c r="H511" s="12">
        <v>659</v>
      </c>
      <c r="I511" s="12">
        <v>13</v>
      </c>
      <c r="J511" t="str">
        <f>VLOOKUP(B511,Paramètres!$A$4:$C$11,3,FALSE)</f>
        <v>Petite couronne</v>
      </c>
      <c r="K511" s="13">
        <f>IFERROR(H511/G511,"")</f>
        <v>50.692307692307693</v>
      </c>
      <c r="L511" s="14">
        <f>IFERROR(I511/G511,"")</f>
        <v>1</v>
      </c>
      <c r="M511" s="11" t="str">
        <f>IF(K511&gt;=Paramètres!$F$6,"Très forte",IF(K511&gt;=Paramètres!$F$5,"Forte",IF(K511&gt;=Paramètres!$F$4,"Modérée","Faible")))</f>
        <v>Très forte</v>
      </c>
    </row>
    <row r="512" spans="1:13">
      <c r="A512" t="s">
        <v>1095</v>
      </c>
      <c r="B512" s="11">
        <v>94</v>
      </c>
      <c r="C512" t="s">
        <v>116</v>
      </c>
      <c r="D512" t="s">
        <v>797</v>
      </c>
      <c r="E512" t="s">
        <v>885</v>
      </c>
      <c r="F512" t="s">
        <v>92</v>
      </c>
      <c r="G512" s="12">
        <v>35</v>
      </c>
      <c r="H512" s="12">
        <v>1773</v>
      </c>
      <c r="I512" s="12">
        <v>35</v>
      </c>
      <c r="J512" t="str">
        <f>VLOOKUP(B512,Paramètres!$A$4:$C$11,3,FALSE)</f>
        <v>Petite couronne</v>
      </c>
      <c r="K512" s="13">
        <f>IFERROR(H512/G512,"")</f>
        <v>50.657142857142858</v>
      </c>
      <c r="L512" s="14">
        <f>IFERROR(I512/G512,"")</f>
        <v>1</v>
      </c>
      <c r="M512" s="11" t="str">
        <f>IF(K512&gt;=Paramètres!$F$6,"Très forte",IF(K512&gt;=Paramètres!$F$5,"Forte",IF(K512&gt;=Paramètres!$F$4,"Modérée","Faible")))</f>
        <v>Très forte</v>
      </c>
    </row>
    <row r="513" spans="1:13">
      <c r="A513" t="s">
        <v>1146</v>
      </c>
      <c r="B513" s="11">
        <v>93</v>
      </c>
      <c r="C513" t="s">
        <v>100</v>
      </c>
      <c r="D513" t="s">
        <v>797</v>
      </c>
      <c r="E513" t="s">
        <v>837</v>
      </c>
      <c r="F513" t="s">
        <v>92</v>
      </c>
      <c r="G513" s="12">
        <v>24</v>
      </c>
      <c r="H513" s="12">
        <v>1171</v>
      </c>
      <c r="I513" s="12">
        <v>24</v>
      </c>
      <c r="J513" t="str">
        <f>VLOOKUP(B513,Paramètres!$A$4:$C$11,3,FALSE)</f>
        <v>Petite couronne</v>
      </c>
      <c r="K513" s="13">
        <f>IFERROR(H513/G513,"")</f>
        <v>48.791666666666664</v>
      </c>
      <c r="L513" s="14">
        <f>IFERROR(I513/G513,"")</f>
        <v>1</v>
      </c>
      <c r="M513" s="11" t="str">
        <f>IF(K513&gt;=Paramètres!$F$6,"Très forte",IF(K513&gt;=Paramètres!$F$5,"Forte",IF(K513&gt;=Paramètres!$F$4,"Modérée","Faible")))</f>
        <v>Très forte</v>
      </c>
    </row>
    <row r="514" spans="1:13">
      <c r="A514" t="s">
        <v>947</v>
      </c>
      <c r="B514" s="11">
        <v>93</v>
      </c>
      <c r="C514" t="s">
        <v>100</v>
      </c>
      <c r="D514" t="s">
        <v>797</v>
      </c>
      <c r="E514" t="s">
        <v>819</v>
      </c>
      <c r="F514" t="s">
        <v>92</v>
      </c>
      <c r="G514" s="12">
        <v>30</v>
      </c>
      <c r="H514" s="12">
        <v>1463</v>
      </c>
      <c r="I514" s="12">
        <v>22</v>
      </c>
      <c r="J514" t="str">
        <f>VLOOKUP(B514,Paramètres!$A$4:$C$11,3,FALSE)</f>
        <v>Petite couronne</v>
      </c>
      <c r="K514" s="13">
        <f>IFERROR(H514/G514,"")</f>
        <v>48.766666666666666</v>
      </c>
      <c r="L514" s="14">
        <f>IFERROR(I514/G514,"")</f>
        <v>0.73333333333333328</v>
      </c>
      <c r="M514" s="11" t="str">
        <f>IF(K514&gt;=Paramètres!$F$6,"Très forte",IF(K514&gt;=Paramètres!$F$5,"Forte",IF(K514&gt;=Paramètres!$F$4,"Modérée","Faible")))</f>
        <v>Très forte</v>
      </c>
    </row>
    <row r="515" spans="1:13">
      <c r="A515" t="s">
        <v>945</v>
      </c>
      <c r="B515" s="11">
        <v>93</v>
      </c>
      <c r="C515" t="s">
        <v>100</v>
      </c>
      <c r="D515" t="s">
        <v>797</v>
      </c>
      <c r="E515" t="s">
        <v>798</v>
      </c>
      <c r="F515" t="s">
        <v>92</v>
      </c>
      <c r="G515" s="12">
        <v>35</v>
      </c>
      <c r="H515" s="12">
        <v>1701</v>
      </c>
      <c r="I515" s="12">
        <v>32</v>
      </c>
      <c r="J515" t="str">
        <f>VLOOKUP(B515,Paramètres!$A$4:$C$11,3,FALSE)</f>
        <v>Petite couronne</v>
      </c>
      <c r="K515" s="13">
        <f>IFERROR(H515/G515,"")</f>
        <v>48.6</v>
      </c>
      <c r="L515" s="14">
        <f>IFERROR(I515/G515,"")</f>
        <v>0.91428571428571426</v>
      </c>
      <c r="M515" s="11" t="str">
        <f>IF(K515&gt;=Paramètres!$F$6,"Très forte",IF(K515&gt;=Paramètres!$F$5,"Forte",IF(K515&gt;=Paramètres!$F$4,"Modérée","Faible")))</f>
        <v>Très forte</v>
      </c>
    </row>
    <row r="516" spans="1:13">
      <c r="A516" t="s">
        <v>963</v>
      </c>
      <c r="B516" s="11">
        <v>94</v>
      </c>
      <c r="C516" t="s">
        <v>116</v>
      </c>
      <c r="D516" t="s">
        <v>797</v>
      </c>
      <c r="E516" t="s">
        <v>912</v>
      </c>
      <c r="F516" t="s">
        <v>92</v>
      </c>
      <c r="G516" s="12">
        <v>30</v>
      </c>
      <c r="H516" s="12">
        <v>1448</v>
      </c>
      <c r="I516" s="12">
        <v>29</v>
      </c>
      <c r="J516" t="str">
        <f>VLOOKUP(B516,Paramètres!$A$4:$C$11,3,FALSE)</f>
        <v>Petite couronne</v>
      </c>
      <c r="K516" s="13">
        <f>IFERROR(H516/G516,"")</f>
        <v>48.266666666666666</v>
      </c>
      <c r="L516" s="14">
        <f>IFERROR(I516/G516,"")</f>
        <v>0.96666666666666667</v>
      </c>
      <c r="M516" s="11" t="str">
        <f>IF(K516&gt;=Paramètres!$F$6,"Très forte",IF(K516&gt;=Paramètres!$F$5,"Forte",IF(K516&gt;=Paramètres!$F$4,"Modérée","Faible")))</f>
        <v>Très forte</v>
      </c>
    </row>
    <row r="517" spans="1:13">
      <c r="A517" t="s">
        <v>1100</v>
      </c>
      <c r="B517" s="11">
        <v>94</v>
      </c>
      <c r="C517" t="s">
        <v>116</v>
      </c>
      <c r="D517" t="s">
        <v>797</v>
      </c>
      <c r="E517" t="s">
        <v>852</v>
      </c>
      <c r="F517" t="s">
        <v>92</v>
      </c>
      <c r="G517" s="12">
        <v>12</v>
      </c>
      <c r="H517" s="12">
        <v>579</v>
      </c>
      <c r="I517" s="12">
        <v>8</v>
      </c>
      <c r="J517" t="str">
        <f>VLOOKUP(B517,Paramètres!$A$4:$C$11,3,FALSE)</f>
        <v>Petite couronne</v>
      </c>
      <c r="K517" s="13">
        <f>IFERROR(H517/G517,"")</f>
        <v>48.25</v>
      </c>
      <c r="L517" s="14">
        <f>IFERROR(I517/G517,"")</f>
        <v>0.66666666666666663</v>
      </c>
      <c r="M517" s="11" t="str">
        <f>IF(K517&gt;=Paramètres!$F$6,"Très forte",IF(K517&gt;=Paramètres!$F$5,"Forte",IF(K517&gt;=Paramètres!$F$4,"Modérée","Faible")))</f>
        <v>Très forte</v>
      </c>
    </row>
    <row r="518" spans="1:13">
      <c r="A518" t="s">
        <v>1014</v>
      </c>
      <c r="B518" s="11">
        <v>92</v>
      </c>
      <c r="C518" t="s">
        <v>94</v>
      </c>
      <c r="D518" t="s">
        <v>797</v>
      </c>
      <c r="E518" t="s">
        <v>822</v>
      </c>
      <c r="F518" t="s">
        <v>92</v>
      </c>
      <c r="G518" s="12">
        <v>35</v>
      </c>
      <c r="H518" s="12">
        <v>1658</v>
      </c>
      <c r="I518" s="12">
        <v>33</v>
      </c>
      <c r="J518" t="str">
        <f>VLOOKUP(B518,Paramètres!$A$4:$C$11,3,FALSE)</f>
        <v>Petite couronne</v>
      </c>
      <c r="K518" s="13">
        <f>IFERROR(H518/G518,"")</f>
        <v>47.371428571428574</v>
      </c>
      <c r="L518" s="14">
        <f>IFERROR(I518/G518,"")</f>
        <v>0.94285714285714284</v>
      </c>
      <c r="M518" s="11" t="str">
        <f>IF(K518&gt;=Paramètres!$F$6,"Très forte",IF(K518&gt;=Paramètres!$F$5,"Forte",IF(K518&gt;=Paramètres!$F$4,"Modérée","Faible")))</f>
        <v>Très forte</v>
      </c>
    </row>
    <row r="519" spans="1:13">
      <c r="A519" t="s">
        <v>1138</v>
      </c>
      <c r="B519" s="11">
        <v>75</v>
      </c>
      <c r="C519" t="s">
        <v>86</v>
      </c>
      <c r="D519" t="s">
        <v>797</v>
      </c>
      <c r="E519" t="s">
        <v>832</v>
      </c>
      <c r="F519" t="s">
        <v>92</v>
      </c>
      <c r="G519" s="12">
        <v>24</v>
      </c>
      <c r="H519" s="12">
        <v>1136</v>
      </c>
      <c r="I519" s="12">
        <v>23</v>
      </c>
      <c r="J519" t="str">
        <f>VLOOKUP(B519,Paramètres!$A$4:$C$11,3,FALSE)</f>
        <v>Paris</v>
      </c>
      <c r="K519" s="13">
        <f>IFERROR(H519/G519,"")</f>
        <v>47.333333333333336</v>
      </c>
      <c r="L519" s="14">
        <f>IFERROR(I519/G519,"")</f>
        <v>0.95833333333333337</v>
      </c>
      <c r="M519" s="11" t="str">
        <f>IF(K519&gt;=Paramètres!$F$6,"Très forte",IF(K519&gt;=Paramètres!$F$5,"Forte",IF(K519&gt;=Paramètres!$F$4,"Modérée","Faible")))</f>
        <v>Très forte</v>
      </c>
    </row>
    <row r="520" spans="1:13">
      <c r="A520" t="s">
        <v>994</v>
      </c>
      <c r="B520" s="11">
        <v>75</v>
      </c>
      <c r="C520" t="s">
        <v>86</v>
      </c>
      <c r="D520" t="s">
        <v>797</v>
      </c>
      <c r="E520" t="s">
        <v>1003</v>
      </c>
      <c r="F520" t="s">
        <v>92</v>
      </c>
      <c r="G520" s="12">
        <v>24</v>
      </c>
      <c r="H520" s="12">
        <v>1135</v>
      </c>
      <c r="I520" s="12">
        <v>17</v>
      </c>
      <c r="J520" t="str">
        <f>VLOOKUP(B520,Paramètres!$A$4:$C$11,3,FALSE)</f>
        <v>Paris</v>
      </c>
      <c r="K520" s="13">
        <f>IFERROR(H520/G520,"")</f>
        <v>47.291666666666664</v>
      </c>
      <c r="L520" s="14">
        <f>IFERROR(I520/G520,"")</f>
        <v>0.70833333333333337</v>
      </c>
      <c r="M520" s="11" t="str">
        <f>IF(K520&gt;=Paramètres!$F$6,"Très forte",IF(K520&gt;=Paramètres!$F$5,"Forte",IF(K520&gt;=Paramètres!$F$4,"Modérée","Faible")))</f>
        <v>Très forte</v>
      </c>
    </row>
    <row r="521" spans="1:13">
      <c r="A521" t="s">
        <v>919</v>
      </c>
      <c r="B521" s="11">
        <v>91</v>
      </c>
      <c r="C521" t="s">
        <v>105</v>
      </c>
      <c r="D521" t="s">
        <v>797</v>
      </c>
      <c r="E521" t="s">
        <v>891</v>
      </c>
      <c r="F521" t="s">
        <v>92</v>
      </c>
      <c r="G521" s="12">
        <v>36</v>
      </c>
      <c r="H521" s="12">
        <v>1701</v>
      </c>
      <c r="I521" s="12">
        <v>36</v>
      </c>
      <c r="J521" t="str">
        <f>VLOOKUP(B521,Paramètres!$A$4:$C$11,3,FALSE)</f>
        <v>Grande couronne</v>
      </c>
      <c r="K521" s="13">
        <f>IFERROR(H521/G521,"")</f>
        <v>47.25</v>
      </c>
      <c r="L521" s="14">
        <f>IFERROR(I521/G521,"")</f>
        <v>1</v>
      </c>
      <c r="M521" s="11" t="str">
        <f>IF(K521&gt;=Paramètres!$F$6,"Très forte",IF(K521&gt;=Paramètres!$F$5,"Forte",IF(K521&gt;=Paramètres!$F$4,"Modérée","Faible")))</f>
        <v>Très forte</v>
      </c>
    </row>
    <row r="522" spans="1:13">
      <c r="A522" t="s">
        <v>862</v>
      </c>
      <c r="B522" s="11">
        <v>94</v>
      </c>
      <c r="C522" t="s">
        <v>116</v>
      </c>
      <c r="D522" t="s">
        <v>797</v>
      </c>
      <c r="E522" t="s">
        <v>837</v>
      </c>
      <c r="F522" t="s">
        <v>92</v>
      </c>
      <c r="G522" s="12">
        <v>24</v>
      </c>
      <c r="H522" s="12">
        <v>1128</v>
      </c>
      <c r="I522" s="12">
        <v>23</v>
      </c>
      <c r="J522" t="str">
        <f>VLOOKUP(B522,Paramètres!$A$4:$C$11,3,FALSE)</f>
        <v>Petite couronne</v>
      </c>
      <c r="K522" s="13">
        <f>IFERROR(H522/G522,"")</f>
        <v>47</v>
      </c>
      <c r="L522" s="14">
        <f>IFERROR(I522/G522,"")</f>
        <v>0.95833333333333337</v>
      </c>
      <c r="M522" s="11" t="str">
        <f>IF(K522&gt;=Paramètres!$F$6,"Très forte",IF(K522&gt;=Paramètres!$F$5,"Forte",IF(K522&gt;=Paramètres!$F$4,"Modérée","Faible")))</f>
        <v>Très forte</v>
      </c>
    </row>
    <row r="523" spans="1:13">
      <c r="A523" t="s">
        <v>1084</v>
      </c>
      <c r="B523" s="11">
        <v>93</v>
      </c>
      <c r="C523" t="s">
        <v>100</v>
      </c>
      <c r="D523" t="s">
        <v>797</v>
      </c>
      <c r="E523" t="s">
        <v>839</v>
      </c>
      <c r="F523" t="s">
        <v>92</v>
      </c>
      <c r="G523" s="12">
        <v>12</v>
      </c>
      <c r="H523" s="12">
        <v>559</v>
      </c>
      <c r="I523" s="12">
        <v>12</v>
      </c>
      <c r="J523" t="str">
        <f>VLOOKUP(B523,Paramètres!$A$4:$C$11,3,FALSE)</f>
        <v>Petite couronne</v>
      </c>
      <c r="K523" s="13">
        <f>IFERROR(H523/G523,"")</f>
        <v>46.583333333333336</v>
      </c>
      <c r="L523" s="14">
        <f>IFERROR(I523/G523,"")</f>
        <v>1</v>
      </c>
      <c r="M523" s="11" t="str">
        <f>IF(K523&gt;=Paramètres!$F$6,"Très forte",IF(K523&gt;=Paramètres!$F$5,"Forte",IF(K523&gt;=Paramètres!$F$4,"Modérée","Faible")))</f>
        <v>Très forte</v>
      </c>
    </row>
    <row r="524" spans="1:13">
      <c r="A524" t="s">
        <v>1074</v>
      </c>
      <c r="B524" s="11">
        <v>92</v>
      </c>
      <c r="C524" t="s">
        <v>94</v>
      </c>
      <c r="D524" t="s">
        <v>797</v>
      </c>
      <c r="E524" t="s">
        <v>891</v>
      </c>
      <c r="F524" t="s">
        <v>92</v>
      </c>
      <c r="G524" s="12">
        <v>35</v>
      </c>
      <c r="H524" s="12">
        <v>1612</v>
      </c>
      <c r="I524" s="12">
        <v>36</v>
      </c>
      <c r="J524" t="str">
        <f>VLOOKUP(B524,Paramètres!$A$4:$C$11,3,FALSE)</f>
        <v>Petite couronne</v>
      </c>
      <c r="K524" s="13">
        <f>IFERROR(H524/G524,"")</f>
        <v>46.057142857142857</v>
      </c>
      <c r="L524" s="14">
        <f>IFERROR(I524/G524,"")</f>
        <v>1.0285714285714285</v>
      </c>
      <c r="M524" s="11" t="str">
        <f>IF(K524&gt;=Paramètres!$F$6,"Très forte",IF(K524&gt;=Paramètres!$F$5,"Forte",IF(K524&gt;=Paramètres!$F$4,"Modérée","Faible")))</f>
        <v>Très forte</v>
      </c>
    </row>
    <row r="525" spans="1:13">
      <c r="A525" t="s">
        <v>820</v>
      </c>
      <c r="B525" s="11">
        <v>75</v>
      </c>
      <c r="C525" t="s">
        <v>86</v>
      </c>
      <c r="D525" t="s">
        <v>797</v>
      </c>
      <c r="E525" t="s">
        <v>822</v>
      </c>
      <c r="F525" t="s">
        <v>92</v>
      </c>
      <c r="G525" s="12">
        <v>59</v>
      </c>
      <c r="H525" s="12">
        <v>2715</v>
      </c>
      <c r="I525" s="12">
        <v>55</v>
      </c>
      <c r="J525" t="str">
        <f>VLOOKUP(B525,Paramètres!$A$4:$C$11,3,FALSE)</f>
        <v>Paris</v>
      </c>
      <c r="K525" s="13">
        <f>IFERROR(H525/G525,"")</f>
        <v>46.016949152542374</v>
      </c>
      <c r="L525" s="14">
        <f>IFERROR(I525/G525,"")</f>
        <v>0.93220338983050843</v>
      </c>
      <c r="M525" s="11" t="str">
        <f>IF(K525&gt;=Paramètres!$F$6,"Très forte",IF(K525&gt;=Paramètres!$F$5,"Forte",IF(K525&gt;=Paramètres!$F$4,"Modérée","Faible")))</f>
        <v>Très forte</v>
      </c>
    </row>
    <row r="526" spans="1:13">
      <c r="A526" t="s">
        <v>954</v>
      </c>
      <c r="B526" s="11">
        <v>93</v>
      </c>
      <c r="C526" t="s">
        <v>100</v>
      </c>
      <c r="D526" t="s">
        <v>797</v>
      </c>
      <c r="E526" t="s">
        <v>798</v>
      </c>
      <c r="F526" t="s">
        <v>92</v>
      </c>
      <c r="G526" s="12">
        <v>37</v>
      </c>
      <c r="H526" s="12">
        <v>1697</v>
      </c>
      <c r="I526" s="12">
        <v>33</v>
      </c>
      <c r="J526" t="str">
        <f>VLOOKUP(B526,Paramètres!$A$4:$C$11,3,FALSE)</f>
        <v>Petite couronne</v>
      </c>
      <c r="K526" s="13">
        <f>IFERROR(H526/G526,"")</f>
        <v>45.864864864864863</v>
      </c>
      <c r="L526" s="14">
        <f>IFERROR(I526/G526,"")</f>
        <v>0.89189189189189189</v>
      </c>
      <c r="M526" s="11" t="str">
        <f>IF(K526&gt;=Paramètres!$F$6,"Très forte",IF(K526&gt;=Paramètres!$F$5,"Forte",IF(K526&gt;=Paramètres!$F$4,"Modérée","Faible")))</f>
        <v>Très forte</v>
      </c>
    </row>
    <row r="527" spans="1:13">
      <c r="A527" t="s">
        <v>979</v>
      </c>
      <c r="B527" s="11">
        <v>95</v>
      </c>
      <c r="C527" t="s">
        <v>90</v>
      </c>
      <c r="D527" t="s">
        <v>797</v>
      </c>
      <c r="E527" t="s">
        <v>798</v>
      </c>
      <c r="F527" t="s">
        <v>92</v>
      </c>
      <c r="G527" s="12">
        <v>34</v>
      </c>
      <c r="H527" s="12">
        <v>1557</v>
      </c>
      <c r="I527" s="12">
        <v>32</v>
      </c>
      <c r="J527" t="str">
        <f>VLOOKUP(B527,Paramètres!$A$4:$C$11,3,FALSE)</f>
        <v>Grande couronne</v>
      </c>
      <c r="K527" s="13">
        <f>IFERROR(H527/G527,"")</f>
        <v>45.794117647058826</v>
      </c>
      <c r="L527" s="14">
        <f>IFERROR(I527/G527,"")</f>
        <v>0.94117647058823528</v>
      </c>
      <c r="M527" s="11" t="str">
        <f>IF(K527&gt;=Paramètres!$F$6,"Très forte",IF(K527&gt;=Paramètres!$F$5,"Forte",IF(K527&gt;=Paramètres!$F$4,"Modérée","Faible")))</f>
        <v>Très forte</v>
      </c>
    </row>
    <row r="528" spans="1:13">
      <c r="A528" t="s">
        <v>1066</v>
      </c>
      <c r="B528" s="11">
        <v>91</v>
      </c>
      <c r="C528" t="s">
        <v>105</v>
      </c>
      <c r="D528" t="s">
        <v>797</v>
      </c>
      <c r="E528" t="s">
        <v>823</v>
      </c>
      <c r="F528" t="s">
        <v>92</v>
      </c>
      <c r="G528" s="12">
        <v>30</v>
      </c>
      <c r="H528" s="12">
        <v>1371</v>
      </c>
      <c r="I528" s="12">
        <v>42</v>
      </c>
      <c r="J528" t="str">
        <f>VLOOKUP(B528,Paramètres!$A$4:$C$11,3,FALSE)</f>
        <v>Grande couronne</v>
      </c>
      <c r="K528" s="13">
        <f>IFERROR(H528/G528,"")</f>
        <v>45.7</v>
      </c>
      <c r="L528" s="14">
        <f>IFERROR(I528/G528,"")</f>
        <v>1.4</v>
      </c>
      <c r="M528" s="11" t="str">
        <f>IF(K528&gt;=Paramètres!$F$6,"Très forte",IF(K528&gt;=Paramètres!$F$5,"Forte",IF(K528&gt;=Paramètres!$F$4,"Modérée","Faible")))</f>
        <v>Très forte</v>
      </c>
    </row>
    <row r="529" spans="1:13">
      <c r="A529" t="s">
        <v>1227</v>
      </c>
      <c r="B529" s="11">
        <v>91</v>
      </c>
      <c r="C529" t="s">
        <v>105</v>
      </c>
      <c r="D529" t="s">
        <v>797</v>
      </c>
      <c r="E529" t="s">
        <v>1228</v>
      </c>
      <c r="F529" t="s">
        <v>92</v>
      </c>
      <c r="G529" s="12">
        <v>24</v>
      </c>
      <c r="H529" s="12">
        <v>1092</v>
      </c>
      <c r="I529" s="12">
        <v>25</v>
      </c>
      <c r="J529" t="str">
        <f>VLOOKUP(B529,Paramètres!$A$4:$C$11,3,FALSE)</f>
        <v>Grande couronne</v>
      </c>
      <c r="K529" s="13">
        <f>IFERROR(H529/G529,"")</f>
        <v>45.5</v>
      </c>
      <c r="L529" s="14">
        <f>IFERROR(I529/G529,"")</f>
        <v>1.0416666666666667</v>
      </c>
      <c r="M529" s="11" t="str">
        <f>IF(K529&gt;=Paramètres!$F$6,"Très forte",IF(K529&gt;=Paramètres!$F$5,"Forte",IF(K529&gt;=Paramètres!$F$4,"Modérée","Faible")))</f>
        <v>Très forte</v>
      </c>
    </row>
    <row r="530" spans="1:13">
      <c r="A530" t="s">
        <v>945</v>
      </c>
      <c r="B530" s="11">
        <v>93</v>
      </c>
      <c r="C530" t="s">
        <v>100</v>
      </c>
      <c r="D530" t="s">
        <v>797</v>
      </c>
      <c r="E530" t="s">
        <v>872</v>
      </c>
      <c r="F530" t="s">
        <v>92</v>
      </c>
      <c r="G530" s="12">
        <v>32</v>
      </c>
      <c r="H530" s="12">
        <v>1451</v>
      </c>
      <c r="I530" s="12">
        <v>30</v>
      </c>
      <c r="J530" t="str">
        <f>VLOOKUP(B530,Paramètres!$A$4:$C$11,3,FALSE)</f>
        <v>Petite couronne</v>
      </c>
      <c r="K530" s="13">
        <f>IFERROR(H530/G530,"")</f>
        <v>45.34375</v>
      </c>
      <c r="L530" s="14">
        <f>IFERROR(I530/G530,"")</f>
        <v>0.9375</v>
      </c>
      <c r="M530" s="11" t="str">
        <f>IF(K530&gt;=Paramètres!$F$6,"Très forte",IF(K530&gt;=Paramètres!$F$5,"Forte",IF(K530&gt;=Paramètres!$F$4,"Modérée","Faible")))</f>
        <v>Très forte</v>
      </c>
    </row>
    <row r="531" spans="1:13">
      <c r="A531" t="s">
        <v>975</v>
      </c>
      <c r="B531" s="11">
        <v>94</v>
      </c>
      <c r="C531" t="s">
        <v>116</v>
      </c>
      <c r="D531" t="s">
        <v>797</v>
      </c>
      <c r="E531" t="s">
        <v>885</v>
      </c>
      <c r="F531" t="s">
        <v>92</v>
      </c>
      <c r="G531" s="12">
        <v>35</v>
      </c>
      <c r="H531" s="12">
        <v>1581</v>
      </c>
      <c r="I531" s="12">
        <v>36</v>
      </c>
      <c r="J531" t="str">
        <f>VLOOKUP(B531,Paramètres!$A$4:$C$11,3,FALSE)</f>
        <v>Petite couronne</v>
      </c>
      <c r="K531" s="13">
        <f>IFERROR(H531/G531,"")</f>
        <v>45.171428571428571</v>
      </c>
      <c r="L531" s="14">
        <f>IFERROR(I531/G531,"")</f>
        <v>1.0285714285714285</v>
      </c>
      <c r="M531" s="11" t="str">
        <f>IF(K531&gt;=Paramètres!$F$6,"Très forte",IF(K531&gt;=Paramètres!$F$5,"Forte",IF(K531&gt;=Paramètres!$F$4,"Modérée","Faible")))</f>
        <v>Très forte</v>
      </c>
    </row>
    <row r="532" spans="1:13">
      <c r="A532" t="s">
        <v>1135</v>
      </c>
      <c r="B532" s="11">
        <v>75</v>
      </c>
      <c r="C532" t="s">
        <v>86</v>
      </c>
      <c r="D532" t="s">
        <v>797</v>
      </c>
      <c r="E532" t="s">
        <v>825</v>
      </c>
      <c r="F532" t="s">
        <v>92</v>
      </c>
      <c r="G532" s="12">
        <v>24</v>
      </c>
      <c r="H532" s="12">
        <v>1080</v>
      </c>
      <c r="I532" s="12">
        <v>21</v>
      </c>
      <c r="J532" t="str">
        <f>VLOOKUP(B532,Paramètres!$A$4:$C$11,3,FALSE)</f>
        <v>Paris</v>
      </c>
      <c r="K532" s="13">
        <f>IFERROR(H532/G532,"")</f>
        <v>45</v>
      </c>
      <c r="L532" s="14">
        <f>IFERROR(I532/G532,"")</f>
        <v>0.875</v>
      </c>
      <c r="M532" s="11" t="str">
        <f>IF(K532&gt;=Paramètres!$F$6,"Très forte",IF(K532&gt;=Paramètres!$F$5,"Forte",IF(K532&gt;=Paramètres!$F$4,"Modérée","Faible")))</f>
        <v>Très forte</v>
      </c>
    </row>
    <row r="533" spans="1:13">
      <c r="A533" t="s">
        <v>981</v>
      </c>
      <c r="B533" s="11">
        <v>95</v>
      </c>
      <c r="C533" t="s">
        <v>90</v>
      </c>
      <c r="D533" t="s">
        <v>797</v>
      </c>
      <c r="E533" t="s">
        <v>891</v>
      </c>
      <c r="F533" t="s">
        <v>92</v>
      </c>
      <c r="G533" s="12">
        <v>35</v>
      </c>
      <c r="H533" s="12">
        <v>1569</v>
      </c>
      <c r="I533" s="12">
        <v>34</v>
      </c>
      <c r="J533" t="str">
        <f>VLOOKUP(B533,Paramètres!$A$4:$C$11,3,FALSE)</f>
        <v>Grande couronne</v>
      </c>
      <c r="K533" s="13">
        <f>IFERROR(H533/G533,"")</f>
        <v>44.828571428571429</v>
      </c>
      <c r="L533" s="14">
        <f>IFERROR(I533/G533,"")</f>
        <v>0.97142857142857142</v>
      </c>
      <c r="M533" s="11" t="str">
        <f>IF(K533&gt;=Paramètres!$F$6,"Très forte",IF(K533&gt;=Paramètres!$F$5,"Forte",IF(K533&gt;=Paramètres!$F$4,"Modérée","Faible")))</f>
        <v>Très forte</v>
      </c>
    </row>
    <row r="534" spans="1:13">
      <c r="A534" t="s">
        <v>1135</v>
      </c>
      <c r="B534" s="11">
        <v>75</v>
      </c>
      <c r="C534" t="s">
        <v>86</v>
      </c>
      <c r="D534" t="s">
        <v>797</v>
      </c>
      <c r="E534" t="s">
        <v>822</v>
      </c>
      <c r="F534" t="s">
        <v>92</v>
      </c>
      <c r="G534" s="12">
        <v>24</v>
      </c>
      <c r="H534" s="12">
        <v>1072</v>
      </c>
      <c r="I534" s="12">
        <v>21</v>
      </c>
      <c r="J534" t="str">
        <f>VLOOKUP(B534,Paramètres!$A$4:$C$11,3,FALSE)</f>
        <v>Paris</v>
      </c>
      <c r="K534" s="13">
        <f>IFERROR(H534/G534,"")</f>
        <v>44.666666666666664</v>
      </c>
      <c r="L534" s="14">
        <f>IFERROR(I534/G534,"")</f>
        <v>0.875</v>
      </c>
      <c r="M534" s="11" t="str">
        <f>IF(K534&gt;=Paramètres!$F$6,"Très forte",IF(K534&gt;=Paramètres!$F$5,"Forte",IF(K534&gt;=Paramètres!$F$4,"Modérée","Faible")))</f>
        <v>Très forte</v>
      </c>
    </row>
    <row r="535" spans="1:13">
      <c r="A535" t="s">
        <v>963</v>
      </c>
      <c r="B535" s="11">
        <v>94</v>
      </c>
      <c r="C535" t="s">
        <v>116</v>
      </c>
      <c r="D535" t="s">
        <v>797</v>
      </c>
      <c r="E535" t="s">
        <v>839</v>
      </c>
      <c r="F535" t="s">
        <v>92</v>
      </c>
      <c r="G535" s="12">
        <v>24</v>
      </c>
      <c r="H535" s="12">
        <v>1072</v>
      </c>
      <c r="I535" s="12">
        <v>24</v>
      </c>
      <c r="J535" t="str">
        <f>VLOOKUP(B535,Paramètres!$A$4:$C$11,3,FALSE)</f>
        <v>Petite couronne</v>
      </c>
      <c r="K535" s="13">
        <f>IFERROR(H535/G535,"")</f>
        <v>44.666666666666664</v>
      </c>
      <c r="L535" s="14">
        <f>IFERROR(I535/G535,"")</f>
        <v>1</v>
      </c>
      <c r="M535" s="11" t="str">
        <f>IF(K535&gt;=Paramètres!$F$6,"Très forte",IF(K535&gt;=Paramètres!$F$5,"Forte",IF(K535&gt;=Paramètres!$F$4,"Modérée","Faible")))</f>
        <v>Très forte</v>
      </c>
    </row>
    <row r="536" spans="1:13">
      <c r="A536" t="s">
        <v>851</v>
      </c>
      <c r="B536" s="11">
        <v>75</v>
      </c>
      <c r="C536" t="s">
        <v>86</v>
      </c>
      <c r="D536" t="s">
        <v>797</v>
      </c>
      <c r="E536" t="s">
        <v>852</v>
      </c>
      <c r="F536" t="s">
        <v>92</v>
      </c>
      <c r="G536" s="12">
        <v>30</v>
      </c>
      <c r="H536" s="12">
        <v>1336</v>
      </c>
      <c r="I536" s="12">
        <v>31</v>
      </c>
      <c r="J536" t="str">
        <f>VLOOKUP(B536,Paramètres!$A$4:$C$11,3,FALSE)</f>
        <v>Paris</v>
      </c>
      <c r="K536" s="13">
        <f>IFERROR(H536/G536,"")</f>
        <v>44.533333333333331</v>
      </c>
      <c r="L536" s="14">
        <f>IFERROR(I536/G536,"")</f>
        <v>1.0333333333333334</v>
      </c>
      <c r="M536" s="11" t="str">
        <f>IF(K536&gt;=Paramètres!$F$6,"Très forte",IF(K536&gt;=Paramètres!$F$5,"Forte",IF(K536&gt;=Paramètres!$F$4,"Modérée","Faible")))</f>
        <v>Très forte</v>
      </c>
    </row>
    <row r="537" spans="1:13">
      <c r="A537" t="s">
        <v>963</v>
      </c>
      <c r="B537" s="11">
        <v>94</v>
      </c>
      <c r="C537" t="s">
        <v>116</v>
      </c>
      <c r="D537" t="s">
        <v>797</v>
      </c>
      <c r="E537" t="s">
        <v>823</v>
      </c>
      <c r="F537" t="s">
        <v>92</v>
      </c>
      <c r="G537" s="12">
        <v>60</v>
      </c>
      <c r="H537" s="12">
        <v>2658</v>
      </c>
      <c r="I537" s="12">
        <v>58</v>
      </c>
      <c r="J537" t="str">
        <f>VLOOKUP(B537,Paramètres!$A$4:$C$11,3,FALSE)</f>
        <v>Petite couronne</v>
      </c>
      <c r="K537" s="13">
        <f>IFERROR(H537/G537,"")</f>
        <v>44.3</v>
      </c>
      <c r="L537" s="14">
        <f>IFERROR(I537/G537,"")</f>
        <v>0.96666666666666667</v>
      </c>
      <c r="M537" s="11" t="str">
        <f>IF(K537&gt;=Paramètres!$F$6,"Très forte",IF(K537&gt;=Paramètres!$F$5,"Forte",IF(K537&gt;=Paramètres!$F$4,"Modérée","Faible")))</f>
        <v>Très forte</v>
      </c>
    </row>
    <row r="538" spans="1:13">
      <c r="A538" t="s">
        <v>1083</v>
      </c>
      <c r="B538" s="11">
        <v>93</v>
      </c>
      <c r="C538" t="s">
        <v>100</v>
      </c>
      <c r="D538" t="s">
        <v>797</v>
      </c>
      <c r="E538" t="s">
        <v>822</v>
      </c>
      <c r="F538" t="s">
        <v>92</v>
      </c>
      <c r="G538" s="12">
        <v>35</v>
      </c>
      <c r="H538" s="12">
        <v>1531</v>
      </c>
      <c r="I538" s="12">
        <v>34</v>
      </c>
      <c r="J538" t="str">
        <f>VLOOKUP(B538,Paramètres!$A$4:$C$11,3,FALSE)</f>
        <v>Petite couronne</v>
      </c>
      <c r="K538" s="13">
        <f>IFERROR(H538/G538,"")</f>
        <v>43.74285714285714</v>
      </c>
      <c r="L538" s="14">
        <f>IFERROR(I538/G538,"")</f>
        <v>0.97142857142857142</v>
      </c>
      <c r="M538" s="11" t="str">
        <f>IF(K538&gt;=Paramètres!$F$6,"Très forte",IF(K538&gt;=Paramètres!$F$5,"Forte",IF(K538&gt;=Paramètres!$F$4,"Modérée","Faible")))</f>
        <v>Très forte</v>
      </c>
    </row>
    <row r="539" spans="1:13">
      <c r="A539" t="s">
        <v>1164</v>
      </c>
      <c r="B539" s="11">
        <v>95</v>
      </c>
      <c r="C539" t="s">
        <v>90</v>
      </c>
      <c r="D539" t="s">
        <v>797</v>
      </c>
      <c r="E539" t="s">
        <v>872</v>
      </c>
      <c r="F539" t="s">
        <v>92</v>
      </c>
      <c r="G539" s="12">
        <v>30</v>
      </c>
      <c r="H539" s="12">
        <v>1311</v>
      </c>
      <c r="I539" s="12">
        <v>21</v>
      </c>
      <c r="J539" t="str">
        <f>VLOOKUP(B539,Paramètres!$A$4:$C$11,3,FALSE)</f>
        <v>Grande couronne</v>
      </c>
      <c r="K539" s="13">
        <f>IFERROR(H539/G539,"")</f>
        <v>43.7</v>
      </c>
      <c r="L539" s="14">
        <f>IFERROR(I539/G539,"")</f>
        <v>0.7</v>
      </c>
      <c r="M539" s="11" t="str">
        <f>IF(K539&gt;=Paramètres!$F$6,"Très forte",IF(K539&gt;=Paramètres!$F$5,"Forte",IF(K539&gt;=Paramètres!$F$4,"Modérée","Faible")))</f>
        <v>Très forte</v>
      </c>
    </row>
    <row r="540" spans="1:13">
      <c r="A540" t="s">
        <v>965</v>
      </c>
      <c r="B540" s="11">
        <v>94</v>
      </c>
      <c r="C540" t="s">
        <v>116</v>
      </c>
      <c r="D540" t="s">
        <v>797</v>
      </c>
      <c r="E540" t="s">
        <v>798</v>
      </c>
      <c r="F540" t="s">
        <v>92</v>
      </c>
      <c r="G540" s="12">
        <v>37</v>
      </c>
      <c r="H540" s="12">
        <v>1616</v>
      </c>
      <c r="I540" s="12">
        <v>29</v>
      </c>
      <c r="J540" t="str">
        <f>VLOOKUP(B540,Paramètres!$A$4:$C$11,3,FALSE)</f>
        <v>Petite couronne</v>
      </c>
      <c r="K540" s="13">
        <f>IFERROR(H540/G540,"")</f>
        <v>43.675675675675677</v>
      </c>
      <c r="L540" s="14">
        <f>IFERROR(I540/G540,"")</f>
        <v>0.78378378378378377</v>
      </c>
      <c r="M540" s="11" t="str">
        <f>IF(K540&gt;=Paramètres!$F$6,"Très forte",IF(K540&gt;=Paramètres!$F$5,"Forte",IF(K540&gt;=Paramètres!$F$4,"Modérée","Faible")))</f>
        <v>Très forte</v>
      </c>
    </row>
    <row r="541" spans="1:13">
      <c r="A541" t="s">
        <v>856</v>
      </c>
      <c r="B541" s="11">
        <v>75</v>
      </c>
      <c r="C541" t="s">
        <v>86</v>
      </c>
      <c r="D541" t="s">
        <v>797</v>
      </c>
      <c r="E541" t="s">
        <v>866</v>
      </c>
      <c r="F541" t="s">
        <v>92</v>
      </c>
      <c r="G541" s="12">
        <v>35</v>
      </c>
      <c r="H541" s="12">
        <v>1520</v>
      </c>
      <c r="I541" s="12">
        <v>34</v>
      </c>
      <c r="J541" t="str">
        <f>VLOOKUP(B541,Paramètres!$A$4:$C$11,3,FALSE)</f>
        <v>Paris</v>
      </c>
      <c r="K541" s="13">
        <f>IFERROR(H541/G541,"")</f>
        <v>43.428571428571431</v>
      </c>
      <c r="L541" s="14">
        <f>IFERROR(I541/G541,"")</f>
        <v>0.97142857142857142</v>
      </c>
      <c r="M541" s="11" t="str">
        <f>IF(K541&gt;=Paramètres!$F$6,"Très forte",IF(K541&gt;=Paramètres!$F$5,"Forte",IF(K541&gt;=Paramètres!$F$4,"Modérée","Faible")))</f>
        <v>Très forte</v>
      </c>
    </row>
    <row r="542" spans="1:13">
      <c r="A542" t="s">
        <v>1088</v>
      </c>
      <c r="B542" s="11">
        <v>93</v>
      </c>
      <c r="C542" t="s">
        <v>100</v>
      </c>
      <c r="D542" t="s">
        <v>797</v>
      </c>
      <c r="E542" t="s">
        <v>867</v>
      </c>
      <c r="F542" t="s">
        <v>92</v>
      </c>
      <c r="G542" s="12">
        <v>35</v>
      </c>
      <c r="H542" s="12">
        <v>1517</v>
      </c>
      <c r="I542" s="12">
        <v>23</v>
      </c>
      <c r="J542" t="str">
        <f>VLOOKUP(B542,Paramètres!$A$4:$C$11,3,FALSE)</f>
        <v>Petite couronne</v>
      </c>
      <c r="K542" s="13">
        <f>IFERROR(H542/G542,"")</f>
        <v>43.342857142857142</v>
      </c>
      <c r="L542" s="14">
        <f>IFERROR(I542/G542,"")</f>
        <v>0.65714285714285714</v>
      </c>
      <c r="M542" s="11" t="str">
        <f>IF(K542&gt;=Paramètres!$F$6,"Très forte",IF(K542&gt;=Paramètres!$F$5,"Forte",IF(K542&gt;=Paramètres!$F$4,"Modérée","Faible")))</f>
        <v>Très forte</v>
      </c>
    </row>
    <row r="543" spans="1:13">
      <c r="A543" t="s">
        <v>1084</v>
      </c>
      <c r="B543" s="11">
        <v>93</v>
      </c>
      <c r="C543" t="s">
        <v>100</v>
      </c>
      <c r="D543" t="s">
        <v>797</v>
      </c>
      <c r="E543" t="s">
        <v>798</v>
      </c>
      <c r="F543" t="s">
        <v>92</v>
      </c>
      <c r="G543" s="12">
        <v>35</v>
      </c>
      <c r="H543" s="12">
        <v>1512</v>
      </c>
      <c r="I543" s="12">
        <v>29</v>
      </c>
      <c r="J543" t="str">
        <f>VLOOKUP(B543,Paramètres!$A$4:$C$11,3,FALSE)</f>
        <v>Petite couronne</v>
      </c>
      <c r="K543" s="13">
        <f>IFERROR(H543/G543,"")</f>
        <v>43.2</v>
      </c>
      <c r="L543" s="14">
        <f>IFERROR(I543/G543,"")</f>
        <v>0.82857142857142863</v>
      </c>
      <c r="M543" s="11" t="str">
        <f>IF(K543&gt;=Paramètres!$F$6,"Très forte",IF(K543&gt;=Paramètres!$F$5,"Forte",IF(K543&gt;=Paramètres!$F$4,"Modérée","Faible")))</f>
        <v>Très forte</v>
      </c>
    </row>
    <row r="544" spans="1:13">
      <c r="A544" t="s">
        <v>1087</v>
      </c>
      <c r="B544" s="11">
        <v>93</v>
      </c>
      <c r="C544" t="s">
        <v>100</v>
      </c>
      <c r="D544" t="s">
        <v>797</v>
      </c>
      <c r="E544" t="s">
        <v>839</v>
      </c>
      <c r="F544" t="s">
        <v>92</v>
      </c>
      <c r="G544" s="12">
        <v>12</v>
      </c>
      <c r="H544" s="12">
        <v>518</v>
      </c>
      <c r="I544" s="12">
        <v>11</v>
      </c>
      <c r="J544" t="str">
        <f>VLOOKUP(B544,Paramètres!$A$4:$C$11,3,FALSE)</f>
        <v>Petite couronne</v>
      </c>
      <c r="K544" s="13">
        <f>IFERROR(H544/G544,"")</f>
        <v>43.166666666666664</v>
      </c>
      <c r="L544" s="14">
        <f>IFERROR(I544/G544,"")</f>
        <v>0.91666666666666663</v>
      </c>
      <c r="M544" s="11" t="str">
        <f>IF(K544&gt;=Paramètres!$F$6,"Très forte",IF(K544&gt;=Paramètres!$F$5,"Forte",IF(K544&gt;=Paramètres!$F$4,"Modérée","Faible")))</f>
        <v>Très forte</v>
      </c>
    </row>
    <row r="545" spans="1:13">
      <c r="A545" t="s">
        <v>865</v>
      </c>
      <c r="B545" s="11">
        <v>75</v>
      </c>
      <c r="C545" t="s">
        <v>86</v>
      </c>
      <c r="D545" t="s">
        <v>797</v>
      </c>
      <c r="E545" t="s">
        <v>958</v>
      </c>
      <c r="F545" t="s">
        <v>92</v>
      </c>
      <c r="G545" s="12">
        <v>35</v>
      </c>
      <c r="H545" s="12">
        <v>1485</v>
      </c>
      <c r="I545" s="12">
        <v>31</v>
      </c>
      <c r="J545" t="str">
        <f>VLOOKUP(B545,Paramètres!$A$4:$C$11,3,FALSE)</f>
        <v>Paris</v>
      </c>
      <c r="K545" s="13">
        <f>IFERROR(H545/G545,"")</f>
        <v>42.428571428571431</v>
      </c>
      <c r="L545" s="14">
        <f>IFERROR(I545/G545,"")</f>
        <v>0.88571428571428568</v>
      </c>
      <c r="M545" s="11" t="str">
        <f>IF(K545&gt;=Paramètres!$F$6,"Très forte",IF(K545&gt;=Paramètres!$F$5,"Forte",IF(K545&gt;=Paramètres!$F$4,"Modérée","Faible")))</f>
        <v>Très forte</v>
      </c>
    </row>
    <row r="546" spans="1:13">
      <c r="A546" t="s">
        <v>1084</v>
      </c>
      <c r="B546" s="11">
        <v>93</v>
      </c>
      <c r="C546" t="s">
        <v>100</v>
      </c>
      <c r="D546" t="s">
        <v>797</v>
      </c>
      <c r="E546" t="s">
        <v>912</v>
      </c>
      <c r="F546" t="s">
        <v>92</v>
      </c>
      <c r="G546" s="12">
        <v>45</v>
      </c>
      <c r="H546" s="12">
        <v>1906</v>
      </c>
      <c r="I546" s="12">
        <v>44</v>
      </c>
      <c r="J546" t="str">
        <f>VLOOKUP(B546,Paramètres!$A$4:$C$11,3,FALSE)</f>
        <v>Petite couronne</v>
      </c>
      <c r="K546" s="13">
        <f>IFERROR(H546/G546,"")</f>
        <v>42.355555555555554</v>
      </c>
      <c r="L546" s="14">
        <f>IFERROR(I546/G546,"")</f>
        <v>0.97777777777777775</v>
      </c>
      <c r="M546" s="11" t="str">
        <f>IF(K546&gt;=Paramètres!$F$6,"Très forte",IF(K546&gt;=Paramètres!$F$5,"Forte",IF(K546&gt;=Paramètres!$F$4,"Modérée","Faible")))</f>
        <v>Très forte</v>
      </c>
    </row>
    <row r="547" spans="1:13">
      <c r="A547" t="s">
        <v>815</v>
      </c>
      <c r="B547" s="11">
        <v>91</v>
      </c>
      <c r="C547" t="s">
        <v>105</v>
      </c>
      <c r="D547" t="s">
        <v>797</v>
      </c>
      <c r="E547" t="s">
        <v>823</v>
      </c>
      <c r="F547" t="s">
        <v>92</v>
      </c>
      <c r="G547" s="12">
        <v>70</v>
      </c>
      <c r="H547" s="12">
        <v>2958</v>
      </c>
      <c r="I547" s="12">
        <v>65</v>
      </c>
      <c r="J547" t="str">
        <f>VLOOKUP(B547,Paramètres!$A$4:$C$11,3,FALSE)</f>
        <v>Grande couronne</v>
      </c>
      <c r="K547" s="13">
        <f>IFERROR(H547/G547,"")</f>
        <v>42.25714285714286</v>
      </c>
      <c r="L547" s="14">
        <f>IFERROR(I547/G547,"")</f>
        <v>0.9285714285714286</v>
      </c>
      <c r="M547" s="11" t="str">
        <f>IF(K547&gt;=Paramètres!$F$6,"Très forte",IF(K547&gt;=Paramètres!$F$5,"Forte",IF(K547&gt;=Paramètres!$F$4,"Modérée","Faible")))</f>
        <v>Très forte</v>
      </c>
    </row>
    <row r="548" spans="1:13">
      <c r="A548" t="s">
        <v>1094</v>
      </c>
      <c r="B548" s="11">
        <v>94</v>
      </c>
      <c r="C548" t="s">
        <v>116</v>
      </c>
      <c r="D548" t="s">
        <v>797</v>
      </c>
      <c r="E548" t="s">
        <v>798</v>
      </c>
      <c r="F548" t="s">
        <v>92</v>
      </c>
      <c r="G548" s="12">
        <v>35</v>
      </c>
      <c r="H548" s="12">
        <v>1477</v>
      </c>
      <c r="I548" s="12">
        <v>31</v>
      </c>
      <c r="J548" t="str">
        <f>VLOOKUP(B548,Paramètres!$A$4:$C$11,3,FALSE)</f>
        <v>Petite couronne</v>
      </c>
      <c r="K548" s="13">
        <f>IFERROR(H548/G548,"")</f>
        <v>42.2</v>
      </c>
      <c r="L548" s="14">
        <f>IFERROR(I548/G548,"")</f>
        <v>0.88571428571428568</v>
      </c>
      <c r="M548" s="11" t="str">
        <f>IF(K548&gt;=Paramètres!$F$6,"Très forte",IF(K548&gt;=Paramètres!$F$5,"Forte",IF(K548&gt;=Paramètres!$F$4,"Modérée","Faible")))</f>
        <v>Très forte</v>
      </c>
    </row>
    <row r="549" spans="1:13">
      <c r="A549" t="s">
        <v>1074</v>
      </c>
      <c r="B549" s="11">
        <v>92</v>
      </c>
      <c r="C549" t="s">
        <v>94</v>
      </c>
      <c r="D549" t="s">
        <v>797</v>
      </c>
      <c r="E549" t="s">
        <v>822</v>
      </c>
      <c r="F549" t="s">
        <v>92</v>
      </c>
      <c r="G549" s="12">
        <v>35</v>
      </c>
      <c r="H549" s="12">
        <v>1470</v>
      </c>
      <c r="I549" s="12">
        <v>28</v>
      </c>
      <c r="J549" t="str">
        <f>VLOOKUP(B549,Paramètres!$A$4:$C$11,3,FALSE)</f>
        <v>Petite couronne</v>
      </c>
      <c r="K549" s="13">
        <f>IFERROR(H549/G549,"")</f>
        <v>42</v>
      </c>
      <c r="L549" s="14">
        <f>IFERROR(I549/G549,"")</f>
        <v>0.8</v>
      </c>
      <c r="M549" s="11" t="str">
        <f>IF(K549&gt;=Paramètres!$F$6,"Très forte",IF(K549&gt;=Paramètres!$F$5,"Forte",IF(K549&gt;=Paramètres!$F$4,"Modérée","Faible")))</f>
        <v>Très forte</v>
      </c>
    </row>
    <row r="550" spans="1:13">
      <c r="A550" t="s">
        <v>888</v>
      </c>
      <c r="B550" s="11">
        <v>77</v>
      </c>
      <c r="C550" t="s">
        <v>132</v>
      </c>
      <c r="D550" t="s">
        <v>797</v>
      </c>
      <c r="E550" t="s">
        <v>891</v>
      </c>
      <c r="F550" t="s">
        <v>92</v>
      </c>
      <c r="G550" s="12">
        <v>35</v>
      </c>
      <c r="H550" s="12">
        <v>1468</v>
      </c>
      <c r="I550" s="12">
        <v>28</v>
      </c>
      <c r="J550" t="str">
        <f>VLOOKUP(B550,Paramètres!$A$4:$C$11,3,FALSE)</f>
        <v>Grande couronne</v>
      </c>
      <c r="K550" s="13">
        <f>IFERROR(H550/G550,"")</f>
        <v>41.942857142857143</v>
      </c>
      <c r="L550" s="14">
        <f>IFERROR(I550/G550,"")</f>
        <v>0.8</v>
      </c>
      <c r="M550" s="11" t="str">
        <f>IF(K550&gt;=Paramètres!$F$6,"Très forte",IF(K550&gt;=Paramètres!$F$5,"Forte",IF(K550&gt;=Paramètres!$F$4,"Modérée","Faible")))</f>
        <v>Très forte</v>
      </c>
    </row>
    <row r="551" spans="1:13">
      <c r="A551" t="s">
        <v>913</v>
      </c>
      <c r="B551" s="11">
        <v>93</v>
      </c>
      <c r="C551" t="s">
        <v>100</v>
      </c>
      <c r="D551" t="s">
        <v>797</v>
      </c>
      <c r="E551" t="s">
        <v>931</v>
      </c>
      <c r="F551" t="s">
        <v>92</v>
      </c>
      <c r="G551" s="12">
        <v>12</v>
      </c>
      <c r="H551" s="12">
        <v>503</v>
      </c>
      <c r="I551" s="12">
        <v>12</v>
      </c>
      <c r="J551" t="str">
        <f>VLOOKUP(B551,Paramètres!$A$4:$C$11,3,FALSE)</f>
        <v>Petite couronne</v>
      </c>
      <c r="K551" s="13">
        <f>IFERROR(H551/G551,"")</f>
        <v>41.916666666666664</v>
      </c>
      <c r="L551" s="14">
        <f>IFERROR(I551/G551,"")</f>
        <v>1</v>
      </c>
      <c r="M551" s="11" t="str">
        <f>IF(K551&gt;=Paramètres!$F$6,"Très forte",IF(K551&gt;=Paramètres!$F$5,"Forte",IF(K551&gt;=Paramètres!$F$4,"Modérée","Faible")))</f>
        <v>Très forte</v>
      </c>
    </row>
    <row r="552" spans="1:13">
      <c r="A552" t="s">
        <v>1135</v>
      </c>
      <c r="B552" s="11">
        <v>75</v>
      </c>
      <c r="C552" t="s">
        <v>86</v>
      </c>
      <c r="D552" t="s">
        <v>797</v>
      </c>
      <c r="E552" t="s">
        <v>822</v>
      </c>
      <c r="F552" t="s">
        <v>92</v>
      </c>
      <c r="G552" s="12">
        <v>24</v>
      </c>
      <c r="H552" s="12">
        <v>998</v>
      </c>
      <c r="I552" s="12">
        <v>23</v>
      </c>
      <c r="J552" t="str">
        <f>VLOOKUP(B552,Paramètres!$A$4:$C$11,3,FALSE)</f>
        <v>Paris</v>
      </c>
      <c r="K552" s="13">
        <f>IFERROR(H552/G552,"")</f>
        <v>41.583333333333336</v>
      </c>
      <c r="L552" s="14">
        <f>IFERROR(I552/G552,"")</f>
        <v>0.95833333333333337</v>
      </c>
      <c r="M552" s="11" t="str">
        <f>IF(K552&gt;=Paramètres!$F$6,"Très forte",IF(K552&gt;=Paramètres!$F$5,"Forte",IF(K552&gt;=Paramètres!$F$4,"Modérée","Faible")))</f>
        <v>Très forte</v>
      </c>
    </row>
    <row r="553" spans="1:13">
      <c r="A553" t="s">
        <v>1083</v>
      </c>
      <c r="B553" s="11">
        <v>93</v>
      </c>
      <c r="C553" t="s">
        <v>100</v>
      </c>
      <c r="D553" t="s">
        <v>797</v>
      </c>
      <c r="E553" t="s">
        <v>832</v>
      </c>
      <c r="F553" t="s">
        <v>92</v>
      </c>
      <c r="G553" s="12">
        <v>35</v>
      </c>
      <c r="H553" s="12">
        <v>1454</v>
      </c>
      <c r="I553" s="12">
        <v>27</v>
      </c>
      <c r="J553" t="str">
        <f>VLOOKUP(B553,Paramètres!$A$4:$C$11,3,FALSE)</f>
        <v>Petite couronne</v>
      </c>
      <c r="K553" s="13">
        <f>IFERROR(H553/G553,"")</f>
        <v>41.542857142857144</v>
      </c>
      <c r="L553" s="14">
        <f>IFERROR(I553/G553,"")</f>
        <v>0.77142857142857146</v>
      </c>
      <c r="M553" s="11" t="str">
        <f>IF(K553&gt;=Paramètres!$F$6,"Très forte",IF(K553&gt;=Paramètres!$F$5,"Forte",IF(K553&gt;=Paramètres!$F$4,"Modérée","Faible")))</f>
        <v>Très forte</v>
      </c>
    </row>
    <row r="554" spans="1:13">
      <c r="A554" t="s">
        <v>803</v>
      </c>
      <c r="B554" s="11">
        <v>94</v>
      </c>
      <c r="C554" t="s">
        <v>116</v>
      </c>
      <c r="D554" t="s">
        <v>797</v>
      </c>
      <c r="E554" t="s">
        <v>891</v>
      </c>
      <c r="F554" t="s">
        <v>92</v>
      </c>
      <c r="G554" s="12">
        <v>70</v>
      </c>
      <c r="H554" s="12">
        <v>2900</v>
      </c>
      <c r="I554" s="12">
        <v>67</v>
      </c>
      <c r="J554" t="str">
        <f>VLOOKUP(B554,Paramètres!$A$4:$C$11,3,FALSE)</f>
        <v>Petite couronne</v>
      </c>
      <c r="K554" s="13">
        <f>IFERROR(H554/G554,"")</f>
        <v>41.428571428571431</v>
      </c>
      <c r="L554" s="14">
        <f>IFERROR(I554/G554,"")</f>
        <v>0.95714285714285718</v>
      </c>
      <c r="M554" s="11" t="str">
        <f>IF(K554&gt;=Paramètres!$F$6,"Très forte",IF(K554&gt;=Paramètres!$F$5,"Forte",IF(K554&gt;=Paramètres!$F$4,"Modérée","Faible")))</f>
        <v>Très forte</v>
      </c>
    </row>
    <row r="555" spans="1:13">
      <c r="A555" t="s">
        <v>966</v>
      </c>
      <c r="B555" s="11">
        <v>94</v>
      </c>
      <c r="C555" t="s">
        <v>116</v>
      </c>
      <c r="D555" t="s">
        <v>797</v>
      </c>
      <c r="E555" t="s">
        <v>798</v>
      </c>
      <c r="F555" t="s">
        <v>92</v>
      </c>
      <c r="G555" s="12">
        <v>35</v>
      </c>
      <c r="H555" s="12">
        <v>1444</v>
      </c>
      <c r="I555" s="12">
        <v>35</v>
      </c>
      <c r="J555" t="str">
        <f>VLOOKUP(B555,Paramètres!$A$4:$C$11,3,FALSE)</f>
        <v>Petite couronne</v>
      </c>
      <c r="K555" s="13">
        <f>IFERROR(H555/G555,"")</f>
        <v>41.25714285714286</v>
      </c>
      <c r="L555" s="14">
        <f>IFERROR(I555/G555,"")</f>
        <v>1</v>
      </c>
      <c r="M555" s="11" t="str">
        <f>IF(K555&gt;=Paramètres!$F$6,"Très forte",IF(K555&gt;=Paramètres!$F$5,"Forte",IF(K555&gt;=Paramètres!$F$4,"Modérée","Faible")))</f>
        <v>Très forte</v>
      </c>
    </row>
    <row r="556" spans="1:13">
      <c r="A556" t="s">
        <v>1153</v>
      </c>
      <c r="B556" s="11">
        <v>92</v>
      </c>
      <c r="C556" t="s">
        <v>94</v>
      </c>
      <c r="D556" t="s">
        <v>797</v>
      </c>
      <c r="E556" t="s">
        <v>885</v>
      </c>
      <c r="F556" t="s">
        <v>92</v>
      </c>
      <c r="G556" s="12">
        <v>38</v>
      </c>
      <c r="H556" s="12">
        <v>1556</v>
      </c>
      <c r="I556" s="12">
        <v>38</v>
      </c>
      <c r="J556" t="str">
        <f>VLOOKUP(B556,Paramètres!$A$4:$C$11,3,FALSE)</f>
        <v>Petite couronne</v>
      </c>
      <c r="K556" s="13">
        <f>IFERROR(H556/G556,"")</f>
        <v>40.94736842105263</v>
      </c>
      <c r="L556" s="14">
        <f>IFERROR(I556/G556,"")</f>
        <v>1</v>
      </c>
      <c r="M556" s="11" t="str">
        <f>IF(K556&gt;=Paramètres!$F$6,"Très forte",IF(K556&gt;=Paramètres!$F$5,"Forte",IF(K556&gt;=Paramètres!$F$4,"Modérée","Faible")))</f>
        <v>Très forte</v>
      </c>
    </row>
    <row r="557" spans="1:13">
      <c r="A557" t="s">
        <v>899</v>
      </c>
      <c r="B557" s="11">
        <v>75</v>
      </c>
      <c r="C557" t="s">
        <v>86</v>
      </c>
      <c r="D557" t="s">
        <v>797</v>
      </c>
      <c r="E557" t="s">
        <v>872</v>
      </c>
      <c r="F557" t="s">
        <v>92</v>
      </c>
      <c r="G557" s="12">
        <v>34</v>
      </c>
      <c r="H557" s="12">
        <v>1390</v>
      </c>
      <c r="I557" s="12">
        <v>33</v>
      </c>
      <c r="J557" t="str">
        <f>VLOOKUP(B557,Paramètres!$A$4:$C$11,3,FALSE)</f>
        <v>Paris</v>
      </c>
      <c r="K557" s="13">
        <f>IFERROR(H557/G557,"")</f>
        <v>40.882352941176471</v>
      </c>
      <c r="L557" s="14">
        <f>IFERROR(I557/G557,"")</f>
        <v>0.97058823529411764</v>
      </c>
      <c r="M557" s="11" t="str">
        <f>IF(K557&gt;=Paramètres!$F$6,"Très forte",IF(K557&gt;=Paramètres!$F$5,"Forte",IF(K557&gt;=Paramètres!$F$4,"Modérée","Faible")))</f>
        <v>Très forte</v>
      </c>
    </row>
    <row r="558" spans="1:13">
      <c r="A558" t="s">
        <v>805</v>
      </c>
      <c r="B558" s="11">
        <v>91</v>
      </c>
      <c r="C558" t="s">
        <v>105</v>
      </c>
      <c r="D558" t="s">
        <v>797</v>
      </c>
      <c r="E558" t="s">
        <v>885</v>
      </c>
      <c r="F558" t="s">
        <v>92</v>
      </c>
      <c r="G558" s="12">
        <v>36</v>
      </c>
      <c r="H558" s="12">
        <v>1463</v>
      </c>
      <c r="I558" s="12">
        <v>36</v>
      </c>
      <c r="J558" t="str">
        <f>VLOOKUP(B558,Paramètres!$A$4:$C$11,3,FALSE)</f>
        <v>Grande couronne</v>
      </c>
      <c r="K558" s="13">
        <f>IFERROR(H558/G558,"")</f>
        <v>40.638888888888886</v>
      </c>
      <c r="L558" s="14">
        <f>IFERROR(I558/G558,"")</f>
        <v>1</v>
      </c>
      <c r="M558" s="11" t="str">
        <f>IF(K558&gt;=Paramètres!$F$6,"Très forte",IF(K558&gt;=Paramètres!$F$5,"Forte",IF(K558&gt;=Paramètres!$F$4,"Modérée","Faible")))</f>
        <v>Très forte</v>
      </c>
    </row>
    <row r="559" spans="1:13">
      <c r="A559" t="s">
        <v>935</v>
      </c>
      <c r="B559" s="11">
        <v>92</v>
      </c>
      <c r="C559" t="s">
        <v>94</v>
      </c>
      <c r="D559" t="s">
        <v>797</v>
      </c>
      <c r="E559" t="s">
        <v>822</v>
      </c>
      <c r="F559" t="s">
        <v>92</v>
      </c>
      <c r="G559" s="12">
        <v>35</v>
      </c>
      <c r="H559" s="12">
        <v>1418</v>
      </c>
      <c r="I559" s="12">
        <v>26</v>
      </c>
      <c r="J559" t="str">
        <f>VLOOKUP(B559,Paramètres!$A$4:$C$11,3,FALSE)</f>
        <v>Petite couronne</v>
      </c>
      <c r="K559" s="13">
        <f>IFERROR(H559/G559,"")</f>
        <v>40.514285714285712</v>
      </c>
      <c r="L559" s="14">
        <f>IFERROR(I559/G559,"")</f>
        <v>0.74285714285714288</v>
      </c>
      <c r="M559" s="11" t="str">
        <f>IF(K559&gt;=Paramètres!$F$6,"Très forte",IF(K559&gt;=Paramètres!$F$5,"Forte",IF(K559&gt;=Paramètres!$F$4,"Modérée","Faible")))</f>
        <v>Très forte</v>
      </c>
    </row>
    <row r="560" spans="1:13">
      <c r="A560" t="s">
        <v>943</v>
      </c>
      <c r="B560" s="11">
        <v>93</v>
      </c>
      <c r="C560" t="s">
        <v>100</v>
      </c>
      <c r="D560" t="s">
        <v>797</v>
      </c>
      <c r="E560" t="s">
        <v>822</v>
      </c>
      <c r="F560" t="s">
        <v>92</v>
      </c>
      <c r="G560" s="12">
        <v>35</v>
      </c>
      <c r="H560" s="12">
        <v>1418</v>
      </c>
      <c r="I560" s="12">
        <v>33</v>
      </c>
      <c r="J560" t="str">
        <f>VLOOKUP(B560,Paramètres!$A$4:$C$11,3,FALSE)</f>
        <v>Petite couronne</v>
      </c>
      <c r="K560" s="13">
        <f>IFERROR(H560/G560,"")</f>
        <v>40.514285714285712</v>
      </c>
      <c r="L560" s="14">
        <f>IFERROR(I560/G560,"")</f>
        <v>0.94285714285714284</v>
      </c>
      <c r="M560" s="11" t="str">
        <f>IF(K560&gt;=Paramètres!$F$6,"Très forte",IF(K560&gt;=Paramètres!$F$5,"Forte",IF(K560&gt;=Paramètres!$F$4,"Modérée","Faible")))</f>
        <v>Très forte</v>
      </c>
    </row>
    <row r="561" spans="1:13">
      <c r="A561" t="s">
        <v>939</v>
      </c>
      <c r="B561" s="11">
        <v>92</v>
      </c>
      <c r="C561" t="s">
        <v>94</v>
      </c>
      <c r="D561" t="s">
        <v>797</v>
      </c>
      <c r="E561" t="s">
        <v>825</v>
      </c>
      <c r="F561" t="s">
        <v>92</v>
      </c>
      <c r="G561" s="12">
        <v>32</v>
      </c>
      <c r="H561" s="12">
        <v>1293</v>
      </c>
      <c r="I561" s="12">
        <v>30</v>
      </c>
      <c r="J561" t="str">
        <f>VLOOKUP(B561,Paramètres!$A$4:$C$11,3,FALSE)</f>
        <v>Petite couronne</v>
      </c>
      <c r="K561" s="13">
        <f>IFERROR(H561/G561,"")</f>
        <v>40.40625</v>
      </c>
      <c r="L561" s="14">
        <f>IFERROR(I561/G561,"")</f>
        <v>0.9375</v>
      </c>
      <c r="M561" s="11" t="str">
        <f>IF(K561&gt;=Paramètres!$F$6,"Très forte",IF(K561&gt;=Paramètres!$F$5,"Forte",IF(K561&gt;=Paramètres!$F$4,"Modérée","Faible")))</f>
        <v>Très forte</v>
      </c>
    </row>
    <row r="562" spans="1:13">
      <c r="A562" t="s">
        <v>913</v>
      </c>
      <c r="B562" s="11">
        <v>78</v>
      </c>
      <c r="C562" t="s">
        <v>135</v>
      </c>
      <c r="D562" t="s">
        <v>797</v>
      </c>
      <c r="E562" t="s">
        <v>885</v>
      </c>
      <c r="F562" t="s">
        <v>92</v>
      </c>
      <c r="G562" s="12">
        <v>35</v>
      </c>
      <c r="H562" s="12">
        <v>1412</v>
      </c>
      <c r="I562" s="12">
        <v>36</v>
      </c>
      <c r="J562" t="str">
        <f>VLOOKUP(B562,Paramètres!$A$4:$C$11,3,FALSE)</f>
        <v>Grande couronne</v>
      </c>
      <c r="K562" s="13">
        <f>IFERROR(H562/G562,"")</f>
        <v>40.342857142857142</v>
      </c>
      <c r="L562" s="14">
        <f>IFERROR(I562/G562,"")</f>
        <v>1.0285714285714285</v>
      </c>
      <c r="M562" s="11" t="str">
        <f>IF(K562&gt;=Paramètres!$F$6,"Très forte",IF(K562&gt;=Paramètres!$F$5,"Forte",IF(K562&gt;=Paramètres!$F$4,"Modérée","Faible")))</f>
        <v>Très forte</v>
      </c>
    </row>
    <row r="563" spans="1:13">
      <c r="A563" t="s">
        <v>1205</v>
      </c>
      <c r="B563" s="11">
        <v>75</v>
      </c>
      <c r="C563" t="s">
        <v>86</v>
      </c>
      <c r="D563" t="s">
        <v>797</v>
      </c>
      <c r="E563" t="s">
        <v>958</v>
      </c>
      <c r="F563" t="s">
        <v>92</v>
      </c>
      <c r="G563" s="12">
        <v>35</v>
      </c>
      <c r="H563" s="12">
        <v>1407</v>
      </c>
      <c r="I563" s="12">
        <v>33</v>
      </c>
      <c r="J563" t="str">
        <f>VLOOKUP(B563,Paramètres!$A$4:$C$11,3,FALSE)</f>
        <v>Paris</v>
      </c>
      <c r="K563" s="13">
        <f>IFERROR(H563/G563,"")</f>
        <v>40.200000000000003</v>
      </c>
      <c r="L563" s="14">
        <f>IFERROR(I563/G563,"")</f>
        <v>0.94285714285714284</v>
      </c>
      <c r="M563" s="11" t="str">
        <f>IF(K563&gt;=Paramètres!$F$6,"Très forte",IF(K563&gt;=Paramètres!$F$5,"Forte",IF(K563&gt;=Paramètres!$F$4,"Modérée","Faible")))</f>
        <v>Très forte</v>
      </c>
    </row>
    <row r="564" spans="1:13">
      <c r="A564" t="s">
        <v>815</v>
      </c>
      <c r="B564" s="11">
        <v>91</v>
      </c>
      <c r="C564" t="s">
        <v>105</v>
      </c>
      <c r="D564" t="s">
        <v>797</v>
      </c>
      <c r="E564" t="s">
        <v>837</v>
      </c>
      <c r="F564" t="s">
        <v>92</v>
      </c>
      <c r="G564" s="12">
        <v>30</v>
      </c>
      <c r="H564" s="12">
        <v>1200</v>
      </c>
      <c r="I564" s="12">
        <v>33</v>
      </c>
      <c r="J564" t="str">
        <f>VLOOKUP(B564,Paramètres!$A$4:$C$11,3,FALSE)</f>
        <v>Grande couronne</v>
      </c>
      <c r="K564" s="13">
        <f>IFERROR(H564/G564,"")</f>
        <v>40</v>
      </c>
      <c r="L564" s="14">
        <f>IFERROR(I564/G564,"")</f>
        <v>1.1000000000000001</v>
      </c>
      <c r="M564" s="11" t="str">
        <f>IF(K564&gt;=Paramètres!$F$6,"Très forte",IF(K564&gt;=Paramètres!$F$5,"Forte",IF(K564&gt;=Paramètres!$F$4,"Modérée","Faible")))</f>
        <v>Très forte</v>
      </c>
    </row>
    <row r="565" spans="1:13">
      <c r="A565" t="s">
        <v>964</v>
      </c>
      <c r="B565" s="11">
        <v>94</v>
      </c>
      <c r="C565" t="s">
        <v>116</v>
      </c>
      <c r="D565" t="s">
        <v>797</v>
      </c>
      <c r="E565" t="s">
        <v>885</v>
      </c>
      <c r="F565" t="s">
        <v>92</v>
      </c>
      <c r="G565" s="12">
        <v>35</v>
      </c>
      <c r="H565" s="12">
        <v>1399</v>
      </c>
      <c r="I565" s="12">
        <v>32</v>
      </c>
      <c r="J565" t="str">
        <f>VLOOKUP(B565,Paramètres!$A$4:$C$11,3,FALSE)</f>
        <v>Petite couronne</v>
      </c>
      <c r="K565" s="13">
        <f>IFERROR(H565/G565,"")</f>
        <v>39.971428571428568</v>
      </c>
      <c r="L565" s="14">
        <f>IFERROR(I565/G565,"")</f>
        <v>0.91428571428571426</v>
      </c>
      <c r="M565" s="11" t="str">
        <f>IF(K565&gt;=Paramètres!$F$6,"Très forte",IF(K565&gt;=Paramètres!$F$5,"Forte",IF(K565&gt;=Paramètres!$F$4,"Modérée","Faible")))</f>
        <v>Forte</v>
      </c>
    </row>
    <row r="566" spans="1:13">
      <c r="A566" t="s">
        <v>1185</v>
      </c>
      <c r="B566" s="11">
        <v>94</v>
      </c>
      <c r="C566" t="s">
        <v>116</v>
      </c>
      <c r="D566" t="s">
        <v>797</v>
      </c>
      <c r="E566" t="s">
        <v>822</v>
      </c>
      <c r="F566" t="s">
        <v>92</v>
      </c>
      <c r="G566" s="12">
        <v>35</v>
      </c>
      <c r="H566" s="12">
        <v>1396</v>
      </c>
      <c r="I566" s="12">
        <v>35</v>
      </c>
      <c r="J566" t="str">
        <f>VLOOKUP(B566,Paramètres!$A$4:$C$11,3,FALSE)</f>
        <v>Petite couronne</v>
      </c>
      <c r="K566" s="13">
        <f>IFERROR(H566/G566,"")</f>
        <v>39.885714285714286</v>
      </c>
      <c r="L566" s="14">
        <f>IFERROR(I566/G566,"")</f>
        <v>1</v>
      </c>
      <c r="M566" s="11" t="str">
        <f>IF(K566&gt;=Paramètres!$F$6,"Très forte",IF(K566&gt;=Paramètres!$F$5,"Forte",IF(K566&gt;=Paramètres!$F$4,"Modérée","Faible")))</f>
        <v>Forte</v>
      </c>
    </row>
    <row r="567" spans="1:13">
      <c r="A567" t="s">
        <v>987</v>
      </c>
      <c r="B567" s="11">
        <v>95</v>
      </c>
      <c r="C567" t="s">
        <v>90</v>
      </c>
      <c r="D567" t="s">
        <v>797</v>
      </c>
      <c r="E567" t="s">
        <v>912</v>
      </c>
      <c r="F567" t="s">
        <v>92</v>
      </c>
      <c r="G567" s="12">
        <v>30</v>
      </c>
      <c r="H567" s="12">
        <v>1196</v>
      </c>
      <c r="I567" s="12">
        <v>30</v>
      </c>
      <c r="J567" t="str">
        <f>VLOOKUP(B567,Paramètres!$A$4:$C$11,3,FALSE)</f>
        <v>Grande couronne</v>
      </c>
      <c r="K567" s="13">
        <f>IFERROR(H567/G567,"")</f>
        <v>39.866666666666667</v>
      </c>
      <c r="L567" s="14">
        <f>IFERROR(I567/G567,"")</f>
        <v>1</v>
      </c>
      <c r="M567" s="11" t="str">
        <f>IF(K567&gt;=Paramètres!$F$6,"Très forte",IF(K567&gt;=Paramètres!$F$5,"Forte",IF(K567&gt;=Paramètres!$F$4,"Modérée","Faible")))</f>
        <v>Forte</v>
      </c>
    </row>
    <row r="568" spans="1:13">
      <c r="A568" t="s">
        <v>1010</v>
      </c>
      <c r="B568" s="11">
        <v>94</v>
      </c>
      <c r="C568" t="s">
        <v>116</v>
      </c>
      <c r="D568" t="s">
        <v>797</v>
      </c>
      <c r="E568" t="s">
        <v>798</v>
      </c>
      <c r="F568" t="s">
        <v>92</v>
      </c>
      <c r="G568" s="12">
        <v>35</v>
      </c>
      <c r="H568" s="12">
        <v>1395</v>
      </c>
      <c r="I568" s="12">
        <v>34</v>
      </c>
      <c r="J568" t="str">
        <f>VLOOKUP(B568,Paramètres!$A$4:$C$11,3,FALSE)</f>
        <v>Petite couronne</v>
      </c>
      <c r="K568" s="13">
        <f>IFERROR(H568/G568,"")</f>
        <v>39.857142857142854</v>
      </c>
      <c r="L568" s="14">
        <f>IFERROR(I568/G568,"")</f>
        <v>0.97142857142857142</v>
      </c>
      <c r="M568" s="11" t="str">
        <f>IF(K568&gt;=Paramètres!$F$6,"Très forte",IF(K568&gt;=Paramètres!$F$5,"Forte",IF(K568&gt;=Paramètres!$F$4,"Modérée","Faible")))</f>
        <v>Forte</v>
      </c>
    </row>
    <row r="569" spans="1:13">
      <c r="A569" t="s">
        <v>1132</v>
      </c>
      <c r="B569" s="11">
        <v>75</v>
      </c>
      <c r="C569" t="s">
        <v>86</v>
      </c>
      <c r="D569" t="s">
        <v>797</v>
      </c>
      <c r="E569" t="s">
        <v>832</v>
      </c>
      <c r="F569" t="s">
        <v>92</v>
      </c>
      <c r="G569" s="12">
        <v>24</v>
      </c>
      <c r="H569" s="12">
        <v>955</v>
      </c>
      <c r="I569" s="12">
        <v>25</v>
      </c>
      <c r="J569" t="str">
        <f>VLOOKUP(B569,Paramètres!$A$4:$C$11,3,FALSE)</f>
        <v>Paris</v>
      </c>
      <c r="K569" s="13">
        <f>IFERROR(H569/G569,"")</f>
        <v>39.791666666666664</v>
      </c>
      <c r="L569" s="14">
        <f>IFERROR(I569/G569,"")</f>
        <v>1.0416666666666667</v>
      </c>
      <c r="M569" s="11" t="str">
        <f>IF(K569&gt;=Paramètres!$F$6,"Très forte",IF(K569&gt;=Paramètres!$F$5,"Forte",IF(K569&gt;=Paramètres!$F$4,"Modérée","Faible")))</f>
        <v>Forte</v>
      </c>
    </row>
    <row r="570" spans="1:13">
      <c r="A570" t="s">
        <v>1103</v>
      </c>
      <c r="B570" s="11">
        <v>94</v>
      </c>
      <c r="C570" t="s">
        <v>116</v>
      </c>
      <c r="D570" t="s">
        <v>797</v>
      </c>
      <c r="E570" t="s">
        <v>798</v>
      </c>
      <c r="F570" t="s">
        <v>92</v>
      </c>
      <c r="G570" s="12">
        <v>35</v>
      </c>
      <c r="H570" s="12">
        <v>1392</v>
      </c>
      <c r="I570" s="12">
        <v>28</v>
      </c>
      <c r="J570" t="str">
        <f>VLOOKUP(B570,Paramètres!$A$4:$C$11,3,FALSE)</f>
        <v>Petite couronne</v>
      </c>
      <c r="K570" s="13">
        <f>IFERROR(H570/G570,"")</f>
        <v>39.771428571428572</v>
      </c>
      <c r="L570" s="14">
        <f>IFERROR(I570/G570,"")</f>
        <v>0.8</v>
      </c>
      <c r="M570" s="11" t="str">
        <f>IF(K570&gt;=Paramètres!$F$6,"Très forte",IF(K570&gt;=Paramètres!$F$5,"Forte",IF(K570&gt;=Paramètres!$F$4,"Modérée","Faible")))</f>
        <v>Forte</v>
      </c>
    </row>
    <row r="571" spans="1:13">
      <c r="A571" t="s">
        <v>910</v>
      </c>
      <c r="B571" s="11">
        <v>78</v>
      </c>
      <c r="C571" t="s">
        <v>135</v>
      </c>
      <c r="D571" t="s">
        <v>797</v>
      </c>
      <c r="E571" t="s">
        <v>822</v>
      </c>
      <c r="F571" t="s">
        <v>92</v>
      </c>
      <c r="G571" s="12">
        <v>35</v>
      </c>
      <c r="H571" s="12">
        <v>1392</v>
      </c>
      <c r="I571" s="12">
        <v>34</v>
      </c>
      <c r="J571" t="str">
        <f>VLOOKUP(B571,Paramètres!$A$4:$C$11,3,FALSE)</f>
        <v>Grande couronne</v>
      </c>
      <c r="K571" s="13">
        <f>IFERROR(H571/G571,"")</f>
        <v>39.771428571428572</v>
      </c>
      <c r="L571" s="14">
        <f>IFERROR(I571/G571,"")</f>
        <v>0.97142857142857142</v>
      </c>
      <c r="M571" s="11" t="str">
        <f>IF(K571&gt;=Paramètres!$F$6,"Très forte",IF(K571&gt;=Paramètres!$F$5,"Forte",IF(K571&gt;=Paramètres!$F$4,"Modérée","Faible")))</f>
        <v>Forte</v>
      </c>
    </row>
    <row r="572" spans="1:13">
      <c r="A572" t="s">
        <v>959</v>
      </c>
      <c r="B572" s="11">
        <v>93</v>
      </c>
      <c r="C572" t="s">
        <v>100</v>
      </c>
      <c r="D572" t="s">
        <v>797</v>
      </c>
      <c r="E572" t="s">
        <v>931</v>
      </c>
      <c r="F572" t="s">
        <v>92</v>
      </c>
      <c r="G572" s="12">
        <v>13</v>
      </c>
      <c r="H572" s="12">
        <v>517</v>
      </c>
      <c r="I572" s="12">
        <v>13</v>
      </c>
      <c r="J572" t="str">
        <f>VLOOKUP(B572,Paramètres!$A$4:$C$11,3,FALSE)</f>
        <v>Petite couronne</v>
      </c>
      <c r="K572" s="13">
        <f>IFERROR(H572/G572,"")</f>
        <v>39.769230769230766</v>
      </c>
      <c r="L572" s="14">
        <f>IFERROR(I572/G572,"")</f>
        <v>1</v>
      </c>
      <c r="M572" s="11" t="str">
        <f>IF(K572&gt;=Paramètres!$F$6,"Très forte",IF(K572&gt;=Paramètres!$F$5,"Forte",IF(K572&gt;=Paramètres!$F$4,"Modérée","Faible")))</f>
        <v>Forte</v>
      </c>
    </row>
    <row r="573" spans="1:13">
      <c r="A573" t="s">
        <v>856</v>
      </c>
      <c r="B573" s="11">
        <v>75</v>
      </c>
      <c r="C573" t="s">
        <v>86</v>
      </c>
      <c r="D573" t="s">
        <v>797</v>
      </c>
      <c r="E573" t="s">
        <v>822</v>
      </c>
      <c r="F573" t="s">
        <v>92</v>
      </c>
      <c r="G573" s="12">
        <v>70</v>
      </c>
      <c r="H573" s="12">
        <v>2783</v>
      </c>
      <c r="I573" s="12">
        <v>70</v>
      </c>
      <c r="J573" t="str">
        <f>VLOOKUP(B573,Paramètres!$A$4:$C$11,3,FALSE)</f>
        <v>Paris</v>
      </c>
      <c r="K573" s="13">
        <f>IFERROR(H573/G573,"")</f>
        <v>39.75714285714286</v>
      </c>
      <c r="L573" s="14">
        <f>IFERROR(I573/G573,"")</f>
        <v>1</v>
      </c>
      <c r="M573" s="11" t="str">
        <f>IF(K573&gt;=Paramètres!$F$6,"Très forte",IF(K573&gt;=Paramètres!$F$5,"Forte",IF(K573&gt;=Paramètres!$F$4,"Modérée","Faible")))</f>
        <v>Forte</v>
      </c>
    </row>
    <row r="574" spans="1:13">
      <c r="A574" t="s">
        <v>865</v>
      </c>
      <c r="B574" s="11">
        <v>75</v>
      </c>
      <c r="C574" t="s">
        <v>86</v>
      </c>
      <c r="D574" t="s">
        <v>797</v>
      </c>
      <c r="E574" t="s">
        <v>822</v>
      </c>
      <c r="F574" t="s">
        <v>92</v>
      </c>
      <c r="G574" s="12">
        <v>35</v>
      </c>
      <c r="H574" s="12">
        <v>1387</v>
      </c>
      <c r="I574" s="12">
        <v>35</v>
      </c>
      <c r="J574" t="str">
        <f>VLOOKUP(B574,Paramètres!$A$4:$C$11,3,FALSE)</f>
        <v>Paris</v>
      </c>
      <c r="K574" s="13">
        <f>IFERROR(H574/G574,"")</f>
        <v>39.628571428571426</v>
      </c>
      <c r="L574" s="14">
        <f>IFERROR(I574/G574,"")</f>
        <v>1</v>
      </c>
      <c r="M574" s="11" t="str">
        <f>IF(K574&gt;=Paramètres!$F$6,"Très forte",IF(K574&gt;=Paramètres!$F$5,"Forte",IF(K574&gt;=Paramètres!$F$4,"Modérée","Faible")))</f>
        <v>Forte</v>
      </c>
    </row>
    <row r="575" spans="1:13">
      <c r="A575" t="s">
        <v>939</v>
      </c>
      <c r="B575" s="11">
        <v>77</v>
      </c>
      <c r="C575" t="s">
        <v>132</v>
      </c>
      <c r="D575" t="s">
        <v>797</v>
      </c>
      <c r="E575" t="s">
        <v>885</v>
      </c>
      <c r="F575" t="s">
        <v>92</v>
      </c>
      <c r="G575" s="12">
        <v>35</v>
      </c>
      <c r="H575" s="12">
        <v>1386</v>
      </c>
      <c r="I575" s="12">
        <v>33</v>
      </c>
      <c r="J575" t="str">
        <f>VLOOKUP(B575,Paramètres!$A$4:$C$11,3,FALSE)</f>
        <v>Grande couronne</v>
      </c>
      <c r="K575" s="13">
        <f>IFERROR(H575/G575,"")</f>
        <v>39.6</v>
      </c>
      <c r="L575" s="14">
        <f>IFERROR(I575/G575,"")</f>
        <v>0.94285714285714284</v>
      </c>
      <c r="M575" s="11" t="str">
        <f>IF(K575&gt;=Paramètres!$F$6,"Très forte",IF(K575&gt;=Paramètres!$F$5,"Forte",IF(K575&gt;=Paramètres!$F$4,"Modérée","Faible")))</f>
        <v>Forte</v>
      </c>
    </row>
    <row r="576" spans="1:13">
      <c r="A576" t="s">
        <v>979</v>
      </c>
      <c r="B576" s="11">
        <v>95</v>
      </c>
      <c r="C576" t="s">
        <v>90</v>
      </c>
      <c r="D576" t="s">
        <v>797</v>
      </c>
      <c r="E576" t="s">
        <v>885</v>
      </c>
      <c r="F576" t="s">
        <v>92</v>
      </c>
      <c r="G576" s="12">
        <v>34</v>
      </c>
      <c r="H576" s="12">
        <v>1346</v>
      </c>
      <c r="I576" s="12">
        <v>31</v>
      </c>
      <c r="J576" t="str">
        <f>VLOOKUP(B576,Paramètres!$A$4:$C$11,3,FALSE)</f>
        <v>Grande couronne</v>
      </c>
      <c r="K576" s="13">
        <f>IFERROR(H576/G576,"")</f>
        <v>39.588235294117645</v>
      </c>
      <c r="L576" s="14">
        <f>IFERROR(I576/G576,"")</f>
        <v>0.91176470588235292</v>
      </c>
      <c r="M576" s="11" t="str">
        <f>IF(K576&gt;=Paramètres!$F$6,"Très forte",IF(K576&gt;=Paramètres!$F$5,"Forte",IF(K576&gt;=Paramètres!$F$4,"Modérée","Faible")))</f>
        <v>Forte</v>
      </c>
    </row>
    <row r="577" spans="1:13">
      <c r="A577" t="s">
        <v>964</v>
      </c>
      <c r="B577" s="11">
        <v>94</v>
      </c>
      <c r="C577" t="s">
        <v>116</v>
      </c>
      <c r="D577" t="s">
        <v>797</v>
      </c>
      <c r="E577" t="s">
        <v>837</v>
      </c>
      <c r="F577" t="s">
        <v>92</v>
      </c>
      <c r="G577" s="12">
        <v>30</v>
      </c>
      <c r="H577" s="12">
        <v>1185</v>
      </c>
      <c r="I577" s="12">
        <v>26</v>
      </c>
      <c r="J577" t="str">
        <f>VLOOKUP(B577,Paramètres!$A$4:$C$11,3,FALSE)</f>
        <v>Petite couronne</v>
      </c>
      <c r="K577" s="13">
        <f>IFERROR(H577/G577,"")</f>
        <v>39.5</v>
      </c>
      <c r="L577" s="14">
        <f>IFERROR(I577/G577,"")</f>
        <v>0.8666666666666667</v>
      </c>
      <c r="M577" s="11" t="str">
        <f>IF(K577&gt;=Paramètres!$F$6,"Très forte",IF(K577&gt;=Paramètres!$F$5,"Forte",IF(K577&gt;=Paramètres!$F$4,"Modérée","Faible")))</f>
        <v>Forte</v>
      </c>
    </row>
    <row r="578" spans="1:13">
      <c r="A578" t="s">
        <v>1078</v>
      </c>
      <c r="B578" s="11">
        <v>95</v>
      </c>
      <c r="C578" t="s">
        <v>90</v>
      </c>
      <c r="D578" t="s">
        <v>797</v>
      </c>
      <c r="E578" t="s">
        <v>867</v>
      </c>
      <c r="F578" t="s">
        <v>92</v>
      </c>
      <c r="G578" s="12">
        <v>35</v>
      </c>
      <c r="H578" s="12">
        <v>1379</v>
      </c>
      <c r="I578" s="12">
        <v>32</v>
      </c>
      <c r="J578" t="str">
        <f>VLOOKUP(B578,Paramètres!$A$4:$C$11,3,FALSE)</f>
        <v>Grande couronne</v>
      </c>
      <c r="K578" s="13">
        <f>IFERROR(H578/G578,"")</f>
        <v>39.4</v>
      </c>
      <c r="L578" s="14">
        <f>IFERROR(I578/G578,"")</f>
        <v>0.91428571428571426</v>
      </c>
      <c r="M578" s="11" t="str">
        <f>IF(K578&gt;=Paramètres!$F$6,"Très forte",IF(K578&gt;=Paramètres!$F$5,"Forte",IF(K578&gt;=Paramètres!$F$4,"Modérée","Faible")))</f>
        <v>Forte</v>
      </c>
    </row>
    <row r="579" spans="1:13">
      <c r="A579" t="s">
        <v>1185</v>
      </c>
      <c r="B579" s="11">
        <v>94</v>
      </c>
      <c r="C579" t="s">
        <v>116</v>
      </c>
      <c r="D579" t="s">
        <v>797</v>
      </c>
      <c r="E579" t="s">
        <v>911</v>
      </c>
      <c r="F579" t="s">
        <v>92</v>
      </c>
      <c r="G579" s="12">
        <v>24</v>
      </c>
      <c r="H579" s="12">
        <v>933</v>
      </c>
      <c r="I579" s="12">
        <v>18</v>
      </c>
      <c r="J579" t="str">
        <f>VLOOKUP(B579,Paramètres!$A$4:$C$11,3,FALSE)</f>
        <v>Petite couronne</v>
      </c>
      <c r="K579" s="13">
        <f>IFERROR(H579/G579,"")</f>
        <v>38.875</v>
      </c>
      <c r="L579" s="14">
        <f>IFERROR(I579/G579,"")</f>
        <v>0.75</v>
      </c>
      <c r="M579" s="11" t="str">
        <f>IF(K579&gt;=Paramètres!$F$6,"Très forte",IF(K579&gt;=Paramètres!$F$5,"Forte",IF(K579&gt;=Paramètres!$F$4,"Modérée","Faible")))</f>
        <v>Forte</v>
      </c>
    </row>
    <row r="580" spans="1:13">
      <c r="A580" t="s">
        <v>1166</v>
      </c>
      <c r="B580" s="11">
        <v>92</v>
      </c>
      <c r="C580" t="s">
        <v>94</v>
      </c>
      <c r="D580" t="s">
        <v>797</v>
      </c>
      <c r="E580" t="s">
        <v>885</v>
      </c>
      <c r="F580" t="s">
        <v>92</v>
      </c>
      <c r="G580" s="12">
        <v>55</v>
      </c>
      <c r="H580" s="12">
        <v>2136</v>
      </c>
      <c r="I580" s="12">
        <v>51</v>
      </c>
      <c r="J580" t="str">
        <f>VLOOKUP(B580,Paramètres!$A$4:$C$11,3,FALSE)</f>
        <v>Petite couronne</v>
      </c>
      <c r="K580" s="13">
        <f>IFERROR(H580/G580,"")</f>
        <v>38.836363636363636</v>
      </c>
      <c r="L580" s="14">
        <f>IFERROR(I580/G580,"")</f>
        <v>0.92727272727272725</v>
      </c>
      <c r="M580" s="11" t="str">
        <f>IF(K580&gt;=Paramètres!$F$6,"Très forte",IF(K580&gt;=Paramètres!$F$5,"Forte",IF(K580&gt;=Paramètres!$F$4,"Modérée","Faible")))</f>
        <v>Forte</v>
      </c>
    </row>
    <row r="581" spans="1:13">
      <c r="A581" t="s">
        <v>908</v>
      </c>
      <c r="B581" s="11">
        <v>78</v>
      </c>
      <c r="C581" t="s">
        <v>135</v>
      </c>
      <c r="D581" t="s">
        <v>797</v>
      </c>
      <c r="E581" t="s">
        <v>822</v>
      </c>
      <c r="F581" t="s">
        <v>92</v>
      </c>
      <c r="G581" s="12">
        <v>35</v>
      </c>
      <c r="H581" s="12">
        <v>1355</v>
      </c>
      <c r="I581" s="12">
        <v>31</v>
      </c>
      <c r="J581" t="str">
        <f>VLOOKUP(B581,Paramètres!$A$4:$C$11,3,FALSE)</f>
        <v>Grande couronne</v>
      </c>
      <c r="K581" s="13">
        <f>IFERROR(H581/G581,"")</f>
        <v>38.714285714285715</v>
      </c>
      <c r="L581" s="14">
        <f>IFERROR(I581/G581,"")</f>
        <v>0.88571428571428568</v>
      </c>
      <c r="M581" s="11" t="str">
        <f>IF(K581&gt;=Paramètres!$F$6,"Très forte",IF(K581&gt;=Paramètres!$F$5,"Forte",IF(K581&gt;=Paramètres!$F$4,"Modérée","Faible")))</f>
        <v>Forte</v>
      </c>
    </row>
    <row r="582" spans="1:13">
      <c r="A582" t="s">
        <v>1086</v>
      </c>
      <c r="B582" s="11">
        <v>93</v>
      </c>
      <c r="C582" t="s">
        <v>100</v>
      </c>
      <c r="D582" t="s">
        <v>797</v>
      </c>
      <c r="E582" t="s">
        <v>867</v>
      </c>
      <c r="F582" t="s">
        <v>92</v>
      </c>
      <c r="G582" s="12">
        <v>35</v>
      </c>
      <c r="H582" s="12">
        <v>1352</v>
      </c>
      <c r="I582" s="12">
        <v>32</v>
      </c>
      <c r="J582" t="str">
        <f>VLOOKUP(B582,Paramètres!$A$4:$C$11,3,FALSE)</f>
        <v>Petite couronne</v>
      </c>
      <c r="K582" s="13">
        <f>IFERROR(H582/G582,"")</f>
        <v>38.628571428571426</v>
      </c>
      <c r="L582" s="14">
        <f>IFERROR(I582/G582,"")</f>
        <v>0.91428571428571426</v>
      </c>
      <c r="M582" s="11" t="str">
        <f>IF(K582&gt;=Paramètres!$F$6,"Très forte",IF(K582&gt;=Paramètres!$F$5,"Forte",IF(K582&gt;=Paramètres!$F$4,"Modérée","Faible")))</f>
        <v>Forte</v>
      </c>
    </row>
    <row r="583" spans="1:13">
      <c r="A583" t="s">
        <v>902</v>
      </c>
      <c r="B583" s="11">
        <v>75</v>
      </c>
      <c r="C583" t="s">
        <v>86</v>
      </c>
      <c r="D583" t="s">
        <v>797</v>
      </c>
      <c r="E583" t="s">
        <v>891</v>
      </c>
      <c r="F583" t="s">
        <v>92</v>
      </c>
      <c r="G583" s="12">
        <v>30</v>
      </c>
      <c r="H583" s="12">
        <v>1158</v>
      </c>
      <c r="I583" s="12">
        <v>30</v>
      </c>
      <c r="J583" t="str">
        <f>VLOOKUP(B583,Paramètres!$A$4:$C$11,3,FALSE)</f>
        <v>Paris</v>
      </c>
      <c r="K583" s="13">
        <f>IFERROR(H583/G583,"")</f>
        <v>38.6</v>
      </c>
      <c r="L583" s="14">
        <f>IFERROR(I583/G583,"")</f>
        <v>1</v>
      </c>
      <c r="M583" s="11" t="str">
        <f>IF(K583&gt;=Paramètres!$F$6,"Très forte",IF(K583&gt;=Paramètres!$F$5,"Forte",IF(K583&gt;=Paramètres!$F$4,"Modérée","Faible")))</f>
        <v>Forte</v>
      </c>
    </row>
    <row r="584" spans="1:13">
      <c r="A584" t="s">
        <v>1199</v>
      </c>
      <c r="B584" s="11">
        <v>92</v>
      </c>
      <c r="C584" t="s">
        <v>94</v>
      </c>
      <c r="D584" t="s">
        <v>797</v>
      </c>
      <c r="E584" t="s">
        <v>1030</v>
      </c>
      <c r="F584" t="s">
        <v>92</v>
      </c>
      <c r="G584" s="12">
        <v>16</v>
      </c>
      <c r="H584" s="12">
        <v>615</v>
      </c>
      <c r="I584" s="12">
        <v>17</v>
      </c>
      <c r="J584" t="str">
        <f>VLOOKUP(B584,Paramètres!$A$4:$C$11,3,FALSE)</f>
        <v>Petite couronne</v>
      </c>
      <c r="K584" s="13">
        <f>IFERROR(H584/G584,"")</f>
        <v>38.4375</v>
      </c>
      <c r="L584" s="14">
        <f>IFERROR(I584/G584,"")</f>
        <v>1.0625</v>
      </c>
      <c r="M584" s="11" t="str">
        <f>IF(K584&gt;=Paramètres!$F$6,"Très forte",IF(K584&gt;=Paramètres!$F$5,"Forte",IF(K584&gt;=Paramètres!$F$4,"Modérée","Faible")))</f>
        <v>Forte</v>
      </c>
    </row>
    <row r="585" spans="1:13">
      <c r="A585" t="s">
        <v>805</v>
      </c>
      <c r="B585" s="11">
        <v>91</v>
      </c>
      <c r="C585" t="s">
        <v>105</v>
      </c>
      <c r="D585" t="s">
        <v>797</v>
      </c>
      <c r="E585" t="s">
        <v>798</v>
      </c>
      <c r="F585" t="s">
        <v>92</v>
      </c>
      <c r="G585" s="12">
        <v>36</v>
      </c>
      <c r="H585" s="12">
        <v>1368</v>
      </c>
      <c r="I585" s="12">
        <v>36</v>
      </c>
      <c r="J585" t="str">
        <f>VLOOKUP(B585,Paramètres!$A$4:$C$11,3,FALSE)</f>
        <v>Grande couronne</v>
      </c>
      <c r="K585" s="13">
        <f>IFERROR(H585/G585,"")</f>
        <v>38</v>
      </c>
      <c r="L585" s="14">
        <f>IFERROR(I585/G585,"")</f>
        <v>1</v>
      </c>
      <c r="M585" s="11" t="str">
        <f>IF(K585&gt;=Paramètres!$F$6,"Très forte",IF(K585&gt;=Paramètres!$F$5,"Forte",IF(K585&gt;=Paramètres!$F$4,"Modérée","Faible")))</f>
        <v>Forte</v>
      </c>
    </row>
    <row r="586" spans="1:13">
      <c r="A586" t="s">
        <v>930</v>
      </c>
      <c r="B586" s="11">
        <v>92</v>
      </c>
      <c r="C586" t="s">
        <v>94</v>
      </c>
      <c r="D586" t="s">
        <v>797</v>
      </c>
      <c r="E586" t="s">
        <v>931</v>
      </c>
      <c r="F586" t="s">
        <v>92</v>
      </c>
      <c r="G586" s="12">
        <v>12</v>
      </c>
      <c r="H586" s="12">
        <v>454</v>
      </c>
      <c r="I586" s="12">
        <v>11</v>
      </c>
      <c r="J586" t="str">
        <f>VLOOKUP(B586,Paramètres!$A$4:$C$11,3,FALSE)</f>
        <v>Petite couronne</v>
      </c>
      <c r="K586" s="13">
        <f>IFERROR(H586/G586,"")</f>
        <v>37.833333333333336</v>
      </c>
      <c r="L586" s="14">
        <f>IFERROR(I586/G586,"")</f>
        <v>0.91666666666666663</v>
      </c>
      <c r="M586" s="11" t="str">
        <f>IF(K586&gt;=Paramètres!$F$6,"Très forte",IF(K586&gt;=Paramètres!$F$5,"Forte",IF(K586&gt;=Paramètres!$F$4,"Modérée","Faible")))</f>
        <v>Forte</v>
      </c>
    </row>
    <row r="587" spans="1:13">
      <c r="A587" t="s">
        <v>1106</v>
      </c>
      <c r="B587" s="11">
        <v>95</v>
      </c>
      <c r="C587" t="s">
        <v>90</v>
      </c>
      <c r="D587" t="s">
        <v>797</v>
      </c>
      <c r="E587" t="s">
        <v>837</v>
      </c>
      <c r="F587" t="s">
        <v>92</v>
      </c>
      <c r="G587" s="12">
        <v>30</v>
      </c>
      <c r="H587" s="12">
        <v>1134</v>
      </c>
      <c r="I587" s="12">
        <v>30</v>
      </c>
      <c r="J587" t="str">
        <f>VLOOKUP(B587,Paramètres!$A$4:$C$11,3,FALSE)</f>
        <v>Grande couronne</v>
      </c>
      <c r="K587" s="13">
        <f>IFERROR(H587/G587,"")</f>
        <v>37.799999999999997</v>
      </c>
      <c r="L587" s="14">
        <f>IFERROR(I587/G587,"")</f>
        <v>1</v>
      </c>
      <c r="M587" s="11" t="str">
        <f>IF(K587&gt;=Paramètres!$F$6,"Très forte",IF(K587&gt;=Paramètres!$F$5,"Forte",IF(K587&gt;=Paramètres!$F$4,"Modérée","Faible")))</f>
        <v>Forte</v>
      </c>
    </row>
    <row r="588" spans="1:13">
      <c r="A588" t="s">
        <v>1026</v>
      </c>
      <c r="B588" s="11">
        <v>75</v>
      </c>
      <c r="C588" t="s">
        <v>86</v>
      </c>
      <c r="D588" t="s">
        <v>797</v>
      </c>
      <c r="E588" t="s">
        <v>822</v>
      </c>
      <c r="F588" t="s">
        <v>92</v>
      </c>
      <c r="G588" s="12">
        <v>35</v>
      </c>
      <c r="H588" s="12">
        <v>1318</v>
      </c>
      <c r="I588" s="12">
        <v>36</v>
      </c>
      <c r="J588" t="str">
        <f>VLOOKUP(B588,Paramètres!$A$4:$C$11,3,FALSE)</f>
        <v>Paris</v>
      </c>
      <c r="K588" s="13">
        <f>IFERROR(H588/G588,"")</f>
        <v>37.657142857142858</v>
      </c>
      <c r="L588" s="14">
        <f>IFERROR(I588/G588,"")</f>
        <v>1.0285714285714285</v>
      </c>
      <c r="M588" s="11" t="str">
        <f>IF(K588&gt;=Paramètres!$F$6,"Très forte",IF(K588&gt;=Paramètres!$F$5,"Forte",IF(K588&gt;=Paramètres!$F$4,"Modérée","Faible")))</f>
        <v>Forte</v>
      </c>
    </row>
    <row r="589" spans="1:13">
      <c r="A589" t="s">
        <v>1200</v>
      </c>
      <c r="B589" s="11">
        <v>92</v>
      </c>
      <c r="C589" t="s">
        <v>94</v>
      </c>
      <c r="D589" t="s">
        <v>797</v>
      </c>
      <c r="E589" t="s">
        <v>997</v>
      </c>
      <c r="F589" t="s">
        <v>92</v>
      </c>
      <c r="G589" s="12">
        <v>30</v>
      </c>
      <c r="H589" s="12">
        <v>1128</v>
      </c>
      <c r="I589" s="12">
        <v>29</v>
      </c>
      <c r="J589" t="str">
        <f>VLOOKUP(B589,Paramètres!$A$4:$C$11,3,FALSE)</f>
        <v>Petite couronne</v>
      </c>
      <c r="K589" s="13">
        <f>IFERROR(H589/G589,"")</f>
        <v>37.6</v>
      </c>
      <c r="L589" s="14">
        <f>IFERROR(I589/G589,"")</f>
        <v>0.96666666666666667</v>
      </c>
      <c r="M589" s="11" t="str">
        <f>IF(K589&gt;=Paramètres!$F$6,"Très forte",IF(K589&gt;=Paramètres!$F$5,"Forte",IF(K589&gt;=Paramètres!$F$4,"Modérée","Faible")))</f>
        <v>Forte</v>
      </c>
    </row>
    <row r="590" spans="1:13">
      <c r="A590" t="s">
        <v>935</v>
      </c>
      <c r="B590" s="11">
        <v>91</v>
      </c>
      <c r="C590" t="s">
        <v>105</v>
      </c>
      <c r="D590" t="s">
        <v>797</v>
      </c>
      <c r="E590" t="s">
        <v>885</v>
      </c>
      <c r="F590" t="s">
        <v>92</v>
      </c>
      <c r="G590" s="12">
        <v>33</v>
      </c>
      <c r="H590" s="12">
        <v>1236</v>
      </c>
      <c r="I590" s="12">
        <v>33</v>
      </c>
      <c r="J590" t="str">
        <f>VLOOKUP(B590,Paramètres!$A$4:$C$11,3,FALSE)</f>
        <v>Grande couronne</v>
      </c>
      <c r="K590" s="13">
        <f>IFERROR(H590/G590,"")</f>
        <v>37.454545454545453</v>
      </c>
      <c r="L590" s="14">
        <f>IFERROR(I590/G590,"")</f>
        <v>1</v>
      </c>
      <c r="M590" s="11" t="str">
        <f>IF(K590&gt;=Paramètres!$F$6,"Très forte",IF(K590&gt;=Paramètres!$F$5,"Forte",IF(K590&gt;=Paramètres!$F$4,"Modérée","Faible")))</f>
        <v>Forte</v>
      </c>
    </row>
    <row r="591" spans="1:13">
      <c r="A591" t="s">
        <v>841</v>
      </c>
      <c r="B591" s="11">
        <v>75</v>
      </c>
      <c r="C591" t="s">
        <v>86</v>
      </c>
      <c r="D591" t="s">
        <v>797</v>
      </c>
      <c r="E591" t="s">
        <v>845</v>
      </c>
      <c r="F591" t="s">
        <v>92</v>
      </c>
      <c r="G591" s="12">
        <v>30</v>
      </c>
      <c r="H591" s="12">
        <v>1119</v>
      </c>
      <c r="I591" s="12">
        <v>31</v>
      </c>
      <c r="J591" t="str">
        <f>VLOOKUP(B591,Paramètres!$A$4:$C$11,3,FALSE)</f>
        <v>Paris</v>
      </c>
      <c r="K591" s="13">
        <f>IFERROR(H591/G591,"")</f>
        <v>37.299999999999997</v>
      </c>
      <c r="L591" s="14">
        <f>IFERROR(I591/G591,"")</f>
        <v>1.0333333333333334</v>
      </c>
      <c r="M591" s="11" t="str">
        <f>IF(K591&gt;=Paramètres!$F$6,"Très forte",IF(K591&gt;=Paramètres!$F$5,"Forte",IF(K591&gt;=Paramètres!$F$4,"Modérée","Faible")))</f>
        <v>Forte</v>
      </c>
    </row>
    <row r="592" spans="1:13">
      <c r="A592" t="s">
        <v>949</v>
      </c>
      <c r="B592" s="11">
        <v>93</v>
      </c>
      <c r="C592" t="s">
        <v>100</v>
      </c>
      <c r="D592" t="s">
        <v>797</v>
      </c>
      <c r="E592" t="s">
        <v>991</v>
      </c>
      <c r="F592" t="s">
        <v>92</v>
      </c>
      <c r="G592" s="12">
        <v>35</v>
      </c>
      <c r="H592" s="12">
        <v>1305</v>
      </c>
      <c r="I592" s="12">
        <v>34</v>
      </c>
      <c r="J592" t="str">
        <f>VLOOKUP(B592,Paramètres!$A$4:$C$11,3,FALSE)</f>
        <v>Petite couronne</v>
      </c>
      <c r="K592" s="13">
        <f>IFERROR(H592/G592,"")</f>
        <v>37.285714285714285</v>
      </c>
      <c r="L592" s="14">
        <f>IFERROR(I592/G592,"")</f>
        <v>0.97142857142857142</v>
      </c>
      <c r="M592" s="11" t="str">
        <f>IF(K592&gt;=Paramètres!$F$6,"Très forte",IF(K592&gt;=Paramètres!$F$5,"Forte",IF(K592&gt;=Paramètres!$F$4,"Modérée","Faible")))</f>
        <v>Forte</v>
      </c>
    </row>
    <row r="593" spans="1:13">
      <c r="A593" t="s">
        <v>950</v>
      </c>
      <c r="B593" s="11">
        <v>93</v>
      </c>
      <c r="C593" t="s">
        <v>100</v>
      </c>
      <c r="D593" t="s">
        <v>797</v>
      </c>
      <c r="E593" t="s">
        <v>825</v>
      </c>
      <c r="F593" t="s">
        <v>92</v>
      </c>
      <c r="G593" s="12">
        <v>35</v>
      </c>
      <c r="H593" s="12">
        <v>1303</v>
      </c>
      <c r="I593" s="12">
        <v>33</v>
      </c>
      <c r="J593" t="str">
        <f>VLOOKUP(B593,Paramètres!$A$4:$C$11,3,FALSE)</f>
        <v>Petite couronne</v>
      </c>
      <c r="K593" s="13">
        <f>IFERROR(H593/G593,"")</f>
        <v>37.228571428571428</v>
      </c>
      <c r="L593" s="14">
        <f>IFERROR(I593/G593,"")</f>
        <v>0.94285714285714284</v>
      </c>
      <c r="M593" s="11" t="str">
        <f>IF(K593&gt;=Paramètres!$F$6,"Très forte",IF(K593&gt;=Paramètres!$F$5,"Forte",IF(K593&gt;=Paramètres!$F$4,"Modérée","Faible")))</f>
        <v>Forte</v>
      </c>
    </row>
    <row r="594" spans="1:13">
      <c r="A594" t="s">
        <v>934</v>
      </c>
      <c r="B594" s="11">
        <v>92</v>
      </c>
      <c r="C594" t="s">
        <v>94</v>
      </c>
      <c r="D594" t="s">
        <v>797</v>
      </c>
      <c r="E594" t="s">
        <v>832</v>
      </c>
      <c r="F594" t="s">
        <v>92</v>
      </c>
      <c r="G594" s="12">
        <v>24</v>
      </c>
      <c r="H594" s="12">
        <v>887</v>
      </c>
      <c r="I594" s="12">
        <v>24</v>
      </c>
      <c r="J594" t="str">
        <f>VLOOKUP(B594,Paramètres!$A$4:$C$11,3,FALSE)</f>
        <v>Petite couronne</v>
      </c>
      <c r="K594" s="13">
        <f>IFERROR(H594/G594,"")</f>
        <v>36.958333333333336</v>
      </c>
      <c r="L594" s="14">
        <f>IFERROR(I594/G594,"")</f>
        <v>1</v>
      </c>
      <c r="M594" s="11" t="str">
        <f>IF(K594&gt;=Paramètres!$F$6,"Très forte",IF(K594&gt;=Paramètres!$F$5,"Forte",IF(K594&gt;=Paramètres!$F$4,"Modérée","Faible")))</f>
        <v>Forte</v>
      </c>
    </row>
    <row r="595" spans="1:13">
      <c r="A595" t="s">
        <v>1029</v>
      </c>
      <c r="B595" s="11">
        <v>75</v>
      </c>
      <c r="C595" t="s">
        <v>86</v>
      </c>
      <c r="D595" t="s">
        <v>797</v>
      </c>
      <c r="E595" t="s">
        <v>993</v>
      </c>
      <c r="F595" t="s">
        <v>92</v>
      </c>
      <c r="G595" s="12">
        <v>60</v>
      </c>
      <c r="H595" s="12">
        <v>2184</v>
      </c>
      <c r="I595" s="12">
        <v>56</v>
      </c>
      <c r="J595" t="str">
        <f>VLOOKUP(B595,Paramètres!$A$4:$C$11,3,FALSE)</f>
        <v>Paris</v>
      </c>
      <c r="K595" s="13">
        <f>IFERROR(H595/G595,"")</f>
        <v>36.4</v>
      </c>
      <c r="L595" s="14">
        <f>IFERROR(I595/G595,"")</f>
        <v>0.93333333333333335</v>
      </c>
      <c r="M595" s="11" t="str">
        <f>IF(K595&gt;=Paramètres!$F$6,"Très forte",IF(K595&gt;=Paramètres!$F$5,"Forte",IF(K595&gt;=Paramètres!$F$4,"Modérée","Faible")))</f>
        <v>Forte</v>
      </c>
    </row>
    <row r="596" spans="1:13">
      <c r="A596" t="s">
        <v>986</v>
      </c>
      <c r="B596" s="11">
        <v>95</v>
      </c>
      <c r="C596" t="s">
        <v>90</v>
      </c>
      <c r="D596" t="s">
        <v>797</v>
      </c>
      <c r="E596" t="s">
        <v>891</v>
      </c>
      <c r="F596" t="s">
        <v>92</v>
      </c>
      <c r="G596" s="12">
        <v>35</v>
      </c>
      <c r="H596" s="12">
        <v>1272</v>
      </c>
      <c r="I596" s="12">
        <v>33</v>
      </c>
      <c r="J596" t="str">
        <f>VLOOKUP(B596,Paramètres!$A$4:$C$11,3,FALSE)</f>
        <v>Grande couronne</v>
      </c>
      <c r="K596" s="13">
        <f>IFERROR(H596/G596,"")</f>
        <v>36.342857142857142</v>
      </c>
      <c r="L596" s="14">
        <f>IFERROR(I596/G596,"")</f>
        <v>0.94285714285714284</v>
      </c>
      <c r="M596" s="11" t="str">
        <f>IF(K596&gt;=Paramètres!$F$6,"Très forte",IF(K596&gt;=Paramètres!$F$5,"Forte",IF(K596&gt;=Paramètres!$F$4,"Modérée","Faible")))</f>
        <v>Forte</v>
      </c>
    </row>
    <row r="597" spans="1:13">
      <c r="A597" t="s">
        <v>1235</v>
      </c>
      <c r="B597" s="11">
        <v>77</v>
      </c>
      <c r="C597" t="s">
        <v>132</v>
      </c>
      <c r="D597" t="s">
        <v>797</v>
      </c>
      <c r="E597" t="s">
        <v>891</v>
      </c>
      <c r="F597" t="s">
        <v>92</v>
      </c>
      <c r="G597" s="12">
        <v>35</v>
      </c>
      <c r="H597" s="12">
        <v>1258</v>
      </c>
      <c r="I597" s="12">
        <v>30</v>
      </c>
      <c r="J597" t="str">
        <f>VLOOKUP(B597,Paramètres!$A$4:$C$11,3,FALSE)</f>
        <v>Grande couronne</v>
      </c>
      <c r="K597" s="13">
        <f>IFERROR(H597/G597,"")</f>
        <v>35.942857142857143</v>
      </c>
      <c r="L597" s="14">
        <f>IFERROR(I597/G597,"")</f>
        <v>0.8571428571428571</v>
      </c>
      <c r="M597" s="11" t="str">
        <f>IF(K597&gt;=Paramètres!$F$6,"Très forte",IF(K597&gt;=Paramètres!$F$5,"Forte",IF(K597&gt;=Paramètres!$F$4,"Modérée","Faible")))</f>
        <v>Forte</v>
      </c>
    </row>
    <row r="598" spans="1:13">
      <c r="A598" t="s">
        <v>1045</v>
      </c>
      <c r="B598" s="11">
        <v>77</v>
      </c>
      <c r="C598" t="s">
        <v>132</v>
      </c>
      <c r="D598" t="s">
        <v>797</v>
      </c>
      <c r="E598" t="s">
        <v>837</v>
      </c>
      <c r="F598" t="s">
        <v>92</v>
      </c>
      <c r="G598" s="12">
        <v>24</v>
      </c>
      <c r="H598" s="12">
        <v>852</v>
      </c>
      <c r="I598" s="12">
        <v>22</v>
      </c>
      <c r="J598" t="str">
        <f>VLOOKUP(B598,Paramètres!$A$4:$C$11,3,FALSE)</f>
        <v>Grande couronne</v>
      </c>
      <c r="K598" s="13">
        <f>IFERROR(H598/G598,"")</f>
        <v>35.5</v>
      </c>
      <c r="L598" s="14">
        <f>IFERROR(I598/G598,"")</f>
        <v>0.91666666666666663</v>
      </c>
      <c r="M598" s="11" t="str">
        <f>IF(K598&gt;=Paramètres!$F$6,"Très forte",IF(K598&gt;=Paramètres!$F$5,"Forte",IF(K598&gt;=Paramètres!$F$4,"Modérée","Faible")))</f>
        <v>Forte</v>
      </c>
    </row>
    <row r="599" spans="1:13">
      <c r="A599" t="s">
        <v>1090</v>
      </c>
      <c r="B599" s="11">
        <v>93</v>
      </c>
      <c r="C599" t="s">
        <v>100</v>
      </c>
      <c r="D599" t="s">
        <v>797</v>
      </c>
      <c r="E599" t="s">
        <v>798</v>
      </c>
      <c r="F599" t="s">
        <v>92</v>
      </c>
      <c r="G599" s="12">
        <v>35</v>
      </c>
      <c r="H599" s="12">
        <v>1241</v>
      </c>
      <c r="I599" s="12">
        <v>27</v>
      </c>
      <c r="J599" t="str">
        <f>VLOOKUP(B599,Paramètres!$A$4:$C$11,3,FALSE)</f>
        <v>Petite couronne</v>
      </c>
      <c r="K599" s="13">
        <f>IFERROR(H599/G599,"")</f>
        <v>35.457142857142856</v>
      </c>
      <c r="L599" s="14">
        <f>IFERROR(I599/G599,"")</f>
        <v>0.77142857142857146</v>
      </c>
      <c r="M599" s="11" t="str">
        <f>IF(K599&gt;=Paramètres!$F$6,"Très forte",IF(K599&gt;=Paramètres!$F$5,"Forte",IF(K599&gt;=Paramètres!$F$4,"Modérée","Faible")))</f>
        <v>Forte</v>
      </c>
    </row>
    <row r="600" spans="1:13">
      <c r="A600" t="s">
        <v>933</v>
      </c>
      <c r="B600" s="11">
        <v>92</v>
      </c>
      <c r="C600" t="s">
        <v>94</v>
      </c>
      <c r="D600" t="s">
        <v>797</v>
      </c>
      <c r="E600" t="s">
        <v>798</v>
      </c>
      <c r="F600" t="s">
        <v>92</v>
      </c>
      <c r="G600" s="12">
        <v>36</v>
      </c>
      <c r="H600" s="12">
        <v>1276</v>
      </c>
      <c r="I600" s="12">
        <v>36</v>
      </c>
      <c r="J600" t="str">
        <f>VLOOKUP(B600,Paramètres!$A$4:$C$11,3,FALSE)</f>
        <v>Petite couronne</v>
      </c>
      <c r="K600" s="13">
        <f>IFERROR(H600/G600,"")</f>
        <v>35.444444444444443</v>
      </c>
      <c r="L600" s="14">
        <f>IFERROR(I600/G600,"")</f>
        <v>1</v>
      </c>
      <c r="M600" s="11" t="str">
        <f>IF(K600&gt;=Paramètres!$F$6,"Très forte",IF(K600&gt;=Paramètres!$F$5,"Forte",IF(K600&gt;=Paramètres!$F$4,"Modérée","Faible")))</f>
        <v>Forte</v>
      </c>
    </row>
    <row r="601" spans="1:13">
      <c r="A601" t="s">
        <v>1187</v>
      </c>
      <c r="B601" s="11">
        <v>94</v>
      </c>
      <c r="C601" t="s">
        <v>116</v>
      </c>
      <c r="D601" t="s">
        <v>797</v>
      </c>
      <c r="E601" t="s">
        <v>825</v>
      </c>
      <c r="F601" t="s">
        <v>92</v>
      </c>
      <c r="G601" s="12">
        <v>35</v>
      </c>
      <c r="H601" s="12">
        <v>1239</v>
      </c>
      <c r="I601" s="12">
        <v>35</v>
      </c>
      <c r="J601" t="str">
        <f>VLOOKUP(B601,Paramètres!$A$4:$C$11,3,FALSE)</f>
        <v>Petite couronne</v>
      </c>
      <c r="K601" s="13">
        <f>IFERROR(H601/G601,"")</f>
        <v>35.4</v>
      </c>
      <c r="L601" s="14">
        <f>IFERROR(I601/G601,"")</f>
        <v>1</v>
      </c>
      <c r="M601" s="11" t="str">
        <f>IF(K601&gt;=Paramètres!$F$6,"Très forte",IF(K601&gt;=Paramètres!$F$5,"Forte",IF(K601&gt;=Paramètres!$F$4,"Modérée","Faible")))</f>
        <v>Forte</v>
      </c>
    </row>
    <row r="602" spans="1:13">
      <c r="A602" t="s">
        <v>857</v>
      </c>
      <c r="B602" s="11">
        <v>75</v>
      </c>
      <c r="C602" t="s">
        <v>86</v>
      </c>
      <c r="D602" t="s">
        <v>797</v>
      </c>
      <c r="E602" t="s">
        <v>920</v>
      </c>
      <c r="F602" t="s">
        <v>92</v>
      </c>
      <c r="G602" s="12">
        <v>15</v>
      </c>
      <c r="H602" s="12">
        <v>531</v>
      </c>
      <c r="I602" s="12">
        <v>14</v>
      </c>
      <c r="J602" t="str">
        <f>VLOOKUP(B602,Paramètres!$A$4:$C$11,3,FALSE)</f>
        <v>Paris</v>
      </c>
      <c r="K602" s="13">
        <f>IFERROR(H602/G602,"")</f>
        <v>35.4</v>
      </c>
      <c r="L602" s="14">
        <f>IFERROR(I602/G602,"")</f>
        <v>0.93333333333333335</v>
      </c>
      <c r="M602" s="11" t="str">
        <f>IF(K602&gt;=Paramètres!$F$6,"Très forte",IF(K602&gt;=Paramètres!$F$5,"Forte",IF(K602&gt;=Paramètres!$F$4,"Modérée","Faible")))</f>
        <v>Forte</v>
      </c>
    </row>
    <row r="603" spans="1:13">
      <c r="A603" t="s">
        <v>904</v>
      </c>
      <c r="B603" s="11">
        <v>75</v>
      </c>
      <c r="C603" t="s">
        <v>86</v>
      </c>
      <c r="D603" t="s">
        <v>797</v>
      </c>
      <c r="E603" t="s">
        <v>905</v>
      </c>
      <c r="F603" t="s">
        <v>92</v>
      </c>
      <c r="G603" s="12">
        <v>15</v>
      </c>
      <c r="H603" s="12">
        <v>529</v>
      </c>
      <c r="I603" s="12">
        <v>7</v>
      </c>
      <c r="J603" t="str">
        <f>VLOOKUP(B603,Paramètres!$A$4:$C$11,3,FALSE)</f>
        <v>Paris</v>
      </c>
      <c r="K603" s="13">
        <f>IFERROR(H603/G603,"")</f>
        <v>35.266666666666666</v>
      </c>
      <c r="L603" s="14">
        <f>IFERROR(I603/G603,"")</f>
        <v>0.46666666666666667</v>
      </c>
      <c r="M603" s="11" t="str">
        <f>IF(K603&gt;=Paramètres!$F$6,"Très forte",IF(K603&gt;=Paramètres!$F$5,"Forte",IF(K603&gt;=Paramètres!$F$4,"Modérée","Faible")))</f>
        <v>Forte</v>
      </c>
    </row>
    <row r="604" spans="1:13">
      <c r="A604" t="s">
        <v>935</v>
      </c>
      <c r="B604" s="11">
        <v>92</v>
      </c>
      <c r="C604" t="s">
        <v>94</v>
      </c>
      <c r="D604" t="s">
        <v>797</v>
      </c>
      <c r="E604" t="s">
        <v>991</v>
      </c>
      <c r="F604" t="s">
        <v>92</v>
      </c>
      <c r="G604" s="12">
        <v>35</v>
      </c>
      <c r="H604" s="12">
        <v>1230</v>
      </c>
      <c r="I604" s="12">
        <v>25</v>
      </c>
      <c r="J604" t="str">
        <f>VLOOKUP(B604,Paramètres!$A$4:$C$11,3,FALSE)</f>
        <v>Petite couronne</v>
      </c>
      <c r="K604" s="13">
        <f>IFERROR(H604/G604,"")</f>
        <v>35.142857142857146</v>
      </c>
      <c r="L604" s="14">
        <f>IFERROR(I604/G604,"")</f>
        <v>0.7142857142857143</v>
      </c>
      <c r="M604" s="11" t="str">
        <f>IF(K604&gt;=Paramètres!$F$6,"Très forte",IF(K604&gt;=Paramètres!$F$5,"Forte",IF(K604&gt;=Paramètres!$F$4,"Modérée","Faible")))</f>
        <v>Forte</v>
      </c>
    </row>
    <row r="605" spans="1:13">
      <c r="A605" t="s">
        <v>1191</v>
      </c>
      <c r="B605" s="11">
        <v>92</v>
      </c>
      <c r="C605" t="s">
        <v>94</v>
      </c>
      <c r="D605" t="s">
        <v>797</v>
      </c>
      <c r="E605" t="s">
        <v>993</v>
      </c>
      <c r="F605" t="s">
        <v>92</v>
      </c>
      <c r="G605" s="12">
        <v>28</v>
      </c>
      <c r="H605" s="12">
        <v>967</v>
      </c>
      <c r="I605" s="12">
        <v>27</v>
      </c>
      <c r="J605" t="str">
        <f>VLOOKUP(B605,Paramètres!$A$4:$C$11,3,FALSE)</f>
        <v>Petite couronne</v>
      </c>
      <c r="K605" s="13">
        <f>IFERROR(H605/G605,"")</f>
        <v>34.535714285714285</v>
      </c>
      <c r="L605" s="14">
        <f>IFERROR(I605/G605,"")</f>
        <v>0.9642857142857143</v>
      </c>
      <c r="M605" s="11" t="str">
        <f>IF(K605&gt;=Paramètres!$F$6,"Très forte",IF(K605&gt;=Paramètres!$F$5,"Forte",IF(K605&gt;=Paramètres!$F$4,"Modérée","Faible")))</f>
        <v>Forte</v>
      </c>
    </row>
    <row r="606" spans="1:13">
      <c r="A606" t="s">
        <v>981</v>
      </c>
      <c r="B606" s="11">
        <v>95</v>
      </c>
      <c r="C606" t="s">
        <v>90</v>
      </c>
      <c r="D606" t="s">
        <v>797</v>
      </c>
      <c r="E606" t="s">
        <v>823</v>
      </c>
      <c r="F606" t="s">
        <v>92</v>
      </c>
      <c r="G606" s="12">
        <v>35</v>
      </c>
      <c r="H606" s="12">
        <v>1203</v>
      </c>
      <c r="I606" s="12">
        <v>33</v>
      </c>
      <c r="J606" t="str">
        <f>VLOOKUP(B606,Paramètres!$A$4:$C$11,3,FALSE)</f>
        <v>Grande couronne</v>
      </c>
      <c r="K606" s="13">
        <f>IFERROR(H606/G606,"")</f>
        <v>34.371428571428574</v>
      </c>
      <c r="L606" s="14">
        <f>IFERROR(I606/G606,"")</f>
        <v>0.94285714285714284</v>
      </c>
      <c r="M606" s="11" t="str">
        <f>IF(K606&gt;=Paramètres!$F$6,"Très forte",IF(K606&gt;=Paramètres!$F$5,"Forte",IF(K606&gt;=Paramètres!$F$4,"Modérée","Faible")))</f>
        <v>Forte</v>
      </c>
    </row>
    <row r="607" spans="1:13">
      <c r="A607" t="s">
        <v>947</v>
      </c>
      <c r="B607" s="11">
        <v>93</v>
      </c>
      <c r="C607" t="s">
        <v>100</v>
      </c>
      <c r="D607" t="s">
        <v>797</v>
      </c>
      <c r="E607" t="s">
        <v>825</v>
      </c>
      <c r="F607" t="s">
        <v>92</v>
      </c>
      <c r="G607" s="12">
        <v>35</v>
      </c>
      <c r="H607" s="12">
        <v>1197</v>
      </c>
      <c r="I607" s="12">
        <v>29</v>
      </c>
      <c r="J607" t="str">
        <f>VLOOKUP(B607,Paramètres!$A$4:$C$11,3,FALSE)</f>
        <v>Petite couronne</v>
      </c>
      <c r="K607" s="13">
        <f>IFERROR(H607/G607,"")</f>
        <v>34.200000000000003</v>
      </c>
      <c r="L607" s="14">
        <f>IFERROR(I607/G607,"")</f>
        <v>0.82857142857142863</v>
      </c>
      <c r="M607" s="11" t="str">
        <f>IF(K607&gt;=Paramètres!$F$6,"Très forte",IF(K607&gt;=Paramètres!$F$5,"Forte",IF(K607&gt;=Paramètres!$F$4,"Modérée","Faible")))</f>
        <v>Forte</v>
      </c>
    </row>
    <row r="608" spans="1:13">
      <c r="A608" t="s">
        <v>1105</v>
      </c>
      <c r="B608" s="11">
        <v>95</v>
      </c>
      <c r="C608" t="s">
        <v>90</v>
      </c>
      <c r="D608" t="s">
        <v>797</v>
      </c>
      <c r="E608" t="s">
        <v>825</v>
      </c>
      <c r="F608" t="s">
        <v>92</v>
      </c>
      <c r="G608" s="12">
        <v>33</v>
      </c>
      <c r="H608" s="12">
        <v>1128</v>
      </c>
      <c r="I608" s="12">
        <v>32</v>
      </c>
      <c r="J608" t="str">
        <f>VLOOKUP(B608,Paramètres!$A$4:$C$11,3,FALSE)</f>
        <v>Grande couronne</v>
      </c>
      <c r="K608" s="13">
        <f>IFERROR(H608/G608,"")</f>
        <v>34.18181818181818</v>
      </c>
      <c r="L608" s="14">
        <f>IFERROR(I608/G608,"")</f>
        <v>0.96969696969696972</v>
      </c>
      <c r="M608" s="11" t="str">
        <f>IF(K608&gt;=Paramètres!$F$6,"Très forte",IF(K608&gt;=Paramètres!$F$5,"Forte",IF(K608&gt;=Paramètres!$F$4,"Modérée","Faible")))</f>
        <v>Forte</v>
      </c>
    </row>
    <row r="609" spans="1:13">
      <c r="A609" t="s">
        <v>1151</v>
      </c>
      <c r="B609" s="11">
        <v>92</v>
      </c>
      <c r="C609" t="s">
        <v>94</v>
      </c>
      <c r="D609" t="s">
        <v>797</v>
      </c>
      <c r="E609" t="s">
        <v>819</v>
      </c>
      <c r="F609" t="s">
        <v>92</v>
      </c>
      <c r="G609" s="12">
        <v>32</v>
      </c>
      <c r="H609" s="12">
        <v>1090</v>
      </c>
      <c r="I609" s="12">
        <v>29</v>
      </c>
      <c r="J609" t="str">
        <f>VLOOKUP(B609,Paramètres!$A$4:$C$11,3,FALSE)</f>
        <v>Petite couronne</v>
      </c>
      <c r="K609" s="13">
        <f>IFERROR(H609/G609,"")</f>
        <v>34.0625</v>
      </c>
      <c r="L609" s="14">
        <f>IFERROR(I609/G609,"")</f>
        <v>0.90625</v>
      </c>
      <c r="M609" s="11" t="str">
        <f>IF(K609&gt;=Paramètres!$F$6,"Très forte",IF(K609&gt;=Paramètres!$F$5,"Forte",IF(K609&gt;=Paramètres!$F$4,"Modérée","Faible")))</f>
        <v>Forte</v>
      </c>
    </row>
    <row r="610" spans="1:13">
      <c r="A610" t="s">
        <v>990</v>
      </c>
      <c r="B610" s="11">
        <v>95</v>
      </c>
      <c r="C610" t="s">
        <v>90</v>
      </c>
      <c r="D610" t="s">
        <v>797</v>
      </c>
      <c r="E610" t="s">
        <v>885</v>
      </c>
      <c r="F610" t="s">
        <v>92</v>
      </c>
      <c r="G610" s="12">
        <v>35</v>
      </c>
      <c r="H610" s="12">
        <v>1192</v>
      </c>
      <c r="I610" s="12">
        <v>24</v>
      </c>
      <c r="J610" t="str">
        <f>VLOOKUP(B610,Paramètres!$A$4:$C$11,3,FALSE)</f>
        <v>Grande couronne</v>
      </c>
      <c r="K610" s="13">
        <f>IFERROR(H610/G610,"")</f>
        <v>34.057142857142857</v>
      </c>
      <c r="L610" s="14">
        <f>IFERROR(I610/G610,"")</f>
        <v>0.68571428571428572</v>
      </c>
      <c r="M610" s="11" t="str">
        <f>IF(K610&gt;=Paramètres!$F$6,"Très forte",IF(K610&gt;=Paramètres!$F$5,"Forte",IF(K610&gt;=Paramètres!$F$4,"Modérée","Faible")))</f>
        <v>Forte</v>
      </c>
    </row>
    <row r="611" spans="1:13">
      <c r="A611" t="s">
        <v>1082</v>
      </c>
      <c r="B611" s="11">
        <v>93</v>
      </c>
      <c r="C611" t="s">
        <v>100</v>
      </c>
      <c r="D611" t="s">
        <v>797</v>
      </c>
      <c r="E611" t="s">
        <v>798</v>
      </c>
      <c r="F611" t="s">
        <v>92</v>
      </c>
      <c r="G611" s="12">
        <v>35</v>
      </c>
      <c r="H611" s="12">
        <v>1191</v>
      </c>
      <c r="I611" s="12">
        <v>31</v>
      </c>
      <c r="J611" t="str">
        <f>VLOOKUP(B611,Paramètres!$A$4:$C$11,3,FALSE)</f>
        <v>Petite couronne</v>
      </c>
      <c r="K611" s="13">
        <f>IFERROR(H611/G611,"")</f>
        <v>34.028571428571432</v>
      </c>
      <c r="L611" s="14">
        <f>IFERROR(I611/G611,"")</f>
        <v>0.88571428571428568</v>
      </c>
      <c r="M611" s="11" t="str">
        <f>IF(K611&gt;=Paramètres!$F$6,"Très forte",IF(K611&gt;=Paramètres!$F$5,"Forte",IF(K611&gt;=Paramètres!$F$4,"Modérée","Faible")))</f>
        <v>Forte</v>
      </c>
    </row>
    <row r="612" spans="1:13">
      <c r="A612" t="s">
        <v>1095</v>
      </c>
      <c r="B612" s="11">
        <v>94</v>
      </c>
      <c r="C612" t="s">
        <v>116</v>
      </c>
      <c r="D612" t="s">
        <v>797</v>
      </c>
      <c r="E612" t="s">
        <v>825</v>
      </c>
      <c r="F612" t="s">
        <v>92</v>
      </c>
      <c r="G612" s="12">
        <v>35</v>
      </c>
      <c r="H612" s="12">
        <v>1183</v>
      </c>
      <c r="I612" s="12">
        <v>35</v>
      </c>
      <c r="J612" t="str">
        <f>VLOOKUP(B612,Paramètres!$A$4:$C$11,3,FALSE)</f>
        <v>Petite couronne</v>
      </c>
      <c r="K612" s="13">
        <f>IFERROR(H612/G612,"")</f>
        <v>33.799999999999997</v>
      </c>
      <c r="L612" s="14">
        <f>IFERROR(I612/G612,"")</f>
        <v>1</v>
      </c>
      <c r="M612" s="11" t="str">
        <f>IF(K612&gt;=Paramètres!$F$6,"Très forte",IF(K612&gt;=Paramètres!$F$5,"Forte",IF(K612&gt;=Paramètres!$F$4,"Modérée","Faible")))</f>
        <v>Forte</v>
      </c>
    </row>
    <row r="613" spans="1:13">
      <c r="A613" t="s">
        <v>976</v>
      </c>
      <c r="B613" s="11">
        <v>95</v>
      </c>
      <c r="C613" t="s">
        <v>90</v>
      </c>
      <c r="D613" t="s">
        <v>797</v>
      </c>
      <c r="E613" t="s">
        <v>839</v>
      </c>
      <c r="F613" t="s">
        <v>92</v>
      </c>
      <c r="G613" s="12">
        <v>30</v>
      </c>
      <c r="H613" s="12">
        <v>1014</v>
      </c>
      <c r="I613" s="12">
        <v>30</v>
      </c>
      <c r="J613" t="str">
        <f>VLOOKUP(B613,Paramètres!$A$4:$C$11,3,FALSE)</f>
        <v>Grande couronne</v>
      </c>
      <c r="K613" s="13">
        <f>IFERROR(H613/G613,"")</f>
        <v>33.799999999999997</v>
      </c>
      <c r="L613" s="14">
        <f>IFERROR(I613/G613,"")</f>
        <v>1</v>
      </c>
      <c r="M613" s="11" t="str">
        <f>IF(K613&gt;=Paramètres!$F$6,"Très forte",IF(K613&gt;=Paramètres!$F$5,"Forte",IF(K613&gt;=Paramètres!$F$4,"Modérée","Faible")))</f>
        <v>Forte</v>
      </c>
    </row>
    <row r="614" spans="1:13">
      <c r="A614" t="s">
        <v>934</v>
      </c>
      <c r="B614" s="11">
        <v>92</v>
      </c>
      <c r="C614" t="s">
        <v>94</v>
      </c>
      <c r="D614" t="s">
        <v>797</v>
      </c>
      <c r="E614" t="s">
        <v>1003</v>
      </c>
      <c r="F614" t="s">
        <v>92</v>
      </c>
      <c r="G614" s="12">
        <v>30</v>
      </c>
      <c r="H614" s="12">
        <v>1012</v>
      </c>
      <c r="I614" s="12">
        <v>29</v>
      </c>
      <c r="J614" t="str">
        <f>VLOOKUP(B614,Paramètres!$A$4:$C$11,3,FALSE)</f>
        <v>Petite couronne</v>
      </c>
      <c r="K614" s="13">
        <f>IFERROR(H614/G614,"")</f>
        <v>33.733333333333334</v>
      </c>
      <c r="L614" s="14">
        <f>IFERROR(I614/G614,"")</f>
        <v>0.96666666666666667</v>
      </c>
      <c r="M614" s="11" t="str">
        <f>IF(K614&gt;=Paramètres!$F$6,"Très forte",IF(K614&gt;=Paramètres!$F$5,"Forte",IF(K614&gt;=Paramètres!$F$4,"Modérée","Faible")))</f>
        <v>Forte</v>
      </c>
    </row>
    <row r="615" spans="1:13">
      <c r="A615" t="s">
        <v>1103</v>
      </c>
      <c r="B615" s="11">
        <v>94</v>
      </c>
      <c r="C615" t="s">
        <v>116</v>
      </c>
      <c r="D615" t="s">
        <v>797</v>
      </c>
      <c r="E615" t="s">
        <v>872</v>
      </c>
      <c r="F615" t="s">
        <v>92</v>
      </c>
      <c r="G615" s="12">
        <v>30</v>
      </c>
      <c r="H615" s="12">
        <v>1009</v>
      </c>
      <c r="I615" s="12">
        <v>22</v>
      </c>
      <c r="J615" t="str">
        <f>VLOOKUP(B615,Paramètres!$A$4:$C$11,3,FALSE)</f>
        <v>Petite couronne</v>
      </c>
      <c r="K615" s="13">
        <f>IFERROR(H615/G615,"")</f>
        <v>33.633333333333333</v>
      </c>
      <c r="L615" s="14">
        <f>IFERROR(I615/G615,"")</f>
        <v>0.73333333333333328</v>
      </c>
      <c r="M615" s="11" t="str">
        <f>IF(K615&gt;=Paramètres!$F$6,"Très forte",IF(K615&gt;=Paramètres!$F$5,"Forte",IF(K615&gt;=Paramètres!$F$4,"Modérée","Faible")))</f>
        <v>Forte</v>
      </c>
    </row>
    <row r="616" spans="1:13">
      <c r="A616" t="s">
        <v>1101</v>
      </c>
      <c r="B616" s="11">
        <v>94</v>
      </c>
      <c r="C616" t="s">
        <v>116</v>
      </c>
      <c r="D616" t="s">
        <v>797</v>
      </c>
      <c r="E616" t="s">
        <v>825</v>
      </c>
      <c r="F616" t="s">
        <v>92</v>
      </c>
      <c r="G616" s="12">
        <v>30</v>
      </c>
      <c r="H616" s="12">
        <v>1003</v>
      </c>
      <c r="I616" s="12">
        <v>26</v>
      </c>
      <c r="J616" t="str">
        <f>VLOOKUP(B616,Paramètres!$A$4:$C$11,3,FALSE)</f>
        <v>Petite couronne</v>
      </c>
      <c r="K616" s="13">
        <f>IFERROR(H616/G616,"")</f>
        <v>33.43333333333333</v>
      </c>
      <c r="L616" s="14">
        <f>IFERROR(I616/G616,"")</f>
        <v>0.8666666666666667</v>
      </c>
      <c r="M616" s="11" t="str">
        <f>IF(K616&gt;=Paramètres!$F$6,"Très forte",IF(K616&gt;=Paramètres!$F$5,"Forte",IF(K616&gt;=Paramètres!$F$4,"Modérée","Faible")))</f>
        <v>Forte</v>
      </c>
    </row>
    <row r="617" spans="1:13">
      <c r="A617" t="s">
        <v>815</v>
      </c>
      <c r="B617" s="11">
        <v>91</v>
      </c>
      <c r="C617" t="s">
        <v>105</v>
      </c>
      <c r="D617" t="s">
        <v>797</v>
      </c>
      <c r="E617" t="s">
        <v>991</v>
      </c>
      <c r="F617" t="s">
        <v>92</v>
      </c>
      <c r="G617" s="12">
        <v>35</v>
      </c>
      <c r="H617" s="12">
        <v>1170</v>
      </c>
      <c r="I617" s="12">
        <v>35</v>
      </c>
      <c r="J617" t="str">
        <f>VLOOKUP(B617,Paramètres!$A$4:$C$11,3,FALSE)</f>
        <v>Grande couronne</v>
      </c>
      <c r="K617" s="13">
        <f>IFERROR(H617/G617,"")</f>
        <v>33.428571428571431</v>
      </c>
      <c r="L617" s="14">
        <f>IFERROR(I617/G617,"")</f>
        <v>1</v>
      </c>
      <c r="M617" s="11" t="str">
        <f>IF(K617&gt;=Paramètres!$F$6,"Très forte",IF(K617&gt;=Paramètres!$F$5,"Forte",IF(K617&gt;=Paramètres!$F$4,"Modérée","Faible")))</f>
        <v>Forte</v>
      </c>
    </row>
    <row r="618" spans="1:13">
      <c r="A618" t="s">
        <v>1010</v>
      </c>
      <c r="B618" s="11">
        <v>94</v>
      </c>
      <c r="C618" t="s">
        <v>116</v>
      </c>
      <c r="D618" t="s">
        <v>797</v>
      </c>
      <c r="E618" t="s">
        <v>866</v>
      </c>
      <c r="F618" t="s">
        <v>92</v>
      </c>
      <c r="G618" s="12">
        <v>24</v>
      </c>
      <c r="H618" s="12">
        <v>798</v>
      </c>
      <c r="I618" s="12">
        <v>26</v>
      </c>
      <c r="J618" t="str">
        <f>VLOOKUP(B618,Paramètres!$A$4:$C$11,3,FALSE)</f>
        <v>Petite couronne</v>
      </c>
      <c r="K618" s="13">
        <f>IFERROR(H618/G618,"")</f>
        <v>33.25</v>
      </c>
      <c r="L618" s="14">
        <f>IFERROR(I618/G618,"")</f>
        <v>1.0833333333333333</v>
      </c>
      <c r="M618" s="11" t="str">
        <f>IF(K618&gt;=Paramètres!$F$6,"Très forte",IF(K618&gt;=Paramètres!$F$5,"Forte",IF(K618&gt;=Paramètres!$F$4,"Modérée","Faible")))</f>
        <v>Forte</v>
      </c>
    </row>
    <row r="619" spans="1:13">
      <c r="A619" t="s">
        <v>899</v>
      </c>
      <c r="B619" s="11">
        <v>75</v>
      </c>
      <c r="C619" t="s">
        <v>86</v>
      </c>
      <c r="D619" t="s">
        <v>797</v>
      </c>
      <c r="E619" t="s">
        <v>1003</v>
      </c>
      <c r="F619" t="s">
        <v>92</v>
      </c>
      <c r="G619" s="12">
        <v>34</v>
      </c>
      <c r="H619" s="12">
        <v>1129</v>
      </c>
      <c r="I619" s="12">
        <v>32</v>
      </c>
      <c r="J619" t="str">
        <f>VLOOKUP(B619,Paramètres!$A$4:$C$11,3,FALSE)</f>
        <v>Paris</v>
      </c>
      <c r="K619" s="13">
        <f>IFERROR(H619/G619,"")</f>
        <v>33.205882352941174</v>
      </c>
      <c r="L619" s="14">
        <f>IFERROR(I619/G619,"")</f>
        <v>0.94117647058823528</v>
      </c>
      <c r="M619" s="11" t="str">
        <f>IF(K619&gt;=Paramètres!$F$6,"Très forte",IF(K619&gt;=Paramètres!$F$5,"Forte",IF(K619&gt;=Paramètres!$F$4,"Modérée","Faible")))</f>
        <v>Forte</v>
      </c>
    </row>
    <row r="620" spans="1:13">
      <c r="A620" t="s">
        <v>964</v>
      </c>
      <c r="B620" s="11">
        <v>94</v>
      </c>
      <c r="C620" t="s">
        <v>116</v>
      </c>
      <c r="D620" t="s">
        <v>797</v>
      </c>
      <c r="E620" t="s">
        <v>822</v>
      </c>
      <c r="F620" t="s">
        <v>92</v>
      </c>
      <c r="G620" s="12">
        <v>35</v>
      </c>
      <c r="H620" s="12">
        <v>1160</v>
      </c>
      <c r="I620" s="12">
        <v>30</v>
      </c>
      <c r="J620" t="str">
        <f>VLOOKUP(B620,Paramètres!$A$4:$C$11,3,FALSE)</f>
        <v>Petite couronne</v>
      </c>
      <c r="K620" s="13">
        <f>IFERROR(H620/G620,"")</f>
        <v>33.142857142857146</v>
      </c>
      <c r="L620" s="14">
        <f>IFERROR(I620/G620,"")</f>
        <v>0.8571428571428571</v>
      </c>
      <c r="M620" s="11" t="str">
        <f>IF(K620&gt;=Paramètres!$F$6,"Très forte",IF(K620&gt;=Paramètres!$F$5,"Forte",IF(K620&gt;=Paramètres!$F$4,"Modérée","Faible")))</f>
        <v>Forte</v>
      </c>
    </row>
    <row r="621" spans="1:13">
      <c r="A621" t="s">
        <v>939</v>
      </c>
      <c r="B621" s="11">
        <v>77</v>
      </c>
      <c r="C621" t="s">
        <v>132</v>
      </c>
      <c r="D621" t="s">
        <v>797</v>
      </c>
      <c r="E621" t="s">
        <v>822</v>
      </c>
      <c r="F621" t="s">
        <v>92</v>
      </c>
      <c r="G621" s="12">
        <v>24</v>
      </c>
      <c r="H621" s="12">
        <v>794</v>
      </c>
      <c r="I621" s="12">
        <v>24</v>
      </c>
      <c r="J621" t="str">
        <f>VLOOKUP(B621,Paramètres!$A$4:$C$11,3,FALSE)</f>
        <v>Grande couronne</v>
      </c>
      <c r="K621" s="13">
        <f>IFERROR(H621/G621,"")</f>
        <v>33.083333333333336</v>
      </c>
      <c r="L621" s="14">
        <f>IFERROR(I621/G621,"")</f>
        <v>1</v>
      </c>
      <c r="M621" s="11" t="str">
        <f>IF(K621&gt;=Paramètres!$F$6,"Très forte",IF(K621&gt;=Paramètres!$F$5,"Forte",IF(K621&gt;=Paramètres!$F$4,"Modérée","Faible")))</f>
        <v>Forte</v>
      </c>
    </row>
    <row r="622" spans="1:13">
      <c r="A622" t="s">
        <v>856</v>
      </c>
      <c r="B622" s="11">
        <v>75</v>
      </c>
      <c r="C622" t="s">
        <v>86</v>
      </c>
      <c r="D622" t="s">
        <v>797</v>
      </c>
      <c r="E622" t="s">
        <v>832</v>
      </c>
      <c r="F622" t="s">
        <v>92</v>
      </c>
      <c r="G622" s="12">
        <v>70</v>
      </c>
      <c r="H622" s="12">
        <v>2313</v>
      </c>
      <c r="I622" s="12">
        <v>69</v>
      </c>
      <c r="J622" t="str">
        <f>VLOOKUP(B622,Paramètres!$A$4:$C$11,3,FALSE)</f>
        <v>Paris</v>
      </c>
      <c r="K622" s="13">
        <f>IFERROR(H622/G622,"")</f>
        <v>33.042857142857144</v>
      </c>
      <c r="L622" s="14">
        <f>IFERROR(I622/G622,"")</f>
        <v>0.98571428571428577</v>
      </c>
      <c r="M622" s="11" t="str">
        <f>IF(K622&gt;=Paramètres!$F$6,"Très forte",IF(K622&gt;=Paramètres!$F$5,"Forte",IF(K622&gt;=Paramètres!$F$4,"Modérée","Faible")))</f>
        <v>Forte</v>
      </c>
    </row>
    <row r="623" spans="1:13">
      <c r="A623" t="s">
        <v>974</v>
      </c>
      <c r="B623" s="11">
        <v>94</v>
      </c>
      <c r="C623" t="s">
        <v>116</v>
      </c>
      <c r="D623" t="s">
        <v>797</v>
      </c>
      <c r="E623" t="s">
        <v>837</v>
      </c>
      <c r="F623" t="s">
        <v>92</v>
      </c>
      <c r="G623" s="12">
        <v>24</v>
      </c>
      <c r="H623" s="12">
        <v>787</v>
      </c>
      <c r="I623" s="12">
        <v>22</v>
      </c>
      <c r="J623" t="str">
        <f>VLOOKUP(B623,Paramètres!$A$4:$C$11,3,FALSE)</f>
        <v>Petite couronne</v>
      </c>
      <c r="K623" s="13">
        <f>IFERROR(H623/G623,"")</f>
        <v>32.791666666666664</v>
      </c>
      <c r="L623" s="14">
        <f>IFERROR(I623/G623,"")</f>
        <v>0.91666666666666663</v>
      </c>
      <c r="M623" s="11" t="str">
        <f>IF(K623&gt;=Paramètres!$F$6,"Très forte",IF(K623&gt;=Paramètres!$F$5,"Forte",IF(K623&gt;=Paramètres!$F$4,"Modérée","Faible")))</f>
        <v>Forte</v>
      </c>
    </row>
    <row r="624" spans="1:13">
      <c r="A624" t="s">
        <v>965</v>
      </c>
      <c r="B624" s="11">
        <v>94</v>
      </c>
      <c r="C624" t="s">
        <v>116</v>
      </c>
      <c r="D624" t="s">
        <v>797</v>
      </c>
      <c r="E624" t="s">
        <v>825</v>
      </c>
      <c r="F624" t="s">
        <v>92</v>
      </c>
      <c r="G624" s="12">
        <v>35</v>
      </c>
      <c r="H624" s="12">
        <v>1146</v>
      </c>
      <c r="I624" s="12">
        <v>26</v>
      </c>
      <c r="J624" t="str">
        <f>VLOOKUP(B624,Paramètres!$A$4:$C$11,3,FALSE)</f>
        <v>Petite couronne</v>
      </c>
      <c r="K624" s="13">
        <f>IFERROR(H624/G624,"")</f>
        <v>32.74285714285714</v>
      </c>
      <c r="L624" s="14">
        <f>IFERROR(I624/G624,"")</f>
        <v>0.74285714285714288</v>
      </c>
      <c r="M624" s="11" t="str">
        <f>IF(K624&gt;=Paramètres!$F$6,"Très forte",IF(K624&gt;=Paramètres!$F$5,"Forte",IF(K624&gt;=Paramètres!$F$4,"Modérée","Faible")))</f>
        <v>Forte</v>
      </c>
    </row>
    <row r="625" spans="1:13">
      <c r="A625" t="s">
        <v>865</v>
      </c>
      <c r="B625" s="11">
        <v>75</v>
      </c>
      <c r="C625" t="s">
        <v>86</v>
      </c>
      <c r="D625" t="s">
        <v>797</v>
      </c>
      <c r="E625" t="s">
        <v>866</v>
      </c>
      <c r="F625" t="s">
        <v>92</v>
      </c>
      <c r="G625" s="12">
        <v>35</v>
      </c>
      <c r="H625" s="12">
        <v>1145</v>
      </c>
      <c r="I625" s="12">
        <v>34</v>
      </c>
      <c r="J625" t="str">
        <f>VLOOKUP(B625,Paramètres!$A$4:$C$11,3,FALSE)</f>
        <v>Paris</v>
      </c>
      <c r="K625" s="13">
        <f>IFERROR(H625/G625,"")</f>
        <v>32.714285714285715</v>
      </c>
      <c r="L625" s="14">
        <f>IFERROR(I625/G625,"")</f>
        <v>0.97142857142857142</v>
      </c>
      <c r="M625" s="11" t="str">
        <f>IF(K625&gt;=Paramètres!$F$6,"Très forte",IF(K625&gt;=Paramètres!$F$5,"Forte",IF(K625&gt;=Paramètres!$F$4,"Modérée","Faible")))</f>
        <v>Forte</v>
      </c>
    </row>
    <row r="626" spans="1:13">
      <c r="A626" t="s">
        <v>969</v>
      </c>
      <c r="B626" s="11">
        <v>94</v>
      </c>
      <c r="C626" t="s">
        <v>116</v>
      </c>
      <c r="D626" t="s">
        <v>797</v>
      </c>
      <c r="E626" t="s">
        <v>798</v>
      </c>
      <c r="F626" t="s">
        <v>92</v>
      </c>
      <c r="G626" s="12">
        <v>35</v>
      </c>
      <c r="H626" s="12">
        <v>1143</v>
      </c>
      <c r="I626" s="12">
        <v>32</v>
      </c>
      <c r="J626" t="str">
        <f>VLOOKUP(B626,Paramètres!$A$4:$C$11,3,FALSE)</f>
        <v>Petite couronne</v>
      </c>
      <c r="K626" s="13">
        <f>IFERROR(H626/G626,"")</f>
        <v>32.657142857142858</v>
      </c>
      <c r="L626" s="14">
        <f>IFERROR(I626/G626,"")</f>
        <v>0.91428571428571426</v>
      </c>
      <c r="M626" s="11" t="str">
        <f>IF(K626&gt;=Paramètres!$F$6,"Très forte",IF(K626&gt;=Paramètres!$F$5,"Forte",IF(K626&gt;=Paramètres!$F$4,"Modérée","Faible")))</f>
        <v>Forte</v>
      </c>
    </row>
    <row r="627" spans="1:13">
      <c r="A627" t="s">
        <v>1234</v>
      </c>
      <c r="B627" s="11">
        <v>77</v>
      </c>
      <c r="C627" t="s">
        <v>132</v>
      </c>
      <c r="D627" t="s">
        <v>797</v>
      </c>
      <c r="E627" t="s">
        <v>891</v>
      </c>
      <c r="F627" t="s">
        <v>92</v>
      </c>
      <c r="G627" s="12">
        <v>24</v>
      </c>
      <c r="H627" s="12">
        <v>781</v>
      </c>
      <c r="I627" s="12">
        <v>24</v>
      </c>
      <c r="J627" t="str">
        <f>VLOOKUP(B627,Paramètres!$A$4:$C$11,3,FALSE)</f>
        <v>Grande couronne</v>
      </c>
      <c r="K627" s="13">
        <f>IFERROR(H627/G627,"")</f>
        <v>32.541666666666664</v>
      </c>
      <c r="L627" s="14">
        <f>IFERROR(I627/G627,"")</f>
        <v>1</v>
      </c>
      <c r="M627" s="11" t="str">
        <f>IF(K627&gt;=Paramètres!$F$6,"Très forte",IF(K627&gt;=Paramètres!$F$5,"Forte",IF(K627&gt;=Paramètres!$F$4,"Modérée","Faible")))</f>
        <v>Forte</v>
      </c>
    </row>
    <row r="628" spans="1:13">
      <c r="A628" t="s">
        <v>1143</v>
      </c>
      <c r="B628" s="11">
        <v>77</v>
      </c>
      <c r="C628" t="s">
        <v>132</v>
      </c>
      <c r="D628" t="s">
        <v>797</v>
      </c>
      <c r="E628" t="s">
        <v>798</v>
      </c>
      <c r="F628" t="s">
        <v>92</v>
      </c>
      <c r="G628" s="12">
        <v>35</v>
      </c>
      <c r="H628" s="12">
        <v>1136</v>
      </c>
      <c r="I628" s="12">
        <v>35</v>
      </c>
      <c r="J628" t="str">
        <f>VLOOKUP(B628,Paramètres!$A$4:$C$11,3,FALSE)</f>
        <v>Grande couronne</v>
      </c>
      <c r="K628" s="13">
        <f>IFERROR(H628/G628,"")</f>
        <v>32.457142857142856</v>
      </c>
      <c r="L628" s="14">
        <f>IFERROR(I628/G628,"")</f>
        <v>1</v>
      </c>
      <c r="M628" s="11" t="str">
        <f>IF(K628&gt;=Paramètres!$F$6,"Très forte",IF(K628&gt;=Paramètres!$F$5,"Forte",IF(K628&gt;=Paramètres!$F$4,"Modérée","Faible")))</f>
        <v>Forte</v>
      </c>
    </row>
    <row r="629" spans="1:13">
      <c r="A629" t="s">
        <v>910</v>
      </c>
      <c r="B629" s="11">
        <v>78</v>
      </c>
      <c r="C629" t="s">
        <v>135</v>
      </c>
      <c r="D629" t="s">
        <v>797</v>
      </c>
      <c r="E629" t="s">
        <v>885</v>
      </c>
      <c r="F629" t="s">
        <v>92</v>
      </c>
      <c r="G629" s="12">
        <v>35</v>
      </c>
      <c r="H629" s="12">
        <v>1130</v>
      </c>
      <c r="I629" s="12">
        <v>26</v>
      </c>
      <c r="J629" t="str">
        <f>VLOOKUP(B629,Paramètres!$A$4:$C$11,3,FALSE)</f>
        <v>Grande couronne</v>
      </c>
      <c r="K629" s="13">
        <f>IFERROR(H629/G629,"")</f>
        <v>32.285714285714285</v>
      </c>
      <c r="L629" s="14">
        <f>IFERROR(I629/G629,"")</f>
        <v>0.74285714285714288</v>
      </c>
      <c r="M629" s="11" t="str">
        <f>IF(K629&gt;=Paramètres!$F$6,"Très forte",IF(K629&gt;=Paramètres!$F$5,"Forte",IF(K629&gt;=Paramètres!$F$4,"Modérée","Faible")))</f>
        <v>Forte</v>
      </c>
    </row>
    <row r="630" spans="1:13">
      <c r="A630" t="s">
        <v>1085</v>
      </c>
      <c r="B630" s="11">
        <v>93</v>
      </c>
      <c r="C630" t="s">
        <v>100</v>
      </c>
      <c r="D630" t="s">
        <v>797</v>
      </c>
      <c r="E630" t="s">
        <v>798</v>
      </c>
      <c r="F630" t="s">
        <v>92</v>
      </c>
      <c r="G630" s="12">
        <v>35</v>
      </c>
      <c r="H630" s="12">
        <v>1127</v>
      </c>
      <c r="I630" s="12">
        <v>35</v>
      </c>
      <c r="J630" t="str">
        <f>VLOOKUP(B630,Paramètres!$A$4:$C$11,3,FALSE)</f>
        <v>Petite couronne</v>
      </c>
      <c r="K630" s="13">
        <f>IFERROR(H630/G630,"")</f>
        <v>32.200000000000003</v>
      </c>
      <c r="L630" s="14">
        <f>IFERROR(I630/G630,"")</f>
        <v>1</v>
      </c>
      <c r="M630" s="11" t="str">
        <f>IF(K630&gt;=Paramètres!$F$6,"Très forte",IF(K630&gt;=Paramètres!$F$5,"Forte",IF(K630&gt;=Paramètres!$F$4,"Modérée","Faible")))</f>
        <v>Forte</v>
      </c>
    </row>
    <row r="631" spans="1:13">
      <c r="A631" t="s">
        <v>1080</v>
      </c>
      <c r="B631" s="11">
        <v>92</v>
      </c>
      <c r="C631" t="s">
        <v>94</v>
      </c>
      <c r="D631" t="s">
        <v>797</v>
      </c>
      <c r="E631" t="s">
        <v>905</v>
      </c>
      <c r="F631" t="s">
        <v>92</v>
      </c>
      <c r="G631" s="12">
        <v>90</v>
      </c>
      <c r="H631" s="12">
        <v>2892</v>
      </c>
      <c r="I631" s="12">
        <v>88</v>
      </c>
      <c r="J631" t="str">
        <f>VLOOKUP(B631,Paramètres!$A$4:$C$11,3,FALSE)</f>
        <v>Petite couronne</v>
      </c>
      <c r="K631" s="13">
        <f>IFERROR(H631/G631,"")</f>
        <v>32.133333333333333</v>
      </c>
      <c r="L631" s="14">
        <f>IFERROR(I631/G631,"")</f>
        <v>0.97777777777777775</v>
      </c>
      <c r="M631" s="11" t="str">
        <f>IF(K631&gt;=Paramètres!$F$6,"Très forte",IF(K631&gt;=Paramètres!$F$5,"Forte",IF(K631&gt;=Paramètres!$F$4,"Modérée","Faible")))</f>
        <v>Forte</v>
      </c>
    </row>
    <row r="632" spans="1:13">
      <c r="A632" t="s">
        <v>939</v>
      </c>
      <c r="B632" s="11">
        <v>77</v>
      </c>
      <c r="C632" t="s">
        <v>132</v>
      </c>
      <c r="D632" t="s">
        <v>797</v>
      </c>
      <c r="E632" t="s">
        <v>825</v>
      </c>
      <c r="F632" t="s">
        <v>92</v>
      </c>
      <c r="G632" s="12">
        <v>24</v>
      </c>
      <c r="H632" s="12">
        <v>770</v>
      </c>
      <c r="I632" s="12">
        <v>24</v>
      </c>
      <c r="J632" t="str">
        <f>VLOOKUP(B632,Paramètres!$A$4:$C$11,3,FALSE)</f>
        <v>Grande couronne</v>
      </c>
      <c r="K632" s="13">
        <f>IFERROR(H632/G632,"")</f>
        <v>32.083333333333336</v>
      </c>
      <c r="L632" s="14">
        <f>IFERROR(I632/G632,"")</f>
        <v>1</v>
      </c>
      <c r="M632" s="11" t="str">
        <f>IF(K632&gt;=Paramètres!$F$6,"Très forte",IF(K632&gt;=Paramètres!$F$5,"Forte",IF(K632&gt;=Paramètres!$F$4,"Modérée","Faible")))</f>
        <v>Forte</v>
      </c>
    </row>
    <row r="633" spans="1:13">
      <c r="A633" t="s">
        <v>1002</v>
      </c>
      <c r="B633" s="11">
        <v>93</v>
      </c>
      <c r="C633" t="s">
        <v>100</v>
      </c>
      <c r="D633" t="s">
        <v>797</v>
      </c>
      <c r="E633" t="s">
        <v>1003</v>
      </c>
      <c r="F633" t="s">
        <v>92</v>
      </c>
      <c r="G633" s="12">
        <v>35</v>
      </c>
      <c r="H633" s="12">
        <v>1121</v>
      </c>
      <c r="I633" s="12">
        <v>29</v>
      </c>
      <c r="J633" t="str">
        <f>VLOOKUP(B633,Paramètres!$A$4:$C$11,3,FALSE)</f>
        <v>Petite couronne</v>
      </c>
      <c r="K633" s="13">
        <f>IFERROR(H633/G633,"")</f>
        <v>32.028571428571432</v>
      </c>
      <c r="L633" s="14">
        <f>IFERROR(I633/G633,"")</f>
        <v>0.82857142857142863</v>
      </c>
      <c r="M633" s="11" t="str">
        <f>IF(K633&gt;=Paramètres!$F$6,"Très forte",IF(K633&gt;=Paramètres!$F$5,"Forte",IF(K633&gt;=Paramètres!$F$4,"Modérée","Faible")))</f>
        <v>Forte</v>
      </c>
    </row>
    <row r="634" spans="1:13">
      <c r="A634" t="s">
        <v>1187</v>
      </c>
      <c r="B634" s="11">
        <v>94</v>
      </c>
      <c r="C634" t="s">
        <v>116</v>
      </c>
      <c r="D634" t="s">
        <v>797</v>
      </c>
      <c r="E634" t="s">
        <v>867</v>
      </c>
      <c r="F634" t="s">
        <v>92</v>
      </c>
      <c r="G634" s="12">
        <v>40</v>
      </c>
      <c r="H634" s="12">
        <v>1271</v>
      </c>
      <c r="I634" s="12">
        <v>36</v>
      </c>
      <c r="J634" t="str">
        <f>VLOOKUP(B634,Paramètres!$A$4:$C$11,3,FALSE)</f>
        <v>Petite couronne</v>
      </c>
      <c r="K634" s="13">
        <f>IFERROR(H634/G634,"")</f>
        <v>31.774999999999999</v>
      </c>
      <c r="L634" s="14">
        <f>IFERROR(I634/G634,"")</f>
        <v>0.9</v>
      </c>
      <c r="M634" s="11" t="str">
        <f>IF(K634&gt;=Paramètres!$F$6,"Très forte",IF(K634&gt;=Paramètres!$F$5,"Forte",IF(K634&gt;=Paramètres!$F$4,"Modérée","Faible")))</f>
        <v>Forte</v>
      </c>
    </row>
    <row r="635" spans="1:13">
      <c r="A635" t="s">
        <v>914</v>
      </c>
      <c r="B635" s="11">
        <v>91</v>
      </c>
      <c r="C635" t="s">
        <v>105</v>
      </c>
      <c r="D635" t="s">
        <v>797</v>
      </c>
      <c r="E635" t="s">
        <v>819</v>
      </c>
      <c r="F635" t="s">
        <v>92</v>
      </c>
      <c r="G635" s="12">
        <v>34</v>
      </c>
      <c r="H635" s="12">
        <v>1079</v>
      </c>
      <c r="I635" s="12">
        <v>31</v>
      </c>
      <c r="J635" t="str">
        <f>VLOOKUP(B635,Paramètres!$A$4:$C$11,3,FALSE)</f>
        <v>Grande couronne</v>
      </c>
      <c r="K635" s="13">
        <f>IFERROR(H635/G635,"")</f>
        <v>31.735294117647058</v>
      </c>
      <c r="L635" s="14">
        <f>IFERROR(I635/G635,"")</f>
        <v>0.91176470588235292</v>
      </c>
      <c r="M635" s="11" t="str">
        <f>IF(K635&gt;=Paramètres!$F$6,"Très forte",IF(K635&gt;=Paramètres!$F$5,"Forte",IF(K635&gt;=Paramètres!$F$4,"Modérée","Faible")))</f>
        <v>Forte</v>
      </c>
    </row>
    <row r="636" spans="1:13">
      <c r="A636" t="s">
        <v>1045</v>
      </c>
      <c r="B636" s="11">
        <v>77</v>
      </c>
      <c r="C636" t="s">
        <v>132</v>
      </c>
      <c r="D636" t="s">
        <v>797</v>
      </c>
      <c r="E636" t="s">
        <v>822</v>
      </c>
      <c r="F636" t="s">
        <v>92</v>
      </c>
      <c r="G636" s="12">
        <v>35</v>
      </c>
      <c r="H636" s="12">
        <v>1110</v>
      </c>
      <c r="I636" s="12">
        <v>27</v>
      </c>
      <c r="J636" t="str">
        <f>VLOOKUP(B636,Paramètres!$A$4:$C$11,3,FALSE)</f>
        <v>Grande couronne</v>
      </c>
      <c r="K636" s="13">
        <f>IFERROR(H636/G636,"")</f>
        <v>31.714285714285715</v>
      </c>
      <c r="L636" s="14">
        <f>IFERROR(I636/G636,"")</f>
        <v>0.77142857142857146</v>
      </c>
      <c r="M636" s="11" t="str">
        <f>IF(K636&gt;=Paramètres!$F$6,"Très forte",IF(K636&gt;=Paramètres!$F$5,"Forte",IF(K636&gt;=Paramètres!$F$4,"Modérée","Faible")))</f>
        <v>Forte</v>
      </c>
    </row>
    <row r="637" spans="1:13">
      <c r="A637" t="s">
        <v>859</v>
      </c>
      <c r="B637" s="11">
        <v>75</v>
      </c>
      <c r="C637" t="s">
        <v>86</v>
      </c>
      <c r="D637" t="s">
        <v>797</v>
      </c>
      <c r="E637" t="s">
        <v>861</v>
      </c>
      <c r="F637" t="s">
        <v>92</v>
      </c>
      <c r="G637" s="12">
        <v>24</v>
      </c>
      <c r="H637" s="12">
        <v>761</v>
      </c>
      <c r="I637" s="12">
        <v>25</v>
      </c>
      <c r="J637" t="str">
        <f>VLOOKUP(B637,Paramètres!$A$4:$C$11,3,FALSE)</f>
        <v>Paris</v>
      </c>
      <c r="K637" s="13">
        <f>IFERROR(H637/G637,"")</f>
        <v>31.708333333333332</v>
      </c>
      <c r="L637" s="14">
        <f>IFERROR(I637/G637,"")</f>
        <v>1.0416666666666667</v>
      </c>
      <c r="M637" s="11" t="str">
        <f>IF(K637&gt;=Paramètres!$F$6,"Très forte",IF(K637&gt;=Paramètres!$F$5,"Forte",IF(K637&gt;=Paramètres!$F$4,"Modérée","Faible")))</f>
        <v>Forte</v>
      </c>
    </row>
    <row r="638" spans="1:13">
      <c r="A638" t="s">
        <v>1099</v>
      </c>
      <c r="B638" s="11">
        <v>94</v>
      </c>
      <c r="C638" t="s">
        <v>116</v>
      </c>
      <c r="D638" t="s">
        <v>797</v>
      </c>
      <c r="E638" t="s">
        <v>861</v>
      </c>
      <c r="F638" t="s">
        <v>92</v>
      </c>
      <c r="G638" s="12">
        <v>24</v>
      </c>
      <c r="H638" s="12">
        <v>760</v>
      </c>
      <c r="I638" s="12">
        <v>25</v>
      </c>
      <c r="J638" t="str">
        <f>VLOOKUP(B638,Paramètres!$A$4:$C$11,3,FALSE)</f>
        <v>Petite couronne</v>
      </c>
      <c r="K638" s="13">
        <f>IFERROR(H638/G638,"")</f>
        <v>31.666666666666668</v>
      </c>
      <c r="L638" s="14">
        <f>IFERROR(I638/G638,"")</f>
        <v>1.0416666666666667</v>
      </c>
      <c r="M638" s="11" t="str">
        <f>IF(K638&gt;=Paramètres!$F$6,"Très forte",IF(K638&gt;=Paramètres!$F$5,"Forte",IF(K638&gt;=Paramètres!$F$4,"Modérée","Faible")))</f>
        <v>Forte</v>
      </c>
    </row>
    <row r="639" spans="1:13">
      <c r="A639" t="s">
        <v>1083</v>
      </c>
      <c r="B639" s="11">
        <v>93</v>
      </c>
      <c r="C639" t="s">
        <v>100</v>
      </c>
      <c r="D639" t="s">
        <v>797</v>
      </c>
      <c r="E639" t="s">
        <v>798</v>
      </c>
      <c r="F639" t="s">
        <v>92</v>
      </c>
      <c r="G639" s="12">
        <v>35</v>
      </c>
      <c r="H639" s="12">
        <v>1106</v>
      </c>
      <c r="I639" s="12">
        <v>34</v>
      </c>
      <c r="J639" t="str">
        <f>VLOOKUP(B639,Paramètres!$A$4:$C$11,3,FALSE)</f>
        <v>Petite couronne</v>
      </c>
      <c r="K639" s="13">
        <f>IFERROR(H639/G639,"")</f>
        <v>31.6</v>
      </c>
      <c r="L639" s="14">
        <f>IFERROR(I639/G639,"")</f>
        <v>0.97142857142857142</v>
      </c>
      <c r="M639" s="11" t="str">
        <f>IF(K639&gt;=Paramètres!$F$6,"Très forte",IF(K639&gt;=Paramètres!$F$5,"Forte",IF(K639&gt;=Paramètres!$F$4,"Modérée","Faible")))</f>
        <v>Forte</v>
      </c>
    </row>
    <row r="640" spans="1:13">
      <c r="A640" t="s">
        <v>1095</v>
      </c>
      <c r="B640" s="11">
        <v>94</v>
      </c>
      <c r="C640" t="s">
        <v>116</v>
      </c>
      <c r="D640" t="s">
        <v>797</v>
      </c>
      <c r="E640" t="s">
        <v>798</v>
      </c>
      <c r="F640" t="s">
        <v>92</v>
      </c>
      <c r="G640" s="12">
        <v>35</v>
      </c>
      <c r="H640" s="12">
        <v>1106</v>
      </c>
      <c r="I640" s="12">
        <v>35</v>
      </c>
      <c r="J640" t="str">
        <f>VLOOKUP(B640,Paramètres!$A$4:$C$11,3,FALSE)</f>
        <v>Petite couronne</v>
      </c>
      <c r="K640" s="13">
        <f>IFERROR(H640/G640,"")</f>
        <v>31.6</v>
      </c>
      <c r="L640" s="14">
        <f>IFERROR(I640/G640,"")</f>
        <v>1</v>
      </c>
      <c r="M640" s="11" t="str">
        <f>IF(K640&gt;=Paramètres!$F$6,"Très forte",IF(K640&gt;=Paramètres!$F$5,"Forte",IF(K640&gt;=Paramètres!$F$4,"Modérée","Faible")))</f>
        <v>Forte</v>
      </c>
    </row>
    <row r="641" spans="1:13">
      <c r="A641" t="s">
        <v>1058</v>
      </c>
      <c r="B641" s="11">
        <v>77</v>
      </c>
      <c r="C641" t="s">
        <v>132</v>
      </c>
      <c r="D641" t="s">
        <v>797</v>
      </c>
      <c r="E641" t="s">
        <v>891</v>
      </c>
      <c r="F641" t="s">
        <v>92</v>
      </c>
      <c r="G641" s="12">
        <v>35</v>
      </c>
      <c r="H641" s="12">
        <v>1105</v>
      </c>
      <c r="I641" s="12">
        <v>33</v>
      </c>
      <c r="J641" t="str">
        <f>VLOOKUP(B641,Paramètres!$A$4:$C$11,3,FALSE)</f>
        <v>Grande couronne</v>
      </c>
      <c r="K641" s="13">
        <f>IFERROR(H641/G641,"")</f>
        <v>31.571428571428573</v>
      </c>
      <c r="L641" s="14">
        <f>IFERROR(I641/G641,"")</f>
        <v>0.94285714285714284</v>
      </c>
      <c r="M641" s="11" t="str">
        <f>IF(K641&gt;=Paramètres!$F$6,"Très forte",IF(K641&gt;=Paramètres!$F$5,"Forte",IF(K641&gt;=Paramètres!$F$4,"Modérée","Faible")))</f>
        <v>Forte</v>
      </c>
    </row>
    <row r="642" spans="1:13">
      <c r="A642" t="s">
        <v>1087</v>
      </c>
      <c r="B642" s="11">
        <v>93</v>
      </c>
      <c r="C642" t="s">
        <v>100</v>
      </c>
      <c r="D642" t="s">
        <v>797</v>
      </c>
      <c r="E642" t="s">
        <v>997</v>
      </c>
      <c r="F642" t="s">
        <v>92</v>
      </c>
      <c r="G642" s="12">
        <v>30</v>
      </c>
      <c r="H642" s="12">
        <v>946</v>
      </c>
      <c r="I642" s="12">
        <v>30</v>
      </c>
      <c r="J642" t="str">
        <f>VLOOKUP(B642,Paramètres!$A$4:$C$11,3,FALSE)</f>
        <v>Petite couronne</v>
      </c>
      <c r="K642" s="13">
        <f>IFERROR(H642/G642,"")</f>
        <v>31.533333333333335</v>
      </c>
      <c r="L642" s="14">
        <f>IFERROR(I642/G642,"")</f>
        <v>1</v>
      </c>
      <c r="M642" s="11" t="str">
        <f>IF(K642&gt;=Paramètres!$F$6,"Très forte",IF(K642&gt;=Paramètres!$F$5,"Forte",IF(K642&gt;=Paramètres!$F$4,"Modérée","Faible")))</f>
        <v>Forte</v>
      </c>
    </row>
    <row r="643" spans="1:13">
      <c r="A643" t="s">
        <v>815</v>
      </c>
      <c r="B643" s="11">
        <v>91</v>
      </c>
      <c r="C643" t="s">
        <v>105</v>
      </c>
      <c r="D643" t="s">
        <v>797</v>
      </c>
      <c r="E643" t="s">
        <v>822</v>
      </c>
      <c r="F643" t="s">
        <v>92</v>
      </c>
      <c r="G643" s="12">
        <v>35</v>
      </c>
      <c r="H643" s="12">
        <v>1103</v>
      </c>
      <c r="I643" s="12">
        <v>34</v>
      </c>
      <c r="J643" t="str">
        <f>VLOOKUP(B643,Paramètres!$A$4:$C$11,3,FALSE)</f>
        <v>Grande couronne</v>
      </c>
      <c r="K643" s="13">
        <f>IFERROR(H643/G643,"")</f>
        <v>31.514285714285716</v>
      </c>
      <c r="L643" s="14">
        <f>IFERROR(I643/G643,"")</f>
        <v>0.97142857142857142</v>
      </c>
      <c r="M643" s="11" t="str">
        <f>IF(K643&gt;=Paramètres!$F$6,"Très forte",IF(K643&gt;=Paramètres!$F$5,"Forte",IF(K643&gt;=Paramètres!$F$4,"Modérée","Faible")))</f>
        <v>Forte</v>
      </c>
    </row>
    <row r="644" spans="1:13">
      <c r="A644" t="s">
        <v>857</v>
      </c>
      <c r="B644" s="11">
        <v>75</v>
      </c>
      <c r="C644" t="s">
        <v>86</v>
      </c>
      <c r="D644" t="s">
        <v>797</v>
      </c>
      <c r="E644" t="s">
        <v>861</v>
      </c>
      <c r="F644" t="s">
        <v>92</v>
      </c>
      <c r="G644" s="12">
        <v>24</v>
      </c>
      <c r="H644" s="12">
        <v>756</v>
      </c>
      <c r="I644" s="12">
        <v>20</v>
      </c>
      <c r="J644" t="str">
        <f>VLOOKUP(B644,Paramètres!$A$4:$C$11,3,FALSE)</f>
        <v>Paris</v>
      </c>
      <c r="K644" s="13">
        <f>IFERROR(H644/G644,"")</f>
        <v>31.5</v>
      </c>
      <c r="L644" s="14">
        <f>IFERROR(I644/G644,"")</f>
        <v>0.83333333333333337</v>
      </c>
      <c r="M644" s="11" t="str">
        <f>IF(K644&gt;=Paramètres!$F$6,"Très forte",IF(K644&gt;=Paramètres!$F$5,"Forte",IF(K644&gt;=Paramètres!$F$4,"Modérée","Faible")))</f>
        <v>Forte</v>
      </c>
    </row>
    <row r="645" spans="1:13">
      <c r="A645" t="s">
        <v>963</v>
      </c>
      <c r="B645" s="11">
        <v>94</v>
      </c>
      <c r="C645" t="s">
        <v>116</v>
      </c>
      <c r="D645" t="s">
        <v>797</v>
      </c>
      <c r="E645" t="s">
        <v>991</v>
      </c>
      <c r="F645" t="s">
        <v>92</v>
      </c>
      <c r="G645" s="12">
        <v>35</v>
      </c>
      <c r="H645" s="12">
        <v>1101</v>
      </c>
      <c r="I645" s="12">
        <v>35</v>
      </c>
      <c r="J645" t="str">
        <f>VLOOKUP(B645,Paramètres!$A$4:$C$11,3,FALSE)</f>
        <v>Petite couronne</v>
      </c>
      <c r="K645" s="13">
        <f>IFERROR(H645/G645,"")</f>
        <v>31.457142857142856</v>
      </c>
      <c r="L645" s="14">
        <f>IFERROR(I645/G645,"")</f>
        <v>1</v>
      </c>
      <c r="M645" s="11" t="str">
        <f>IF(K645&gt;=Paramètres!$F$6,"Très forte",IF(K645&gt;=Paramètres!$F$5,"Forte",IF(K645&gt;=Paramètres!$F$4,"Modérée","Faible")))</f>
        <v>Forte</v>
      </c>
    </row>
    <row r="646" spans="1:13">
      <c r="A646" t="s">
        <v>910</v>
      </c>
      <c r="B646" s="11">
        <v>78</v>
      </c>
      <c r="C646" t="s">
        <v>135</v>
      </c>
      <c r="D646" t="s">
        <v>797</v>
      </c>
      <c r="E646" t="s">
        <v>912</v>
      </c>
      <c r="F646" t="s">
        <v>92</v>
      </c>
      <c r="G646" s="12">
        <v>60</v>
      </c>
      <c r="H646" s="12">
        <v>1867</v>
      </c>
      <c r="I646" s="12">
        <v>59</v>
      </c>
      <c r="J646" t="str">
        <f>VLOOKUP(B646,Paramètres!$A$4:$C$11,3,FALSE)</f>
        <v>Grande couronne</v>
      </c>
      <c r="K646" s="13">
        <f>IFERROR(H646/G646,"")</f>
        <v>31.116666666666667</v>
      </c>
      <c r="L646" s="14">
        <f>IFERROR(I646/G646,"")</f>
        <v>0.98333333333333328</v>
      </c>
      <c r="M646" s="11" t="str">
        <f>IF(K646&gt;=Paramètres!$F$6,"Très forte",IF(K646&gt;=Paramètres!$F$5,"Forte",IF(K646&gt;=Paramètres!$F$4,"Modérée","Faible")))</f>
        <v>Forte</v>
      </c>
    </row>
    <row r="647" spans="1:13">
      <c r="A647" t="s">
        <v>1029</v>
      </c>
      <c r="B647" s="11">
        <v>75</v>
      </c>
      <c r="C647" t="s">
        <v>86</v>
      </c>
      <c r="D647" t="s">
        <v>797</v>
      </c>
      <c r="E647" t="s">
        <v>1030</v>
      </c>
      <c r="F647" t="s">
        <v>92</v>
      </c>
      <c r="G647" s="12">
        <v>48</v>
      </c>
      <c r="H647" s="12">
        <v>1488</v>
      </c>
      <c r="I647" s="12">
        <v>47</v>
      </c>
      <c r="J647" t="str">
        <f>VLOOKUP(B647,Paramètres!$A$4:$C$11,3,FALSE)</f>
        <v>Paris</v>
      </c>
      <c r="K647" s="13">
        <f>IFERROR(H647/G647,"")</f>
        <v>31</v>
      </c>
      <c r="L647" s="14">
        <f>IFERROR(I647/G647,"")</f>
        <v>0.97916666666666663</v>
      </c>
      <c r="M647" s="11" t="str">
        <f>IF(K647&gt;=Paramètres!$F$6,"Très forte",IF(K647&gt;=Paramètres!$F$5,"Forte",IF(K647&gt;=Paramètres!$F$4,"Modérée","Faible")))</f>
        <v>Forte</v>
      </c>
    </row>
    <row r="648" spans="1:13">
      <c r="A648" t="s">
        <v>990</v>
      </c>
      <c r="B648" s="11">
        <v>95</v>
      </c>
      <c r="C648" t="s">
        <v>90</v>
      </c>
      <c r="D648" t="s">
        <v>797</v>
      </c>
      <c r="E648" t="s">
        <v>991</v>
      </c>
      <c r="F648" t="s">
        <v>92</v>
      </c>
      <c r="G648" s="12">
        <v>35</v>
      </c>
      <c r="H648" s="12">
        <v>1084</v>
      </c>
      <c r="I648" s="12">
        <v>35</v>
      </c>
      <c r="J648" t="str">
        <f>VLOOKUP(B648,Paramètres!$A$4:$C$11,3,FALSE)</f>
        <v>Grande couronne</v>
      </c>
      <c r="K648" s="13">
        <f>IFERROR(H648/G648,"")</f>
        <v>30.971428571428572</v>
      </c>
      <c r="L648" s="14">
        <f>IFERROR(I648/G648,"")</f>
        <v>1</v>
      </c>
      <c r="M648" s="11" t="str">
        <f>IF(K648&gt;=Paramètres!$F$6,"Très forte",IF(K648&gt;=Paramètres!$F$5,"Forte",IF(K648&gt;=Paramètres!$F$4,"Modérée","Faible")))</f>
        <v>Forte</v>
      </c>
    </row>
    <row r="649" spans="1:13">
      <c r="A649" t="s">
        <v>841</v>
      </c>
      <c r="B649" s="11">
        <v>75</v>
      </c>
      <c r="C649" t="s">
        <v>86</v>
      </c>
      <c r="D649" t="s">
        <v>797</v>
      </c>
      <c r="E649" t="s">
        <v>1032</v>
      </c>
      <c r="F649" t="s">
        <v>92</v>
      </c>
      <c r="G649" s="12">
        <v>60</v>
      </c>
      <c r="H649" s="12">
        <v>1847</v>
      </c>
      <c r="I649" s="12">
        <v>63</v>
      </c>
      <c r="J649" t="str">
        <f>VLOOKUP(B649,Paramètres!$A$4:$C$11,3,FALSE)</f>
        <v>Paris</v>
      </c>
      <c r="K649" s="13">
        <f>IFERROR(H649/G649,"")</f>
        <v>30.783333333333335</v>
      </c>
      <c r="L649" s="14">
        <f>IFERROR(I649/G649,"")</f>
        <v>1.05</v>
      </c>
      <c r="M649" s="11" t="str">
        <f>IF(K649&gt;=Paramètres!$F$6,"Très forte",IF(K649&gt;=Paramètres!$F$5,"Forte",IF(K649&gt;=Paramètres!$F$4,"Modérée","Faible")))</f>
        <v>Forte</v>
      </c>
    </row>
    <row r="650" spans="1:13">
      <c r="A650" t="s">
        <v>917</v>
      </c>
      <c r="B650" s="11">
        <v>91</v>
      </c>
      <c r="C650" t="s">
        <v>105</v>
      </c>
      <c r="D650" t="s">
        <v>797</v>
      </c>
      <c r="E650" t="s">
        <v>825</v>
      </c>
      <c r="F650" t="s">
        <v>92</v>
      </c>
      <c r="G650" s="12">
        <v>35</v>
      </c>
      <c r="H650" s="12">
        <v>1077</v>
      </c>
      <c r="I650" s="12">
        <v>33</v>
      </c>
      <c r="J650" t="str">
        <f>VLOOKUP(B650,Paramètres!$A$4:$C$11,3,FALSE)</f>
        <v>Grande couronne</v>
      </c>
      <c r="K650" s="13">
        <f>IFERROR(H650/G650,"")</f>
        <v>30.771428571428572</v>
      </c>
      <c r="L650" s="14">
        <f>IFERROR(I650/G650,"")</f>
        <v>0.94285714285714284</v>
      </c>
      <c r="M650" s="11" t="str">
        <f>IF(K650&gt;=Paramètres!$F$6,"Très forte",IF(K650&gt;=Paramètres!$F$5,"Forte",IF(K650&gt;=Paramètres!$F$4,"Modérée","Faible")))</f>
        <v>Forte</v>
      </c>
    </row>
    <row r="651" spans="1:13">
      <c r="A651" t="s">
        <v>1079</v>
      </c>
      <c r="B651" s="11">
        <v>92</v>
      </c>
      <c r="C651" t="s">
        <v>94</v>
      </c>
      <c r="D651" t="s">
        <v>797</v>
      </c>
      <c r="E651" t="s">
        <v>911</v>
      </c>
      <c r="F651" t="s">
        <v>92</v>
      </c>
      <c r="G651" s="12">
        <v>16</v>
      </c>
      <c r="H651" s="12">
        <v>492</v>
      </c>
      <c r="I651" s="12">
        <v>10</v>
      </c>
      <c r="J651" t="str">
        <f>VLOOKUP(B651,Paramètres!$A$4:$C$11,3,FALSE)</f>
        <v>Petite couronne</v>
      </c>
      <c r="K651" s="13">
        <f>IFERROR(H651/G651,"")</f>
        <v>30.75</v>
      </c>
      <c r="L651" s="14">
        <f>IFERROR(I651/G651,"")</f>
        <v>0.625</v>
      </c>
      <c r="M651" s="11" t="str">
        <f>IF(K651&gt;=Paramètres!$F$6,"Très forte",IF(K651&gt;=Paramètres!$F$5,"Forte",IF(K651&gt;=Paramètres!$F$4,"Modérée","Faible")))</f>
        <v>Forte</v>
      </c>
    </row>
    <row r="652" spans="1:13">
      <c r="A652" t="s">
        <v>939</v>
      </c>
      <c r="B652" s="11">
        <v>77</v>
      </c>
      <c r="C652" t="s">
        <v>132</v>
      </c>
      <c r="D652" t="s">
        <v>797</v>
      </c>
      <c r="E652" t="s">
        <v>798</v>
      </c>
      <c r="F652" t="s">
        <v>92</v>
      </c>
      <c r="G652" s="12">
        <v>35</v>
      </c>
      <c r="H652" s="12">
        <v>1075</v>
      </c>
      <c r="I652" s="12">
        <v>33</v>
      </c>
      <c r="J652" t="str">
        <f>VLOOKUP(B652,Paramètres!$A$4:$C$11,3,FALSE)</f>
        <v>Grande couronne</v>
      </c>
      <c r="K652" s="13">
        <f>IFERROR(H652/G652,"")</f>
        <v>30.714285714285715</v>
      </c>
      <c r="L652" s="14">
        <f>IFERROR(I652/G652,"")</f>
        <v>0.94285714285714284</v>
      </c>
      <c r="M652" s="11" t="str">
        <f>IF(K652&gt;=Paramètres!$F$6,"Très forte",IF(K652&gt;=Paramètres!$F$5,"Forte",IF(K652&gt;=Paramètres!$F$4,"Modérée","Faible")))</f>
        <v>Forte</v>
      </c>
    </row>
    <row r="653" spans="1:13">
      <c r="A653" t="s">
        <v>944</v>
      </c>
      <c r="B653" s="11">
        <v>93</v>
      </c>
      <c r="C653" t="s">
        <v>100</v>
      </c>
      <c r="D653" t="s">
        <v>797</v>
      </c>
      <c r="E653" t="s">
        <v>832</v>
      </c>
      <c r="F653" t="s">
        <v>92</v>
      </c>
      <c r="G653" s="12">
        <v>24</v>
      </c>
      <c r="H653" s="12">
        <v>733</v>
      </c>
      <c r="I653" s="12">
        <v>24</v>
      </c>
      <c r="J653" t="str">
        <f>VLOOKUP(B653,Paramètres!$A$4:$C$11,3,FALSE)</f>
        <v>Petite couronne</v>
      </c>
      <c r="K653" s="13">
        <f>IFERROR(H653/G653,"")</f>
        <v>30.541666666666668</v>
      </c>
      <c r="L653" s="14">
        <f>IFERROR(I653/G653,"")</f>
        <v>1</v>
      </c>
      <c r="M653" s="11" t="str">
        <f>IF(K653&gt;=Paramètres!$F$6,"Très forte",IF(K653&gt;=Paramètres!$F$5,"Forte",IF(K653&gt;=Paramètres!$F$4,"Modérée","Faible")))</f>
        <v>Forte</v>
      </c>
    </row>
    <row r="654" spans="1:13">
      <c r="A654" t="s">
        <v>907</v>
      </c>
      <c r="B654" s="11">
        <v>78</v>
      </c>
      <c r="C654" t="s">
        <v>135</v>
      </c>
      <c r="D654" t="s">
        <v>797</v>
      </c>
      <c r="E654" t="s">
        <v>798</v>
      </c>
      <c r="F654" t="s">
        <v>92</v>
      </c>
      <c r="G654" s="12">
        <v>35</v>
      </c>
      <c r="H654" s="12">
        <v>1067</v>
      </c>
      <c r="I654" s="12">
        <v>35</v>
      </c>
      <c r="J654" t="str">
        <f>VLOOKUP(B654,Paramètres!$A$4:$C$11,3,FALSE)</f>
        <v>Grande couronne</v>
      </c>
      <c r="K654" s="13">
        <f>IFERROR(H654/G654,"")</f>
        <v>30.485714285714284</v>
      </c>
      <c r="L654" s="14">
        <f>IFERROR(I654/G654,"")</f>
        <v>1</v>
      </c>
      <c r="M654" s="11" t="str">
        <f>IF(K654&gt;=Paramètres!$F$6,"Très forte",IF(K654&gt;=Paramètres!$F$5,"Forte",IF(K654&gt;=Paramètres!$F$4,"Modérée","Faible")))</f>
        <v>Forte</v>
      </c>
    </row>
    <row r="655" spans="1:13">
      <c r="A655" t="s">
        <v>965</v>
      </c>
      <c r="B655" s="11">
        <v>94</v>
      </c>
      <c r="C655" t="s">
        <v>116</v>
      </c>
      <c r="D655" t="s">
        <v>797</v>
      </c>
      <c r="E655" t="s">
        <v>822</v>
      </c>
      <c r="F655" t="s">
        <v>92</v>
      </c>
      <c r="G655" s="12">
        <v>35</v>
      </c>
      <c r="H655" s="12">
        <v>1065</v>
      </c>
      <c r="I655" s="12">
        <v>28</v>
      </c>
      <c r="J655" t="str">
        <f>VLOOKUP(B655,Paramètres!$A$4:$C$11,3,FALSE)</f>
        <v>Petite couronne</v>
      </c>
      <c r="K655" s="13">
        <f>IFERROR(H655/G655,"")</f>
        <v>30.428571428571427</v>
      </c>
      <c r="L655" s="14">
        <f>IFERROR(I655/G655,"")</f>
        <v>0.8</v>
      </c>
      <c r="M655" s="11" t="str">
        <f>IF(K655&gt;=Paramètres!$F$6,"Très forte",IF(K655&gt;=Paramètres!$F$5,"Forte",IF(K655&gt;=Paramètres!$F$4,"Modérée","Faible")))</f>
        <v>Forte</v>
      </c>
    </row>
    <row r="656" spans="1:13">
      <c r="A656" t="s">
        <v>966</v>
      </c>
      <c r="B656" s="11">
        <v>94</v>
      </c>
      <c r="C656" t="s">
        <v>116</v>
      </c>
      <c r="D656" t="s">
        <v>797</v>
      </c>
      <c r="E656" t="s">
        <v>832</v>
      </c>
      <c r="F656" t="s">
        <v>92</v>
      </c>
      <c r="G656" s="12">
        <v>35</v>
      </c>
      <c r="H656" s="12">
        <v>1064</v>
      </c>
      <c r="I656" s="12">
        <v>31</v>
      </c>
      <c r="J656" t="str">
        <f>VLOOKUP(B656,Paramètres!$A$4:$C$11,3,FALSE)</f>
        <v>Petite couronne</v>
      </c>
      <c r="K656" s="13">
        <f>IFERROR(H656/G656,"")</f>
        <v>30.4</v>
      </c>
      <c r="L656" s="14">
        <f>IFERROR(I656/G656,"")</f>
        <v>0.88571428571428568</v>
      </c>
      <c r="M656" s="11" t="str">
        <f>IF(K656&gt;=Paramètres!$F$6,"Très forte",IF(K656&gt;=Paramètres!$F$5,"Forte",IF(K656&gt;=Paramètres!$F$4,"Modérée","Faible")))</f>
        <v>Forte</v>
      </c>
    </row>
    <row r="657" spans="1:13">
      <c r="A657" t="s">
        <v>969</v>
      </c>
      <c r="B657" s="11">
        <v>94</v>
      </c>
      <c r="C657" t="s">
        <v>116</v>
      </c>
      <c r="D657" t="s">
        <v>797</v>
      </c>
      <c r="E657" t="s">
        <v>883</v>
      </c>
      <c r="F657" t="s">
        <v>92</v>
      </c>
      <c r="G657" s="12">
        <v>15</v>
      </c>
      <c r="H657" s="12">
        <v>456</v>
      </c>
      <c r="I657" s="12">
        <v>14</v>
      </c>
      <c r="J657" t="str">
        <f>VLOOKUP(B657,Paramètres!$A$4:$C$11,3,FALSE)</f>
        <v>Petite couronne</v>
      </c>
      <c r="K657" s="13">
        <f>IFERROR(H657/G657,"")</f>
        <v>30.4</v>
      </c>
      <c r="L657" s="14">
        <f>IFERROR(I657/G657,"")</f>
        <v>0.93333333333333335</v>
      </c>
      <c r="M657" s="11" t="str">
        <f>IF(K657&gt;=Paramètres!$F$6,"Très forte",IF(K657&gt;=Paramètres!$F$5,"Forte",IF(K657&gt;=Paramètres!$F$4,"Modérée","Faible")))</f>
        <v>Forte</v>
      </c>
    </row>
    <row r="658" spans="1:13">
      <c r="A658" t="s">
        <v>1213</v>
      </c>
      <c r="B658" s="11">
        <v>78</v>
      </c>
      <c r="C658" t="s">
        <v>135</v>
      </c>
      <c r="D658" t="s">
        <v>797</v>
      </c>
      <c r="E658" t="s">
        <v>885</v>
      </c>
      <c r="F658" t="s">
        <v>92</v>
      </c>
      <c r="G658" s="12">
        <v>28</v>
      </c>
      <c r="H658" s="12">
        <v>848</v>
      </c>
      <c r="I658" s="12">
        <v>29</v>
      </c>
      <c r="J658" t="str">
        <f>VLOOKUP(B658,Paramètres!$A$4:$C$11,3,FALSE)</f>
        <v>Grande couronne</v>
      </c>
      <c r="K658" s="13">
        <f>IFERROR(H658/G658,"")</f>
        <v>30.285714285714285</v>
      </c>
      <c r="L658" s="14">
        <f>IFERROR(I658/G658,"")</f>
        <v>1.0357142857142858</v>
      </c>
      <c r="M658" s="11" t="str">
        <f>IF(K658&gt;=Paramètres!$F$6,"Très forte",IF(K658&gt;=Paramètres!$F$5,"Forte",IF(K658&gt;=Paramètres!$F$4,"Modérée","Faible")))</f>
        <v>Forte</v>
      </c>
    </row>
    <row r="659" spans="1:13">
      <c r="A659" t="s">
        <v>1114</v>
      </c>
      <c r="B659" s="11">
        <v>93</v>
      </c>
      <c r="C659" t="s">
        <v>100</v>
      </c>
      <c r="D659" t="s">
        <v>797</v>
      </c>
      <c r="E659" t="s">
        <v>993</v>
      </c>
      <c r="F659" t="s">
        <v>92</v>
      </c>
      <c r="G659" s="12">
        <v>30</v>
      </c>
      <c r="H659" s="12">
        <v>902</v>
      </c>
      <c r="I659" s="12">
        <v>26</v>
      </c>
      <c r="J659" t="str">
        <f>VLOOKUP(B659,Paramètres!$A$4:$C$11,3,FALSE)</f>
        <v>Petite couronne</v>
      </c>
      <c r="K659" s="13">
        <f>IFERROR(H659/G659,"")</f>
        <v>30.066666666666666</v>
      </c>
      <c r="L659" s="14">
        <f>IFERROR(I659/G659,"")</f>
        <v>0.8666666666666667</v>
      </c>
      <c r="M659" s="11" t="str">
        <f>IF(K659&gt;=Paramètres!$F$6,"Très forte",IF(K659&gt;=Paramètres!$F$5,"Forte",IF(K659&gt;=Paramètres!$F$4,"Modérée","Faible")))</f>
        <v>Forte</v>
      </c>
    </row>
    <row r="660" spans="1:13">
      <c r="A660" t="s">
        <v>916</v>
      </c>
      <c r="B660" s="11">
        <v>91</v>
      </c>
      <c r="C660" t="s">
        <v>105</v>
      </c>
      <c r="D660" t="s">
        <v>797</v>
      </c>
      <c r="E660" t="s">
        <v>825</v>
      </c>
      <c r="F660" t="s">
        <v>92</v>
      </c>
      <c r="G660" s="12">
        <v>32</v>
      </c>
      <c r="H660" s="12">
        <v>961</v>
      </c>
      <c r="I660" s="12">
        <v>34</v>
      </c>
      <c r="J660" t="str">
        <f>VLOOKUP(B660,Paramètres!$A$4:$C$11,3,FALSE)</f>
        <v>Grande couronne</v>
      </c>
      <c r="K660" s="13">
        <f>IFERROR(H660/G660,"")</f>
        <v>30.03125</v>
      </c>
      <c r="L660" s="14">
        <f>IFERROR(I660/G660,"")</f>
        <v>1.0625</v>
      </c>
      <c r="M660" s="11" t="str">
        <f>IF(K660&gt;=Paramètres!$F$6,"Très forte",IF(K660&gt;=Paramètres!$F$5,"Forte",IF(K660&gt;=Paramètres!$F$4,"Modérée","Faible")))</f>
        <v>Forte</v>
      </c>
    </row>
    <row r="661" spans="1:13">
      <c r="A661" t="s">
        <v>899</v>
      </c>
      <c r="B661" s="11">
        <v>75</v>
      </c>
      <c r="C661" t="s">
        <v>86</v>
      </c>
      <c r="D661" t="s">
        <v>797</v>
      </c>
      <c r="E661" t="s">
        <v>998</v>
      </c>
      <c r="F661" t="s">
        <v>92</v>
      </c>
      <c r="G661" s="12">
        <v>68</v>
      </c>
      <c r="H661" s="12">
        <v>2041</v>
      </c>
      <c r="I661" s="12">
        <v>65</v>
      </c>
      <c r="J661" t="str">
        <f>VLOOKUP(B661,Paramètres!$A$4:$C$11,3,FALSE)</f>
        <v>Paris</v>
      </c>
      <c r="K661" s="13">
        <f>IFERROR(H661/G661,"")</f>
        <v>30.014705882352942</v>
      </c>
      <c r="L661" s="14">
        <f>IFERROR(I661/G661,"")</f>
        <v>0.95588235294117652</v>
      </c>
      <c r="M661" s="11" t="str">
        <f>IF(K661&gt;=Paramètres!$F$6,"Très forte",IF(K661&gt;=Paramètres!$F$5,"Forte",IF(K661&gt;=Paramètres!$F$4,"Modérée","Faible")))</f>
        <v>Forte</v>
      </c>
    </row>
    <row r="662" spans="1:13">
      <c r="A662" t="s">
        <v>910</v>
      </c>
      <c r="B662" s="11">
        <v>78</v>
      </c>
      <c r="C662" t="s">
        <v>135</v>
      </c>
      <c r="D662" t="s">
        <v>797</v>
      </c>
      <c r="E662" t="s">
        <v>798</v>
      </c>
      <c r="F662" t="s">
        <v>92</v>
      </c>
      <c r="G662" s="12">
        <v>35</v>
      </c>
      <c r="H662" s="12">
        <v>1046</v>
      </c>
      <c r="I662" s="12">
        <v>36</v>
      </c>
      <c r="J662" t="str">
        <f>VLOOKUP(B662,Paramètres!$A$4:$C$11,3,FALSE)</f>
        <v>Grande couronne</v>
      </c>
      <c r="K662" s="13">
        <f>IFERROR(H662/G662,"")</f>
        <v>29.885714285714286</v>
      </c>
      <c r="L662" s="14">
        <f>IFERROR(I662/G662,"")</f>
        <v>1.0285714285714285</v>
      </c>
      <c r="M662" s="11" t="str">
        <f>IF(K662&gt;=Paramètres!$F$6,"Très forte",IF(K662&gt;=Paramètres!$F$5,"Forte",IF(K662&gt;=Paramètres!$F$4,"Modérée","Faible")))</f>
        <v>Forte</v>
      </c>
    </row>
    <row r="663" spans="1:13">
      <c r="A663" t="s">
        <v>1100</v>
      </c>
      <c r="B663" s="11">
        <v>94</v>
      </c>
      <c r="C663" t="s">
        <v>116</v>
      </c>
      <c r="D663" t="s">
        <v>797</v>
      </c>
      <c r="E663" t="s">
        <v>1035</v>
      </c>
      <c r="F663" t="s">
        <v>92</v>
      </c>
      <c r="G663" s="12">
        <v>12</v>
      </c>
      <c r="H663" s="12">
        <v>358</v>
      </c>
      <c r="I663" s="12">
        <v>10</v>
      </c>
      <c r="J663" t="str">
        <f>VLOOKUP(B663,Paramètres!$A$4:$C$11,3,FALSE)</f>
        <v>Petite couronne</v>
      </c>
      <c r="K663" s="13">
        <f>IFERROR(H663/G663,"")</f>
        <v>29.833333333333332</v>
      </c>
      <c r="L663" s="14">
        <f>IFERROR(I663/G663,"")</f>
        <v>0.83333333333333337</v>
      </c>
      <c r="M663" s="11" t="str">
        <f>IF(K663&gt;=Paramètres!$F$6,"Très forte",IF(K663&gt;=Paramètres!$F$5,"Forte",IF(K663&gt;=Paramètres!$F$4,"Modérée","Faible")))</f>
        <v>Forte</v>
      </c>
    </row>
    <row r="664" spans="1:13">
      <c r="A664" t="s">
        <v>933</v>
      </c>
      <c r="B664" s="11">
        <v>92</v>
      </c>
      <c r="C664" t="s">
        <v>94</v>
      </c>
      <c r="D664" t="s">
        <v>797</v>
      </c>
      <c r="E664" t="s">
        <v>822</v>
      </c>
      <c r="F664" t="s">
        <v>92</v>
      </c>
      <c r="G664" s="12">
        <v>36</v>
      </c>
      <c r="H664" s="12">
        <v>1068</v>
      </c>
      <c r="I664" s="12">
        <v>36</v>
      </c>
      <c r="J664" t="str">
        <f>VLOOKUP(B664,Paramètres!$A$4:$C$11,3,FALSE)</f>
        <v>Petite couronne</v>
      </c>
      <c r="K664" s="13">
        <f>IFERROR(H664/G664,"")</f>
        <v>29.666666666666668</v>
      </c>
      <c r="L664" s="14">
        <f>IFERROR(I664/G664,"")</f>
        <v>1</v>
      </c>
      <c r="M664" s="11" t="str">
        <f>IF(K664&gt;=Paramètres!$F$6,"Très forte",IF(K664&gt;=Paramètres!$F$5,"Forte",IF(K664&gt;=Paramètres!$F$4,"Modérée","Faible")))</f>
        <v>Forte</v>
      </c>
    </row>
    <row r="665" spans="1:13">
      <c r="A665" t="s">
        <v>1170</v>
      </c>
      <c r="B665" s="11">
        <v>93</v>
      </c>
      <c r="C665" t="s">
        <v>100</v>
      </c>
      <c r="D665" t="s">
        <v>797</v>
      </c>
      <c r="E665" t="s">
        <v>798</v>
      </c>
      <c r="F665" t="s">
        <v>92</v>
      </c>
      <c r="G665" s="12">
        <v>30</v>
      </c>
      <c r="H665" s="12">
        <v>889</v>
      </c>
      <c r="I665" s="12">
        <v>25</v>
      </c>
      <c r="J665" t="str">
        <f>VLOOKUP(B665,Paramètres!$A$4:$C$11,3,FALSE)</f>
        <v>Petite couronne</v>
      </c>
      <c r="K665" s="13">
        <f>IFERROR(H665/G665,"")</f>
        <v>29.633333333333333</v>
      </c>
      <c r="L665" s="14">
        <f>IFERROR(I665/G665,"")</f>
        <v>0.83333333333333337</v>
      </c>
      <c r="M665" s="11" t="str">
        <f>IF(K665&gt;=Paramètres!$F$6,"Très forte",IF(K665&gt;=Paramètres!$F$5,"Forte",IF(K665&gt;=Paramètres!$F$4,"Modérée","Faible")))</f>
        <v>Forte</v>
      </c>
    </row>
    <row r="666" spans="1:13">
      <c r="A666" t="s">
        <v>939</v>
      </c>
      <c r="B666" s="11">
        <v>93</v>
      </c>
      <c r="C666" t="s">
        <v>100</v>
      </c>
      <c r="D666" t="s">
        <v>797</v>
      </c>
      <c r="E666" t="s">
        <v>958</v>
      </c>
      <c r="F666" t="s">
        <v>92</v>
      </c>
      <c r="G666" s="12">
        <v>35</v>
      </c>
      <c r="H666" s="12">
        <v>1033</v>
      </c>
      <c r="I666" s="12">
        <v>34</v>
      </c>
      <c r="J666" t="str">
        <f>VLOOKUP(B666,Paramètres!$A$4:$C$11,3,FALSE)</f>
        <v>Petite couronne</v>
      </c>
      <c r="K666" s="13">
        <f>IFERROR(H666/G666,"")</f>
        <v>29.514285714285716</v>
      </c>
      <c r="L666" s="14">
        <f>IFERROR(I666/G666,"")</f>
        <v>0.97142857142857142</v>
      </c>
      <c r="M666" s="11" t="str">
        <f>IF(K666&gt;=Paramètres!$F$6,"Très forte",IF(K666&gt;=Paramètres!$F$5,"Forte",IF(K666&gt;=Paramètres!$F$4,"Modérée","Faible")))</f>
        <v>Forte</v>
      </c>
    </row>
    <row r="667" spans="1:13">
      <c r="A667" t="s">
        <v>800</v>
      </c>
      <c r="B667" s="11">
        <v>78</v>
      </c>
      <c r="C667" t="s">
        <v>135</v>
      </c>
      <c r="D667" t="s">
        <v>797</v>
      </c>
      <c r="E667" t="s">
        <v>891</v>
      </c>
      <c r="F667" t="s">
        <v>92</v>
      </c>
      <c r="G667" s="12">
        <v>35</v>
      </c>
      <c r="H667" s="12">
        <v>1018</v>
      </c>
      <c r="I667" s="12">
        <v>33</v>
      </c>
      <c r="J667" t="str">
        <f>VLOOKUP(B667,Paramètres!$A$4:$C$11,3,FALSE)</f>
        <v>Grande couronne</v>
      </c>
      <c r="K667" s="13">
        <f>IFERROR(H667/G667,"")</f>
        <v>29.085714285714285</v>
      </c>
      <c r="L667" s="14">
        <f>IFERROR(I667/G667,"")</f>
        <v>0.94285714285714284</v>
      </c>
      <c r="M667" s="11" t="str">
        <f>IF(K667&gt;=Paramètres!$F$6,"Très forte",IF(K667&gt;=Paramètres!$F$5,"Forte",IF(K667&gt;=Paramètres!$F$4,"Modérée","Faible")))</f>
        <v>Forte</v>
      </c>
    </row>
    <row r="668" spans="1:13">
      <c r="A668" t="s">
        <v>1207</v>
      </c>
      <c r="B668" s="11">
        <v>77</v>
      </c>
      <c r="C668" t="s">
        <v>132</v>
      </c>
      <c r="D668" t="s">
        <v>797</v>
      </c>
      <c r="E668" t="s">
        <v>825</v>
      </c>
      <c r="F668" t="s">
        <v>92</v>
      </c>
      <c r="G668" s="12">
        <v>24</v>
      </c>
      <c r="H668" s="12">
        <v>697</v>
      </c>
      <c r="I668" s="12">
        <v>23</v>
      </c>
      <c r="J668" t="str">
        <f>VLOOKUP(B668,Paramètres!$A$4:$C$11,3,FALSE)</f>
        <v>Grande couronne</v>
      </c>
      <c r="K668" s="13">
        <f>IFERROR(H668/G668,"")</f>
        <v>29.041666666666668</v>
      </c>
      <c r="L668" s="14">
        <f>IFERROR(I668/G668,"")</f>
        <v>0.95833333333333337</v>
      </c>
      <c r="M668" s="11" t="str">
        <f>IF(K668&gt;=Paramètres!$F$6,"Très forte",IF(K668&gt;=Paramètres!$F$5,"Forte",IF(K668&gt;=Paramètres!$F$4,"Modérée","Faible")))</f>
        <v>Forte</v>
      </c>
    </row>
    <row r="669" spans="1:13">
      <c r="A669" t="s">
        <v>1143</v>
      </c>
      <c r="B669" s="11">
        <v>77</v>
      </c>
      <c r="C669" t="s">
        <v>132</v>
      </c>
      <c r="D669" t="s">
        <v>797</v>
      </c>
      <c r="E669" t="s">
        <v>905</v>
      </c>
      <c r="F669" t="s">
        <v>92</v>
      </c>
      <c r="G669" s="12">
        <v>52</v>
      </c>
      <c r="H669" s="12">
        <v>1509</v>
      </c>
      <c r="I669" s="12">
        <v>42</v>
      </c>
      <c r="J669" t="str">
        <f>VLOOKUP(B669,Paramètres!$A$4:$C$11,3,FALSE)</f>
        <v>Grande couronne</v>
      </c>
      <c r="K669" s="13">
        <f>IFERROR(H669/G669,"")</f>
        <v>29.01923076923077</v>
      </c>
      <c r="L669" s="14">
        <f>IFERROR(I669/G669,"")</f>
        <v>0.80769230769230771</v>
      </c>
      <c r="M669" s="11" t="str">
        <f>IF(K669&gt;=Paramètres!$F$6,"Très forte",IF(K669&gt;=Paramètres!$F$5,"Forte",IF(K669&gt;=Paramètres!$F$4,"Modérée","Faible")))</f>
        <v>Forte</v>
      </c>
    </row>
    <row r="670" spans="1:13">
      <c r="A670" t="s">
        <v>996</v>
      </c>
      <c r="B670" s="11">
        <v>75</v>
      </c>
      <c r="C670" t="s">
        <v>86</v>
      </c>
      <c r="D670" t="s">
        <v>797</v>
      </c>
      <c r="E670" t="s">
        <v>853</v>
      </c>
      <c r="F670" t="s">
        <v>92</v>
      </c>
      <c r="G670" s="12">
        <v>24</v>
      </c>
      <c r="H670" s="12">
        <v>688</v>
      </c>
      <c r="I670" s="12">
        <v>20</v>
      </c>
      <c r="J670" t="str">
        <f>VLOOKUP(B670,Paramètres!$A$4:$C$11,3,FALSE)</f>
        <v>Paris</v>
      </c>
      <c r="K670" s="13">
        <f>IFERROR(H670/G670,"")</f>
        <v>28.666666666666668</v>
      </c>
      <c r="L670" s="14">
        <f>IFERROR(I670/G670,"")</f>
        <v>0.83333333333333337</v>
      </c>
      <c r="M670" s="11" t="str">
        <f>IF(K670&gt;=Paramètres!$F$6,"Très forte",IF(K670&gt;=Paramètres!$F$5,"Forte",IF(K670&gt;=Paramètres!$F$4,"Modérée","Faible")))</f>
        <v>Forte</v>
      </c>
    </row>
    <row r="671" spans="1:13">
      <c r="A671" t="s">
        <v>899</v>
      </c>
      <c r="B671" s="11">
        <v>78</v>
      </c>
      <c r="C671" t="s">
        <v>135</v>
      </c>
      <c r="D671" t="s">
        <v>797</v>
      </c>
      <c r="E671" t="s">
        <v>885</v>
      </c>
      <c r="F671" t="s">
        <v>92</v>
      </c>
      <c r="G671" s="12">
        <v>18</v>
      </c>
      <c r="H671" s="12">
        <v>514</v>
      </c>
      <c r="I671" s="12">
        <v>14</v>
      </c>
      <c r="J671" t="str">
        <f>VLOOKUP(B671,Paramètres!$A$4:$C$11,3,FALSE)</f>
        <v>Grande couronne</v>
      </c>
      <c r="K671" s="13">
        <f>IFERROR(H671/G671,"")</f>
        <v>28.555555555555557</v>
      </c>
      <c r="L671" s="14">
        <f>IFERROR(I671/G671,"")</f>
        <v>0.77777777777777779</v>
      </c>
      <c r="M671" s="11" t="str">
        <f>IF(K671&gt;=Paramètres!$F$6,"Très forte",IF(K671&gt;=Paramètres!$F$5,"Forte",IF(K671&gt;=Paramètres!$F$4,"Modérée","Faible")))</f>
        <v>Forte</v>
      </c>
    </row>
    <row r="672" spans="1:13">
      <c r="A672" t="s">
        <v>910</v>
      </c>
      <c r="B672" s="11">
        <v>78</v>
      </c>
      <c r="C672" t="s">
        <v>135</v>
      </c>
      <c r="D672" t="s">
        <v>797</v>
      </c>
      <c r="E672" t="s">
        <v>911</v>
      </c>
      <c r="F672" t="s">
        <v>92</v>
      </c>
      <c r="G672" s="12">
        <v>35</v>
      </c>
      <c r="H672" s="12">
        <v>997</v>
      </c>
      <c r="I672" s="12">
        <v>39</v>
      </c>
      <c r="J672" t="str">
        <f>VLOOKUP(B672,Paramètres!$A$4:$C$11,3,FALSE)</f>
        <v>Grande couronne</v>
      </c>
      <c r="K672" s="13">
        <f>IFERROR(H672/G672,"")</f>
        <v>28.485714285714284</v>
      </c>
      <c r="L672" s="14">
        <f>IFERROR(I672/G672,"")</f>
        <v>1.1142857142857143</v>
      </c>
      <c r="M672" s="11" t="str">
        <f>IF(K672&gt;=Paramètres!$F$6,"Très forte",IF(K672&gt;=Paramètres!$F$5,"Forte",IF(K672&gt;=Paramètres!$F$4,"Modérée","Faible")))</f>
        <v>Forte</v>
      </c>
    </row>
    <row r="673" spans="1:13">
      <c r="A673" t="s">
        <v>1161</v>
      </c>
      <c r="B673" s="11">
        <v>94</v>
      </c>
      <c r="C673" t="s">
        <v>116</v>
      </c>
      <c r="D673" t="s">
        <v>797</v>
      </c>
      <c r="E673" t="s">
        <v>798</v>
      </c>
      <c r="F673" t="s">
        <v>92</v>
      </c>
      <c r="G673" s="12">
        <v>35</v>
      </c>
      <c r="H673" s="12">
        <v>992</v>
      </c>
      <c r="I673" s="12">
        <v>29</v>
      </c>
      <c r="J673" t="str">
        <f>VLOOKUP(B673,Paramètres!$A$4:$C$11,3,FALSE)</f>
        <v>Petite couronne</v>
      </c>
      <c r="K673" s="13">
        <f>IFERROR(H673/G673,"")</f>
        <v>28.342857142857142</v>
      </c>
      <c r="L673" s="14">
        <f>IFERROR(I673/G673,"")</f>
        <v>0.82857142857142863</v>
      </c>
      <c r="M673" s="11" t="str">
        <f>IF(K673&gt;=Paramètres!$F$6,"Très forte",IF(K673&gt;=Paramètres!$F$5,"Forte",IF(K673&gt;=Paramètres!$F$4,"Modérée","Faible")))</f>
        <v>Forte</v>
      </c>
    </row>
    <row r="674" spans="1:13">
      <c r="A674" t="s">
        <v>963</v>
      </c>
      <c r="B674" s="11">
        <v>94</v>
      </c>
      <c r="C674" t="s">
        <v>116</v>
      </c>
      <c r="D674" t="s">
        <v>797</v>
      </c>
      <c r="E674" t="s">
        <v>832</v>
      </c>
      <c r="F674" t="s">
        <v>92</v>
      </c>
      <c r="G674" s="12">
        <v>35</v>
      </c>
      <c r="H674" s="12">
        <v>986</v>
      </c>
      <c r="I674" s="12">
        <v>34</v>
      </c>
      <c r="J674" t="str">
        <f>VLOOKUP(B674,Paramètres!$A$4:$C$11,3,FALSE)</f>
        <v>Petite couronne</v>
      </c>
      <c r="K674" s="13">
        <f>IFERROR(H674/G674,"")</f>
        <v>28.171428571428571</v>
      </c>
      <c r="L674" s="14">
        <f>IFERROR(I674/G674,"")</f>
        <v>0.97142857142857142</v>
      </c>
      <c r="M674" s="11" t="str">
        <f>IF(K674&gt;=Paramètres!$F$6,"Très forte",IF(K674&gt;=Paramètres!$F$5,"Forte",IF(K674&gt;=Paramètres!$F$4,"Modérée","Faible")))</f>
        <v>Forte</v>
      </c>
    </row>
    <row r="675" spans="1:13">
      <c r="A675" t="s">
        <v>965</v>
      </c>
      <c r="B675" s="11">
        <v>94</v>
      </c>
      <c r="C675" t="s">
        <v>116</v>
      </c>
      <c r="D675" t="s">
        <v>797</v>
      </c>
      <c r="E675" t="s">
        <v>832</v>
      </c>
      <c r="F675" t="s">
        <v>92</v>
      </c>
      <c r="G675" s="12">
        <v>37</v>
      </c>
      <c r="H675" s="12">
        <v>1041</v>
      </c>
      <c r="I675" s="12">
        <v>37</v>
      </c>
      <c r="J675" t="str">
        <f>VLOOKUP(B675,Paramètres!$A$4:$C$11,3,FALSE)</f>
        <v>Petite couronne</v>
      </c>
      <c r="K675" s="13">
        <f>IFERROR(H675/G675,"")</f>
        <v>28.135135135135137</v>
      </c>
      <c r="L675" s="14">
        <f>IFERROR(I675/G675,"")</f>
        <v>1</v>
      </c>
      <c r="M675" s="11" t="str">
        <f>IF(K675&gt;=Paramètres!$F$6,"Très forte",IF(K675&gt;=Paramètres!$F$5,"Forte",IF(K675&gt;=Paramètres!$F$4,"Modérée","Faible")))</f>
        <v>Forte</v>
      </c>
    </row>
    <row r="676" spans="1:13">
      <c r="A676" t="s">
        <v>1078</v>
      </c>
      <c r="B676" s="11">
        <v>95</v>
      </c>
      <c r="C676" t="s">
        <v>90</v>
      </c>
      <c r="D676" t="s">
        <v>797</v>
      </c>
      <c r="E676" t="s">
        <v>822</v>
      </c>
      <c r="F676" t="s">
        <v>92</v>
      </c>
      <c r="G676" s="12">
        <v>35</v>
      </c>
      <c r="H676" s="12">
        <v>975</v>
      </c>
      <c r="I676" s="12">
        <v>35</v>
      </c>
      <c r="J676" t="str">
        <f>VLOOKUP(B676,Paramètres!$A$4:$C$11,3,FALSE)</f>
        <v>Grande couronne</v>
      </c>
      <c r="K676" s="13">
        <f>IFERROR(H676/G676,"")</f>
        <v>27.857142857142858</v>
      </c>
      <c r="L676" s="14">
        <f>IFERROR(I676/G676,"")</f>
        <v>1</v>
      </c>
      <c r="M676" s="11" t="str">
        <f>IF(K676&gt;=Paramètres!$F$6,"Très forte",IF(K676&gt;=Paramètres!$F$5,"Forte",IF(K676&gt;=Paramètres!$F$4,"Modérée","Faible")))</f>
        <v>Forte</v>
      </c>
    </row>
    <row r="677" spans="1:13">
      <c r="A677" t="s">
        <v>953</v>
      </c>
      <c r="B677" s="11">
        <v>93</v>
      </c>
      <c r="C677" t="s">
        <v>100</v>
      </c>
      <c r="D677" t="s">
        <v>797</v>
      </c>
      <c r="E677" t="s">
        <v>822</v>
      </c>
      <c r="F677" t="s">
        <v>92</v>
      </c>
      <c r="G677" s="12">
        <v>35</v>
      </c>
      <c r="H677" s="12">
        <v>974</v>
      </c>
      <c r="I677" s="12">
        <v>34</v>
      </c>
      <c r="J677" t="str">
        <f>VLOOKUP(B677,Paramètres!$A$4:$C$11,3,FALSE)</f>
        <v>Petite couronne</v>
      </c>
      <c r="K677" s="13">
        <f>IFERROR(H677/G677,"")</f>
        <v>27.828571428571429</v>
      </c>
      <c r="L677" s="14">
        <f>IFERROR(I677/G677,"")</f>
        <v>0.97142857142857142</v>
      </c>
      <c r="M677" s="11" t="str">
        <f>IF(K677&gt;=Paramètres!$F$6,"Très forte",IF(K677&gt;=Paramètres!$F$5,"Forte",IF(K677&gt;=Paramètres!$F$4,"Modérée","Faible")))</f>
        <v>Forte</v>
      </c>
    </row>
    <row r="678" spans="1:13">
      <c r="A678" t="s">
        <v>982</v>
      </c>
      <c r="B678" s="11">
        <v>95</v>
      </c>
      <c r="C678" t="s">
        <v>90</v>
      </c>
      <c r="D678" t="s">
        <v>797</v>
      </c>
      <c r="E678" t="s">
        <v>825</v>
      </c>
      <c r="F678" t="s">
        <v>92</v>
      </c>
      <c r="G678" s="12">
        <v>35</v>
      </c>
      <c r="H678" s="12">
        <v>972</v>
      </c>
      <c r="I678" s="12">
        <v>28</v>
      </c>
      <c r="J678" t="str">
        <f>VLOOKUP(B678,Paramètres!$A$4:$C$11,3,FALSE)</f>
        <v>Grande couronne</v>
      </c>
      <c r="K678" s="13">
        <f>IFERROR(H678/G678,"")</f>
        <v>27.771428571428572</v>
      </c>
      <c r="L678" s="14">
        <f>IFERROR(I678/G678,"")</f>
        <v>0.8</v>
      </c>
      <c r="M678" s="11" t="str">
        <f>IF(K678&gt;=Paramètres!$F$6,"Très forte",IF(K678&gt;=Paramètres!$F$5,"Forte",IF(K678&gt;=Paramètres!$F$4,"Modérée","Faible")))</f>
        <v>Forte</v>
      </c>
    </row>
    <row r="679" spans="1:13">
      <c r="A679" t="s">
        <v>1055</v>
      </c>
      <c r="B679" s="11">
        <v>78</v>
      </c>
      <c r="C679" t="s">
        <v>135</v>
      </c>
      <c r="D679" t="s">
        <v>797</v>
      </c>
      <c r="E679" t="s">
        <v>905</v>
      </c>
      <c r="F679" t="s">
        <v>92</v>
      </c>
      <c r="G679" s="12">
        <v>70</v>
      </c>
      <c r="H679" s="12">
        <v>1940</v>
      </c>
      <c r="I679" s="12">
        <v>67</v>
      </c>
      <c r="J679" t="str">
        <f>VLOOKUP(B679,Paramètres!$A$4:$C$11,3,FALSE)</f>
        <v>Grande couronne</v>
      </c>
      <c r="K679" s="13">
        <f>IFERROR(H679/G679,"")</f>
        <v>27.714285714285715</v>
      </c>
      <c r="L679" s="14">
        <f>IFERROR(I679/G679,"")</f>
        <v>0.95714285714285718</v>
      </c>
      <c r="M679" s="11" t="str">
        <f>IF(K679&gt;=Paramètres!$F$6,"Très forte",IF(K679&gt;=Paramètres!$F$5,"Forte",IF(K679&gt;=Paramètres!$F$4,"Modérée","Faible")))</f>
        <v>Forte</v>
      </c>
    </row>
    <row r="680" spans="1:13">
      <c r="A680" t="s">
        <v>945</v>
      </c>
      <c r="B680" s="11">
        <v>93</v>
      </c>
      <c r="C680" t="s">
        <v>100</v>
      </c>
      <c r="D680" t="s">
        <v>797</v>
      </c>
      <c r="E680" t="s">
        <v>832</v>
      </c>
      <c r="F680" t="s">
        <v>92</v>
      </c>
      <c r="G680" s="12">
        <v>30</v>
      </c>
      <c r="H680" s="12">
        <v>828</v>
      </c>
      <c r="I680" s="12">
        <v>29</v>
      </c>
      <c r="J680" t="str">
        <f>VLOOKUP(B680,Paramètres!$A$4:$C$11,3,FALSE)</f>
        <v>Petite couronne</v>
      </c>
      <c r="K680" s="13">
        <f>IFERROR(H680/G680,"")</f>
        <v>27.6</v>
      </c>
      <c r="L680" s="14">
        <f>IFERROR(I680/G680,"")</f>
        <v>0.96666666666666667</v>
      </c>
      <c r="M680" s="11" t="str">
        <f>IF(K680&gt;=Paramètres!$F$6,"Très forte",IF(K680&gt;=Paramètres!$F$5,"Forte",IF(K680&gt;=Paramètres!$F$4,"Modérée","Faible")))</f>
        <v>Forte</v>
      </c>
    </row>
    <row r="681" spans="1:13">
      <c r="A681" t="s">
        <v>884</v>
      </c>
      <c r="B681" s="11">
        <v>77</v>
      </c>
      <c r="C681" t="s">
        <v>132</v>
      </c>
      <c r="D681" t="s">
        <v>797</v>
      </c>
      <c r="E681" t="s">
        <v>885</v>
      </c>
      <c r="F681" t="s">
        <v>92</v>
      </c>
      <c r="G681" s="12">
        <v>35</v>
      </c>
      <c r="H681" s="12">
        <v>963</v>
      </c>
      <c r="I681" s="12">
        <v>31</v>
      </c>
      <c r="J681" t="str">
        <f>VLOOKUP(B681,Paramètres!$A$4:$C$11,3,FALSE)</f>
        <v>Grande couronne</v>
      </c>
      <c r="K681" s="13">
        <f>IFERROR(H681/G681,"")</f>
        <v>27.514285714285716</v>
      </c>
      <c r="L681" s="14">
        <f>IFERROR(I681/G681,"")</f>
        <v>0.88571428571428568</v>
      </c>
      <c r="M681" s="11" t="str">
        <f>IF(K681&gt;=Paramètres!$F$6,"Très forte",IF(K681&gt;=Paramètres!$F$5,"Forte",IF(K681&gt;=Paramètres!$F$4,"Modérée","Faible")))</f>
        <v>Forte</v>
      </c>
    </row>
    <row r="682" spans="1:13">
      <c r="A682" t="s">
        <v>914</v>
      </c>
      <c r="B682" s="11">
        <v>91</v>
      </c>
      <c r="C682" t="s">
        <v>105</v>
      </c>
      <c r="D682" t="s">
        <v>797</v>
      </c>
      <c r="E682" t="s">
        <v>822</v>
      </c>
      <c r="F682" t="s">
        <v>92</v>
      </c>
      <c r="G682" s="12">
        <v>34</v>
      </c>
      <c r="H682" s="12">
        <v>924</v>
      </c>
      <c r="I682" s="12">
        <v>34</v>
      </c>
      <c r="J682" t="str">
        <f>VLOOKUP(B682,Paramètres!$A$4:$C$11,3,FALSE)</f>
        <v>Grande couronne</v>
      </c>
      <c r="K682" s="13">
        <f>IFERROR(H682/G682,"")</f>
        <v>27.176470588235293</v>
      </c>
      <c r="L682" s="14">
        <f>IFERROR(I682/G682,"")</f>
        <v>1</v>
      </c>
      <c r="M682" s="11" t="str">
        <f>IF(K682&gt;=Paramètres!$F$6,"Très forte",IF(K682&gt;=Paramètres!$F$5,"Forte",IF(K682&gt;=Paramètres!$F$4,"Modérée","Faible")))</f>
        <v>Forte</v>
      </c>
    </row>
    <row r="683" spans="1:13">
      <c r="A683" t="s">
        <v>996</v>
      </c>
      <c r="B683" s="11">
        <v>78</v>
      </c>
      <c r="C683" t="s">
        <v>135</v>
      </c>
      <c r="D683" t="s">
        <v>797</v>
      </c>
      <c r="E683" t="s">
        <v>1032</v>
      </c>
      <c r="F683" t="s">
        <v>92</v>
      </c>
      <c r="G683" s="12">
        <v>29</v>
      </c>
      <c r="H683" s="12">
        <v>788</v>
      </c>
      <c r="I683" s="12">
        <v>25</v>
      </c>
      <c r="J683" t="str">
        <f>VLOOKUP(B683,Paramètres!$A$4:$C$11,3,FALSE)</f>
        <v>Grande couronne</v>
      </c>
      <c r="K683" s="13">
        <f>IFERROR(H683/G683,"")</f>
        <v>27.172413793103448</v>
      </c>
      <c r="L683" s="14">
        <f>IFERROR(I683/G683,"")</f>
        <v>0.86206896551724133</v>
      </c>
      <c r="M683" s="11" t="str">
        <f>IF(K683&gt;=Paramètres!$F$6,"Très forte",IF(K683&gt;=Paramètres!$F$5,"Forte",IF(K683&gt;=Paramètres!$F$4,"Modérée","Faible")))</f>
        <v>Forte</v>
      </c>
    </row>
    <row r="684" spans="1:13">
      <c r="A684" t="s">
        <v>799</v>
      </c>
      <c r="B684" s="11">
        <v>92</v>
      </c>
      <c r="C684" t="s">
        <v>94</v>
      </c>
      <c r="D684" t="s">
        <v>797</v>
      </c>
      <c r="E684" t="s">
        <v>798</v>
      </c>
      <c r="F684" t="s">
        <v>92</v>
      </c>
      <c r="G684" s="12">
        <v>20</v>
      </c>
      <c r="H684" s="12">
        <v>540</v>
      </c>
      <c r="I684" s="12">
        <v>17</v>
      </c>
      <c r="J684" t="str">
        <f>VLOOKUP(B684,Paramètres!$A$4:$C$11,3,FALSE)</f>
        <v>Petite couronne</v>
      </c>
      <c r="K684" s="13">
        <f>IFERROR(H684/G684,"")</f>
        <v>27</v>
      </c>
      <c r="L684" s="14">
        <f>IFERROR(I684/G684,"")</f>
        <v>0.85</v>
      </c>
      <c r="M684" s="11" t="str">
        <f>IF(K684&gt;=Paramètres!$F$6,"Très forte",IF(K684&gt;=Paramètres!$F$5,"Forte",IF(K684&gt;=Paramètres!$F$4,"Modérée","Faible")))</f>
        <v>Forte</v>
      </c>
    </row>
    <row r="685" spans="1:13">
      <c r="A685" t="s">
        <v>994</v>
      </c>
      <c r="B685" s="11">
        <v>75</v>
      </c>
      <c r="C685" t="s">
        <v>86</v>
      </c>
      <c r="D685" t="s">
        <v>797</v>
      </c>
      <c r="E685" t="s">
        <v>1022</v>
      </c>
      <c r="F685" t="s">
        <v>92</v>
      </c>
      <c r="G685" s="12">
        <v>24</v>
      </c>
      <c r="H685" s="12">
        <v>644</v>
      </c>
      <c r="I685" s="12">
        <v>20</v>
      </c>
      <c r="J685" t="str">
        <f>VLOOKUP(B685,Paramètres!$A$4:$C$11,3,FALSE)</f>
        <v>Paris</v>
      </c>
      <c r="K685" s="13">
        <f>IFERROR(H685/G685,"")</f>
        <v>26.833333333333332</v>
      </c>
      <c r="L685" s="14">
        <f>IFERROR(I685/G685,"")</f>
        <v>0.83333333333333337</v>
      </c>
      <c r="M685" s="11" t="str">
        <f>IF(K685&gt;=Paramètres!$F$6,"Très forte",IF(K685&gt;=Paramètres!$F$5,"Forte",IF(K685&gt;=Paramètres!$F$4,"Modérée","Faible")))</f>
        <v>Forte</v>
      </c>
    </row>
    <row r="686" spans="1:13">
      <c r="A686" t="s">
        <v>1097</v>
      </c>
      <c r="B686" s="11">
        <v>94</v>
      </c>
      <c r="C686" t="s">
        <v>116</v>
      </c>
      <c r="D686" t="s">
        <v>797</v>
      </c>
      <c r="E686" t="s">
        <v>1030</v>
      </c>
      <c r="F686" t="s">
        <v>92</v>
      </c>
      <c r="G686" s="12">
        <v>24</v>
      </c>
      <c r="H686" s="12">
        <v>644</v>
      </c>
      <c r="I686" s="12">
        <v>16</v>
      </c>
      <c r="J686" t="str">
        <f>VLOOKUP(B686,Paramètres!$A$4:$C$11,3,FALSE)</f>
        <v>Petite couronne</v>
      </c>
      <c r="K686" s="13">
        <f>IFERROR(H686/G686,"")</f>
        <v>26.833333333333332</v>
      </c>
      <c r="L686" s="14">
        <f>IFERROR(I686/G686,"")</f>
        <v>0.66666666666666663</v>
      </c>
      <c r="M686" s="11" t="str">
        <f>IF(K686&gt;=Paramètres!$F$6,"Très forte",IF(K686&gt;=Paramètres!$F$5,"Forte",IF(K686&gt;=Paramètres!$F$4,"Modérée","Faible")))</f>
        <v>Forte</v>
      </c>
    </row>
    <row r="687" spans="1:13">
      <c r="A687" t="s">
        <v>1157</v>
      </c>
      <c r="B687" s="11">
        <v>94</v>
      </c>
      <c r="C687" t="s">
        <v>116</v>
      </c>
      <c r="D687" t="s">
        <v>797</v>
      </c>
      <c r="E687" t="s">
        <v>832</v>
      </c>
      <c r="F687" t="s">
        <v>92</v>
      </c>
      <c r="G687" s="12">
        <v>35</v>
      </c>
      <c r="H687" s="12">
        <v>938</v>
      </c>
      <c r="I687" s="12">
        <v>29</v>
      </c>
      <c r="J687" t="str">
        <f>VLOOKUP(B687,Paramètres!$A$4:$C$11,3,FALSE)</f>
        <v>Petite couronne</v>
      </c>
      <c r="K687" s="13">
        <f>IFERROR(H687/G687,"")</f>
        <v>26.8</v>
      </c>
      <c r="L687" s="14">
        <f>IFERROR(I687/G687,"")</f>
        <v>0.82857142857142863</v>
      </c>
      <c r="M687" s="11" t="str">
        <f>IF(K687&gt;=Paramètres!$F$6,"Très forte",IF(K687&gt;=Paramètres!$F$5,"Forte",IF(K687&gt;=Paramètres!$F$4,"Modérée","Faible")))</f>
        <v>Forte</v>
      </c>
    </row>
    <row r="688" spans="1:13">
      <c r="A688" t="s">
        <v>1080</v>
      </c>
      <c r="B688" s="11">
        <v>92</v>
      </c>
      <c r="C688" t="s">
        <v>94</v>
      </c>
      <c r="D688" t="s">
        <v>797</v>
      </c>
      <c r="E688" t="s">
        <v>998</v>
      </c>
      <c r="F688" t="s">
        <v>92</v>
      </c>
      <c r="G688" s="12">
        <v>38</v>
      </c>
      <c r="H688" s="12">
        <v>1011</v>
      </c>
      <c r="I688" s="12">
        <v>32</v>
      </c>
      <c r="J688" t="str">
        <f>VLOOKUP(B688,Paramètres!$A$4:$C$11,3,FALSE)</f>
        <v>Petite couronne</v>
      </c>
      <c r="K688" s="13">
        <f>IFERROR(H688/G688,"")</f>
        <v>26.605263157894736</v>
      </c>
      <c r="L688" s="14">
        <f>IFERROR(I688/G688,"")</f>
        <v>0.84210526315789469</v>
      </c>
      <c r="M688" s="11" t="str">
        <f>IF(K688&gt;=Paramètres!$F$6,"Très forte",IF(K688&gt;=Paramètres!$F$5,"Forte",IF(K688&gt;=Paramètres!$F$4,"Modérée","Faible")))</f>
        <v>Forte</v>
      </c>
    </row>
    <row r="689" spans="1:13">
      <c r="A689" t="s">
        <v>1157</v>
      </c>
      <c r="B689" s="11">
        <v>94</v>
      </c>
      <c r="C689" t="s">
        <v>116</v>
      </c>
      <c r="D689" t="s">
        <v>797</v>
      </c>
      <c r="E689" t="s">
        <v>822</v>
      </c>
      <c r="F689" t="s">
        <v>92</v>
      </c>
      <c r="G689" s="12">
        <v>48</v>
      </c>
      <c r="H689" s="12">
        <v>1275</v>
      </c>
      <c r="I689" s="12">
        <v>43</v>
      </c>
      <c r="J689" t="str">
        <f>VLOOKUP(B689,Paramètres!$A$4:$C$11,3,FALSE)</f>
        <v>Petite couronne</v>
      </c>
      <c r="K689" s="13">
        <f>IFERROR(H689/G689,"")</f>
        <v>26.5625</v>
      </c>
      <c r="L689" s="14">
        <f>IFERROR(I689/G689,"")</f>
        <v>0.89583333333333337</v>
      </c>
      <c r="M689" s="11" t="str">
        <f>IF(K689&gt;=Paramètres!$F$6,"Très forte",IF(K689&gt;=Paramètres!$F$5,"Forte",IF(K689&gt;=Paramètres!$F$4,"Modérée","Faible")))</f>
        <v>Forte</v>
      </c>
    </row>
    <row r="690" spans="1:13">
      <c r="A690" t="s">
        <v>929</v>
      </c>
      <c r="B690" s="11">
        <v>91</v>
      </c>
      <c r="C690" t="s">
        <v>105</v>
      </c>
      <c r="D690" t="s">
        <v>797</v>
      </c>
      <c r="E690" t="s">
        <v>872</v>
      </c>
      <c r="F690" t="s">
        <v>92</v>
      </c>
      <c r="G690" s="12">
        <v>32</v>
      </c>
      <c r="H690" s="12">
        <v>849</v>
      </c>
      <c r="I690" s="12">
        <v>28</v>
      </c>
      <c r="J690" t="str">
        <f>VLOOKUP(B690,Paramètres!$A$4:$C$11,3,FALSE)</f>
        <v>Grande couronne</v>
      </c>
      <c r="K690" s="13">
        <f>IFERROR(H690/G690,"")</f>
        <v>26.53125</v>
      </c>
      <c r="L690" s="14">
        <f>IFERROR(I690/G690,"")</f>
        <v>0.875</v>
      </c>
      <c r="M690" s="11" t="str">
        <f>IF(K690&gt;=Paramètres!$F$6,"Très forte",IF(K690&gt;=Paramètres!$F$5,"Forte",IF(K690&gt;=Paramètres!$F$4,"Modérée","Faible")))</f>
        <v>Forte</v>
      </c>
    </row>
    <row r="691" spans="1:13">
      <c r="A691" t="s">
        <v>1173</v>
      </c>
      <c r="B691" s="11">
        <v>78</v>
      </c>
      <c r="C691" t="s">
        <v>135</v>
      </c>
      <c r="D691" t="s">
        <v>797</v>
      </c>
      <c r="E691" t="s">
        <v>885</v>
      </c>
      <c r="F691" t="s">
        <v>92</v>
      </c>
      <c r="G691" s="12">
        <v>30</v>
      </c>
      <c r="H691" s="12">
        <v>794</v>
      </c>
      <c r="I691" s="12">
        <v>29</v>
      </c>
      <c r="J691" t="str">
        <f>VLOOKUP(B691,Paramètres!$A$4:$C$11,3,FALSE)</f>
        <v>Grande couronne</v>
      </c>
      <c r="K691" s="13">
        <f>IFERROR(H691/G691,"")</f>
        <v>26.466666666666665</v>
      </c>
      <c r="L691" s="14">
        <f>IFERROR(I691/G691,"")</f>
        <v>0.96666666666666667</v>
      </c>
      <c r="M691" s="11" t="str">
        <f>IF(K691&gt;=Paramètres!$F$6,"Très forte",IF(K691&gt;=Paramètres!$F$5,"Forte",IF(K691&gt;=Paramètres!$F$4,"Modérée","Faible")))</f>
        <v>Forte</v>
      </c>
    </row>
    <row r="692" spans="1:13">
      <c r="A692" t="s">
        <v>907</v>
      </c>
      <c r="B692" s="11">
        <v>93</v>
      </c>
      <c r="C692" t="s">
        <v>100</v>
      </c>
      <c r="D692" t="s">
        <v>797</v>
      </c>
      <c r="E692" t="s">
        <v>832</v>
      </c>
      <c r="F692" t="s">
        <v>92</v>
      </c>
      <c r="G692" s="12">
        <v>30</v>
      </c>
      <c r="H692" s="12">
        <v>792</v>
      </c>
      <c r="I692" s="12">
        <v>30</v>
      </c>
      <c r="J692" t="str">
        <f>VLOOKUP(B692,Paramètres!$A$4:$C$11,3,FALSE)</f>
        <v>Petite couronne</v>
      </c>
      <c r="K692" s="13">
        <f>IFERROR(H692/G692,"")</f>
        <v>26.4</v>
      </c>
      <c r="L692" s="14">
        <f>IFERROR(I692/G692,"")</f>
        <v>1</v>
      </c>
      <c r="M692" s="11" t="str">
        <f>IF(K692&gt;=Paramètres!$F$6,"Très forte",IF(K692&gt;=Paramètres!$F$5,"Forte",IF(K692&gt;=Paramètres!$F$4,"Modérée","Faible")))</f>
        <v>Forte</v>
      </c>
    </row>
    <row r="693" spans="1:13">
      <c r="A693" t="s">
        <v>851</v>
      </c>
      <c r="B693" s="11">
        <v>75</v>
      </c>
      <c r="C693" t="s">
        <v>86</v>
      </c>
      <c r="D693" t="s">
        <v>797</v>
      </c>
      <c r="E693" t="s">
        <v>1035</v>
      </c>
      <c r="F693" t="s">
        <v>92</v>
      </c>
      <c r="G693" s="12">
        <v>30</v>
      </c>
      <c r="H693" s="12">
        <v>785</v>
      </c>
      <c r="I693" s="12">
        <v>32</v>
      </c>
      <c r="J693" t="str">
        <f>VLOOKUP(B693,Paramètres!$A$4:$C$11,3,FALSE)</f>
        <v>Paris</v>
      </c>
      <c r="K693" s="13">
        <f>IFERROR(H693/G693,"")</f>
        <v>26.166666666666668</v>
      </c>
      <c r="L693" s="14">
        <f>IFERROR(I693/G693,"")</f>
        <v>1.0666666666666667</v>
      </c>
      <c r="M693" s="11" t="str">
        <f>IF(K693&gt;=Paramètres!$F$6,"Très forte",IF(K693&gt;=Paramètres!$F$5,"Forte",IF(K693&gt;=Paramètres!$F$4,"Modérée","Faible")))</f>
        <v>Forte</v>
      </c>
    </row>
    <row r="694" spans="1:13">
      <c r="A694" t="s">
        <v>1033</v>
      </c>
      <c r="B694" s="11">
        <v>75</v>
      </c>
      <c r="C694" t="s">
        <v>86</v>
      </c>
      <c r="D694" t="s">
        <v>797</v>
      </c>
      <c r="E694" t="s">
        <v>861</v>
      </c>
      <c r="F694" t="s">
        <v>92</v>
      </c>
      <c r="G694" s="12">
        <v>30</v>
      </c>
      <c r="H694" s="12">
        <v>780</v>
      </c>
      <c r="I694" s="12">
        <v>32</v>
      </c>
      <c r="J694" t="str">
        <f>VLOOKUP(B694,Paramètres!$A$4:$C$11,3,FALSE)</f>
        <v>Paris</v>
      </c>
      <c r="K694" s="13">
        <f>IFERROR(H694/G694,"")</f>
        <v>26</v>
      </c>
      <c r="L694" s="14">
        <f>IFERROR(I694/G694,"")</f>
        <v>1.0666666666666667</v>
      </c>
      <c r="M694" s="11" t="str">
        <f>IF(K694&gt;=Paramètres!$F$6,"Très forte",IF(K694&gt;=Paramètres!$F$5,"Forte",IF(K694&gt;=Paramètres!$F$4,"Modérée","Faible")))</f>
        <v>Forte</v>
      </c>
    </row>
    <row r="695" spans="1:13">
      <c r="A695" t="s">
        <v>1084</v>
      </c>
      <c r="B695" s="11">
        <v>93</v>
      </c>
      <c r="C695" t="s">
        <v>100</v>
      </c>
      <c r="D695" t="s">
        <v>797</v>
      </c>
      <c r="E695" t="s">
        <v>825</v>
      </c>
      <c r="F695" t="s">
        <v>92</v>
      </c>
      <c r="G695" s="12">
        <v>70</v>
      </c>
      <c r="H695" s="12">
        <v>1819</v>
      </c>
      <c r="I695" s="12">
        <v>66</v>
      </c>
      <c r="J695" t="str">
        <f>VLOOKUP(B695,Paramètres!$A$4:$C$11,3,FALSE)</f>
        <v>Petite couronne</v>
      </c>
      <c r="K695" s="13">
        <f>IFERROR(H695/G695,"")</f>
        <v>25.985714285714284</v>
      </c>
      <c r="L695" s="14">
        <f>IFERROR(I695/G695,"")</f>
        <v>0.94285714285714284</v>
      </c>
      <c r="M695" s="11" t="str">
        <f>IF(K695&gt;=Paramètres!$F$6,"Très forte",IF(K695&gt;=Paramètres!$F$5,"Forte",IF(K695&gt;=Paramètres!$F$4,"Modérée","Faible")))</f>
        <v>Forte</v>
      </c>
    </row>
    <row r="696" spans="1:13">
      <c r="A696" t="s">
        <v>1052</v>
      </c>
      <c r="B696" s="11">
        <v>77</v>
      </c>
      <c r="C696" t="s">
        <v>132</v>
      </c>
      <c r="D696" t="s">
        <v>797</v>
      </c>
      <c r="E696" t="s">
        <v>823</v>
      </c>
      <c r="F696" t="s">
        <v>92</v>
      </c>
      <c r="G696" s="12">
        <v>48</v>
      </c>
      <c r="H696" s="12">
        <v>1228</v>
      </c>
      <c r="I696" s="12">
        <v>47</v>
      </c>
      <c r="J696" t="str">
        <f>VLOOKUP(B696,Paramètres!$A$4:$C$11,3,FALSE)</f>
        <v>Grande couronne</v>
      </c>
      <c r="K696" s="13">
        <f>IFERROR(H696/G696,"")</f>
        <v>25.583333333333332</v>
      </c>
      <c r="L696" s="14">
        <f>IFERROR(I696/G696,"")</f>
        <v>0.97916666666666663</v>
      </c>
      <c r="M696" s="11" t="str">
        <f>IF(K696&gt;=Paramètres!$F$6,"Très forte",IF(K696&gt;=Paramètres!$F$5,"Forte",IF(K696&gt;=Paramètres!$F$4,"Modérée","Faible")))</f>
        <v>Forte</v>
      </c>
    </row>
    <row r="697" spans="1:13">
      <c r="A697" t="s">
        <v>963</v>
      </c>
      <c r="B697" s="11">
        <v>94</v>
      </c>
      <c r="C697" t="s">
        <v>116</v>
      </c>
      <c r="D697" t="s">
        <v>797</v>
      </c>
      <c r="E697" t="s">
        <v>1003</v>
      </c>
      <c r="F697" t="s">
        <v>92</v>
      </c>
      <c r="G697" s="12">
        <v>35</v>
      </c>
      <c r="H697" s="12">
        <v>894</v>
      </c>
      <c r="I697" s="12">
        <v>29</v>
      </c>
      <c r="J697" t="str">
        <f>VLOOKUP(B697,Paramètres!$A$4:$C$11,3,FALSE)</f>
        <v>Petite couronne</v>
      </c>
      <c r="K697" s="13">
        <f>IFERROR(H697/G697,"")</f>
        <v>25.542857142857144</v>
      </c>
      <c r="L697" s="14">
        <f>IFERROR(I697/G697,"")</f>
        <v>0.82857142857142863</v>
      </c>
      <c r="M697" s="11" t="str">
        <f>IF(K697&gt;=Paramètres!$F$6,"Très forte",IF(K697&gt;=Paramètres!$F$5,"Forte",IF(K697&gt;=Paramètres!$F$4,"Modérée","Faible")))</f>
        <v>Forte</v>
      </c>
    </row>
    <row r="698" spans="1:13">
      <c r="A698" t="s">
        <v>1180</v>
      </c>
      <c r="B698" s="11">
        <v>91</v>
      </c>
      <c r="C698" t="s">
        <v>105</v>
      </c>
      <c r="D698" t="s">
        <v>797</v>
      </c>
      <c r="E698" t="s">
        <v>825</v>
      </c>
      <c r="F698" t="s">
        <v>92</v>
      </c>
      <c r="G698" s="12">
        <v>34</v>
      </c>
      <c r="H698" s="12">
        <v>859</v>
      </c>
      <c r="I698" s="12">
        <v>30</v>
      </c>
      <c r="J698" t="str">
        <f>VLOOKUP(B698,Paramètres!$A$4:$C$11,3,FALSE)</f>
        <v>Grande couronne</v>
      </c>
      <c r="K698" s="13">
        <f>IFERROR(H698/G698,"")</f>
        <v>25.264705882352942</v>
      </c>
      <c r="L698" s="14">
        <f>IFERROR(I698/G698,"")</f>
        <v>0.88235294117647056</v>
      </c>
      <c r="M698" s="11" t="str">
        <f>IF(K698&gt;=Paramètres!$F$6,"Très forte",IF(K698&gt;=Paramètres!$F$5,"Forte",IF(K698&gt;=Paramètres!$F$4,"Modérée","Faible")))</f>
        <v>Forte</v>
      </c>
    </row>
    <row r="699" spans="1:13">
      <c r="A699" t="s">
        <v>953</v>
      </c>
      <c r="B699" s="11">
        <v>93</v>
      </c>
      <c r="C699" t="s">
        <v>100</v>
      </c>
      <c r="D699" t="s">
        <v>797</v>
      </c>
      <c r="E699" t="s">
        <v>832</v>
      </c>
      <c r="F699" t="s">
        <v>92</v>
      </c>
      <c r="G699" s="12">
        <v>24</v>
      </c>
      <c r="H699" s="12">
        <v>606</v>
      </c>
      <c r="I699" s="12">
        <v>16</v>
      </c>
      <c r="J699" t="str">
        <f>VLOOKUP(B699,Paramètres!$A$4:$C$11,3,FALSE)</f>
        <v>Petite couronne</v>
      </c>
      <c r="K699" s="13">
        <f>IFERROR(H699/G699,"")</f>
        <v>25.25</v>
      </c>
      <c r="L699" s="14">
        <f>IFERROR(I699/G699,"")</f>
        <v>0.66666666666666663</v>
      </c>
      <c r="M699" s="11" t="str">
        <f>IF(K699&gt;=Paramètres!$F$6,"Très forte",IF(K699&gt;=Paramètres!$F$5,"Forte",IF(K699&gt;=Paramètres!$F$4,"Modérée","Faible")))</f>
        <v>Forte</v>
      </c>
    </row>
    <row r="700" spans="1:13">
      <c r="A700" t="s">
        <v>963</v>
      </c>
      <c r="B700" s="11">
        <v>94</v>
      </c>
      <c r="C700" t="s">
        <v>116</v>
      </c>
      <c r="D700" t="s">
        <v>797</v>
      </c>
      <c r="E700" t="s">
        <v>822</v>
      </c>
      <c r="F700" t="s">
        <v>92</v>
      </c>
      <c r="G700" s="12">
        <v>35</v>
      </c>
      <c r="H700" s="12">
        <v>881</v>
      </c>
      <c r="I700" s="12">
        <v>36</v>
      </c>
      <c r="J700" t="str">
        <f>VLOOKUP(B700,Paramètres!$A$4:$C$11,3,FALSE)</f>
        <v>Petite couronne</v>
      </c>
      <c r="K700" s="13">
        <f>IFERROR(H700/G700,"")</f>
        <v>25.171428571428571</v>
      </c>
      <c r="L700" s="14">
        <f>IFERROR(I700/G700,"")</f>
        <v>1.0285714285714285</v>
      </c>
      <c r="M700" s="11" t="str">
        <f>IF(K700&gt;=Paramètres!$F$6,"Très forte",IF(K700&gt;=Paramètres!$F$5,"Forte",IF(K700&gt;=Paramètres!$F$4,"Modérée","Faible")))</f>
        <v>Forte</v>
      </c>
    </row>
    <row r="701" spans="1:13">
      <c r="A701" t="s">
        <v>984</v>
      </c>
      <c r="B701" s="11">
        <v>95</v>
      </c>
      <c r="C701" t="s">
        <v>90</v>
      </c>
      <c r="D701" t="s">
        <v>797</v>
      </c>
      <c r="E701" t="s">
        <v>825</v>
      </c>
      <c r="F701" t="s">
        <v>92</v>
      </c>
      <c r="G701" s="12">
        <v>30</v>
      </c>
      <c r="H701" s="12">
        <v>755</v>
      </c>
      <c r="I701" s="12">
        <v>27</v>
      </c>
      <c r="J701" t="str">
        <f>VLOOKUP(B701,Paramètres!$A$4:$C$11,3,FALSE)</f>
        <v>Grande couronne</v>
      </c>
      <c r="K701" s="13">
        <f>IFERROR(H701/G701,"")</f>
        <v>25.166666666666668</v>
      </c>
      <c r="L701" s="14">
        <f>IFERROR(I701/G701,"")</f>
        <v>0.9</v>
      </c>
      <c r="M701" s="11" t="str">
        <f>IF(K701&gt;=Paramètres!$F$6,"Très forte",IF(K701&gt;=Paramètres!$F$5,"Forte",IF(K701&gt;=Paramètres!$F$4,"Modérée","Faible")))</f>
        <v>Forte</v>
      </c>
    </row>
    <row r="702" spans="1:13">
      <c r="A702" t="s">
        <v>979</v>
      </c>
      <c r="B702" s="11">
        <v>95</v>
      </c>
      <c r="C702" t="s">
        <v>90</v>
      </c>
      <c r="D702" t="s">
        <v>797</v>
      </c>
      <c r="E702" t="s">
        <v>911</v>
      </c>
      <c r="F702" t="s">
        <v>92</v>
      </c>
      <c r="G702" s="12">
        <v>34</v>
      </c>
      <c r="H702" s="12">
        <v>854</v>
      </c>
      <c r="I702" s="12">
        <v>33</v>
      </c>
      <c r="J702" t="str">
        <f>VLOOKUP(B702,Paramètres!$A$4:$C$11,3,FALSE)</f>
        <v>Grande couronne</v>
      </c>
      <c r="K702" s="13">
        <f>IFERROR(H702/G702,"")</f>
        <v>25.117647058823529</v>
      </c>
      <c r="L702" s="14">
        <f>IFERROR(I702/G702,"")</f>
        <v>0.97058823529411764</v>
      </c>
      <c r="M702" s="11" t="str">
        <f>IF(K702&gt;=Paramètres!$F$6,"Très forte",IF(K702&gt;=Paramètres!$F$5,"Forte",IF(K702&gt;=Paramètres!$F$4,"Modérée","Faible")))</f>
        <v>Forte</v>
      </c>
    </row>
    <row r="703" spans="1:13">
      <c r="A703" t="s">
        <v>1117</v>
      </c>
      <c r="B703" s="11">
        <v>95</v>
      </c>
      <c r="C703" t="s">
        <v>90</v>
      </c>
      <c r="D703" t="s">
        <v>797</v>
      </c>
      <c r="E703" t="s">
        <v>839</v>
      </c>
      <c r="F703" t="s">
        <v>92</v>
      </c>
      <c r="G703" s="12">
        <v>28</v>
      </c>
      <c r="H703" s="12">
        <v>699</v>
      </c>
      <c r="I703" s="12">
        <v>28</v>
      </c>
      <c r="J703" t="str">
        <f>VLOOKUP(B703,Paramètres!$A$4:$C$11,3,FALSE)</f>
        <v>Grande couronne</v>
      </c>
      <c r="K703" s="13">
        <f>IFERROR(H703/G703,"")</f>
        <v>24.964285714285715</v>
      </c>
      <c r="L703" s="14">
        <f>IFERROR(I703/G703,"")</f>
        <v>1</v>
      </c>
      <c r="M703" s="11" t="str">
        <f>IF(K703&gt;=Paramètres!$F$6,"Très forte",IF(K703&gt;=Paramètres!$F$5,"Forte",IF(K703&gt;=Paramètres!$F$4,"Modérée","Faible")))</f>
        <v>Forte</v>
      </c>
    </row>
    <row r="704" spans="1:13">
      <c r="A704" t="s">
        <v>988</v>
      </c>
      <c r="B704" s="11">
        <v>95</v>
      </c>
      <c r="C704" t="s">
        <v>90</v>
      </c>
      <c r="D704" t="s">
        <v>797</v>
      </c>
      <c r="E704" t="s">
        <v>885</v>
      </c>
      <c r="F704" t="s">
        <v>92</v>
      </c>
      <c r="G704" s="12">
        <v>35</v>
      </c>
      <c r="H704" s="12">
        <v>873</v>
      </c>
      <c r="I704" s="12">
        <v>32</v>
      </c>
      <c r="J704" t="str">
        <f>VLOOKUP(B704,Paramètres!$A$4:$C$11,3,FALSE)</f>
        <v>Grande couronne</v>
      </c>
      <c r="K704" s="13">
        <f>IFERROR(H704/G704,"")</f>
        <v>24.942857142857143</v>
      </c>
      <c r="L704" s="14">
        <f>IFERROR(I704/G704,"")</f>
        <v>0.91428571428571426</v>
      </c>
      <c r="M704" s="11" t="str">
        <f>IF(K704&gt;=Paramètres!$F$6,"Très forte",IF(K704&gt;=Paramètres!$F$5,"Forte",IF(K704&gt;=Paramètres!$F$4,"Modérée","Faible")))</f>
        <v>Forte</v>
      </c>
    </row>
    <row r="705" spans="1:13">
      <c r="A705" t="s">
        <v>910</v>
      </c>
      <c r="B705" s="11">
        <v>78</v>
      </c>
      <c r="C705" t="s">
        <v>135</v>
      </c>
      <c r="D705" t="s">
        <v>797</v>
      </c>
      <c r="E705" t="s">
        <v>832</v>
      </c>
      <c r="F705" t="s">
        <v>92</v>
      </c>
      <c r="G705" s="12">
        <v>35</v>
      </c>
      <c r="H705" s="12">
        <v>868</v>
      </c>
      <c r="I705" s="12">
        <v>37</v>
      </c>
      <c r="J705" t="str">
        <f>VLOOKUP(B705,Paramètres!$A$4:$C$11,3,FALSE)</f>
        <v>Grande couronne</v>
      </c>
      <c r="K705" s="13">
        <f>IFERROR(H705/G705,"")</f>
        <v>24.8</v>
      </c>
      <c r="L705" s="14">
        <f>IFERROR(I705/G705,"")</f>
        <v>1.0571428571428572</v>
      </c>
      <c r="M705" s="11" t="str">
        <f>IF(K705&gt;=Paramètres!$F$6,"Très forte",IF(K705&gt;=Paramètres!$F$5,"Forte",IF(K705&gt;=Paramètres!$F$4,"Modérée","Faible")))</f>
        <v>Forte</v>
      </c>
    </row>
    <row r="706" spans="1:13">
      <c r="A706" t="s">
        <v>818</v>
      </c>
      <c r="B706" s="11">
        <v>77</v>
      </c>
      <c r="C706" t="s">
        <v>132</v>
      </c>
      <c r="D706" t="s">
        <v>797</v>
      </c>
      <c r="E706" t="s">
        <v>819</v>
      </c>
      <c r="F706" t="s">
        <v>92</v>
      </c>
      <c r="G706" s="12">
        <v>24</v>
      </c>
      <c r="H706" s="12">
        <v>590</v>
      </c>
      <c r="I706" s="12">
        <v>24</v>
      </c>
      <c r="J706" t="str">
        <f>VLOOKUP(B706,Paramètres!$A$4:$C$11,3,FALSE)</f>
        <v>Grande couronne</v>
      </c>
      <c r="K706" s="13">
        <f>IFERROR(H706/G706,"")</f>
        <v>24.583333333333332</v>
      </c>
      <c r="L706" s="14">
        <f>IFERROR(I706/G706,"")</f>
        <v>1</v>
      </c>
      <c r="M706" s="11" t="str">
        <f>IF(K706&gt;=Paramètres!$F$6,"Très forte",IF(K706&gt;=Paramètres!$F$5,"Forte",IF(K706&gt;=Paramètres!$F$4,"Modérée","Faible")))</f>
        <v>Forte</v>
      </c>
    </row>
    <row r="707" spans="1:13">
      <c r="A707" t="s">
        <v>1162</v>
      </c>
      <c r="B707" s="11">
        <v>94</v>
      </c>
      <c r="C707" t="s">
        <v>116</v>
      </c>
      <c r="D707" t="s">
        <v>797</v>
      </c>
      <c r="E707" t="s">
        <v>825</v>
      </c>
      <c r="F707" t="s">
        <v>92</v>
      </c>
      <c r="G707" s="12">
        <v>30</v>
      </c>
      <c r="H707" s="12">
        <v>735</v>
      </c>
      <c r="I707" s="12">
        <v>27</v>
      </c>
      <c r="J707" t="str">
        <f>VLOOKUP(B707,Paramètres!$A$4:$C$11,3,FALSE)</f>
        <v>Petite couronne</v>
      </c>
      <c r="K707" s="13">
        <f>IFERROR(H707/G707,"")</f>
        <v>24.5</v>
      </c>
      <c r="L707" s="14">
        <f>IFERROR(I707/G707,"")</f>
        <v>0.9</v>
      </c>
      <c r="M707" s="11" t="str">
        <f>IF(K707&gt;=Paramètres!$F$6,"Très forte",IF(K707&gt;=Paramètres!$F$5,"Forte",IF(K707&gt;=Paramètres!$F$4,"Modérée","Faible")))</f>
        <v>Forte</v>
      </c>
    </row>
    <row r="708" spans="1:13">
      <c r="A708" t="s">
        <v>1163</v>
      </c>
      <c r="B708" s="11">
        <v>95</v>
      </c>
      <c r="C708" t="s">
        <v>90</v>
      </c>
      <c r="D708" t="s">
        <v>797</v>
      </c>
      <c r="E708" t="s">
        <v>798</v>
      </c>
      <c r="F708" t="s">
        <v>92</v>
      </c>
      <c r="G708" s="12">
        <v>53</v>
      </c>
      <c r="H708" s="12">
        <v>1298</v>
      </c>
      <c r="I708" s="12">
        <v>53</v>
      </c>
      <c r="J708" t="str">
        <f>VLOOKUP(B708,Paramètres!$A$4:$C$11,3,FALSE)</f>
        <v>Grande couronne</v>
      </c>
      <c r="K708" s="13">
        <f>IFERROR(H708/G708,"")</f>
        <v>24.490566037735849</v>
      </c>
      <c r="L708" s="14">
        <f>IFERROR(I708/G708,"")</f>
        <v>1</v>
      </c>
      <c r="M708" s="11" t="str">
        <f>IF(K708&gt;=Paramètres!$F$6,"Très forte",IF(K708&gt;=Paramètres!$F$5,"Forte",IF(K708&gt;=Paramètres!$F$4,"Modérée","Faible")))</f>
        <v>Forte</v>
      </c>
    </row>
    <row r="709" spans="1:13">
      <c r="A709" t="s">
        <v>1067</v>
      </c>
      <c r="B709" s="11">
        <v>91</v>
      </c>
      <c r="C709" t="s">
        <v>105</v>
      </c>
      <c r="D709" t="s">
        <v>797</v>
      </c>
      <c r="E709" t="s">
        <v>837</v>
      </c>
      <c r="F709" t="s">
        <v>92</v>
      </c>
      <c r="G709" s="12">
        <v>30</v>
      </c>
      <c r="H709" s="12">
        <v>734</v>
      </c>
      <c r="I709" s="12">
        <v>30</v>
      </c>
      <c r="J709" t="str">
        <f>VLOOKUP(B709,Paramètres!$A$4:$C$11,3,FALSE)</f>
        <v>Grande couronne</v>
      </c>
      <c r="K709" s="13">
        <f>IFERROR(H709/G709,"")</f>
        <v>24.466666666666665</v>
      </c>
      <c r="L709" s="14">
        <f>IFERROR(I709/G709,"")</f>
        <v>1</v>
      </c>
      <c r="M709" s="11" t="str">
        <f>IF(K709&gt;=Paramètres!$F$6,"Très forte",IF(K709&gt;=Paramètres!$F$5,"Forte",IF(K709&gt;=Paramètres!$F$4,"Modérée","Faible")))</f>
        <v>Forte</v>
      </c>
    </row>
    <row r="710" spans="1:13">
      <c r="A710" t="s">
        <v>1168</v>
      </c>
      <c r="B710" s="11">
        <v>94</v>
      </c>
      <c r="C710" t="s">
        <v>116</v>
      </c>
      <c r="D710" t="s">
        <v>797</v>
      </c>
      <c r="E710" t="s">
        <v>958</v>
      </c>
      <c r="F710" t="s">
        <v>92</v>
      </c>
      <c r="G710" s="12">
        <v>35</v>
      </c>
      <c r="H710" s="12">
        <v>854</v>
      </c>
      <c r="I710" s="12">
        <v>31</v>
      </c>
      <c r="J710" t="str">
        <f>VLOOKUP(B710,Paramètres!$A$4:$C$11,3,FALSE)</f>
        <v>Petite couronne</v>
      </c>
      <c r="K710" s="13">
        <f>IFERROR(H710/G710,"")</f>
        <v>24.4</v>
      </c>
      <c r="L710" s="14">
        <f>IFERROR(I710/G710,"")</f>
        <v>0.88571428571428568</v>
      </c>
      <c r="M710" s="11" t="str">
        <f>IF(K710&gt;=Paramètres!$F$6,"Très forte",IF(K710&gt;=Paramètres!$F$5,"Forte",IF(K710&gt;=Paramètres!$F$4,"Modérée","Faible")))</f>
        <v>Forte</v>
      </c>
    </row>
    <row r="711" spans="1:13">
      <c r="A711" t="s">
        <v>1149</v>
      </c>
      <c r="B711" s="11">
        <v>91</v>
      </c>
      <c r="C711" t="s">
        <v>105</v>
      </c>
      <c r="D711" t="s">
        <v>797</v>
      </c>
      <c r="E711" t="s">
        <v>839</v>
      </c>
      <c r="F711" t="s">
        <v>92</v>
      </c>
      <c r="G711" s="12">
        <v>30</v>
      </c>
      <c r="H711" s="12">
        <v>725</v>
      </c>
      <c r="I711" s="12">
        <v>26</v>
      </c>
      <c r="J711" t="str">
        <f>VLOOKUP(B711,Paramètres!$A$4:$C$11,3,FALSE)</f>
        <v>Grande couronne</v>
      </c>
      <c r="K711" s="13">
        <f>IFERROR(H711/G711,"")</f>
        <v>24.166666666666668</v>
      </c>
      <c r="L711" s="14">
        <f>IFERROR(I711/G711,"")</f>
        <v>0.8666666666666667</v>
      </c>
      <c r="M711" s="11" t="str">
        <f>IF(K711&gt;=Paramètres!$F$6,"Très forte",IF(K711&gt;=Paramètres!$F$5,"Forte",IF(K711&gt;=Paramètres!$F$4,"Modérée","Faible")))</f>
        <v>Forte</v>
      </c>
    </row>
    <row r="712" spans="1:13">
      <c r="A712" t="s">
        <v>1085</v>
      </c>
      <c r="B712" s="11">
        <v>93</v>
      </c>
      <c r="C712" t="s">
        <v>100</v>
      </c>
      <c r="D712" t="s">
        <v>797</v>
      </c>
      <c r="E712" t="s">
        <v>822</v>
      </c>
      <c r="F712" t="s">
        <v>92</v>
      </c>
      <c r="G712" s="12">
        <v>35</v>
      </c>
      <c r="H712" s="12">
        <v>842</v>
      </c>
      <c r="I712" s="12">
        <v>35</v>
      </c>
      <c r="J712" t="str">
        <f>VLOOKUP(B712,Paramètres!$A$4:$C$11,3,FALSE)</f>
        <v>Petite couronne</v>
      </c>
      <c r="K712" s="13">
        <f>IFERROR(H712/G712,"")</f>
        <v>24.057142857142857</v>
      </c>
      <c r="L712" s="14">
        <f>IFERROR(I712/G712,"")</f>
        <v>1</v>
      </c>
      <c r="M712" s="11" t="str">
        <f>IF(K712&gt;=Paramètres!$F$6,"Très forte",IF(K712&gt;=Paramètres!$F$5,"Forte",IF(K712&gt;=Paramètres!$F$4,"Modérée","Faible")))</f>
        <v>Forte</v>
      </c>
    </row>
    <row r="713" spans="1:13">
      <c r="A713" t="s">
        <v>1108</v>
      </c>
      <c r="B713" s="11">
        <v>77</v>
      </c>
      <c r="C713" t="s">
        <v>132</v>
      </c>
      <c r="D713" t="s">
        <v>797</v>
      </c>
      <c r="E713" t="s">
        <v>819</v>
      </c>
      <c r="F713" t="s">
        <v>92</v>
      </c>
      <c r="G713" s="12">
        <v>35</v>
      </c>
      <c r="H713" s="12">
        <v>839</v>
      </c>
      <c r="I713" s="12">
        <v>28</v>
      </c>
      <c r="J713" t="str">
        <f>VLOOKUP(B713,Paramètres!$A$4:$C$11,3,FALSE)</f>
        <v>Grande couronne</v>
      </c>
      <c r="K713" s="13">
        <f>IFERROR(H713/G713,"")</f>
        <v>23.971428571428572</v>
      </c>
      <c r="L713" s="14">
        <f>IFERROR(I713/G713,"")</f>
        <v>0.8</v>
      </c>
      <c r="M713" s="11" t="str">
        <f>IF(K713&gt;=Paramètres!$F$6,"Très forte",IF(K713&gt;=Paramètres!$F$5,"Forte",IF(K713&gt;=Paramètres!$F$4,"Modérée","Faible")))</f>
        <v>Forte</v>
      </c>
    </row>
    <row r="714" spans="1:13">
      <c r="A714" t="s">
        <v>983</v>
      </c>
      <c r="B714" s="11">
        <v>95</v>
      </c>
      <c r="C714" t="s">
        <v>90</v>
      </c>
      <c r="D714" t="s">
        <v>797</v>
      </c>
      <c r="E714" t="s">
        <v>822</v>
      </c>
      <c r="F714" t="s">
        <v>92</v>
      </c>
      <c r="G714" s="12">
        <v>35</v>
      </c>
      <c r="H714" s="12">
        <v>836</v>
      </c>
      <c r="I714" s="12">
        <v>35</v>
      </c>
      <c r="J714" t="str">
        <f>VLOOKUP(B714,Paramètres!$A$4:$C$11,3,FALSE)</f>
        <v>Grande couronne</v>
      </c>
      <c r="K714" s="13">
        <f>IFERROR(H714/G714,"")</f>
        <v>23.885714285714286</v>
      </c>
      <c r="L714" s="14">
        <f>IFERROR(I714/G714,"")</f>
        <v>1</v>
      </c>
      <c r="M714" s="11" t="str">
        <f>IF(K714&gt;=Paramètres!$F$6,"Très forte",IF(K714&gt;=Paramètres!$F$5,"Forte",IF(K714&gt;=Paramètres!$F$4,"Modérée","Faible")))</f>
        <v>Forte</v>
      </c>
    </row>
    <row r="715" spans="1:13">
      <c r="A715" t="s">
        <v>909</v>
      </c>
      <c r="B715" s="11">
        <v>78</v>
      </c>
      <c r="C715" t="s">
        <v>135</v>
      </c>
      <c r="D715" t="s">
        <v>797</v>
      </c>
      <c r="E715" t="s">
        <v>823</v>
      </c>
      <c r="F715" t="s">
        <v>92</v>
      </c>
      <c r="G715" s="12">
        <v>32</v>
      </c>
      <c r="H715" s="12">
        <v>761</v>
      </c>
      <c r="I715" s="12">
        <v>34</v>
      </c>
      <c r="J715" t="str">
        <f>VLOOKUP(B715,Paramètres!$A$4:$C$11,3,FALSE)</f>
        <v>Grande couronne</v>
      </c>
      <c r="K715" s="13">
        <f>IFERROR(H715/G715,"")</f>
        <v>23.78125</v>
      </c>
      <c r="L715" s="14">
        <f>IFERROR(I715/G715,"")</f>
        <v>1.0625</v>
      </c>
      <c r="M715" s="11" t="str">
        <f>IF(K715&gt;=Paramètres!$F$6,"Très forte",IF(K715&gt;=Paramètres!$F$5,"Forte",IF(K715&gt;=Paramètres!$F$4,"Modérée","Faible")))</f>
        <v>Forte</v>
      </c>
    </row>
    <row r="716" spans="1:13">
      <c r="A716" t="s">
        <v>859</v>
      </c>
      <c r="B716" s="11">
        <v>75</v>
      </c>
      <c r="C716" t="s">
        <v>86</v>
      </c>
      <c r="D716" t="s">
        <v>797</v>
      </c>
      <c r="E716" t="s">
        <v>883</v>
      </c>
      <c r="F716" t="s">
        <v>92</v>
      </c>
      <c r="G716" s="12">
        <v>24</v>
      </c>
      <c r="H716" s="12">
        <v>568</v>
      </c>
      <c r="I716" s="12">
        <v>23</v>
      </c>
      <c r="J716" t="str">
        <f>VLOOKUP(B716,Paramètres!$A$4:$C$11,3,FALSE)</f>
        <v>Paris</v>
      </c>
      <c r="K716" s="13">
        <f>IFERROR(H716/G716,"")</f>
        <v>23.666666666666668</v>
      </c>
      <c r="L716" s="14">
        <f>IFERROR(I716/G716,"")</f>
        <v>0.95833333333333337</v>
      </c>
      <c r="M716" s="11" t="str">
        <f>IF(K716&gt;=Paramètres!$F$6,"Très forte",IF(K716&gt;=Paramètres!$F$5,"Forte",IF(K716&gt;=Paramètres!$F$4,"Modérée","Faible")))</f>
        <v>Forte</v>
      </c>
    </row>
    <row r="717" spans="1:13">
      <c r="A717" t="s">
        <v>1053</v>
      </c>
      <c r="B717" s="11">
        <v>77</v>
      </c>
      <c r="C717" t="s">
        <v>132</v>
      </c>
      <c r="D717" t="s">
        <v>797</v>
      </c>
      <c r="E717" t="s">
        <v>822</v>
      </c>
      <c r="F717" t="s">
        <v>92</v>
      </c>
      <c r="G717" s="12">
        <v>35</v>
      </c>
      <c r="H717" s="12">
        <v>822</v>
      </c>
      <c r="I717" s="12">
        <v>24</v>
      </c>
      <c r="J717" t="str">
        <f>VLOOKUP(B717,Paramètres!$A$4:$C$11,3,FALSE)</f>
        <v>Grande couronne</v>
      </c>
      <c r="K717" s="13">
        <f>IFERROR(H717/G717,"")</f>
        <v>23.485714285714284</v>
      </c>
      <c r="L717" s="14">
        <f>IFERROR(I717/G717,"")</f>
        <v>0.68571428571428572</v>
      </c>
      <c r="M717" s="11" t="str">
        <f>IF(K717&gt;=Paramètres!$F$6,"Très forte",IF(K717&gt;=Paramètres!$F$5,"Forte",IF(K717&gt;=Paramètres!$F$4,"Modérée","Faible")))</f>
        <v>Forte</v>
      </c>
    </row>
    <row r="718" spans="1:13">
      <c r="A718" t="s">
        <v>892</v>
      </c>
      <c r="B718" s="11">
        <v>93</v>
      </c>
      <c r="C718" t="s">
        <v>100</v>
      </c>
      <c r="D718" t="s">
        <v>797</v>
      </c>
      <c r="E718" t="s">
        <v>1003</v>
      </c>
      <c r="F718" t="s">
        <v>92</v>
      </c>
      <c r="G718" s="12">
        <v>24</v>
      </c>
      <c r="H718" s="12">
        <v>563</v>
      </c>
      <c r="I718" s="12">
        <v>18</v>
      </c>
      <c r="J718" t="str">
        <f>VLOOKUP(B718,Paramètres!$A$4:$C$11,3,FALSE)</f>
        <v>Petite couronne</v>
      </c>
      <c r="K718" s="13">
        <f>IFERROR(H718/G718,"")</f>
        <v>23.458333333333332</v>
      </c>
      <c r="L718" s="14">
        <f>IFERROR(I718/G718,"")</f>
        <v>0.75</v>
      </c>
      <c r="M718" s="11" t="str">
        <f>IF(K718&gt;=Paramètres!$F$6,"Très forte",IF(K718&gt;=Paramètres!$F$5,"Forte",IF(K718&gt;=Paramètres!$F$4,"Modérée","Faible")))</f>
        <v>Forte</v>
      </c>
    </row>
    <row r="719" spans="1:13">
      <c r="A719" t="s">
        <v>1204</v>
      </c>
      <c r="B719" s="11">
        <v>75</v>
      </c>
      <c r="C719" t="s">
        <v>86</v>
      </c>
      <c r="D719" t="s">
        <v>797</v>
      </c>
      <c r="E719" t="s">
        <v>923</v>
      </c>
      <c r="F719" t="s">
        <v>92</v>
      </c>
      <c r="G719" s="12">
        <v>72</v>
      </c>
      <c r="H719" s="12">
        <v>1682</v>
      </c>
      <c r="I719" s="12">
        <v>63</v>
      </c>
      <c r="J719" t="str">
        <f>VLOOKUP(B719,Paramètres!$A$4:$C$11,3,FALSE)</f>
        <v>Paris</v>
      </c>
      <c r="K719" s="13">
        <f>IFERROR(H719/G719,"")</f>
        <v>23.361111111111111</v>
      </c>
      <c r="L719" s="14">
        <f>IFERROR(I719/G719,"")</f>
        <v>0.875</v>
      </c>
      <c r="M719" s="11" t="str">
        <f>IF(K719&gt;=Paramètres!$F$6,"Très forte",IF(K719&gt;=Paramètres!$F$5,"Forte",IF(K719&gt;=Paramètres!$F$4,"Modérée","Faible")))</f>
        <v>Forte</v>
      </c>
    </row>
    <row r="720" spans="1:13">
      <c r="A720" t="s">
        <v>950</v>
      </c>
      <c r="B720" s="11">
        <v>93</v>
      </c>
      <c r="C720" t="s">
        <v>100</v>
      </c>
      <c r="D720" t="s">
        <v>797</v>
      </c>
      <c r="E720" t="s">
        <v>822</v>
      </c>
      <c r="F720" t="s">
        <v>92</v>
      </c>
      <c r="G720" s="12">
        <v>59</v>
      </c>
      <c r="H720" s="12">
        <v>1374</v>
      </c>
      <c r="I720" s="12">
        <v>59</v>
      </c>
      <c r="J720" t="str">
        <f>VLOOKUP(B720,Paramètres!$A$4:$C$11,3,FALSE)</f>
        <v>Petite couronne</v>
      </c>
      <c r="K720" s="13">
        <f>IFERROR(H720/G720,"")</f>
        <v>23.288135593220339</v>
      </c>
      <c r="L720" s="14">
        <f>IFERROR(I720/G720,"")</f>
        <v>1</v>
      </c>
      <c r="M720" s="11" t="str">
        <f>IF(K720&gt;=Paramètres!$F$6,"Très forte",IF(K720&gt;=Paramètres!$F$5,"Forte",IF(K720&gt;=Paramètres!$F$4,"Modérée","Faible")))</f>
        <v>Forte</v>
      </c>
    </row>
    <row r="721" spans="1:13">
      <c r="A721" t="s">
        <v>892</v>
      </c>
      <c r="B721" s="11">
        <v>77</v>
      </c>
      <c r="C721" t="s">
        <v>132</v>
      </c>
      <c r="D721" t="s">
        <v>797</v>
      </c>
      <c r="E721" t="s">
        <v>798</v>
      </c>
      <c r="F721" t="s">
        <v>92</v>
      </c>
      <c r="G721" s="12">
        <v>35</v>
      </c>
      <c r="H721" s="12">
        <v>812</v>
      </c>
      <c r="I721" s="12">
        <v>33</v>
      </c>
      <c r="J721" t="str">
        <f>VLOOKUP(B721,Paramètres!$A$4:$C$11,3,FALSE)</f>
        <v>Grande couronne</v>
      </c>
      <c r="K721" s="13">
        <f>IFERROR(H721/G721,"")</f>
        <v>23.2</v>
      </c>
      <c r="L721" s="14">
        <f>IFERROR(I721/G721,"")</f>
        <v>0.94285714285714284</v>
      </c>
      <c r="M721" s="11" t="str">
        <f>IF(K721&gt;=Paramètres!$F$6,"Très forte",IF(K721&gt;=Paramètres!$F$5,"Forte",IF(K721&gt;=Paramètres!$F$4,"Modérée","Faible")))</f>
        <v>Forte</v>
      </c>
    </row>
    <row r="722" spans="1:13">
      <c r="A722" t="s">
        <v>1091</v>
      </c>
      <c r="B722" s="11">
        <v>93</v>
      </c>
      <c r="C722" t="s">
        <v>100</v>
      </c>
      <c r="D722" t="s">
        <v>797</v>
      </c>
      <c r="E722" t="s">
        <v>1003</v>
      </c>
      <c r="F722" t="s">
        <v>92</v>
      </c>
      <c r="G722" s="12">
        <v>30</v>
      </c>
      <c r="H722" s="12">
        <v>694</v>
      </c>
      <c r="I722" s="12">
        <v>23</v>
      </c>
      <c r="J722" t="str">
        <f>VLOOKUP(B722,Paramètres!$A$4:$C$11,3,FALSE)</f>
        <v>Petite couronne</v>
      </c>
      <c r="K722" s="13">
        <f>IFERROR(H722/G722,"")</f>
        <v>23.133333333333333</v>
      </c>
      <c r="L722" s="14">
        <f>IFERROR(I722/G722,"")</f>
        <v>0.76666666666666672</v>
      </c>
      <c r="M722" s="11" t="str">
        <f>IF(K722&gt;=Paramètres!$F$6,"Très forte",IF(K722&gt;=Paramètres!$F$5,"Forte",IF(K722&gt;=Paramètres!$F$4,"Modérée","Faible")))</f>
        <v>Forte</v>
      </c>
    </row>
    <row r="723" spans="1:13">
      <c r="A723" t="s">
        <v>980</v>
      </c>
      <c r="B723" s="11">
        <v>95</v>
      </c>
      <c r="C723" t="s">
        <v>90</v>
      </c>
      <c r="D723" t="s">
        <v>797</v>
      </c>
      <c r="E723" t="s">
        <v>958</v>
      </c>
      <c r="F723" t="s">
        <v>92</v>
      </c>
      <c r="G723" s="12">
        <v>34</v>
      </c>
      <c r="H723" s="12">
        <v>786</v>
      </c>
      <c r="I723" s="12">
        <v>33</v>
      </c>
      <c r="J723" t="str">
        <f>VLOOKUP(B723,Paramètres!$A$4:$C$11,3,FALSE)</f>
        <v>Grande couronne</v>
      </c>
      <c r="K723" s="13">
        <f>IFERROR(H723/G723,"")</f>
        <v>23.117647058823529</v>
      </c>
      <c r="L723" s="14">
        <f>IFERROR(I723/G723,"")</f>
        <v>0.97058823529411764</v>
      </c>
      <c r="M723" s="11" t="str">
        <f>IF(K723&gt;=Paramètres!$F$6,"Très forte",IF(K723&gt;=Paramètres!$F$5,"Forte",IF(K723&gt;=Paramètres!$F$4,"Modérée","Faible")))</f>
        <v>Forte</v>
      </c>
    </row>
    <row r="724" spans="1:13">
      <c r="A724" t="s">
        <v>916</v>
      </c>
      <c r="B724" s="11">
        <v>91</v>
      </c>
      <c r="C724" t="s">
        <v>105</v>
      </c>
      <c r="D724" t="s">
        <v>797</v>
      </c>
      <c r="E724" t="s">
        <v>822</v>
      </c>
      <c r="F724" t="s">
        <v>92</v>
      </c>
      <c r="G724" s="12">
        <v>32</v>
      </c>
      <c r="H724" s="12">
        <v>738</v>
      </c>
      <c r="I724" s="12">
        <v>33</v>
      </c>
      <c r="J724" t="str">
        <f>VLOOKUP(B724,Paramètres!$A$4:$C$11,3,FALSE)</f>
        <v>Grande couronne</v>
      </c>
      <c r="K724" s="13">
        <f>IFERROR(H724/G724,"")</f>
        <v>23.0625</v>
      </c>
      <c r="L724" s="14">
        <f>IFERROR(I724/G724,"")</f>
        <v>1.03125</v>
      </c>
      <c r="M724" s="11" t="str">
        <f>IF(K724&gt;=Paramètres!$F$6,"Très forte",IF(K724&gt;=Paramètres!$F$5,"Forte",IF(K724&gt;=Paramètres!$F$4,"Modérée","Faible")))</f>
        <v>Forte</v>
      </c>
    </row>
    <row r="725" spans="1:13">
      <c r="A725" t="s">
        <v>913</v>
      </c>
      <c r="B725" s="11">
        <v>78</v>
      </c>
      <c r="C725" t="s">
        <v>135</v>
      </c>
      <c r="D725" t="s">
        <v>797</v>
      </c>
      <c r="E725" t="s">
        <v>991</v>
      </c>
      <c r="F725" t="s">
        <v>92</v>
      </c>
      <c r="G725" s="12">
        <v>35</v>
      </c>
      <c r="H725" s="12">
        <v>807</v>
      </c>
      <c r="I725" s="12">
        <v>34</v>
      </c>
      <c r="J725" t="str">
        <f>VLOOKUP(B725,Paramètres!$A$4:$C$11,3,FALSE)</f>
        <v>Grande couronne</v>
      </c>
      <c r="K725" s="13">
        <f>IFERROR(H725/G725,"")</f>
        <v>23.057142857142857</v>
      </c>
      <c r="L725" s="14">
        <f>IFERROR(I725/G725,"")</f>
        <v>0.97142857142857142</v>
      </c>
      <c r="M725" s="11" t="str">
        <f>IF(K725&gt;=Paramètres!$F$6,"Très forte",IF(K725&gt;=Paramètres!$F$5,"Forte",IF(K725&gt;=Paramètres!$F$4,"Modérée","Faible")))</f>
        <v>Forte</v>
      </c>
    </row>
    <row r="726" spans="1:13">
      <c r="A726" t="s">
        <v>1144</v>
      </c>
      <c r="B726" s="11">
        <v>78</v>
      </c>
      <c r="C726" t="s">
        <v>135</v>
      </c>
      <c r="D726" t="s">
        <v>797</v>
      </c>
      <c r="E726" t="s">
        <v>798</v>
      </c>
      <c r="F726" t="s">
        <v>92</v>
      </c>
      <c r="G726" s="12">
        <v>33</v>
      </c>
      <c r="H726" s="12">
        <v>757</v>
      </c>
      <c r="I726" s="12">
        <v>36</v>
      </c>
      <c r="J726" t="str">
        <f>VLOOKUP(B726,Paramètres!$A$4:$C$11,3,FALSE)</f>
        <v>Grande couronne</v>
      </c>
      <c r="K726" s="13">
        <f>IFERROR(H726/G726,"")</f>
        <v>22.939393939393938</v>
      </c>
      <c r="L726" s="14">
        <f>IFERROR(I726/G726,"")</f>
        <v>1.0909090909090908</v>
      </c>
      <c r="M726" s="11" t="str">
        <f>IF(K726&gt;=Paramètres!$F$6,"Très forte",IF(K726&gt;=Paramètres!$F$5,"Forte",IF(K726&gt;=Paramètres!$F$4,"Modérée","Faible")))</f>
        <v>Forte</v>
      </c>
    </row>
    <row r="727" spans="1:13">
      <c r="A727" t="s">
        <v>1237</v>
      </c>
      <c r="B727" s="11">
        <v>77</v>
      </c>
      <c r="C727" t="s">
        <v>132</v>
      </c>
      <c r="D727" t="s">
        <v>797</v>
      </c>
      <c r="E727" t="s">
        <v>819</v>
      </c>
      <c r="F727" t="s">
        <v>92</v>
      </c>
      <c r="G727" s="12">
        <v>24</v>
      </c>
      <c r="H727" s="12">
        <v>550</v>
      </c>
      <c r="I727" s="12">
        <v>23</v>
      </c>
      <c r="J727" t="str">
        <f>VLOOKUP(B727,Paramètres!$A$4:$C$11,3,FALSE)</f>
        <v>Grande couronne</v>
      </c>
      <c r="K727" s="13">
        <f>IFERROR(H727/G727,"")</f>
        <v>22.916666666666668</v>
      </c>
      <c r="L727" s="14">
        <f>IFERROR(I727/G727,"")</f>
        <v>0.95833333333333337</v>
      </c>
      <c r="M727" s="11" t="str">
        <f>IF(K727&gt;=Paramètres!$F$6,"Très forte",IF(K727&gt;=Paramètres!$F$5,"Forte",IF(K727&gt;=Paramètres!$F$4,"Modérée","Faible")))</f>
        <v>Forte</v>
      </c>
    </row>
    <row r="728" spans="1:13">
      <c r="A728" t="s">
        <v>982</v>
      </c>
      <c r="B728" s="11">
        <v>95</v>
      </c>
      <c r="C728" t="s">
        <v>90</v>
      </c>
      <c r="D728" t="s">
        <v>797</v>
      </c>
      <c r="E728" t="s">
        <v>832</v>
      </c>
      <c r="F728" t="s">
        <v>92</v>
      </c>
      <c r="G728" s="12">
        <v>35</v>
      </c>
      <c r="H728" s="12">
        <v>798</v>
      </c>
      <c r="I728" s="12">
        <v>30</v>
      </c>
      <c r="J728" t="str">
        <f>VLOOKUP(B728,Paramètres!$A$4:$C$11,3,FALSE)</f>
        <v>Grande couronne</v>
      </c>
      <c r="K728" s="13">
        <f>IFERROR(H728/G728,"")</f>
        <v>22.8</v>
      </c>
      <c r="L728" s="14">
        <f>IFERROR(I728/G728,"")</f>
        <v>0.8571428571428571</v>
      </c>
      <c r="M728" s="11" t="str">
        <f>IF(K728&gt;=Paramètres!$F$6,"Très forte",IF(K728&gt;=Paramètres!$F$5,"Forte",IF(K728&gt;=Paramètres!$F$4,"Modérée","Faible")))</f>
        <v>Forte</v>
      </c>
    </row>
    <row r="729" spans="1:13">
      <c r="A729" t="s">
        <v>1169</v>
      </c>
      <c r="B729" s="11">
        <v>94</v>
      </c>
      <c r="C729" t="s">
        <v>116</v>
      </c>
      <c r="D729" t="s">
        <v>797</v>
      </c>
      <c r="E729" t="s">
        <v>798</v>
      </c>
      <c r="F729" t="s">
        <v>92</v>
      </c>
      <c r="G729" s="12">
        <v>35</v>
      </c>
      <c r="H729" s="12">
        <v>796</v>
      </c>
      <c r="I729" s="12">
        <v>31</v>
      </c>
      <c r="J729" t="str">
        <f>VLOOKUP(B729,Paramètres!$A$4:$C$11,3,FALSE)</f>
        <v>Petite couronne</v>
      </c>
      <c r="K729" s="13">
        <f>IFERROR(H729/G729,"")</f>
        <v>22.742857142857144</v>
      </c>
      <c r="L729" s="14">
        <f>IFERROR(I729/G729,"")</f>
        <v>0.88571428571428568</v>
      </c>
      <c r="M729" s="11" t="str">
        <f>IF(K729&gt;=Paramètres!$F$6,"Très forte",IF(K729&gt;=Paramètres!$F$5,"Forte",IF(K729&gt;=Paramètres!$F$4,"Modérée","Faible")))</f>
        <v>Forte</v>
      </c>
    </row>
    <row r="730" spans="1:13">
      <c r="A730" t="s">
        <v>914</v>
      </c>
      <c r="B730" s="11">
        <v>91</v>
      </c>
      <c r="C730" t="s">
        <v>105</v>
      </c>
      <c r="D730" t="s">
        <v>797</v>
      </c>
      <c r="E730" t="s">
        <v>832</v>
      </c>
      <c r="F730" t="s">
        <v>92</v>
      </c>
      <c r="G730" s="12">
        <v>34</v>
      </c>
      <c r="H730" s="12">
        <v>773</v>
      </c>
      <c r="I730" s="12">
        <v>34</v>
      </c>
      <c r="J730" t="str">
        <f>VLOOKUP(B730,Paramètres!$A$4:$C$11,3,FALSE)</f>
        <v>Grande couronne</v>
      </c>
      <c r="K730" s="13">
        <f>IFERROR(H730/G730,"")</f>
        <v>22.735294117647058</v>
      </c>
      <c r="L730" s="14">
        <f>IFERROR(I730/G730,"")</f>
        <v>1</v>
      </c>
      <c r="M730" s="11" t="str">
        <f>IF(K730&gt;=Paramètres!$F$6,"Très forte",IF(K730&gt;=Paramètres!$F$5,"Forte",IF(K730&gt;=Paramètres!$F$4,"Modérée","Faible")))</f>
        <v>Forte</v>
      </c>
    </row>
    <row r="731" spans="1:13">
      <c r="A731" t="s">
        <v>908</v>
      </c>
      <c r="B731" s="11">
        <v>78</v>
      </c>
      <c r="C731" t="s">
        <v>135</v>
      </c>
      <c r="D731" t="s">
        <v>797</v>
      </c>
      <c r="E731" t="s">
        <v>872</v>
      </c>
      <c r="F731" t="s">
        <v>92</v>
      </c>
      <c r="G731" s="12">
        <v>30</v>
      </c>
      <c r="H731" s="12">
        <v>682</v>
      </c>
      <c r="I731" s="12">
        <v>27</v>
      </c>
      <c r="J731" t="str">
        <f>VLOOKUP(B731,Paramètres!$A$4:$C$11,3,FALSE)</f>
        <v>Grande couronne</v>
      </c>
      <c r="K731" s="13">
        <f>IFERROR(H731/G731,"")</f>
        <v>22.733333333333334</v>
      </c>
      <c r="L731" s="14">
        <f>IFERROR(I731/G731,"")</f>
        <v>0.9</v>
      </c>
      <c r="M731" s="11" t="str">
        <f>IF(K731&gt;=Paramètres!$F$6,"Très forte",IF(K731&gt;=Paramètres!$F$5,"Forte",IF(K731&gt;=Paramètres!$F$4,"Modérée","Faible")))</f>
        <v>Forte</v>
      </c>
    </row>
    <row r="732" spans="1:13">
      <c r="A732" t="s">
        <v>1092</v>
      </c>
      <c r="B732" s="11">
        <v>94</v>
      </c>
      <c r="C732" t="s">
        <v>116</v>
      </c>
      <c r="D732" t="s">
        <v>797</v>
      </c>
      <c r="E732" t="s">
        <v>844</v>
      </c>
      <c r="F732" t="s">
        <v>92</v>
      </c>
      <c r="G732" s="12">
        <v>24</v>
      </c>
      <c r="H732" s="12">
        <v>542</v>
      </c>
      <c r="I732" s="12">
        <v>24</v>
      </c>
      <c r="J732" t="str">
        <f>VLOOKUP(B732,Paramètres!$A$4:$C$11,3,FALSE)</f>
        <v>Petite couronne</v>
      </c>
      <c r="K732" s="13">
        <f>IFERROR(H732/G732,"")</f>
        <v>22.583333333333332</v>
      </c>
      <c r="L732" s="14">
        <f>IFERROR(I732/G732,"")</f>
        <v>1</v>
      </c>
      <c r="M732" s="11" t="str">
        <f>IF(K732&gt;=Paramètres!$F$6,"Très forte",IF(K732&gt;=Paramètres!$F$5,"Forte",IF(K732&gt;=Paramètres!$F$4,"Modérée","Faible")))</f>
        <v>Forte</v>
      </c>
    </row>
    <row r="733" spans="1:13">
      <c r="A733" t="s">
        <v>851</v>
      </c>
      <c r="B733" s="11">
        <v>75</v>
      </c>
      <c r="C733" t="s">
        <v>86</v>
      </c>
      <c r="D733" t="s">
        <v>797</v>
      </c>
      <c r="E733" t="s">
        <v>853</v>
      </c>
      <c r="F733" t="s">
        <v>92</v>
      </c>
      <c r="G733" s="12">
        <v>35</v>
      </c>
      <c r="H733" s="12">
        <v>790</v>
      </c>
      <c r="I733" s="12">
        <v>39</v>
      </c>
      <c r="J733" t="str">
        <f>VLOOKUP(B733,Paramètres!$A$4:$C$11,3,FALSE)</f>
        <v>Paris</v>
      </c>
      <c r="K733" s="13">
        <f>IFERROR(H733/G733,"")</f>
        <v>22.571428571428573</v>
      </c>
      <c r="L733" s="14">
        <f>IFERROR(I733/G733,"")</f>
        <v>1.1142857142857143</v>
      </c>
      <c r="M733" s="11" t="str">
        <f>IF(K733&gt;=Paramètres!$F$6,"Très forte",IF(K733&gt;=Paramètres!$F$5,"Forte",IF(K733&gt;=Paramètres!$F$4,"Modérée","Faible")))</f>
        <v>Forte</v>
      </c>
    </row>
    <row r="734" spans="1:13">
      <c r="A734" t="s">
        <v>835</v>
      </c>
      <c r="B734" s="11">
        <v>75</v>
      </c>
      <c r="C734" t="s">
        <v>86</v>
      </c>
      <c r="D734" t="s">
        <v>797</v>
      </c>
      <c r="E734" t="s">
        <v>836</v>
      </c>
      <c r="F734" t="s">
        <v>92</v>
      </c>
      <c r="G734" s="12">
        <v>24</v>
      </c>
      <c r="H734" s="12">
        <v>537</v>
      </c>
      <c r="I734" s="12">
        <v>19</v>
      </c>
      <c r="J734" t="str">
        <f>VLOOKUP(B734,Paramètres!$A$4:$C$11,3,FALSE)</f>
        <v>Paris</v>
      </c>
      <c r="K734" s="13">
        <f>IFERROR(H734/G734,"")</f>
        <v>22.375</v>
      </c>
      <c r="L734" s="14">
        <f>IFERROR(I734/G734,"")</f>
        <v>0.79166666666666663</v>
      </c>
      <c r="M734" s="11" t="str">
        <f>IF(K734&gt;=Paramètres!$F$6,"Très forte",IF(K734&gt;=Paramètres!$F$5,"Forte",IF(K734&gt;=Paramètres!$F$4,"Modérée","Faible")))</f>
        <v>Forte</v>
      </c>
    </row>
    <row r="735" spans="1:13">
      <c r="A735" t="s">
        <v>1084</v>
      </c>
      <c r="B735" s="11">
        <v>93</v>
      </c>
      <c r="C735" t="s">
        <v>100</v>
      </c>
      <c r="D735" t="s">
        <v>797</v>
      </c>
      <c r="E735" t="s">
        <v>861</v>
      </c>
      <c r="F735" t="s">
        <v>92</v>
      </c>
      <c r="G735" s="12">
        <v>24</v>
      </c>
      <c r="H735" s="12">
        <v>537</v>
      </c>
      <c r="I735" s="12">
        <v>24</v>
      </c>
      <c r="J735" t="str">
        <f>VLOOKUP(B735,Paramètres!$A$4:$C$11,3,FALSE)</f>
        <v>Petite couronne</v>
      </c>
      <c r="K735" s="13">
        <f>IFERROR(H735/G735,"")</f>
        <v>22.375</v>
      </c>
      <c r="L735" s="14">
        <f>IFERROR(I735/G735,"")</f>
        <v>1</v>
      </c>
      <c r="M735" s="11" t="str">
        <f>IF(K735&gt;=Paramètres!$F$6,"Très forte",IF(K735&gt;=Paramètres!$F$5,"Forte",IF(K735&gt;=Paramètres!$F$4,"Modérée","Faible")))</f>
        <v>Forte</v>
      </c>
    </row>
    <row r="736" spans="1:13">
      <c r="A736" t="s">
        <v>1179</v>
      </c>
      <c r="B736" s="11">
        <v>91</v>
      </c>
      <c r="C736" t="s">
        <v>105</v>
      </c>
      <c r="D736" t="s">
        <v>797</v>
      </c>
      <c r="E736" t="s">
        <v>798</v>
      </c>
      <c r="F736" t="s">
        <v>92</v>
      </c>
      <c r="G736" s="12">
        <v>36</v>
      </c>
      <c r="H736" s="12">
        <v>804</v>
      </c>
      <c r="I736" s="12">
        <v>28</v>
      </c>
      <c r="J736" t="str">
        <f>VLOOKUP(B736,Paramètres!$A$4:$C$11,3,FALSE)</f>
        <v>Grande couronne</v>
      </c>
      <c r="K736" s="13">
        <f>IFERROR(H736/G736,"")</f>
        <v>22.333333333333332</v>
      </c>
      <c r="L736" s="14">
        <f>IFERROR(I736/G736,"")</f>
        <v>0.77777777777777779</v>
      </c>
      <c r="M736" s="11" t="str">
        <f>IF(K736&gt;=Paramètres!$F$6,"Très forte",IF(K736&gt;=Paramètres!$F$5,"Forte",IF(K736&gt;=Paramètres!$F$4,"Modérée","Faible")))</f>
        <v>Forte</v>
      </c>
    </row>
    <row r="737" spans="1:13">
      <c r="A737" t="s">
        <v>1029</v>
      </c>
      <c r="B737" s="11">
        <v>75</v>
      </c>
      <c r="C737" t="s">
        <v>86</v>
      </c>
      <c r="D737" t="s">
        <v>797</v>
      </c>
      <c r="E737" t="s">
        <v>853</v>
      </c>
      <c r="F737" t="s">
        <v>92</v>
      </c>
      <c r="G737" s="12">
        <v>35</v>
      </c>
      <c r="H737" s="12">
        <v>780</v>
      </c>
      <c r="I737" s="12">
        <v>32</v>
      </c>
      <c r="J737" t="str">
        <f>VLOOKUP(B737,Paramètres!$A$4:$C$11,3,FALSE)</f>
        <v>Paris</v>
      </c>
      <c r="K737" s="13">
        <f>IFERROR(H737/G737,"")</f>
        <v>22.285714285714285</v>
      </c>
      <c r="L737" s="14">
        <f>IFERROR(I737/G737,"")</f>
        <v>0.91428571428571426</v>
      </c>
      <c r="M737" s="11" t="str">
        <f>IF(K737&gt;=Paramètres!$F$6,"Très forte",IF(K737&gt;=Paramètres!$F$5,"Forte",IF(K737&gt;=Paramètres!$F$4,"Modérée","Faible")))</f>
        <v>Forte</v>
      </c>
    </row>
    <row r="738" spans="1:13">
      <c r="A738" t="s">
        <v>835</v>
      </c>
      <c r="B738" s="11">
        <v>75</v>
      </c>
      <c r="C738" t="s">
        <v>86</v>
      </c>
      <c r="D738" t="s">
        <v>797</v>
      </c>
      <c r="E738" t="s">
        <v>838</v>
      </c>
      <c r="F738" t="s">
        <v>92</v>
      </c>
      <c r="G738" s="12">
        <v>15</v>
      </c>
      <c r="H738" s="12">
        <v>333</v>
      </c>
      <c r="I738" s="12">
        <v>14</v>
      </c>
      <c r="J738" t="str">
        <f>VLOOKUP(B738,Paramètres!$A$4:$C$11,3,FALSE)</f>
        <v>Paris</v>
      </c>
      <c r="K738" s="13">
        <f>IFERROR(H738/G738,"")</f>
        <v>22.2</v>
      </c>
      <c r="L738" s="14">
        <f>IFERROR(I738/G738,"")</f>
        <v>0.93333333333333335</v>
      </c>
      <c r="M738" s="11" t="str">
        <f>IF(K738&gt;=Paramètres!$F$6,"Très forte",IF(K738&gt;=Paramètres!$F$5,"Forte",IF(K738&gt;=Paramètres!$F$4,"Modérée","Faible")))</f>
        <v>Forte</v>
      </c>
    </row>
    <row r="739" spans="1:13">
      <c r="A739" t="s">
        <v>887</v>
      </c>
      <c r="B739" s="11">
        <v>77</v>
      </c>
      <c r="C739" t="s">
        <v>132</v>
      </c>
      <c r="D739" t="s">
        <v>797</v>
      </c>
      <c r="E739" t="s">
        <v>885</v>
      </c>
      <c r="F739" t="s">
        <v>92</v>
      </c>
      <c r="G739" s="12">
        <v>35</v>
      </c>
      <c r="H739" s="12">
        <v>776</v>
      </c>
      <c r="I739" s="12">
        <v>32</v>
      </c>
      <c r="J739" t="str">
        <f>VLOOKUP(B739,Paramètres!$A$4:$C$11,3,FALSE)</f>
        <v>Grande couronne</v>
      </c>
      <c r="K739" s="13">
        <f>IFERROR(H739/G739,"")</f>
        <v>22.171428571428571</v>
      </c>
      <c r="L739" s="14">
        <f>IFERROR(I739/G739,"")</f>
        <v>0.91428571428571426</v>
      </c>
      <c r="M739" s="11" t="str">
        <f>IF(K739&gt;=Paramètres!$F$6,"Très forte",IF(K739&gt;=Paramètres!$F$5,"Forte",IF(K739&gt;=Paramètres!$F$4,"Modérée","Faible")))</f>
        <v>Forte</v>
      </c>
    </row>
    <row r="740" spans="1:13">
      <c r="A740" t="s">
        <v>841</v>
      </c>
      <c r="B740" s="11">
        <v>75</v>
      </c>
      <c r="C740" t="s">
        <v>86</v>
      </c>
      <c r="D740" t="s">
        <v>797</v>
      </c>
      <c r="E740" t="s">
        <v>846</v>
      </c>
      <c r="F740" t="s">
        <v>92</v>
      </c>
      <c r="G740" s="12">
        <v>30</v>
      </c>
      <c r="H740" s="12">
        <v>665</v>
      </c>
      <c r="I740" s="12">
        <v>28</v>
      </c>
      <c r="J740" t="str">
        <f>VLOOKUP(B740,Paramètres!$A$4:$C$11,3,FALSE)</f>
        <v>Paris</v>
      </c>
      <c r="K740" s="13">
        <f>IFERROR(H740/G740,"")</f>
        <v>22.166666666666668</v>
      </c>
      <c r="L740" s="14">
        <f>IFERROR(I740/G740,"")</f>
        <v>0.93333333333333335</v>
      </c>
      <c r="M740" s="11" t="str">
        <f>IF(K740&gt;=Paramètres!$F$6,"Très forte",IF(K740&gt;=Paramètres!$F$5,"Forte",IF(K740&gt;=Paramètres!$F$4,"Modérée","Faible")))</f>
        <v>Forte</v>
      </c>
    </row>
    <row r="741" spans="1:13">
      <c r="A741" t="s">
        <v>950</v>
      </c>
      <c r="B741" s="11">
        <v>93</v>
      </c>
      <c r="C741" t="s">
        <v>100</v>
      </c>
      <c r="D741" t="s">
        <v>797</v>
      </c>
      <c r="E741" t="s">
        <v>832</v>
      </c>
      <c r="F741" t="s">
        <v>92</v>
      </c>
      <c r="G741" s="12">
        <v>35</v>
      </c>
      <c r="H741" s="12">
        <v>775</v>
      </c>
      <c r="I741" s="12">
        <v>33</v>
      </c>
      <c r="J741" t="str">
        <f>VLOOKUP(B741,Paramètres!$A$4:$C$11,3,FALSE)</f>
        <v>Petite couronne</v>
      </c>
      <c r="K741" s="13">
        <f>IFERROR(H741/G741,"")</f>
        <v>22.142857142857142</v>
      </c>
      <c r="L741" s="14">
        <f>IFERROR(I741/G741,"")</f>
        <v>0.94285714285714284</v>
      </c>
      <c r="M741" s="11" t="str">
        <f>IF(K741&gt;=Paramètres!$F$6,"Très forte",IF(K741&gt;=Paramètres!$F$5,"Forte",IF(K741&gt;=Paramètres!$F$4,"Modérée","Faible")))</f>
        <v>Forte</v>
      </c>
    </row>
    <row r="742" spans="1:13">
      <c r="A742" t="s">
        <v>1087</v>
      </c>
      <c r="B742" s="11">
        <v>93</v>
      </c>
      <c r="C742" t="s">
        <v>100</v>
      </c>
      <c r="D742" t="s">
        <v>797</v>
      </c>
      <c r="E742" t="s">
        <v>852</v>
      </c>
      <c r="F742" t="s">
        <v>92</v>
      </c>
      <c r="G742" s="12">
        <v>30</v>
      </c>
      <c r="H742" s="12">
        <v>660</v>
      </c>
      <c r="I742" s="12">
        <v>27</v>
      </c>
      <c r="J742" t="str">
        <f>VLOOKUP(B742,Paramètres!$A$4:$C$11,3,FALSE)</f>
        <v>Petite couronne</v>
      </c>
      <c r="K742" s="13">
        <f>IFERROR(H742/G742,"")</f>
        <v>22</v>
      </c>
      <c r="L742" s="14">
        <f>IFERROR(I742/G742,"")</f>
        <v>0.9</v>
      </c>
      <c r="M742" s="11" t="str">
        <f>IF(K742&gt;=Paramètres!$F$6,"Très forte",IF(K742&gt;=Paramètres!$F$5,"Forte",IF(K742&gt;=Paramètres!$F$4,"Modérée","Faible")))</f>
        <v>Forte</v>
      </c>
    </row>
    <row r="743" spans="1:13">
      <c r="A743" t="s">
        <v>1183</v>
      </c>
      <c r="B743" s="11">
        <v>92</v>
      </c>
      <c r="C743" t="s">
        <v>94</v>
      </c>
      <c r="D743" t="s">
        <v>797</v>
      </c>
      <c r="E743" t="s">
        <v>1184</v>
      </c>
      <c r="F743" t="s">
        <v>92</v>
      </c>
      <c r="G743" s="12">
        <v>15</v>
      </c>
      <c r="H743" s="12">
        <v>330</v>
      </c>
      <c r="I743" s="12">
        <v>15</v>
      </c>
      <c r="J743" t="str">
        <f>VLOOKUP(B743,Paramètres!$A$4:$C$11,3,FALSE)</f>
        <v>Petite couronne</v>
      </c>
      <c r="K743" s="13">
        <f>IFERROR(H743/G743,"")</f>
        <v>22</v>
      </c>
      <c r="L743" s="14">
        <f>IFERROR(I743/G743,"")</f>
        <v>1</v>
      </c>
      <c r="M743" s="11" t="str">
        <f>IF(K743&gt;=Paramètres!$F$6,"Très forte",IF(K743&gt;=Paramètres!$F$5,"Forte",IF(K743&gt;=Paramètres!$F$4,"Modérée","Faible")))</f>
        <v>Forte</v>
      </c>
    </row>
    <row r="744" spans="1:13">
      <c r="A744" t="s">
        <v>1219</v>
      </c>
      <c r="B744" s="11">
        <v>92</v>
      </c>
      <c r="C744" t="s">
        <v>94</v>
      </c>
      <c r="D744" t="s">
        <v>797</v>
      </c>
      <c r="E744" t="s">
        <v>798</v>
      </c>
      <c r="F744" t="s">
        <v>92</v>
      </c>
      <c r="G744" s="12">
        <v>32</v>
      </c>
      <c r="H744" s="12">
        <v>703</v>
      </c>
      <c r="I744" s="12">
        <v>31</v>
      </c>
      <c r="J744" t="str">
        <f>VLOOKUP(B744,Paramètres!$A$4:$C$11,3,FALSE)</f>
        <v>Petite couronne</v>
      </c>
      <c r="K744" s="13">
        <f>IFERROR(H744/G744,"")</f>
        <v>21.96875</v>
      </c>
      <c r="L744" s="14">
        <f>IFERROR(I744/G744,"")</f>
        <v>0.96875</v>
      </c>
      <c r="M744" s="11" t="str">
        <f>IF(K744&gt;=Paramètres!$F$6,"Très forte",IF(K744&gt;=Paramètres!$F$5,"Forte",IF(K744&gt;=Paramètres!$F$4,"Modérée","Faible")))</f>
        <v>Forte</v>
      </c>
    </row>
    <row r="745" spans="1:13">
      <c r="A745" t="s">
        <v>1123</v>
      </c>
      <c r="B745" s="11">
        <v>95</v>
      </c>
      <c r="C745" t="s">
        <v>90</v>
      </c>
      <c r="D745" t="s">
        <v>797</v>
      </c>
      <c r="E745" t="s">
        <v>825</v>
      </c>
      <c r="F745" t="s">
        <v>92</v>
      </c>
      <c r="G745" s="12">
        <v>35</v>
      </c>
      <c r="H745" s="12">
        <v>768</v>
      </c>
      <c r="I745" s="12">
        <v>34</v>
      </c>
      <c r="J745" t="str">
        <f>VLOOKUP(B745,Paramètres!$A$4:$C$11,3,FALSE)</f>
        <v>Grande couronne</v>
      </c>
      <c r="K745" s="13">
        <f>IFERROR(H745/G745,"")</f>
        <v>21.942857142857143</v>
      </c>
      <c r="L745" s="14">
        <f>IFERROR(I745/G745,"")</f>
        <v>0.97142857142857142</v>
      </c>
      <c r="M745" s="11" t="str">
        <f>IF(K745&gt;=Paramètres!$F$6,"Très forte",IF(K745&gt;=Paramètres!$F$5,"Forte",IF(K745&gt;=Paramètres!$F$4,"Modérée","Faible")))</f>
        <v>Forte</v>
      </c>
    </row>
    <row r="746" spans="1:13">
      <c r="A746" t="s">
        <v>970</v>
      </c>
      <c r="B746" s="11">
        <v>94</v>
      </c>
      <c r="C746" t="s">
        <v>116</v>
      </c>
      <c r="D746" t="s">
        <v>797</v>
      </c>
      <c r="E746" t="s">
        <v>971</v>
      </c>
      <c r="F746" t="s">
        <v>92</v>
      </c>
      <c r="G746" s="12">
        <v>24</v>
      </c>
      <c r="H746" s="12">
        <v>526</v>
      </c>
      <c r="I746" s="12">
        <v>23</v>
      </c>
      <c r="J746" t="str">
        <f>VLOOKUP(B746,Paramètres!$A$4:$C$11,3,FALSE)</f>
        <v>Petite couronne</v>
      </c>
      <c r="K746" s="13">
        <f>IFERROR(H746/G746,"")</f>
        <v>21.916666666666668</v>
      </c>
      <c r="L746" s="14">
        <f>IFERROR(I746/G746,"")</f>
        <v>0.95833333333333337</v>
      </c>
      <c r="M746" s="11" t="str">
        <f>IF(K746&gt;=Paramètres!$F$6,"Très forte",IF(K746&gt;=Paramètres!$F$5,"Forte",IF(K746&gt;=Paramètres!$F$4,"Modérée","Faible")))</f>
        <v>Forte</v>
      </c>
    </row>
    <row r="747" spans="1:13">
      <c r="A747" t="s">
        <v>981</v>
      </c>
      <c r="B747" s="11">
        <v>95</v>
      </c>
      <c r="C747" t="s">
        <v>90</v>
      </c>
      <c r="D747" t="s">
        <v>797</v>
      </c>
      <c r="E747" t="s">
        <v>822</v>
      </c>
      <c r="F747" t="s">
        <v>92</v>
      </c>
      <c r="G747" s="12">
        <v>35</v>
      </c>
      <c r="H747" s="12">
        <v>766</v>
      </c>
      <c r="I747" s="12">
        <v>27</v>
      </c>
      <c r="J747" t="str">
        <f>VLOOKUP(B747,Paramètres!$A$4:$C$11,3,FALSE)</f>
        <v>Grande couronne</v>
      </c>
      <c r="K747" s="13">
        <f>IFERROR(H747/G747,"")</f>
        <v>21.885714285714286</v>
      </c>
      <c r="L747" s="14">
        <f>IFERROR(I747/G747,"")</f>
        <v>0.77142857142857146</v>
      </c>
      <c r="M747" s="11" t="str">
        <f>IF(K747&gt;=Paramètres!$F$6,"Très forte",IF(K747&gt;=Paramètres!$F$5,"Forte",IF(K747&gt;=Paramètres!$F$4,"Modérée","Faible")))</f>
        <v>Forte</v>
      </c>
    </row>
    <row r="748" spans="1:13">
      <c r="A748" t="s">
        <v>1207</v>
      </c>
      <c r="B748" s="11">
        <v>77</v>
      </c>
      <c r="C748" t="s">
        <v>132</v>
      </c>
      <c r="D748" t="s">
        <v>797</v>
      </c>
      <c r="E748" t="s">
        <v>822</v>
      </c>
      <c r="F748" t="s">
        <v>92</v>
      </c>
      <c r="G748" s="12">
        <v>24</v>
      </c>
      <c r="H748" s="12">
        <v>519</v>
      </c>
      <c r="I748" s="12">
        <v>20</v>
      </c>
      <c r="J748" t="str">
        <f>VLOOKUP(B748,Paramètres!$A$4:$C$11,3,FALSE)</f>
        <v>Grande couronne</v>
      </c>
      <c r="K748" s="13">
        <f>IFERROR(H748/G748,"")</f>
        <v>21.625</v>
      </c>
      <c r="L748" s="14">
        <f>IFERROR(I748/G748,"")</f>
        <v>0.83333333333333337</v>
      </c>
      <c r="M748" s="11" t="str">
        <f>IF(K748&gt;=Paramètres!$F$6,"Très forte",IF(K748&gt;=Paramètres!$F$5,"Forte",IF(K748&gt;=Paramètres!$F$4,"Modérée","Faible")))</f>
        <v>Forte</v>
      </c>
    </row>
    <row r="749" spans="1:13">
      <c r="A749" t="s">
        <v>981</v>
      </c>
      <c r="B749" s="11">
        <v>95</v>
      </c>
      <c r="C749" t="s">
        <v>90</v>
      </c>
      <c r="D749" t="s">
        <v>797</v>
      </c>
      <c r="E749" t="s">
        <v>825</v>
      </c>
      <c r="F749" t="s">
        <v>92</v>
      </c>
      <c r="G749" s="12">
        <v>35</v>
      </c>
      <c r="H749" s="12">
        <v>756</v>
      </c>
      <c r="I749" s="12">
        <v>34</v>
      </c>
      <c r="J749" t="str">
        <f>VLOOKUP(B749,Paramètres!$A$4:$C$11,3,FALSE)</f>
        <v>Grande couronne</v>
      </c>
      <c r="K749" s="13">
        <f>IFERROR(H749/G749,"")</f>
        <v>21.6</v>
      </c>
      <c r="L749" s="14">
        <f>IFERROR(I749/G749,"")</f>
        <v>0.97142857142857142</v>
      </c>
      <c r="M749" s="11" t="str">
        <f>IF(K749&gt;=Paramètres!$F$6,"Très forte",IF(K749&gt;=Paramètres!$F$5,"Forte",IF(K749&gt;=Paramètres!$F$4,"Modérée","Faible")))</f>
        <v>Forte</v>
      </c>
    </row>
    <row r="750" spans="1:13">
      <c r="A750" t="s">
        <v>1009</v>
      </c>
      <c r="B750" s="11">
        <v>77</v>
      </c>
      <c r="C750" t="s">
        <v>132</v>
      </c>
      <c r="D750" t="s">
        <v>797</v>
      </c>
      <c r="E750" t="s">
        <v>905</v>
      </c>
      <c r="F750" t="s">
        <v>92</v>
      </c>
      <c r="G750" s="12">
        <v>35</v>
      </c>
      <c r="H750" s="12">
        <v>755</v>
      </c>
      <c r="I750" s="12">
        <v>33</v>
      </c>
      <c r="J750" t="str">
        <f>VLOOKUP(B750,Paramètres!$A$4:$C$11,3,FALSE)</f>
        <v>Grande couronne</v>
      </c>
      <c r="K750" s="13">
        <f>IFERROR(H750/G750,"")</f>
        <v>21.571428571428573</v>
      </c>
      <c r="L750" s="14">
        <f>IFERROR(I750/G750,"")</f>
        <v>0.94285714285714284</v>
      </c>
      <c r="M750" s="11" t="str">
        <f>IF(K750&gt;=Paramètres!$F$6,"Très forte",IF(K750&gt;=Paramètres!$F$5,"Forte",IF(K750&gt;=Paramètres!$F$4,"Modérée","Faible")))</f>
        <v>Forte</v>
      </c>
    </row>
    <row r="751" spans="1:13">
      <c r="A751" t="s">
        <v>862</v>
      </c>
      <c r="B751" s="11">
        <v>94</v>
      </c>
      <c r="C751" t="s">
        <v>116</v>
      </c>
      <c r="D751" t="s">
        <v>797</v>
      </c>
      <c r="E751" t="s">
        <v>861</v>
      </c>
      <c r="F751" t="s">
        <v>92</v>
      </c>
      <c r="G751" s="12">
        <v>20</v>
      </c>
      <c r="H751" s="12">
        <v>428</v>
      </c>
      <c r="I751" s="12">
        <v>18</v>
      </c>
      <c r="J751" t="str">
        <f>VLOOKUP(B751,Paramètres!$A$4:$C$11,3,FALSE)</f>
        <v>Petite couronne</v>
      </c>
      <c r="K751" s="13">
        <f>IFERROR(H751/G751,"")</f>
        <v>21.4</v>
      </c>
      <c r="L751" s="14">
        <f>IFERROR(I751/G751,"")</f>
        <v>0.9</v>
      </c>
      <c r="M751" s="11" t="str">
        <f>IF(K751&gt;=Paramètres!$F$6,"Très forte",IF(K751&gt;=Paramètres!$F$5,"Forte",IF(K751&gt;=Paramètres!$F$4,"Modérée","Faible")))</f>
        <v>Forte</v>
      </c>
    </row>
    <row r="752" spans="1:13">
      <c r="A752" t="s">
        <v>932</v>
      </c>
      <c r="B752" s="11">
        <v>92</v>
      </c>
      <c r="C752" t="s">
        <v>94</v>
      </c>
      <c r="D752" t="s">
        <v>797</v>
      </c>
      <c r="E752" t="s">
        <v>861</v>
      </c>
      <c r="F752" t="s">
        <v>92</v>
      </c>
      <c r="G752" s="12">
        <v>30</v>
      </c>
      <c r="H752" s="12">
        <v>640</v>
      </c>
      <c r="I752" s="12">
        <v>30</v>
      </c>
      <c r="J752" t="str">
        <f>VLOOKUP(B752,Paramètres!$A$4:$C$11,3,FALSE)</f>
        <v>Petite couronne</v>
      </c>
      <c r="K752" s="13">
        <f>IFERROR(H752/G752,"")</f>
        <v>21.333333333333332</v>
      </c>
      <c r="L752" s="14">
        <f>IFERROR(I752/G752,"")</f>
        <v>1</v>
      </c>
      <c r="M752" s="11" t="str">
        <f>IF(K752&gt;=Paramètres!$F$6,"Très forte",IF(K752&gt;=Paramètres!$F$5,"Forte",IF(K752&gt;=Paramètres!$F$4,"Modérée","Faible")))</f>
        <v>Forte</v>
      </c>
    </row>
    <row r="753" spans="1:13">
      <c r="A753" t="s">
        <v>1079</v>
      </c>
      <c r="B753" s="11">
        <v>92</v>
      </c>
      <c r="C753" t="s">
        <v>94</v>
      </c>
      <c r="D753" t="s">
        <v>797</v>
      </c>
      <c r="E753" t="s">
        <v>822</v>
      </c>
      <c r="F753" t="s">
        <v>92</v>
      </c>
      <c r="G753" s="12">
        <v>16</v>
      </c>
      <c r="H753" s="12">
        <v>341</v>
      </c>
      <c r="I753" s="12">
        <v>15</v>
      </c>
      <c r="J753" t="str">
        <f>VLOOKUP(B753,Paramètres!$A$4:$C$11,3,FALSE)</f>
        <v>Petite couronne</v>
      </c>
      <c r="K753" s="13">
        <f>IFERROR(H753/G753,"")</f>
        <v>21.3125</v>
      </c>
      <c r="L753" s="14">
        <f>IFERROR(I753/G753,"")</f>
        <v>0.9375</v>
      </c>
      <c r="M753" s="11" t="str">
        <f>IF(K753&gt;=Paramètres!$F$6,"Très forte",IF(K753&gt;=Paramètres!$F$5,"Forte",IF(K753&gt;=Paramètres!$F$4,"Modérée","Faible")))</f>
        <v>Forte</v>
      </c>
    </row>
    <row r="754" spans="1:13">
      <c r="A754" t="s">
        <v>1188</v>
      </c>
      <c r="B754" s="11">
        <v>94</v>
      </c>
      <c r="C754" t="s">
        <v>116</v>
      </c>
      <c r="D754" t="s">
        <v>797</v>
      </c>
      <c r="E754" t="s">
        <v>928</v>
      </c>
      <c r="F754" t="s">
        <v>92</v>
      </c>
      <c r="G754" s="12">
        <v>20</v>
      </c>
      <c r="H754" s="12">
        <v>426</v>
      </c>
      <c r="I754" s="12">
        <v>15</v>
      </c>
      <c r="J754" t="str">
        <f>VLOOKUP(B754,Paramètres!$A$4:$C$11,3,FALSE)</f>
        <v>Petite couronne</v>
      </c>
      <c r="K754" s="13">
        <f>IFERROR(H754/G754,"")</f>
        <v>21.3</v>
      </c>
      <c r="L754" s="14">
        <f>IFERROR(I754/G754,"")</f>
        <v>0.75</v>
      </c>
      <c r="M754" s="11" t="str">
        <f>IF(K754&gt;=Paramètres!$F$6,"Très forte",IF(K754&gt;=Paramètres!$F$5,"Forte",IF(K754&gt;=Paramètres!$F$4,"Modérée","Faible")))</f>
        <v>Forte</v>
      </c>
    </row>
    <row r="755" spans="1:13">
      <c r="A755" t="s">
        <v>851</v>
      </c>
      <c r="B755" s="11">
        <v>75</v>
      </c>
      <c r="C755" t="s">
        <v>86</v>
      </c>
      <c r="D755" t="s">
        <v>797</v>
      </c>
      <c r="E755" t="s">
        <v>906</v>
      </c>
      <c r="F755" t="s">
        <v>92</v>
      </c>
      <c r="G755" s="12">
        <v>24</v>
      </c>
      <c r="H755" s="12">
        <v>511</v>
      </c>
      <c r="I755" s="12">
        <v>26</v>
      </c>
      <c r="J755" t="str">
        <f>VLOOKUP(B755,Paramètres!$A$4:$C$11,3,FALSE)</f>
        <v>Paris</v>
      </c>
      <c r="K755" s="13">
        <f>IFERROR(H755/G755,"")</f>
        <v>21.291666666666668</v>
      </c>
      <c r="L755" s="14">
        <f>IFERROR(I755/G755,"")</f>
        <v>1.0833333333333333</v>
      </c>
      <c r="M755" s="11" t="str">
        <f>IF(K755&gt;=Paramètres!$F$6,"Très forte",IF(K755&gt;=Paramètres!$F$5,"Forte",IF(K755&gt;=Paramètres!$F$4,"Modérée","Faible")))</f>
        <v>Forte</v>
      </c>
    </row>
    <row r="756" spans="1:13">
      <c r="A756" t="s">
        <v>815</v>
      </c>
      <c r="B756" s="11">
        <v>91</v>
      </c>
      <c r="C756" t="s">
        <v>105</v>
      </c>
      <c r="D756" t="s">
        <v>797</v>
      </c>
      <c r="E756" t="s">
        <v>911</v>
      </c>
      <c r="F756" t="s">
        <v>92</v>
      </c>
      <c r="G756" s="12">
        <v>35</v>
      </c>
      <c r="H756" s="12">
        <v>745</v>
      </c>
      <c r="I756" s="12">
        <v>34</v>
      </c>
      <c r="J756" t="str">
        <f>VLOOKUP(B756,Paramètres!$A$4:$C$11,3,FALSE)</f>
        <v>Grande couronne</v>
      </c>
      <c r="K756" s="13">
        <f>IFERROR(H756/G756,"")</f>
        <v>21.285714285714285</v>
      </c>
      <c r="L756" s="14">
        <f>IFERROR(I756/G756,"")</f>
        <v>0.97142857142857142</v>
      </c>
      <c r="M756" s="11" t="str">
        <f>IF(K756&gt;=Paramètres!$F$6,"Très forte",IF(K756&gt;=Paramètres!$F$5,"Forte",IF(K756&gt;=Paramètres!$F$4,"Modérée","Faible")))</f>
        <v>Forte</v>
      </c>
    </row>
    <row r="757" spans="1:13">
      <c r="A757" t="s">
        <v>989</v>
      </c>
      <c r="B757" s="11">
        <v>95</v>
      </c>
      <c r="C757" t="s">
        <v>90</v>
      </c>
      <c r="D757" t="s">
        <v>797</v>
      </c>
      <c r="E757" t="s">
        <v>823</v>
      </c>
      <c r="F757" t="s">
        <v>92</v>
      </c>
      <c r="G757" s="12">
        <v>32</v>
      </c>
      <c r="H757" s="12">
        <v>681</v>
      </c>
      <c r="I757" s="12">
        <v>26</v>
      </c>
      <c r="J757" t="str">
        <f>VLOOKUP(B757,Paramètres!$A$4:$C$11,3,FALSE)</f>
        <v>Grande couronne</v>
      </c>
      <c r="K757" s="13">
        <f>IFERROR(H757/G757,"")</f>
        <v>21.28125</v>
      </c>
      <c r="L757" s="14">
        <f>IFERROR(I757/G757,"")</f>
        <v>0.8125</v>
      </c>
      <c r="M757" s="11" t="str">
        <f>IF(K757&gt;=Paramètres!$F$6,"Très forte",IF(K757&gt;=Paramètres!$F$5,"Forte",IF(K757&gt;=Paramètres!$F$4,"Modérée","Faible")))</f>
        <v>Forte</v>
      </c>
    </row>
    <row r="758" spans="1:13">
      <c r="A758" t="s">
        <v>1018</v>
      </c>
      <c r="B758" s="11">
        <v>75</v>
      </c>
      <c r="C758" t="s">
        <v>86</v>
      </c>
      <c r="D758" t="s">
        <v>797</v>
      </c>
      <c r="E758" t="s">
        <v>1019</v>
      </c>
      <c r="F758" t="s">
        <v>92</v>
      </c>
      <c r="G758" s="12">
        <v>24</v>
      </c>
      <c r="H758" s="12">
        <v>508</v>
      </c>
      <c r="I758" s="12">
        <v>17</v>
      </c>
      <c r="J758" t="str">
        <f>VLOOKUP(B758,Paramètres!$A$4:$C$11,3,FALSE)</f>
        <v>Paris</v>
      </c>
      <c r="K758" s="13">
        <f>IFERROR(H758/G758,"")</f>
        <v>21.166666666666668</v>
      </c>
      <c r="L758" s="14">
        <f>IFERROR(I758/G758,"")</f>
        <v>0.70833333333333337</v>
      </c>
      <c r="M758" s="11" t="str">
        <f>IF(K758&gt;=Paramètres!$F$6,"Très forte",IF(K758&gt;=Paramètres!$F$5,"Forte",IF(K758&gt;=Paramètres!$F$4,"Modérée","Faible")))</f>
        <v>Forte</v>
      </c>
    </row>
    <row r="759" spans="1:13">
      <c r="A759" t="s">
        <v>1082</v>
      </c>
      <c r="B759" s="11">
        <v>93</v>
      </c>
      <c r="C759" t="s">
        <v>100</v>
      </c>
      <c r="D759" t="s">
        <v>797</v>
      </c>
      <c r="E759" t="s">
        <v>822</v>
      </c>
      <c r="F759" t="s">
        <v>92</v>
      </c>
      <c r="G759" s="12">
        <v>35</v>
      </c>
      <c r="H759" s="12">
        <v>739</v>
      </c>
      <c r="I759" s="12">
        <v>33</v>
      </c>
      <c r="J759" t="str">
        <f>VLOOKUP(B759,Paramètres!$A$4:$C$11,3,FALSE)</f>
        <v>Petite couronne</v>
      </c>
      <c r="K759" s="13">
        <f>IFERROR(H759/G759,"")</f>
        <v>21.114285714285714</v>
      </c>
      <c r="L759" s="14">
        <f>IFERROR(I759/G759,"")</f>
        <v>0.94285714285714284</v>
      </c>
      <c r="M759" s="11" t="str">
        <f>IF(K759&gt;=Paramètres!$F$6,"Très forte",IF(K759&gt;=Paramètres!$F$5,"Forte",IF(K759&gt;=Paramètres!$F$4,"Modérée","Faible")))</f>
        <v>Forte</v>
      </c>
    </row>
    <row r="760" spans="1:13">
      <c r="A760" t="s">
        <v>1209</v>
      </c>
      <c r="B760" s="11">
        <v>78</v>
      </c>
      <c r="C760" t="s">
        <v>135</v>
      </c>
      <c r="D760" t="s">
        <v>797</v>
      </c>
      <c r="E760" t="s">
        <v>823</v>
      </c>
      <c r="F760" t="s">
        <v>92</v>
      </c>
      <c r="G760" s="12">
        <v>33</v>
      </c>
      <c r="H760" s="12">
        <v>696</v>
      </c>
      <c r="I760" s="12">
        <v>33</v>
      </c>
      <c r="J760" t="str">
        <f>VLOOKUP(B760,Paramètres!$A$4:$C$11,3,FALSE)</f>
        <v>Grande couronne</v>
      </c>
      <c r="K760" s="13">
        <f>IFERROR(H760/G760,"")</f>
        <v>21.09090909090909</v>
      </c>
      <c r="L760" s="14">
        <f>IFERROR(I760/G760,"")</f>
        <v>1</v>
      </c>
      <c r="M760" s="11" t="str">
        <f>IF(K760&gt;=Paramètres!$F$6,"Très forte",IF(K760&gt;=Paramètres!$F$5,"Forte",IF(K760&gt;=Paramètres!$F$4,"Modérée","Faible")))</f>
        <v>Forte</v>
      </c>
    </row>
    <row r="761" spans="1:13">
      <c r="A761" t="s">
        <v>1176</v>
      </c>
      <c r="B761" s="11">
        <v>91</v>
      </c>
      <c r="C761" t="s">
        <v>105</v>
      </c>
      <c r="D761" t="s">
        <v>797</v>
      </c>
      <c r="E761" t="s">
        <v>1019</v>
      </c>
      <c r="F761" t="s">
        <v>92</v>
      </c>
      <c r="G761" s="12">
        <v>12</v>
      </c>
      <c r="H761" s="12">
        <v>252</v>
      </c>
      <c r="I761" s="12">
        <v>11</v>
      </c>
      <c r="J761" t="str">
        <f>VLOOKUP(B761,Paramètres!$A$4:$C$11,3,FALSE)</f>
        <v>Grande couronne</v>
      </c>
      <c r="K761" s="13">
        <f>IFERROR(H761/G761,"")</f>
        <v>21</v>
      </c>
      <c r="L761" s="14">
        <f>IFERROR(I761/G761,"")</f>
        <v>0.91666666666666663</v>
      </c>
      <c r="M761" s="11" t="str">
        <f>IF(K761&gt;=Paramètres!$F$6,"Très forte",IF(K761&gt;=Paramètres!$F$5,"Forte",IF(K761&gt;=Paramètres!$F$4,"Modérée","Faible")))</f>
        <v>Forte</v>
      </c>
    </row>
    <row r="762" spans="1:13">
      <c r="A762" t="s">
        <v>1078</v>
      </c>
      <c r="B762" s="11">
        <v>92</v>
      </c>
      <c r="C762" t="s">
        <v>94</v>
      </c>
      <c r="D762" t="s">
        <v>797</v>
      </c>
      <c r="E762" t="s">
        <v>845</v>
      </c>
      <c r="F762" t="s">
        <v>92</v>
      </c>
      <c r="G762" s="12">
        <v>30</v>
      </c>
      <c r="H762" s="12">
        <v>630</v>
      </c>
      <c r="I762" s="12">
        <v>30</v>
      </c>
      <c r="J762" t="str">
        <f>VLOOKUP(B762,Paramètres!$A$4:$C$11,3,FALSE)</f>
        <v>Petite couronne</v>
      </c>
      <c r="K762" s="13">
        <f>IFERROR(H762/G762,"")</f>
        <v>21</v>
      </c>
      <c r="L762" s="14">
        <f>IFERROR(I762/G762,"")</f>
        <v>1</v>
      </c>
      <c r="M762" s="11" t="str">
        <f>IF(K762&gt;=Paramètres!$F$6,"Très forte",IF(K762&gt;=Paramètres!$F$5,"Forte",IF(K762&gt;=Paramètres!$F$4,"Modérée","Faible")))</f>
        <v>Forte</v>
      </c>
    </row>
    <row r="763" spans="1:13">
      <c r="A763" t="s">
        <v>862</v>
      </c>
      <c r="B763" s="11">
        <v>94</v>
      </c>
      <c r="C763" t="s">
        <v>116</v>
      </c>
      <c r="D763" t="s">
        <v>797</v>
      </c>
      <c r="E763" t="s">
        <v>839</v>
      </c>
      <c r="F763" t="s">
        <v>92</v>
      </c>
      <c r="G763" s="12">
        <v>24</v>
      </c>
      <c r="H763" s="12">
        <v>502</v>
      </c>
      <c r="I763" s="12">
        <v>22</v>
      </c>
      <c r="J763" t="str">
        <f>VLOOKUP(B763,Paramètres!$A$4:$C$11,3,FALSE)</f>
        <v>Petite couronne</v>
      </c>
      <c r="K763" s="13">
        <f>IFERROR(H763/G763,"")</f>
        <v>20.916666666666668</v>
      </c>
      <c r="L763" s="14">
        <f>IFERROR(I763/G763,"")</f>
        <v>0.91666666666666663</v>
      </c>
      <c r="M763" s="11" t="str">
        <f>IF(K763&gt;=Paramètres!$F$6,"Très forte",IF(K763&gt;=Paramètres!$F$5,"Forte",IF(K763&gt;=Paramètres!$F$4,"Modérée","Faible")))</f>
        <v>Forte</v>
      </c>
    </row>
    <row r="764" spans="1:13">
      <c r="A764" t="s">
        <v>888</v>
      </c>
      <c r="B764" s="11">
        <v>77</v>
      </c>
      <c r="C764" t="s">
        <v>132</v>
      </c>
      <c r="D764" t="s">
        <v>797</v>
      </c>
      <c r="E764" t="s">
        <v>839</v>
      </c>
      <c r="F764" t="s">
        <v>92</v>
      </c>
      <c r="G764" s="12">
        <v>24</v>
      </c>
      <c r="H764" s="12">
        <v>499</v>
      </c>
      <c r="I764" s="12">
        <v>23</v>
      </c>
      <c r="J764" t="str">
        <f>VLOOKUP(B764,Paramètres!$A$4:$C$11,3,FALSE)</f>
        <v>Grande couronne</v>
      </c>
      <c r="K764" s="13">
        <f>IFERROR(H764/G764,"")</f>
        <v>20.791666666666668</v>
      </c>
      <c r="L764" s="14">
        <f>IFERROR(I764/G764,"")</f>
        <v>0.95833333333333337</v>
      </c>
      <c r="M764" s="11" t="str">
        <f>IF(K764&gt;=Paramètres!$F$6,"Très forte",IF(K764&gt;=Paramètres!$F$5,"Forte",IF(K764&gt;=Paramètres!$F$4,"Modérée","Faible")))</f>
        <v>Forte</v>
      </c>
    </row>
    <row r="765" spans="1:13">
      <c r="A765" t="s">
        <v>890</v>
      </c>
      <c r="B765" s="11">
        <v>77</v>
      </c>
      <c r="C765" t="s">
        <v>132</v>
      </c>
      <c r="D765" t="s">
        <v>797</v>
      </c>
      <c r="E765" t="s">
        <v>891</v>
      </c>
      <c r="F765" t="s">
        <v>92</v>
      </c>
      <c r="G765" s="12">
        <v>35</v>
      </c>
      <c r="H765" s="12">
        <v>727</v>
      </c>
      <c r="I765" s="12">
        <v>34</v>
      </c>
      <c r="J765" t="str">
        <f>VLOOKUP(B765,Paramètres!$A$4:$C$11,3,FALSE)</f>
        <v>Grande couronne</v>
      </c>
      <c r="K765" s="13">
        <f>IFERROR(H765/G765,"")</f>
        <v>20.771428571428572</v>
      </c>
      <c r="L765" s="14">
        <f>IFERROR(I765/G765,"")</f>
        <v>0.97142857142857142</v>
      </c>
      <c r="M765" s="11" t="str">
        <f>IF(K765&gt;=Paramètres!$F$6,"Très forte",IF(K765&gt;=Paramètres!$F$5,"Forte",IF(K765&gt;=Paramètres!$F$4,"Modérée","Faible")))</f>
        <v>Forte</v>
      </c>
    </row>
    <row r="766" spans="1:13">
      <c r="A766" t="s">
        <v>851</v>
      </c>
      <c r="B766" s="11">
        <v>75</v>
      </c>
      <c r="C766" t="s">
        <v>86</v>
      </c>
      <c r="D766" t="s">
        <v>797</v>
      </c>
      <c r="E766" t="s">
        <v>971</v>
      </c>
      <c r="F766" t="s">
        <v>92</v>
      </c>
      <c r="G766" s="12">
        <v>30</v>
      </c>
      <c r="H766" s="12">
        <v>622</v>
      </c>
      <c r="I766" s="12">
        <v>32</v>
      </c>
      <c r="J766" t="str">
        <f>VLOOKUP(B766,Paramètres!$A$4:$C$11,3,FALSE)</f>
        <v>Paris</v>
      </c>
      <c r="K766" s="13">
        <f>IFERROR(H766/G766,"")</f>
        <v>20.733333333333334</v>
      </c>
      <c r="L766" s="14">
        <f>IFERROR(I766/G766,"")</f>
        <v>1.0666666666666667</v>
      </c>
      <c r="M766" s="11" t="str">
        <f>IF(K766&gt;=Paramètres!$F$6,"Très forte",IF(K766&gt;=Paramètres!$F$5,"Forte",IF(K766&gt;=Paramètres!$F$4,"Modérée","Faible")))</f>
        <v>Forte</v>
      </c>
    </row>
    <row r="767" spans="1:13">
      <c r="A767" t="s">
        <v>999</v>
      </c>
      <c r="B767" s="11">
        <v>75</v>
      </c>
      <c r="C767" t="s">
        <v>86</v>
      </c>
      <c r="D767" t="s">
        <v>797</v>
      </c>
      <c r="E767" t="s">
        <v>1057</v>
      </c>
      <c r="F767" t="s">
        <v>92</v>
      </c>
      <c r="G767" s="12">
        <v>24</v>
      </c>
      <c r="H767" s="12">
        <v>495</v>
      </c>
      <c r="I767" s="12">
        <v>17</v>
      </c>
      <c r="J767" t="str">
        <f>VLOOKUP(B767,Paramètres!$A$4:$C$11,3,FALSE)</f>
        <v>Paris</v>
      </c>
      <c r="K767" s="13">
        <f>IFERROR(H767/G767,"")</f>
        <v>20.625</v>
      </c>
      <c r="L767" s="14">
        <f>IFERROR(I767/G767,"")</f>
        <v>0.70833333333333337</v>
      </c>
      <c r="M767" s="11" t="str">
        <f>IF(K767&gt;=Paramètres!$F$6,"Très forte",IF(K767&gt;=Paramètres!$F$5,"Forte",IF(K767&gt;=Paramètres!$F$4,"Modérée","Faible")))</f>
        <v>Forte</v>
      </c>
    </row>
    <row r="768" spans="1:13">
      <c r="A768" t="s">
        <v>976</v>
      </c>
      <c r="B768" s="11">
        <v>95</v>
      </c>
      <c r="C768" t="s">
        <v>90</v>
      </c>
      <c r="D768" t="s">
        <v>797</v>
      </c>
      <c r="E768" t="s">
        <v>861</v>
      </c>
      <c r="F768" t="s">
        <v>92</v>
      </c>
      <c r="G768" s="12">
        <v>30</v>
      </c>
      <c r="H768" s="12">
        <v>614</v>
      </c>
      <c r="I768" s="12">
        <v>27</v>
      </c>
      <c r="J768" t="str">
        <f>VLOOKUP(B768,Paramètres!$A$4:$C$11,3,FALSE)</f>
        <v>Grande couronne</v>
      </c>
      <c r="K768" s="13">
        <f>IFERROR(H768/G768,"")</f>
        <v>20.466666666666665</v>
      </c>
      <c r="L768" s="14">
        <f>IFERROR(I768/G768,"")</f>
        <v>0.9</v>
      </c>
      <c r="M768" s="11" t="str">
        <f>IF(K768&gt;=Paramètres!$F$6,"Très forte",IF(K768&gt;=Paramètres!$F$5,"Forte",IF(K768&gt;=Paramètres!$F$4,"Modérée","Faible")))</f>
        <v>Forte</v>
      </c>
    </row>
    <row r="769" spans="1:13">
      <c r="A769" t="s">
        <v>1033</v>
      </c>
      <c r="B769" s="11">
        <v>75</v>
      </c>
      <c r="C769" t="s">
        <v>86</v>
      </c>
      <c r="D769" t="s">
        <v>797</v>
      </c>
      <c r="E769" t="s">
        <v>1096</v>
      </c>
      <c r="F769" t="s">
        <v>92</v>
      </c>
      <c r="G769" s="12">
        <v>30</v>
      </c>
      <c r="H769" s="12">
        <v>614</v>
      </c>
      <c r="I769" s="12">
        <v>31</v>
      </c>
      <c r="J769" t="str">
        <f>VLOOKUP(B769,Paramètres!$A$4:$C$11,3,FALSE)</f>
        <v>Paris</v>
      </c>
      <c r="K769" s="13">
        <f>IFERROR(H769/G769,"")</f>
        <v>20.466666666666665</v>
      </c>
      <c r="L769" s="14">
        <f>IFERROR(I769/G769,"")</f>
        <v>1.0333333333333334</v>
      </c>
      <c r="M769" s="11" t="str">
        <f>IF(K769&gt;=Paramètres!$F$6,"Très forte",IF(K769&gt;=Paramètres!$F$5,"Forte",IF(K769&gt;=Paramètres!$F$4,"Modérée","Faible")))</f>
        <v>Forte</v>
      </c>
    </row>
    <row r="770" spans="1:13">
      <c r="A770" t="s">
        <v>887</v>
      </c>
      <c r="B770" s="11">
        <v>77</v>
      </c>
      <c r="C770" t="s">
        <v>132</v>
      </c>
      <c r="D770" t="s">
        <v>797</v>
      </c>
      <c r="E770" t="s">
        <v>991</v>
      </c>
      <c r="F770" t="s">
        <v>92</v>
      </c>
      <c r="G770" s="12">
        <v>35</v>
      </c>
      <c r="H770" s="12">
        <v>716</v>
      </c>
      <c r="I770" s="12">
        <v>34</v>
      </c>
      <c r="J770" t="str">
        <f>VLOOKUP(B770,Paramètres!$A$4:$C$11,3,FALSE)</f>
        <v>Grande couronne</v>
      </c>
      <c r="K770" s="13">
        <f>IFERROR(H770/G770,"")</f>
        <v>20.457142857142856</v>
      </c>
      <c r="L770" s="14">
        <f>IFERROR(I770/G770,"")</f>
        <v>0.97142857142857142</v>
      </c>
      <c r="M770" s="11" t="str">
        <f>IF(K770&gt;=Paramètres!$F$6,"Très forte",IF(K770&gt;=Paramètres!$F$5,"Forte",IF(K770&gt;=Paramètres!$F$4,"Modérée","Faible")))</f>
        <v>Forte</v>
      </c>
    </row>
    <row r="771" spans="1:13">
      <c r="A771" t="s">
        <v>994</v>
      </c>
      <c r="B771" s="11">
        <v>75</v>
      </c>
      <c r="C771" t="s">
        <v>86</v>
      </c>
      <c r="D771" t="s">
        <v>797</v>
      </c>
      <c r="E771" t="s">
        <v>995</v>
      </c>
      <c r="F771" t="s">
        <v>92</v>
      </c>
      <c r="G771" s="12">
        <v>24</v>
      </c>
      <c r="H771" s="12">
        <v>488</v>
      </c>
      <c r="I771" s="12">
        <v>24</v>
      </c>
      <c r="J771" t="str">
        <f>VLOOKUP(B771,Paramètres!$A$4:$C$11,3,FALSE)</f>
        <v>Paris</v>
      </c>
      <c r="K771" s="13">
        <f>IFERROR(H771/G771,"")</f>
        <v>20.333333333333332</v>
      </c>
      <c r="L771" s="14">
        <f>IFERROR(I771/G771,"")</f>
        <v>1</v>
      </c>
      <c r="M771" s="11" t="str">
        <f>IF(K771&gt;=Paramètres!$F$6,"Très forte",IF(K771&gt;=Paramètres!$F$5,"Forte",IF(K771&gt;=Paramètres!$F$4,"Modérée","Faible")))</f>
        <v>Forte</v>
      </c>
    </row>
    <row r="772" spans="1:13">
      <c r="A772" t="s">
        <v>847</v>
      </c>
      <c r="B772" s="11">
        <v>75</v>
      </c>
      <c r="C772" t="s">
        <v>86</v>
      </c>
      <c r="D772" t="s">
        <v>797</v>
      </c>
      <c r="E772" t="s">
        <v>849</v>
      </c>
      <c r="F772" t="s">
        <v>92</v>
      </c>
      <c r="G772" s="12">
        <v>70</v>
      </c>
      <c r="H772" s="12">
        <v>1421</v>
      </c>
      <c r="I772" s="12">
        <v>70</v>
      </c>
      <c r="J772" t="str">
        <f>VLOOKUP(B772,Paramètres!$A$4:$C$11,3,FALSE)</f>
        <v>Paris</v>
      </c>
      <c r="K772" s="13">
        <f>IFERROR(H772/G772,"")</f>
        <v>20.3</v>
      </c>
      <c r="L772" s="14">
        <f>IFERROR(I772/G772,"")</f>
        <v>1</v>
      </c>
      <c r="M772" s="11" t="str">
        <f>IF(K772&gt;=Paramètres!$F$6,"Très forte",IF(K772&gt;=Paramètres!$F$5,"Forte",IF(K772&gt;=Paramètres!$F$4,"Modérée","Faible")))</f>
        <v>Forte</v>
      </c>
    </row>
    <row r="773" spans="1:13">
      <c r="A773" t="s">
        <v>890</v>
      </c>
      <c r="B773" s="11">
        <v>77</v>
      </c>
      <c r="C773" t="s">
        <v>132</v>
      </c>
      <c r="D773" t="s">
        <v>797</v>
      </c>
      <c r="E773" t="s">
        <v>798</v>
      </c>
      <c r="F773" t="s">
        <v>92</v>
      </c>
      <c r="G773" s="12">
        <v>35</v>
      </c>
      <c r="H773" s="12">
        <v>705</v>
      </c>
      <c r="I773" s="12">
        <v>34</v>
      </c>
      <c r="J773" t="str">
        <f>VLOOKUP(B773,Paramètres!$A$4:$C$11,3,FALSE)</f>
        <v>Grande couronne</v>
      </c>
      <c r="K773" s="13">
        <f>IFERROR(H773/G773,"")</f>
        <v>20.142857142857142</v>
      </c>
      <c r="L773" s="14">
        <f>IFERROR(I773/G773,"")</f>
        <v>0.97142857142857142</v>
      </c>
      <c r="M773" s="11" t="str">
        <f>IF(K773&gt;=Paramètres!$F$6,"Très forte",IF(K773&gt;=Paramètres!$F$5,"Forte",IF(K773&gt;=Paramètres!$F$4,"Modérée","Faible")))</f>
        <v>Forte</v>
      </c>
    </row>
    <row r="774" spans="1:13">
      <c r="A774" t="s">
        <v>1169</v>
      </c>
      <c r="B774" s="11">
        <v>94</v>
      </c>
      <c r="C774" t="s">
        <v>116</v>
      </c>
      <c r="D774" t="s">
        <v>797</v>
      </c>
      <c r="E774" t="s">
        <v>822</v>
      </c>
      <c r="F774" t="s">
        <v>92</v>
      </c>
      <c r="G774" s="12">
        <v>35</v>
      </c>
      <c r="H774" s="12">
        <v>699</v>
      </c>
      <c r="I774" s="12">
        <v>32</v>
      </c>
      <c r="J774" t="str">
        <f>VLOOKUP(B774,Paramètres!$A$4:$C$11,3,FALSE)</f>
        <v>Petite couronne</v>
      </c>
      <c r="K774" s="13">
        <f>IFERROR(H774/G774,"")</f>
        <v>19.971428571428572</v>
      </c>
      <c r="L774" s="14">
        <f>IFERROR(I774/G774,"")</f>
        <v>0.91428571428571426</v>
      </c>
      <c r="M774" s="11" t="str">
        <f>IF(K774&gt;=Paramètres!$F$6,"Très forte",IF(K774&gt;=Paramètres!$F$5,"Forte",IF(K774&gt;=Paramètres!$F$4,"Modérée","Faible")))</f>
        <v>Modérée</v>
      </c>
    </row>
    <row r="775" spans="1:13">
      <c r="A775" t="s">
        <v>946</v>
      </c>
      <c r="B775" s="11">
        <v>93</v>
      </c>
      <c r="C775" t="s">
        <v>100</v>
      </c>
      <c r="D775" t="s">
        <v>797</v>
      </c>
      <c r="E775" t="s">
        <v>928</v>
      </c>
      <c r="F775" t="s">
        <v>92</v>
      </c>
      <c r="G775" s="12">
        <v>24</v>
      </c>
      <c r="H775" s="12">
        <v>479</v>
      </c>
      <c r="I775" s="12">
        <v>26</v>
      </c>
      <c r="J775" t="str">
        <f>VLOOKUP(B775,Paramètres!$A$4:$C$11,3,FALSE)</f>
        <v>Petite couronne</v>
      </c>
      <c r="K775" s="13">
        <f>IFERROR(H775/G775,"")</f>
        <v>19.958333333333332</v>
      </c>
      <c r="L775" s="14">
        <f>IFERROR(I775/G775,"")</f>
        <v>1.0833333333333333</v>
      </c>
      <c r="M775" s="11" t="str">
        <f>IF(K775&gt;=Paramètres!$F$6,"Très forte",IF(K775&gt;=Paramètres!$F$5,"Forte",IF(K775&gt;=Paramètres!$F$4,"Modérée","Faible")))</f>
        <v>Modérée</v>
      </c>
    </row>
    <row r="776" spans="1:13">
      <c r="A776" t="s">
        <v>917</v>
      </c>
      <c r="B776" s="11">
        <v>91</v>
      </c>
      <c r="C776" t="s">
        <v>105</v>
      </c>
      <c r="D776" t="s">
        <v>797</v>
      </c>
      <c r="E776" t="s">
        <v>822</v>
      </c>
      <c r="F776" t="s">
        <v>92</v>
      </c>
      <c r="G776" s="12">
        <v>35</v>
      </c>
      <c r="H776" s="12">
        <v>698</v>
      </c>
      <c r="I776" s="12">
        <v>32</v>
      </c>
      <c r="J776" t="str">
        <f>VLOOKUP(B776,Paramètres!$A$4:$C$11,3,FALSE)</f>
        <v>Grande couronne</v>
      </c>
      <c r="K776" s="13">
        <f>IFERROR(H776/G776,"")</f>
        <v>19.942857142857143</v>
      </c>
      <c r="L776" s="14">
        <f>IFERROR(I776/G776,"")</f>
        <v>0.91428571428571426</v>
      </c>
      <c r="M776" s="11" t="str">
        <f>IF(K776&gt;=Paramètres!$F$6,"Très forte",IF(K776&gt;=Paramètres!$F$5,"Forte",IF(K776&gt;=Paramètres!$F$4,"Modérée","Faible")))</f>
        <v>Modérée</v>
      </c>
    </row>
    <row r="777" spans="1:13">
      <c r="A777" t="s">
        <v>1107</v>
      </c>
      <c r="B777" s="11">
        <v>95</v>
      </c>
      <c r="C777" t="s">
        <v>90</v>
      </c>
      <c r="D777" t="s">
        <v>797</v>
      </c>
      <c r="E777" t="s">
        <v>798</v>
      </c>
      <c r="F777" t="s">
        <v>92</v>
      </c>
      <c r="G777" s="12">
        <v>32</v>
      </c>
      <c r="H777" s="12">
        <v>638</v>
      </c>
      <c r="I777" s="12">
        <v>35</v>
      </c>
      <c r="J777" t="str">
        <f>VLOOKUP(B777,Paramètres!$A$4:$C$11,3,FALSE)</f>
        <v>Grande couronne</v>
      </c>
      <c r="K777" s="13">
        <f>IFERROR(H777/G777,"")</f>
        <v>19.9375</v>
      </c>
      <c r="L777" s="14">
        <f>IFERROR(I777/G777,"")</f>
        <v>1.09375</v>
      </c>
      <c r="M777" s="11" t="str">
        <f>IF(K777&gt;=Paramètres!$F$6,"Très forte",IF(K777&gt;=Paramètres!$F$5,"Forte",IF(K777&gt;=Paramètres!$F$4,"Modérée","Faible")))</f>
        <v>Modérée</v>
      </c>
    </row>
    <row r="778" spans="1:13">
      <c r="A778" t="s">
        <v>1095</v>
      </c>
      <c r="B778" s="11">
        <v>94</v>
      </c>
      <c r="C778" t="s">
        <v>116</v>
      </c>
      <c r="D778" t="s">
        <v>797</v>
      </c>
      <c r="E778" t="s">
        <v>822</v>
      </c>
      <c r="F778" t="s">
        <v>92</v>
      </c>
      <c r="G778" s="12">
        <v>35</v>
      </c>
      <c r="H778" s="12">
        <v>697</v>
      </c>
      <c r="I778" s="12">
        <v>35</v>
      </c>
      <c r="J778" t="str">
        <f>VLOOKUP(B778,Paramètres!$A$4:$C$11,3,FALSE)</f>
        <v>Petite couronne</v>
      </c>
      <c r="K778" s="13">
        <f>IFERROR(H778/G778,"")</f>
        <v>19.914285714285715</v>
      </c>
      <c r="L778" s="14">
        <f>IFERROR(I778/G778,"")</f>
        <v>1</v>
      </c>
      <c r="M778" s="11" t="str">
        <f>IF(K778&gt;=Paramètres!$F$6,"Très forte",IF(K778&gt;=Paramètres!$F$5,"Forte",IF(K778&gt;=Paramètres!$F$4,"Modérée","Faible")))</f>
        <v>Modérée</v>
      </c>
    </row>
    <row r="779" spans="1:13">
      <c r="A779" t="s">
        <v>913</v>
      </c>
      <c r="B779" s="11">
        <v>78</v>
      </c>
      <c r="C779" t="s">
        <v>135</v>
      </c>
      <c r="D779" t="s">
        <v>797</v>
      </c>
      <c r="E779" t="s">
        <v>822</v>
      </c>
      <c r="F779" t="s">
        <v>92</v>
      </c>
      <c r="G779" s="12">
        <v>35</v>
      </c>
      <c r="H779" s="12">
        <v>696</v>
      </c>
      <c r="I779" s="12">
        <v>35</v>
      </c>
      <c r="J779" t="str">
        <f>VLOOKUP(B779,Paramètres!$A$4:$C$11,3,FALSE)</f>
        <v>Grande couronne</v>
      </c>
      <c r="K779" s="13">
        <f>IFERROR(H779/G779,"")</f>
        <v>19.885714285714286</v>
      </c>
      <c r="L779" s="14">
        <f>IFERROR(I779/G779,"")</f>
        <v>1</v>
      </c>
      <c r="M779" s="11" t="str">
        <f>IF(K779&gt;=Paramètres!$F$6,"Très forte",IF(K779&gt;=Paramètres!$F$5,"Forte",IF(K779&gt;=Paramètres!$F$4,"Modérée","Faible")))</f>
        <v>Modérée</v>
      </c>
    </row>
    <row r="780" spans="1:13">
      <c r="A780" t="s">
        <v>950</v>
      </c>
      <c r="B780" s="11">
        <v>93</v>
      </c>
      <c r="C780" t="s">
        <v>100</v>
      </c>
      <c r="D780" t="s">
        <v>797</v>
      </c>
      <c r="E780" t="s">
        <v>823</v>
      </c>
      <c r="F780" t="s">
        <v>92</v>
      </c>
      <c r="G780" s="12">
        <v>108</v>
      </c>
      <c r="H780" s="12">
        <v>2147</v>
      </c>
      <c r="I780" s="12">
        <v>107</v>
      </c>
      <c r="J780" t="str">
        <f>VLOOKUP(B780,Paramètres!$A$4:$C$11,3,FALSE)</f>
        <v>Petite couronne</v>
      </c>
      <c r="K780" s="13">
        <f>IFERROR(H780/G780,"")</f>
        <v>19.87962962962963</v>
      </c>
      <c r="L780" s="14">
        <f>IFERROR(I780/G780,"")</f>
        <v>0.9907407407407407</v>
      </c>
      <c r="M780" s="11" t="str">
        <f>IF(K780&gt;=Paramètres!$F$6,"Très forte",IF(K780&gt;=Paramètres!$F$5,"Forte",IF(K780&gt;=Paramètres!$F$4,"Modérée","Faible")))</f>
        <v>Modérée</v>
      </c>
    </row>
    <row r="781" spans="1:13">
      <c r="A781" t="s">
        <v>1070</v>
      </c>
      <c r="B781" s="11">
        <v>92</v>
      </c>
      <c r="C781" t="s">
        <v>94</v>
      </c>
      <c r="D781" t="s">
        <v>797</v>
      </c>
      <c r="E781" t="s">
        <v>866</v>
      </c>
      <c r="F781" t="s">
        <v>92</v>
      </c>
      <c r="G781" s="12">
        <v>35</v>
      </c>
      <c r="H781" s="12">
        <v>695</v>
      </c>
      <c r="I781" s="12">
        <v>28</v>
      </c>
      <c r="J781" t="str">
        <f>VLOOKUP(B781,Paramètres!$A$4:$C$11,3,FALSE)</f>
        <v>Petite couronne</v>
      </c>
      <c r="K781" s="13">
        <f>IFERROR(H781/G781,"")</f>
        <v>19.857142857142858</v>
      </c>
      <c r="L781" s="14">
        <f>IFERROR(I781/G781,"")</f>
        <v>0.8</v>
      </c>
      <c r="M781" s="11" t="str">
        <f>IF(K781&gt;=Paramètres!$F$6,"Très forte",IF(K781&gt;=Paramètres!$F$5,"Forte",IF(K781&gt;=Paramètres!$F$4,"Modérée","Faible")))</f>
        <v>Modérée</v>
      </c>
    </row>
    <row r="782" spans="1:13">
      <c r="A782" t="s">
        <v>913</v>
      </c>
      <c r="B782" s="11">
        <v>93</v>
      </c>
      <c r="C782" t="s">
        <v>100</v>
      </c>
      <c r="D782" t="s">
        <v>797</v>
      </c>
      <c r="E782" t="s">
        <v>861</v>
      </c>
      <c r="F782" t="s">
        <v>92</v>
      </c>
      <c r="G782" s="12">
        <v>24</v>
      </c>
      <c r="H782" s="12">
        <v>476</v>
      </c>
      <c r="I782" s="12">
        <v>25</v>
      </c>
      <c r="J782" t="str">
        <f>VLOOKUP(B782,Paramètres!$A$4:$C$11,3,FALSE)</f>
        <v>Petite couronne</v>
      </c>
      <c r="K782" s="13">
        <f>IFERROR(H782/G782,"")</f>
        <v>19.833333333333332</v>
      </c>
      <c r="L782" s="14">
        <f>IFERROR(I782/G782,"")</f>
        <v>1.0416666666666667</v>
      </c>
      <c r="M782" s="11" t="str">
        <f>IF(K782&gt;=Paramètres!$F$6,"Très forte",IF(K782&gt;=Paramètres!$F$5,"Forte",IF(K782&gt;=Paramètres!$F$4,"Modérée","Faible")))</f>
        <v>Modérée</v>
      </c>
    </row>
    <row r="783" spans="1:13">
      <c r="A783" t="s">
        <v>847</v>
      </c>
      <c r="B783" s="11">
        <v>75</v>
      </c>
      <c r="C783" t="s">
        <v>86</v>
      </c>
      <c r="D783" t="s">
        <v>797</v>
      </c>
      <c r="E783" t="s">
        <v>848</v>
      </c>
      <c r="F783" t="s">
        <v>92</v>
      </c>
      <c r="G783" s="12">
        <v>30</v>
      </c>
      <c r="H783" s="12">
        <v>592</v>
      </c>
      <c r="I783" s="12">
        <v>29</v>
      </c>
      <c r="J783" t="str">
        <f>VLOOKUP(B783,Paramètres!$A$4:$C$11,3,FALSE)</f>
        <v>Paris</v>
      </c>
      <c r="K783" s="13">
        <f>IFERROR(H783/G783,"")</f>
        <v>19.733333333333334</v>
      </c>
      <c r="L783" s="14">
        <f>IFERROR(I783/G783,"")</f>
        <v>0.96666666666666667</v>
      </c>
      <c r="M783" s="11" t="str">
        <f>IF(K783&gt;=Paramètres!$F$6,"Très forte",IF(K783&gt;=Paramètres!$F$5,"Forte",IF(K783&gt;=Paramètres!$F$4,"Modérée","Faible")))</f>
        <v>Modérée</v>
      </c>
    </row>
    <row r="784" spans="1:13">
      <c r="A784" t="s">
        <v>941</v>
      </c>
      <c r="B784" s="11">
        <v>92</v>
      </c>
      <c r="C784" t="s">
        <v>94</v>
      </c>
      <c r="D784" t="s">
        <v>797</v>
      </c>
      <c r="E784" t="s">
        <v>849</v>
      </c>
      <c r="F784" t="s">
        <v>92</v>
      </c>
      <c r="G784" s="12">
        <v>26</v>
      </c>
      <c r="H784" s="12">
        <v>513</v>
      </c>
      <c r="I784" s="12">
        <v>25</v>
      </c>
      <c r="J784" t="str">
        <f>VLOOKUP(B784,Paramètres!$A$4:$C$11,3,FALSE)</f>
        <v>Petite couronne</v>
      </c>
      <c r="K784" s="13">
        <f>IFERROR(H784/G784,"")</f>
        <v>19.73076923076923</v>
      </c>
      <c r="L784" s="14">
        <f>IFERROR(I784/G784,"")</f>
        <v>0.96153846153846156</v>
      </c>
      <c r="M784" s="11" t="str">
        <f>IF(K784&gt;=Paramètres!$F$6,"Très forte",IF(K784&gt;=Paramètres!$F$5,"Forte",IF(K784&gt;=Paramètres!$F$4,"Modérée","Faible")))</f>
        <v>Modérée</v>
      </c>
    </row>
    <row r="785" spans="1:13">
      <c r="A785" t="s">
        <v>966</v>
      </c>
      <c r="B785" s="11">
        <v>94</v>
      </c>
      <c r="C785" t="s">
        <v>116</v>
      </c>
      <c r="D785" t="s">
        <v>797</v>
      </c>
      <c r="E785" t="s">
        <v>822</v>
      </c>
      <c r="F785" t="s">
        <v>92</v>
      </c>
      <c r="G785" s="12">
        <v>24</v>
      </c>
      <c r="H785" s="12">
        <v>472</v>
      </c>
      <c r="I785" s="12">
        <v>24</v>
      </c>
      <c r="J785" t="str">
        <f>VLOOKUP(B785,Paramètres!$A$4:$C$11,3,FALSE)</f>
        <v>Petite couronne</v>
      </c>
      <c r="K785" s="13">
        <f>IFERROR(H785/G785,"")</f>
        <v>19.666666666666668</v>
      </c>
      <c r="L785" s="14">
        <f>IFERROR(I785/G785,"")</f>
        <v>1</v>
      </c>
      <c r="M785" s="11" t="str">
        <f>IF(K785&gt;=Paramètres!$F$6,"Très forte",IF(K785&gt;=Paramètres!$F$5,"Forte",IF(K785&gt;=Paramètres!$F$4,"Modérée","Faible")))</f>
        <v>Modérée</v>
      </c>
    </row>
    <row r="786" spans="1:13">
      <c r="A786" t="s">
        <v>857</v>
      </c>
      <c r="B786" s="11">
        <v>75</v>
      </c>
      <c r="C786" t="s">
        <v>86</v>
      </c>
      <c r="D786" t="s">
        <v>797</v>
      </c>
      <c r="E786" t="s">
        <v>836</v>
      </c>
      <c r="F786" t="s">
        <v>92</v>
      </c>
      <c r="G786" s="12">
        <v>24</v>
      </c>
      <c r="H786" s="12">
        <v>470</v>
      </c>
      <c r="I786" s="12">
        <v>21</v>
      </c>
      <c r="J786" t="str">
        <f>VLOOKUP(B786,Paramètres!$A$4:$C$11,3,FALSE)</f>
        <v>Paris</v>
      </c>
      <c r="K786" s="13">
        <f>IFERROR(H786/G786,"")</f>
        <v>19.583333333333332</v>
      </c>
      <c r="L786" s="14">
        <f>IFERROR(I786/G786,"")</f>
        <v>0.875</v>
      </c>
      <c r="M786" s="11" t="str">
        <f>IF(K786&gt;=Paramètres!$F$6,"Très forte",IF(K786&gt;=Paramètres!$F$5,"Forte",IF(K786&gt;=Paramètres!$F$4,"Modérée","Faible")))</f>
        <v>Modérée</v>
      </c>
    </row>
    <row r="787" spans="1:13">
      <c r="A787" t="s">
        <v>930</v>
      </c>
      <c r="B787" s="11">
        <v>91</v>
      </c>
      <c r="C787" t="s">
        <v>105</v>
      </c>
      <c r="D787" t="s">
        <v>797</v>
      </c>
      <c r="E787" t="s">
        <v>822</v>
      </c>
      <c r="F787" t="s">
        <v>92</v>
      </c>
      <c r="G787" s="12">
        <v>40</v>
      </c>
      <c r="H787" s="12">
        <v>783</v>
      </c>
      <c r="I787" s="12">
        <v>39</v>
      </c>
      <c r="J787" t="str">
        <f>VLOOKUP(B787,Paramètres!$A$4:$C$11,3,FALSE)</f>
        <v>Grande couronne</v>
      </c>
      <c r="K787" s="13">
        <f>IFERROR(H787/G787,"")</f>
        <v>19.574999999999999</v>
      </c>
      <c r="L787" s="14">
        <f>IFERROR(I787/G787,"")</f>
        <v>0.97499999999999998</v>
      </c>
      <c r="M787" s="11" t="str">
        <f>IF(K787&gt;=Paramètres!$F$6,"Très forte",IF(K787&gt;=Paramètres!$F$5,"Forte",IF(K787&gt;=Paramètres!$F$4,"Modérée","Faible")))</f>
        <v>Modérée</v>
      </c>
    </row>
    <row r="788" spans="1:13">
      <c r="A788" t="s">
        <v>815</v>
      </c>
      <c r="B788" s="11">
        <v>91</v>
      </c>
      <c r="C788" t="s">
        <v>105</v>
      </c>
      <c r="D788" t="s">
        <v>797</v>
      </c>
      <c r="E788" t="s">
        <v>860</v>
      </c>
      <c r="F788" t="s">
        <v>92</v>
      </c>
      <c r="G788" s="12">
        <v>24</v>
      </c>
      <c r="H788" s="12">
        <v>467</v>
      </c>
      <c r="I788" s="12">
        <v>24</v>
      </c>
      <c r="J788" t="str">
        <f>VLOOKUP(B788,Paramètres!$A$4:$C$11,3,FALSE)</f>
        <v>Grande couronne</v>
      </c>
      <c r="K788" s="13">
        <f>IFERROR(H788/G788,"")</f>
        <v>19.458333333333332</v>
      </c>
      <c r="L788" s="14">
        <f>IFERROR(I788/G788,"")</f>
        <v>1</v>
      </c>
      <c r="M788" s="11" t="str">
        <f>IF(K788&gt;=Paramètres!$F$6,"Très forte",IF(K788&gt;=Paramètres!$F$5,"Forte",IF(K788&gt;=Paramètres!$F$4,"Modérée","Faible")))</f>
        <v>Modérée</v>
      </c>
    </row>
    <row r="789" spans="1:13">
      <c r="A789" t="s">
        <v>969</v>
      </c>
      <c r="B789" s="11">
        <v>94</v>
      </c>
      <c r="C789" t="s">
        <v>116</v>
      </c>
      <c r="D789" t="s">
        <v>797</v>
      </c>
      <c r="E789" t="s">
        <v>822</v>
      </c>
      <c r="F789" t="s">
        <v>92</v>
      </c>
      <c r="G789" s="12">
        <v>35</v>
      </c>
      <c r="H789" s="12">
        <v>672</v>
      </c>
      <c r="I789" s="12">
        <v>34</v>
      </c>
      <c r="J789" t="str">
        <f>VLOOKUP(B789,Paramètres!$A$4:$C$11,3,FALSE)</f>
        <v>Petite couronne</v>
      </c>
      <c r="K789" s="13">
        <f>IFERROR(H789/G789,"")</f>
        <v>19.2</v>
      </c>
      <c r="L789" s="14">
        <f>IFERROR(I789/G789,"")</f>
        <v>0.97142857142857142</v>
      </c>
      <c r="M789" s="11" t="str">
        <f>IF(K789&gt;=Paramètres!$F$6,"Très forte",IF(K789&gt;=Paramètres!$F$5,"Forte",IF(K789&gt;=Paramètres!$F$4,"Modérée","Faible")))</f>
        <v>Modérée</v>
      </c>
    </row>
    <row r="790" spans="1:13">
      <c r="A790" t="s">
        <v>939</v>
      </c>
      <c r="B790" s="11">
        <v>92</v>
      </c>
      <c r="C790" t="s">
        <v>94</v>
      </c>
      <c r="D790" t="s">
        <v>797</v>
      </c>
      <c r="E790" t="s">
        <v>940</v>
      </c>
      <c r="F790" t="s">
        <v>92</v>
      </c>
      <c r="G790" s="12">
        <v>12</v>
      </c>
      <c r="H790" s="12">
        <v>229</v>
      </c>
      <c r="I790" s="12">
        <v>11</v>
      </c>
      <c r="J790" t="str">
        <f>VLOOKUP(B790,Paramètres!$A$4:$C$11,3,FALSE)</f>
        <v>Petite couronne</v>
      </c>
      <c r="K790" s="13">
        <f>IFERROR(H790/G790,"")</f>
        <v>19.083333333333332</v>
      </c>
      <c r="L790" s="14">
        <f>IFERROR(I790/G790,"")</f>
        <v>0.91666666666666663</v>
      </c>
      <c r="M790" s="11" t="str">
        <f>IF(K790&gt;=Paramètres!$F$6,"Très forte",IF(K790&gt;=Paramètres!$F$5,"Forte",IF(K790&gt;=Paramètres!$F$4,"Modérée","Faible")))</f>
        <v>Modérée</v>
      </c>
    </row>
    <row r="791" spans="1:13">
      <c r="A791" t="s">
        <v>1009</v>
      </c>
      <c r="B791" s="11">
        <v>77</v>
      </c>
      <c r="C791" t="s">
        <v>132</v>
      </c>
      <c r="D791" t="s">
        <v>797</v>
      </c>
      <c r="E791" t="s">
        <v>798</v>
      </c>
      <c r="F791" t="s">
        <v>92</v>
      </c>
      <c r="G791" s="12">
        <v>35</v>
      </c>
      <c r="H791" s="12">
        <v>665</v>
      </c>
      <c r="I791" s="12">
        <v>35</v>
      </c>
      <c r="J791" t="str">
        <f>VLOOKUP(B791,Paramètres!$A$4:$C$11,3,FALSE)</f>
        <v>Grande couronne</v>
      </c>
      <c r="K791" s="13">
        <f>IFERROR(H791/G791,"")</f>
        <v>19</v>
      </c>
      <c r="L791" s="14">
        <f>IFERROR(I791/G791,"")</f>
        <v>1</v>
      </c>
      <c r="M791" s="11" t="str">
        <f>IF(K791&gt;=Paramètres!$F$6,"Très forte",IF(K791&gt;=Paramètres!$F$5,"Forte",IF(K791&gt;=Paramètres!$F$4,"Modérée","Faible")))</f>
        <v>Modérée</v>
      </c>
    </row>
    <row r="792" spans="1:13">
      <c r="A792" t="s">
        <v>967</v>
      </c>
      <c r="B792" s="11">
        <v>94</v>
      </c>
      <c r="C792" t="s">
        <v>116</v>
      </c>
      <c r="D792" t="s">
        <v>797</v>
      </c>
      <c r="E792" t="s">
        <v>1150</v>
      </c>
      <c r="F792" t="s">
        <v>92</v>
      </c>
      <c r="G792" s="12">
        <v>24</v>
      </c>
      <c r="H792" s="12">
        <v>456</v>
      </c>
      <c r="I792" s="12">
        <v>27</v>
      </c>
      <c r="J792" t="str">
        <f>VLOOKUP(B792,Paramètres!$A$4:$C$11,3,FALSE)</f>
        <v>Petite couronne</v>
      </c>
      <c r="K792" s="13">
        <f>IFERROR(H792/G792,"")</f>
        <v>19</v>
      </c>
      <c r="L792" s="14">
        <f>IFERROR(I792/G792,"")</f>
        <v>1.125</v>
      </c>
      <c r="M792" s="11" t="str">
        <f>IF(K792&gt;=Paramètres!$F$6,"Très forte",IF(K792&gt;=Paramètres!$F$5,"Forte",IF(K792&gt;=Paramètres!$F$4,"Modérée","Faible")))</f>
        <v>Modérée</v>
      </c>
    </row>
    <row r="793" spans="1:13">
      <c r="A793" t="s">
        <v>815</v>
      </c>
      <c r="B793" s="11">
        <v>91</v>
      </c>
      <c r="C793" t="s">
        <v>105</v>
      </c>
      <c r="D793" t="s">
        <v>797</v>
      </c>
      <c r="E793" t="s">
        <v>853</v>
      </c>
      <c r="F793" t="s">
        <v>92</v>
      </c>
      <c r="G793" s="12">
        <v>24</v>
      </c>
      <c r="H793" s="12">
        <v>454</v>
      </c>
      <c r="I793" s="12">
        <v>21</v>
      </c>
      <c r="J793" t="str">
        <f>VLOOKUP(B793,Paramètres!$A$4:$C$11,3,FALSE)</f>
        <v>Grande couronne</v>
      </c>
      <c r="K793" s="13">
        <f>IFERROR(H793/G793,"")</f>
        <v>18.916666666666668</v>
      </c>
      <c r="L793" s="14">
        <f>IFERROR(I793/G793,"")</f>
        <v>0.875</v>
      </c>
      <c r="M793" s="11" t="str">
        <f>IF(K793&gt;=Paramètres!$F$6,"Très forte",IF(K793&gt;=Paramètres!$F$5,"Forte",IF(K793&gt;=Paramètres!$F$4,"Modérée","Faible")))</f>
        <v>Modérée</v>
      </c>
    </row>
    <row r="794" spans="1:13">
      <c r="A794" t="s">
        <v>1219</v>
      </c>
      <c r="B794" s="11">
        <v>92</v>
      </c>
      <c r="C794" t="s">
        <v>94</v>
      </c>
      <c r="D794" t="s">
        <v>797</v>
      </c>
      <c r="E794" t="s">
        <v>825</v>
      </c>
      <c r="F794" t="s">
        <v>92</v>
      </c>
      <c r="G794" s="12">
        <v>32</v>
      </c>
      <c r="H794" s="12">
        <v>605</v>
      </c>
      <c r="I794" s="12">
        <v>31</v>
      </c>
      <c r="J794" t="str">
        <f>VLOOKUP(B794,Paramètres!$A$4:$C$11,3,FALSE)</f>
        <v>Petite couronne</v>
      </c>
      <c r="K794" s="13">
        <f>IFERROR(H794/G794,"")</f>
        <v>18.90625</v>
      </c>
      <c r="L794" s="14">
        <f>IFERROR(I794/G794,"")</f>
        <v>0.96875</v>
      </c>
      <c r="M794" s="11" t="str">
        <f>IF(K794&gt;=Paramètres!$F$6,"Très forte",IF(K794&gt;=Paramètres!$F$5,"Forte",IF(K794&gt;=Paramètres!$F$4,"Modérée","Faible")))</f>
        <v>Modérée</v>
      </c>
    </row>
    <row r="795" spans="1:13">
      <c r="A795" t="s">
        <v>841</v>
      </c>
      <c r="B795" s="11">
        <v>75</v>
      </c>
      <c r="C795" t="s">
        <v>86</v>
      </c>
      <c r="D795" t="s">
        <v>797</v>
      </c>
      <c r="E795" t="s">
        <v>843</v>
      </c>
      <c r="F795" t="s">
        <v>92</v>
      </c>
      <c r="G795" s="12">
        <v>24</v>
      </c>
      <c r="H795" s="12">
        <v>452</v>
      </c>
      <c r="I795" s="12">
        <v>27</v>
      </c>
      <c r="J795" t="str">
        <f>VLOOKUP(B795,Paramètres!$A$4:$C$11,3,FALSE)</f>
        <v>Paris</v>
      </c>
      <c r="K795" s="13">
        <f>IFERROR(H795/G795,"")</f>
        <v>18.833333333333332</v>
      </c>
      <c r="L795" s="14">
        <f>IFERROR(I795/G795,"")</f>
        <v>1.125</v>
      </c>
      <c r="M795" s="11" t="str">
        <f>IF(K795&gt;=Paramètres!$F$6,"Très forte",IF(K795&gt;=Paramètres!$F$5,"Forte",IF(K795&gt;=Paramètres!$F$4,"Modérée","Faible")))</f>
        <v>Modérée</v>
      </c>
    </row>
    <row r="796" spans="1:13">
      <c r="A796" t="s">
        <v>1005</v>
      </c>
      <c r="B796" s="11">
        <v>93</v>
      </c>
      <c r="C796" t="s">
        <v>100</v>
      </c>
      <c r="D796" t="s">
        <v>797</v>
      </c>
      <c r="E796" t="s">
        <v>1006</v>
      </c>
      <c r="F796" t="s">
        <v>92</v>
      </c>
      <c r="G796" s="12">
        <v>20</v>
      </c>
      <c r="H796" s="12">
        <v>375</v>
      </c>
      <c r="I796" s="12">
        <v>21</v>
      </c>
      <c r="J796" t="str">
        <f>VLOOKUP(B796,Paramètres!$A$4:$C$11,3,FALSE)</f>
        <v>Petite couronne</v>
      </c>
      <c r="K796" s="13">
        <f>IFERROR(H796/G796,"")</f>
        <v>18.75</v>
      </c>
      <c r="L796" s="14">
        <f>IFERROR(I796/G796,"")</f>
        <v>1.05</v>
      </c>
      <c r="M796" s="11" t="str">
        <f>IF(K796&gt;=Paramètres!$F$6,"Très forte",IF(K796&gt;=Paramètres!$F$5,"Forte",IF(K796&gt;=Paramètres!$F$4,"Modérée","Faible")))</f>
        <v>Modérée</v>
      </c>
    </row>
    <row r="797" spans="1:13">
      <c r="A797" t="s">
        <v>983</v>
      </c>
      <c r="B797" s="11">
        <v>95</v>
      </c>
      <c r="C797" t="s">
        <v>90</v>
      </c>
      <c r="D797" t="s">
        <v>797</v>
      </c>
      <c r="E797" t="s">
        <v>832</v>
      </c>
      <c r="F797" t="s">
        <v>92</v>
      </c>
      <c r="G797" s="12">
        <v>35</v>
      </c>
      <c r="H797" s="12">
        <v>646</v>
      </c>
      <c r="I797" s="12">
        <v>35</v>
      </c>
      <c r="J797" t="str">
        <f>VLOOKUP(B797,Paramètres!$A$4:$C$11,3,FALSE)</f>
        <v>Grande couronne</v>
      </c>
      <c r="K797" s="13">
        <f>IFERROR(H797/G797,"")</f>
        <v>18.457142857142856</v>
      </c>
      <c r="L797" s="14">
        <f>IFERROR(I797/G797,"")</f>
        <v>1</v>
      </c>
      <c r="M797" s="11" t="str">
        <f>IF(K797&gt;=Paramètres!$F$6,"Très forte",IF(K797&gt;=Paramètres!$F$5,"Forte",IF(K797&gt;=Paramètres!$F$4,"Modérée","Faible")))</f>
        <v>Modérée</v>
      </c>
    </row>
    <row r="798" spans="1:13">
      <c r="A798" t="s">
        <v>1144</v>
      </c>
      <c r="B798" s="11">
        <v>78</v>
      </c>
      <c r="C798" t="s">
        <v>135</v>
      </c>
      <c r="D798" t="s">
        <v>797</v>
      </c>
      <c r="E798" t="s">
        <v>819</v>
      </c>
      <c r="F798" t="s">
        <v>92</v>
      </c>
      <c r="G798" s="12">
        <v>33</v>
      </c>
      <c r="H798" s="12">
        <v>609</v>
      </c>
      <c r="I798" s="12">
        <v>22</v>
      </c>
      <c r="J798" t="str">
        <f>VLOOKUP(B798,Paramètres!$A$4:$C$11,3,FALSE)</f>
        <v>Grande couronne</v>
      </c>
      <c r="K798" s="13">
        <f>IFERROR(H798/G798,"")</f>
        <v>18.454545454545453</v>
      </c>
      <c r="L798" s="14">
        <f>IFERROR(I798/G798,"")</f>
        <v>0.66666666666666663</v>
      </c>
      <c r="M798" s="11" t="str">
        <f>IF(K798&gt;=Paramètres!$F$6,"Très forte",IF(K798&gt;=Paramètres!$F$5,"Forte",IF(K798&gt;=Paramètres!$F$4,"Modérée","Faible")))</f>
        <v>Modérée</v>
      </c>
    </row>
    <row r="799" spans="1:13">
      <c r="A799" t="s">
        <v>841</v>
      </c>
      <c r="B799" s="11">
        <v>75</v>
      </c>
      <c r="C799" t="s">
        <v>86</v>
      </c>
      <c r="D799" t="s">
        <v>797</v>
      </c>
      <c r="E799" t="s">
        <v>844</v>
      </c>
      <c r="F799" t="s">
        <v>92</v>
      </c>
      <c r="G799" s="12">
        <v>60</v>
      </c>
      <c r="H799" s="12">
        <v>1107</v>
      </c>
      <c r="I799" s="12">
        <v>62</v>
      </c>
      <c r="J799" t="str">
        <f>VLOOKUP(B799,Paramètres!$A$4:$C$11,3,FALSE)</f>
        <v>Paris</v>
      </c>
      <c r="K799" s="13">
        <f>IFERROR(H799/G799,"")</f>
        <v>18.45</v>
      </c>
      <c r="L799" s="14">
        <f>IFERROR(I799/G799,"")</f>
        <v>1.0333333333333334</v>
      </c>
      <c r="M799" s="11" t="str">
        <f>IF(K799&gt;=Paramètres!$F$6,"Très forte",IF(K799&gt;=Paramètres!$F$5,"Forte",IF(K799&gt;=Paramètres!$F$4,"Modérée","Faible")))</f>
        <v>Modérée</v>
      </c>
    </row>
    <row r="800" spans="1:13">
      <c r="A800" t="s">
        <v>1033</v>
      </c>
      <c r="B800" s="11">
        <v>75</v>
      </c>
      <c r="C800" t="s">
        <v>86</v>
      </c>
      <c r="D800" t="s">
        <v>797</v>
      </c>
      <c r="E800" t="s">
        <v>853</v>
      </c>
      <c r="F800" t="s">
        <v>92</v>
      </c>
      <c r="G800" s="12">
        <v>35</v>
      </c>
      <c r="H800" s="12">
        <v>643</v>
      </c>
      <c r="I800" s="12">
        <v>34</v>
      </c>
      <c r="J800" t="str">
        <f>VLOOKUP(B800,Paramètres!$A$4:$C$11,3,FALSE)</f>
        <v>Paris</v>
      </c>
      <c r="K800" s="13">
        <f>IFERROR(H800/G800,"")</f>
        <v>18.37142857142857</v>
      </c>
      <c r="L800" s="14">
        <f>IFERROR(I800/G800,"")</f>
        <v>0.97142857142857142</v>
      </c>
      <c r="M800" s="11" t="str">
        <f>IF(K800&gt;=Paramètres!$F$6,"Très forte",IF(K800&gt;=Paramètres!$F$5,"Forte",IF(K800&gt;=Paramètres!$F$4,"Modérée","Faible")))</f>
        <v>Modérée</v>
      </c>
    </row>
    <row r="801" spans="1:13">
      <c r="A801" t="s">
        <v>1141</v>
      </c>
      <c r="B801" s="11">
        <v>77</v>
      </c>
      <c r="C801" t="s">
        <v>132</v>
      </c>
      <c r="D801" t="s">
        <v>797</v>
      </c>
      <c r="E801" t="s">
        <v>1113</v>
      </c>
      <c r="F801" t="s">
        <v>92</v>
      </c>
      <c r="G801" s="12">
        <v>14</v>
      </c>
      <c r="H801" s="12">
        <v>257</v>
      </c>
      <c r="I801" s="12">
        <v>11</v>
      </c>
      <c r="J801" t="str">
        <f>VLOOKUP(B801,Paramètres!$A$4:$C$11,3,FALSE)</f>
        <v>Grande couronne</v>
      </c>
      <c r="K801" s="13">
        <f>IFERROR(H801/G801,"")</f>
        <v>18.357142857142858</v>
      </c>
      <c r="L801" s="14">
        <f>IFERROR(I801/G801,"")</f>
        <v>0.7857142857142857</v>
      </c>
      <c r="M801" s="11" t="str">
        <f>IF(K801&gt;=Paramètres!$F$6,"Très forte",IF(K801&gt;=Paramètres!$F$5,"Forte",IF(K801&gt;=Paramètres!$F$4,"Modérée","Faible")))</f>
        <v>Modérée</v>
      </c>
    </row>
    <row r="802" spans="1:13">
      <c r="A802" t="s">
        <v>1152</v>
      </c>
      <c r="B802" s="11">
        <v>92</v>
      </c>
      <c r="C802" t="s">
        <v>94</v>
      </c>
      <c r="D802" t="s">
        <v>797</v>
      </c>
      <c r="E802" t="s">
        <v>891</v>
      </c>
      <c r="F802" t="s">
        <v>92</v>
      </c>
      <c r="G802" s="12">
        <v>37</v>
      </c>
      <c r="H802" s="12">
        <v>678</v>
      </c>
      <c r="I802" s="12">
        <v>32</v>
      </c>
      <c r="J802" t="str">
        <f>VLOOKUP(B802,Paramètres!$A$4:$C$11,3,FALSE)</f>
        <v>Petite couronne</v>
      </c>
      <c r="K802" s="13">
        <f>IFERROR(H802/G802,"")</f>
        <v>18.324324324324323</v>
      </c>
      <c r="L802" s="14">
        <f>IFERROR(I802/G802,"")</f>
        <v>0.86486486486486491</v>
      </c>
      <c r="M802" s="11" t="str">
        <f>IF(K802&gt;=Paramètres!$F$6,"Très forte",IF(K802&gt;=Paramètres!$F$5,"Forte",IF(K802&gt;=Paramètres!$F$4,"Modérée","Faible")))</f>
        <v>Modérée</v>
      </c>
    </row>
    <row r="803" spans="1:13">
      <c r="A803" t="s">
        <v>1074</v>
      </c>
      <c r="B803" s="11">
        <v>92</v>
      </c>
      <c r="C803" t="s">
        <v>94</v>
      </c>
      <c r="D803" t="s">
        <v>797</v>
      </c>
      <c r="E803" t="s">
        <v>825</v>
      </c>
      <c r="F803" t="s">
        <v>92</v>
      </c>
      <c r="G803" s="12">
        <v>35</v>
      </c>
      <c r="H803" s="12">
        <v>641</v>
      </c>
      <c r="I803" s="12">
        <v>33</v>
      </c>
      <c r="J803" t="str">
        <f>VLOOKUP(B803,Paramètres!$A$4:$C$11,3,FALSE)</f>
        <v>Petite couronne</v>
      </c>
      <c r="K803" s="13">
        <f>IFERROR(H803/G803,"")</f>
        <v>18.314285714285713</v>
      </c>
      <c r="L803" s="14">
        <f>IFERROR(I803/G803,"")</f>
        <v>0.94285714285714284</v>
      </c>
      <c r="M803" s="11" t="str">
        <f>IF(K803&gt;=Paramètres!$F$6,"Très forte",IF(K803&gt;=Paramètres!$F$5,"Forte",IF(K803&gt;=Paramètres!$F$4,"Modérée","Faible")))</f>
        <v>Modérée</v>
      </c>
    </row>
    <row r="804" spans="1:13">
      <c r="A804" t="s">
        <v>956</v>
      </c>
      <c r="B804" s="11">
        <v>93</v>
      </c>
      <c r="C804" t="s">
        <v>100</v>
      </c>
      <c r="D804" t="s">
        <v>797</v>
      </c>
      <c r="E804" t="s">
        <v>837</v>
      </c>
      <c r="F804" t="s">
        <v>92</v>
      </c>
      <c r="G804" s="12">
        <v>18</v>
      </c>
      <c r="H804" s="12">
        <v>326</v>
      </c>
      <c r="I804" s="12">
        <v>17</v>
      </c>
      <c r="J804" t="str">
        <f>VLOOKUP(B804,Paramètres!$A$4:$C$11,3,FALSE)</f>
        <v>Petite couronne</v>
      </c>
      <c r="K804" s="13">
        <f>IFERROR(H804/G804,"")</f>
        <v>18.111111111111111</v>
      </c>
      <c r="L804" s="14">
        <f>IFERROR(I804/G804,"")</f>
        <v>0.94444444444444442</v>
      </c>
      <c r="M804" s="11" t="str">
        <f>IF(K804&gt;=Paramètres!$F$6,"Très forte",IF(K804&gt;=Paramètres!$F$5,"Forte",IF(K804&gt;=Paramètres!$F$4,"Modérée","Faible")))</f>
        <v>Modérée</v>
      </c>
    </row>
    <row r="805" spans="1:13">
      <c r="A805" t="s">
        <v>969</v>
      </c>
      <c r="B805" s="11">
        <v>94</v>
      </c>
      <c r="C805" t="s">
        <v>116</v>
      </c>
      <c r="D805" t="s">
        <v>797</v>
      </c>
      <c r="E805" t="s">
        <v>853</v>
      </c>
      <c r="F805" t="s">
        <v>92</v>
      </c>
      <c r="G805" s="12">
        <v>24</v>
      </c>
      <c r="H805" s="12">
        <v>433</v>
      </c>
      <c r="I805" s="12">
        <v>19</v>
      </c>
      <c r="J805" t="str">
        <f>VLOOKUP(B805,Paramètres!$A$4:$C$11,3,FALSE)</f>
        <v>Petite couronne</v>
      </c>
      <c r="K805" s="13">
        <f>IFERROR(H805/G805,"")</f>
        <v>18.041666666666668</v>
      </c>
      <c r="L805" s="14">
        <f>IFERROR(I805/G805,"")</f>
        <v>0.79166666666666663</v>
      </c>
      <c r="M805" s="11" t="str">
        <f>IF(K805&gt;=Paramètres!$F$6,"Très forte",IF(K805&gt;=Paramètres!$F$5,"Forte",IF(K805&gt;=Paramètres!$F$4,"Modérée","Faible")))</f>
        <v>Modérée</v>
      </c>
    </row>
    <row r="806" spans="1:13">
      <c r="A806" t="s">
        <v>963</v>
      </c>
      <c r="B806" s="11">
        <v>94</v>
      </c>
      <c r="C806" t="s">
        <v>116</v>
      </c>
      <c r="D806" t="s">
        <v>797</v>
      </c>
      <c r="E806" t="s">
        <v>920</v>
      </c>
      <c r="F806" t="s">
        <v>92</v>
      </c>
      <c r="G806" s="12">
        <v>30</v>
      </c>
      <c r="H806" s="12">
        <v>541</v>
      </c>
      <c r="I806" s="12">
        <v>27</v>
      </c>
      <c r="J806" t="str">
        <f>VLOOKUP(B806,Paramètres!$A$4:$C$11,3,FALSE)</f>
        <v>Petite couronne</v>
      </c>
      <c r="K806" s="13">
        <f>IFERROR(H806/G806,"")</f>
        <v>18.033333333333335</v>
      </c>
      <c r="L806" s="14">
        <f>IFERROR(I806/G806,"")</f>
        <v>0.9</v>
      </c>
      <c r="M806" s="11" t="str">
        <f>IF(K806&gt;=Paramètres!$F$6,"Très forte",IF(K806&gt;=Paramètres!$F$5,"Forte",IF(K806&gt;=Paramètres!$F$4,"Modérée","Faible")))</f>
        <v>Modérée</v>
      </c>
    </row>
    <row r="807" spans="1:13">
      <c r="A807" t="s">
        <v>978</v>
      </c>
      <c r="B807" s="11">
        <v>95</v>
      </c>
      <c r="C807" t="s">
        <v>90</v>
      </c>
      <c r="D807" t="s">
        <v>797</v>
      </c>
      <c r="E807" t="s">
        <v>861</v>
      </c>
      <c r="F807" t="s">
        <v>92</v>
      </c>
      <c r="G807" s="12">
        <v>24</v>
      </c>
      <c r="H807" s="12">
        <v>431</v>
      </c>
      <c r="I807" s="12">
        <v>24</v>
      </c>
      <c r="J807" t="str">
        <f>VLOOKUP(B807,Paramètres!$A$4:$C$11,3,FALSE)</f>
        <v>Grande couronne</v>
      </c>
      <c r="K807" s="13">
        <f>IFERROR(H807/G807,"")</f>
        <v>17.958333333333332</v>
      </c>
      <c r="L807" s="14">
        <f>IFERROR(I807/G807,"")</f>
        <v>1</v>
      </c>
      <c r="M807" s="11" t="str">
        <f>IF(K807&gt;=Paramètres!$F$6,"Très forte",IF(K807&gt;=Paramètres!$F$5,"Forte",IF(K807&gt;=Paramètres!$F$4,"Modérée","Faible")))</f>
        <v>Modérée</v>
      </c>
    </row>
    <row r="808" spans="1:13">
      <c r="A808" t="s">
        <v>921</v>
      </c>
      <c r="B808" s="11">
        <v>91</v>
      </c>
      <c r="C808" t="s">
        <v>105</v>
      </c>
      <c r="D808" t="s">
        <v>797</v>
      </c>
      <c r="E808" t="s">
        <v>852</v>
      </c>
      <c r="F808" t="s">
        <v>92</v>
      </c>
      <c r="G808" s="12">
        <v>30</v>
      </c>
      <c r="H808" s="12">
        <v>536</v>
      </c>
      <c r="I808" s="12">
        <v>26</v>
      </c>
      <c r="J808" t="str">
        <f>VLOOKUP(B808,Paramètres!$A$4:$C$11,3,FALSE)</f>
        <v>Grande couronne</v>
      </c>
      <c r="K808" s="13">
        <f>IFERROR(H808/G808,"")</f>
        <v>17.866666666666667</v>
      </c>
      <c r="L808" s="14">
        <f>IFERROR(I808/G808,"")</f>
        <v>0.8666666666666667</v>
      </c>
      <c r="M808" s="11" t="str">
        <f>IF(K808&gt;=Paramètres!$F$6,"Très forte",IF(K808&gt;=Paramètres!$F$5,"Forte",IF(K808&gt;=Paramètres!$F$4,"Modérée","Faible")))</f>
        <v>Modérée</v>
      </c>
    </row>
    <row r="809" spans="1:13">
      <c r="A809" t="s">
        <v>946</v>
      </c>
      <c r="B809" s="11">
        <v>93</v>
      </c>
      <c r="C809" t="s">
        <v>100</v>
      </c>
      <c r="D809" t="s">
        <v>797</v>
      </c>
      <c r="E809" t="s">
        <v>883</v>
      </c>
      <c r="F809" t="s">
        <v>92</v>
      </c>
      <c r="G809" s="12">
        <v>30</v>
      </c>
      <c r="H809" s="12">
        <v>535</v>
      </c>
      <c r="I809" s="12">
        <v>26</v>
      </c>
      <c r="J809" t="str">
        <f>VLOOKUP(B809,Paramètres!$A$4:$C$11,3,FALSE)</f>
        <v>Petite couronne</v>
      </c>
      <c r="K809" s="13">
        <f>IFERROR(H809/G809,"")</f>
        <v>17.833333333333332</v>
      </c>
      <c r="L809" s="14">
        <f>IFERROR(I809/G809,"")</f>
        <v>0.8666666666666667</v>
      </c>
      <c r="M809" s="11" t="str">
        <f>IF(K809&gt;=Paramètres!$F$6,"Très forte",IF(K809&gt;=Paramètres!$F$5,"Forte",IF(K809&gt;=Paramètres!$F$4,"Modérée","Faible")))</f>
        <v>Modérée</v>
      </c>
    </row>
    <row r="810" spans="1:13">
      <c r="A810" t="s">
        <v>986</v>
      </c>
      <c r="B810" s="11">
        <v>95</v>
      </c>
      <c r="C810" t="s">
        <v>90</v>
      </c>
      <c r="D810" t="s">
        <v>797</v>
      </c>
      <c r="E810" t="s">
        <v>819</v>
      </c>
      <c r="F810" t="s">
        <v>92</v>
      </c>
      <c r="G810" s="12">
        <v>35</v>
      </c>
      <c r="H810" s="12">
        <v>619</v>
      </c>
      <c r="I810" s="12">
        <v>28</v>
      </c>
      <c r="J810" t="str">
        <f>VLOOKUP(B810,Paramètres!$A$4:$C$11,3,FALSE)</f>
        <v>Grande couronne</v>
      </c>
      <c r="K810" s="13">
        <f>IFERROR(H810/G810,"")</f>
        <v>17.685714285714287</v>
      </c>
      <c r="L810" s="14">
        <f>IFERROR(I810/G810,"")</f>
        <v>0.8</v>
      </c>
      <c r="M810" s="11" t="str">
        <f>IF(K810&gt;=Paramètres!$F$6,"Très forte",IF(K810&gt;=Paramètres!$F$5,"Forte",IF(K810&gt;=Paramètres!$F$4,"Modérée","Faible")))</f>
        <v>Modérée</v>
      </c>
    </row>
    <row r="811" spans="1:13">
      <c r="A811" t="s">
        <v>1169</v>
      </c>
      <c r="B811" s="11">
        <v>94</v>
      </c>
      <c r="C811" t="s">
        <v>116</v>
      </c>
      <c r="D811" t="s">
        <v>797</v>
      </c>
      <c r="E811" t="s">
        <v>1003</v>
      </c>
      <c r="F811" t="s">
        <v>92</v>
      </c>
      <c r="G811" s="12">
        <v>24</v>
      </c>
      <c r="H811" s="12">
        <v>424</v>
      </c>
      <c r="I811" s="12">
        <v>23</v>
      </c>
      <c r="J811" t="str">
        <f>VLOOKUP(B811,Paramètres!$A$4:$C$11,3,FALSE)</f>
        <v>Petite couronne</v>
      </c>
      <c r="K811" s="13">
        <f>IFERROR(H811/G811,"")</f>
        <v>17.666666666666668</v>
      </c>
      <c r="L811" s="14">
        <f>IFERROR(I811/G811,"")</f>
        <v>0.95833333333333337</v>
      </c>
      <c r="M811" s="11" t="str">
        <f>IF(K811&gt;=Paramètres!$F$6,"Très forte",IF(K811&gt;=Paramètres!$F$5,"Forte",IF(K811&gt;=Paramètres!$F$4,"Modérée","Faible")))</f>
        <v>Modérée</v>
      </c>
    </row>
    <row r="812" spans="1:13">
      <c r="A812" t="s">
        <v>805</v>
      </c>
      <c r="B812" s="11">
        <v>91</v>
      </c>
      <c r="C812" t="s">
        <v>105</v>
      </c>
      <c r="D812" t="s">
        <v>797</v>
      </c>
      <c r="E812" t="s">
        <v>832</v>
      </c>
      <c r="F812" t="s">
        <v>92</v>
      </c>
      <c r="G812" s="12">
        <v>36</v>
      </c>
      <c r="H812" s="12">
        <v>635</v>
      </c>
      <c r="I812" s="12">
        <v>36</v>
      </c>
      <c r="J812" t="str">
        <f>VLOOKUP(B812,Paramètres!$A$4:$C$11,3,FALSE)</f>
        <v>Grande couronne</v>
      </c>
      <c r="K812" s="13">
        <f>IFERROR(H812/G812,"")</f>
        <v>17.638888888888889</v>
      </c>
      <c r="L812" s="14">
        <f>IFERROR(I812/G812,"")</f>
        <v>1</v>
      </c>
      <c r="M812" s="11" t="str">
        <f>IF(K812&gt;=Paramètres!$F$6,"Très forte",IF(K812&gt;=Paramètres!$F$5,"Forte",IF(K812&gt;=Paramètres!$F$4,"Modérée","Faible")))</f>
        <v>Modérée</v>
      </c>
    </row>
    <row r="813" spans="1:13">
      <c r="A813" t="s">
        <v>1029</v>
      </c>
      <c r="B813" s="11">
        <v>75</v>
      </c>
      <c r="C813" t="s">
        <v>86</v>
      </c>
      <c r="D813" t="s">
        <v>797</v>
      </c>
      <c r="E813" t="s">
        <v>1195</v>
      </c>
      <c r="F813" t="s">
        <v>92</v>
      </c>
      <c r="G813" s="12">
        <v>15</v>
      </c>
      <c r="H813" s="12">
        <v>264</v>
      </c>
      <c r="I813" s="12">
        <v>13</v>
      </c>
      <c r="J813" t="str">
        <f>VLOOKUP(B813,Paramètres!$A$4:$C$11,3,FALSE)</f>
        <v>Paris</v>
      </c>
      <c r="K813" s="13">
        <f>IFERROR(H813/G813,"")</f>
        <v>17.600000000000001</v>
      </c>
      <c r="L813" s="14">
        <f>IFERROR(I813/G813,"")</f>
        <v>0.8666666666666667</v>
      </c>
      <c r="M813" s="11" t="str">
        <f>IF(K813&gt;=Paramètres!$F$6,"Très forte",IF(K813&gt;=Paramètres!$F$5,"Forte",IF(K813&gt;=Paramètres!$F$4,"Modérée","Faible")))</f>
        <v>Modérée</v>
      </c>
    </row>
    <row r="814" spans="1:13">
      <c r="A814" t="s">
        <v>950</v>
      </c>
      <c r="B814" s="11">
        <v>93</v>
      </c>
      <c r="C814" t="s">
        <v>100</v>
      </c>
      <c r="D814" t="s">
        <v>797</v>
      </c>
      <c r="E814" t="s">
        <v>861</v>
      </c>
      <c r="F814" t="s">
        <v>92</v>
      </c>
      <c r="G814" s="12">
        <v>24</v>
      </c>
      <c r="H814" s="12">
        <v>419</v>
      </c>
      <c r="I814" s="12">
        <v>18</v>
      </c>
      <c r="J814" t="str">
        <f>VLOOKUP(B814,Paramètres!$A$4:$C$11,3,FALSE)</f>
        <v>Petite couronne</v>
      </c>
      <c r="K814" s="13">
        <f>IFERROR(H814/G814,"")</f>
        <v>17.458333333333332</v>
      </c>
      <c r="L814" s="14">
        <f>IFERROR(I814/G814,"")</f>
        <v>0.75</v>
      </c>
      <c r="M814" s="11" t="str">
        <f>IF(K814&gt;=Paramètres!$F$6,"Très forte",IF(K814&gt;=Paramètres!$F$5,"Forte",IF(K814&gt;=Paramètres!$F$4,"Modérée","Faible")))</f>
        <v>Modérée</v>
      </c>
    </row>
    <row r="815" spans="1:13">
      <c r="A815" t="s">
        <v>938</v>
      </c>
      <c r="B815" s="11">
        <v>92</v>
      </c>
      <c r="C815" t="s">
        <v>94</v>
      </c>
      <c r="D815" t="s">
        <v>797</v>
      </c>
      <c r="E815" t="s">
        <v>872</v>
      </c>
      <c r="F815" t="s">
        <v>92</v>
      </c>
      <c r="G815" s="12">
        <v>32</v>
      </c>
      <c r="H815" s="12">
        <v>558</v>
      </c>
      <c r="I815" s="12">
        <v>25</v>
      </c>
      <c r="J815" t="str">
        <f>VLOOKUP(B815,Paramètres!$A$4:$C$11,3,FALSE)</f>
        <v>Petite couronne</v>
      </c>
      <c r="K815" s="13">
        <f>IFERROR(H815/G815,"")</f>
        <v>17.4375</v>
      </c>
      <c r="L815" s="14">
        <f>IFERROR(I815/G815,"")</f>
        <v>0.78125</v>
      </c>
      <c r="M815" s="11" t="str">
        <f>IF(K815&gt;=Paramètres!$F$6,"Très forte",IF(K815&gt;=Paramètres!$F$5,"Forte",IF(K815&gt;=Paramètres!$F$4,"Modérée","Faible")))</f>
        <v>Modérée</v>
      </c>
    </row>
    <row r="816" spans="1:13">
      <c r="A816" t="s">
        <v>857</v>
      </c>
      <c r="B816" s="11">
        <v>75</v>
      </c>
      <c r="C816" t="s">
        <v>86</v>
      </c>
      <c r="D816" t="s">
        <v>797</v>
      </c>
      <c r="E816" t="s">
        <v>940</v>
      </c>
      <c r="F816" t="s">
        <v>92</v>
      </c>
      <c r="G816" s="12">
        <v>24</v>
      </c>
      <c r="H816" s="12">
        <v>418</v>
      </c>
      <c r="I816" s="12">
        <v>19</v>
      </c>
      <c r="J816" t="str">
        <f>VLOOKUP(B816,Paramètres!$A$4:$C$11,3,FALSE)</f>
        <v>Paris</v>
      </c>
      <c r="K816" s="13">
        <f>IFERROR(H816/G816,"")</f>
        <v>17.416666666666668</v>
      </c>
      <c r="L816" s="14">
        <f>IFERROR(I816/G816,"")</f>
        <v>0.79166666666666663</v>
      </c>
      <c r="M816" s="11" t="str">
        <f>IF(K816&gt;=Paramètres!$F$6,"Très forte",IF(K816&gt;=Paramètres!$F$5,"Forte",IF(K816&gt;=Paramètres!$F$4,"Modérée","Faible")))</f>
        <v>Modérée</v>
      </c>
    </row>
    <row r="817" spans="1:13">
      <c r="A817" t="s">
        <v>978</v>
      </c>
      <c r="B817" s="11">
        <v>95</v>
      </c>
      <c r="C817" t="s">
        <v>90</v>
      </c>
      <c r="D817" t="s">
        <v>797</v>
      </c>
      <c r="E817" t="s">
        <v>853</v>
      </c>
      <c r="F817" t="s">
        <v>92</v>
      </c>
      <c r="G817" s="12">
        <v>28</v>
      </c>
      <c r="H817" s="12">
        <v>487</v>
      </c>
      <c r="I817" s="12">
        <v>26</v>
      </c>
      <c r="J817" t="str">
        <f>VLOOKUP(B817,Paramètres!$A$4:$C$11,3,FALSE)</f>
        <v>Grande couronne</v>
      </c>
      <c r="K817" s="13">
        <f>IFERROR(H817/G817,"")</f>
        <v>17.392857142857142</v>
      </c>
      <c r="L817" s="14">
        <f>IFERROR(I817/G817,"")</f>
        <v>0.9285714285714286</v>
      </c>
      <c r="M817" s="11" t="str">
        <f>IF(K817&gt;=Paramètres!$F$6,"Très forte",IF(K817&gt;=Paramètres!$F$5,"Forte",IF(K817&gt;=Paramètres!$F$4,"Modérée","Faible")))</f>
        <v>Modérée</v>
      </c>
    </row>
    <row r="818" spans="1:13">
      <c r="A818" t="s">
        <v>873</v>
      </c>
      <c r="B818" s="11">
        <v>75</v>
      </c>
      <c r="C818" t="s">
        <v>86</v>
      </c>
      <c r="D818" t="s">
        <v>797</v>
      </c>
      <c r="E818" t="s">
        <v>993</v>
      </c>
      <c r="F818" t="s">
        <v>92</v>
      </c>
      <c r="G818" s="12">
        <v>45</v>
      </c>
      <c r="H818" s="12">
        <v>781</v>
      </c>
      <c r="I818" s="12">
        <v>46</v>
      </c>
      <c r="J818" t="str">
        <f>VLOOKUP(B818,Paramètres!$A$4:$C$11,3,FALSE)</f>
        <v>Paris</v>
      </c>
      <c r="K818" s="13">
        <f>IFERROR(H818/G818,"")</f>
        <v>17.355555555555554</v>
      </c>
      <c r="L818" s="14">
        <f>IFERROR(I818/G818,"")</f>
        <v>1.0222222222222221</v>
      </c>
      <c r="M818" s="11" t="str">
        <f>IF(K818&gt;=Paramètres!$F$6,"Très forte",IF(K818&gt;=Paramètres!$F$5,"Forte",IF(K818&gt;=Paramètres!$F$4,"Modérée","Faible")))</f>
        <v>Modérée</v>
      </c>
    </row>
    <row r="819" spans="1:13">
      <c r="A819" t="s">
        <v>815</v>
      </c>
      <c r="B819" s="11">
        <v>91</v>
      </c>
      <c r="C819" t="s">
        <v>105</v>
      </c>
      <c r="D819" t="s">
        <v>797</v>
      </c>
      <c r="E819" t="s">
        <v>832</v>
      </c>
      <c r="F819" t="s">
        <v>92</v>
      </c>
      <c r="G819" s="12">
        <v>35</v>
      </c>
      <c r="H819" s="12">
        <v>607</v>
      </c>
      <c r="I819" s="12">
        <v>34</v>
      </c>
      <c r="J819" t="str">
        <f>VLOOKUP(B819,Paramètres!$A$4:$C$11,3,FALSE)</f>
        <v>Grande couronne</v>
      </c>
      <c r="K819" s="13">
        <f>IFERROR(H819/G819,"")</f>
        <v>17.342857142857142</v>
      </c>
      <c r="L819" s="14">
        <f>IFERROR(I819/G819,"")</f>
        <v>0.97142857142857142</v>
      </c>
      <c r="M819" s="11" t="str">
        <f>IF(K819&gt;=Paramètres!$F$6,"Très forte",IF(K819&gt;=Paramètres!$F$5,"Forte",IF(K819&gt;=Paramètres!$F$4,"Modérée","Faible")))</f>
        <v>Modérée</v>
      </c>
    </row>
    <row r="820" spans="1:13">
      <c r="A820" t="s">
        <v>1033</v>
      </c>
      <c r="B820" s="11">
        <v>75</v>
      </c>
      <c r="C820" t="s">
        <v>86</v>
      </c>
      <c r="D820" t="s">
        <v>797</v>
      </c>
      <c r="E820" t="s">
        <v>968</v>
      </c>
      <c r="F820" t="s">
        <v>92</v>
      </c>
      <c r="G820" s="12">
        <v>30</v>
      </c>
      <c r="H820" s="12">
        <v>520</v>
      </c>
      <c r="I820" s="12">
        <v>28</v>
      </c>
      <c r="J820" t="str">
        <f>VLOOKUP(B820,Paramètres!$A$4:$C$11,3,FALSE)</f>
        <v>Paris</v>
      </c>
      <c r="K820" s="13">
        <f>IFERROR(H820/G820,"")</f>
        <v>17.333333333333332</v>
      </c>
      <c r="L820" s="14">
        <f>IFERROR(I820/G820,"")</f>
        <v>0.93333333333333335</v>
      </c>
      <c r="M820" s="11" t="str">
        <f>IF(K820&gt;=Paramètres!$F$6,"Très forte",IF(K820&gt;=Paramètres!$F$5,"Forte",IF(K820&gt;=Paramètres!$F$4,"Modérée","Faible")))</f>
        <v>Modérée</v>
      </c>
    </row>
    <row r="821" spans="1:13">
      <c r="A821" t="s">
        <v>914</v>
      </c>
      <c r="B821" s="11">
        <v>91</v>
      </c>
      <c r="C821" t="s">
        <v>105</v>
      </c>
      <c r="D821" t="s">
        <v>797</v>
      </c>
      <c r="E821" t="s">
        <v>861</v>
      </c>
      <c r="F821" t="s">
        <v>92</v>
      </c>
      <c r="G821" s="12">
        <v>22</v>
      </c>
      <c r="H821" s="12">
        <v>381</v>
      </c>
      <c r="I821" s="12">
        <v>22</v>
      </c>
      <c r="J821" t="str">
        <f>VLOOKUP(B821,Paramètres!$A$4:$C$11,3,FALSE)</f>
        <v>Grande couronne</v>
      </c>
      <c r="K821" s="13">
        <f>IFERROR(H821/G821,"")</f>
        <v>17.318181818181817</v>
      </c>
      <c r="L821" s="14">
        <f>IFERROR(I821/G821,"")</f>
        <v>1</v>
      </c>
      <c r="M821" s="11" t="str">
        <f>IF(K821&gt;=Paramètres!$F$6,"Très forte",IF(K821&gt;=Paramètres!$F$5,"Forte",IF(K821&gt;=Paramètres!$F$4,"Modérée","Faible")))</f>
        <v>Modérée</v>
      </c>
    </row>
    <row r="822" spans="1:13">
      <c r="A822" t="s">
        <v>1179</v>
      </c>
      <c r="B822" s="11">
        <v>91</v>
      </c>
      <c r="C822" t="s">
        <v>105</v>
      </c>
      <c r="D822" t="s">
        <v>797</v>
      </c>
      <c r="E822" t="s">
        <v>822</v>
      </c>
      <c r="F822" t="s">
        <v>92</v>
      </c>
      <c r="G822" s="12">
        <v>35</v>
      </c>
      <c r="H822" s="12">
        <v>606</v>
      </c>
      <c r="I822" s="12">
        <v>29</v>
      </c>
      <c r="J822" t="str">
        <f>VLOOKUP(B822,Paramètres!$A$4:$C$11,3,FALSE)</f>
        <v>Grande couronne</v>
      </c>
      <c r="K822" s="13">
        <f>IFERROR(H822/G822,"")</f>
        <v>17.314285714285713</v>
      </c>
      <c r="L822" s="14">
        <f>IFERROR(I822/G822,"")</f>
        <v>0.82857142857142863</v>
      </c>
      <c r="M822" s="11" t="str">
        <f>IF(K822&gt;=Paramètres!$F$6,"Très forte",IF(K822&gt;=Paramètres!$F$5,"Forte",IF(K822&gt;=Paramètres!$F$4,"Modérée","Faible")))</f>
        <v>Modérée</v>
      </c>
    </row>
    <row r="823" spans="1:13">
      <c r="A823" t="s">
        <v>1100</v>
      </c>
      <c r="B823" s="11">
        <v>94</v>
      </c>
      <c r="C823" t="s">
        <v>116</v>
      </c>
      <c r="D823" t="s">
        <v>797</v>
      </c>
      <c r="E823" t="s">
        <v>861</v>
      </c>
      <c r="F823" t="s">
        <v>92</v>
      </c>
      <c r="G823" s="12">
        <v>24</v>
      </c>
      <c r="H823" s="12">
        <v>414</v>
      </c>
      <c r="I823" s="12">
        <v>20</v>
      </c>
      <c r="J823" t="str">
        <f>VLOOKUP(B823,Paramètres!$A$4:$C$11,3,FALSE)</f>
        <v>Petite couronne</v>
      </c>
      <c r="K823" s="13">
        <f>IFERROR(H823/G823,"")</f>
        <v>17.25</v>
      </c>
      <c r="L823" s="14">
        <f>IFERROR(I823/G823,"")</f>
        <v>0.83333333333333337</v>
      </c>
      <c r="M823" s="11" t="str">
        <f>IF(K823&gt;=Paramètres!$F$6,"Très forte",IF(K823&gt;=Paramètres!$F$5,"Forte",IF(K823&gt;=Paramètres!$F$4,"Modérée","Faible")))</f>
        <v>Modérée</v>
      </c>
    </row>
    <row r="824" spans="1:13">
      <c r="A824" t="s">
        <v>967</v>
      </c>
      <c r="B824" s="11">
        <v>94</v>
      </c>
      <c r="C824" t="s">
        <v>116</v>
      </c>
      <c r="D824" t="s">
        <v>797</v>
      </c>
      <c r="E824" t="s">
        <v>1096</v>
      </c>
      <c r="F824" t="s">
        <v>92</v>
      </c>
      <c r="G824" s="12">
        <v>24</v>
      </c>
      <c r="H824" s="12">
        <v>413</v>
      </c>
      <c r="I824" s="12">
        <v>24</v>
      </c>
      <c r="J824" t="str">
        <f>VLOOKUP(B824,Paramètres!$A$4:$C$11,3,FALSE)</f>
        <v>Petite couronne</v>
      </c>
      <c r="K824" s="13">
        <f>IFERROR(H824/G824,"")</f>
        <v>17.208333333333332</v>
      </c>
      <c r="L824" s="14">
        <f>IFERROR(I824/G824,"")</f>
        <v>1</v>
      </c>
      <c r="M824" s="11" t="str">
        <f>IF(K824&gt;=Paramètres!$F$6,"Très forte",IF(K824&gt;=Paramètres!$F$5,"Forte",IF(K824&gt;=Paramètres!$F$4,"Modérée","Faible")))</f>
        <v>Modérée</v>
      </c>
    </row>
    <row r="825" spans="1:13">
      <c r="A825" t="s">
        <v>921</v>
      </c>
      <c r="B825" s="11">
        <v>91</v>
      </c>
      <c r="C825" t="s">
        <v>105</v>
      </c>
      <c r="D825" t="s">
        <v>797</v>
      </c>
      <c r="E825" t="s">
        <v>1148</v>
      </c>
      <c r="F825" t="s">
        <v>92</v>
      </c>
      <c r="G825" s="12">
        <v>15</v>
      </c>
      <c r="H825" s="12">
        <v>258</v>
      </c>
      <c r="I825" s="12">
        <v>14</v>
      </c>
      <c r="J825" t="str">
        <f>VLOOKUP(B825,Paramètres!$A$4:$C$11,3,FALSE)</f>
        <v>Grande couronne</v>
      </c>
      <c r="K825" s="13">
        <f>IFERROR(H825/G825,"")</f>
        <v>17.2</v>
      </c>
      <c r="L825" s="14">
        <f>IFERROR(I825/G825,"")</f>
        <v>0.93333333333333335</v>
      </c>
      <c r="M825" s="11" t="str">
        <f>IF(K825&gt;=Paramètres!$F$6,"Très forte",IF(K825&gt;=Paramètres!$F$5,"Forte",IF(K825&gt;=Paramètres!$F$4,"Modérée","Faible")))</f>
        <v>Modérée</v>
      </c>
    </row>
    <row r="826" spans="1:13">
      <c r="A826" t="s">
        <v>932</v>
      </c>
      <c r="B826" s="11">
        <v>92</v>
      </c>
      <c r="C826" t="s">
        <v>94</v>
      </c>
      <c r="D826" t="s">
        <v>797</v>
      </c>
      <c r="E826" t="s">
        <v>883</v>
      </c>
      <c r="F826" t="s">
        <v>92</v>
      </c>
      <c r="G826" s="12">
        <v>30</v>
      </c>
      <c r="H826" s="12">
        <v>515</v>
      </c>
      <c r="I826" s="12">
        <v>21</v>
      </c>
      <c r="J826" t="str">
        <f>VLOOKUP(B826,Paramètres!$A$4:$C$11,3,FALSE)</f>
        <v>Petite couronne</v>
      </c>
      <c r="K826" s="13">
        <f>IFERROR(H826/G826,"")</f>
        <v>17.166666666666668</v>
      </c>
      <c r="L826" s="14">
        <f>IFERROR(I826/G826,"")</f>
        <v>0.7</v>
      </c>
      <c r="M826" s="11" t="str">
        <f>IF(K826&gt;=Paramètres!$F$6,"Très forte",IF(K826&gt;=Paramètres!$F$5,"Forte",IF(K826&gt;=Paramètres!$F$4,"Modérée","Faible")))</f>
        <v>Modérée</v>
      </c>
    </row>
    <row r="827" spans="1:13">
      <c r="A827" t="s">
        <v>1167</v>
      </c>
      <c r="B827" s="11">
        <v>77</v>
      </c>
      <c r="C827" t="s">
        <v>132</v>
      </c>
      <c r="D827" t="s">
        <v>797</v>
      </c>
      <c r="E827" t="s">
        <v>872</v>
      </c>
      <c r="F827" t="s">
        <v>92</v>
      </c>
      <c r="G827" s="12">
        <v>35</v>
      </c>
      <c r="H827" s="12">
        <v>600</v>
      </c>
      <c r="I827" s="12">
        <v>31</v>
      </c>
      <c r="J827" t="str">
        <f>VLOOKUP(B827,Paramètres!$A$4:$C$11,3,FALSE)</f>
        <v>Grande couronne</v>
      </c>
      <c r="K827" s="13">
        <f>IFERROR(H827/G827,"")</f>
        <v>17.142857142857142</v>
      </c>
      <c r="L827" s="14">
        <f>IFERROR(I827/G827,"")</f>
        <v>0.88571428571428568</v>
      </c>
      <c r="M827" s="11" t="str">
        <f>IF(K827&gt;=Paramètres!$F$6,"Très forte",IF(K827&gt;=Paramètres!$F$5,"Forte",IF(K827&gt;=Paramètres!$F$4,"Modérée","Faible")))</f>
        <v>Modérée</v>
      </c>
    </row>
    <row r="828" spans="1:13">
      <c r="A828" t="s">
        <v>1170</v>
      </c>
      <c r="B828" s="11">
        <v>93</v>
      </c>
      <c r="C828" t="s">
        <v>100</v>
      </c>
      <c r="D828" t="s">
        <v>797</v>
      </c>
      <c r="E828" t="s">
        <v>968</v>
      </c>
      <c r="F828" t="s">
        <v>92</v>
      </c>
      <c r="G828" s="12">
        <v>24</v>
      </c>
      <c r="H828" s="12">
        <v>411</v>
      </c>
      <c r="I828" s="12">
        <v>22</v>
      </c>
      <c r="J828" t="str">
        <f>VLOOKUP(B828,Paramètres!$A$4:$C$11,3,FALSE)</f>
        <v>Petite couronne</v>
      </c>
      <c r="K828" s="13">
        <f>IFERROR(H828/G828,"")</f>
        <v>17.125</v>
      </c>
      <c r="L828" s="14">
        <f>IFERROR(I828/G828,"")</f>
        <v>0.91666666666666663</v>
      </c>
      <c r="M828" s="11" t="str">
        <f>IF(K828&gt;=Paramètres!$F$6,"Très forte",IF(K828&gt;=Paramètres!$F$5,"Forte",IF(K828&gt;=Paramètres!$F$4,"Modérée","Faible")))</f>
        <v>Modérée</v>
      </c>
    </row>
    <row r="829" spans="1:13">
      <c r="A829" t="s">
        <v>980</v>
      </c>
      <c r="B829" s="11">
        <v>95</v>
      </c>
      <c r="C829" t="s">
        <v>90</v>
      </c>
      <c r="D829" t="s">
        <v>797</v>
      </c>
      <c r="E829" t="s">
        <v>822</v>
      </c>
      <c r="F829" t="s">
        <v>92</v>
      </c>
      <c r="G829" s="12">
        <v>34</v>
      </c>
      <c r="H829" s="12">
        <v>578</v>
      </c>
      <c r="I829" s="12">
        <v>33</v>
      </c>
      <c r="J829" t="str">
        <f>VLOOKUP(B829,Paramètres!$A$4:$C$11,3,FALSE)</f>
        <v>Grande couronne</v>
      </c>
      <c r="K829" s="13">
        <f>IFERROR(H829/G829,"")</f>
        <v>17</v>
      </c>
      <c r="L829" s="14">
        <f>IFERROR(I829/G829,"")</f>
        <v>0.97058823529411764</v>
      </c>
      <c r="M829" s="11" t="str">
        <f>IF(K829&gt;=Paramètres!$F$6,"Très forte",IF(K829&gt;=Paramètres!$F$5,"Forte",IF(K829&gt;=Paramètres!$F$4,"Modérée","Faible")))</f>
        <v>Modérée</v>
      </c>
    </row>
    <row r="830" spans="1:13">
      <c r="A830" t="s">
        <v>981</v>
      </c>
      <c r="B830" s="11">
        <v>95</v>
      </c>
      <c r="C830" t="s">
        <v>90</v>
      </c>
      <c r="D830" t="s">
        <v>797</v>
      </c>
      <c r="E830" t="s">
        <v>832</v>
      </c>
      <c r="F830" t="s">
        <v>92</v>
      </c>
      <c r="G830" s="12">
        <v>35</v>
      </c>
      <c r="H830" s="12">
        <v>595</v>
      </c>
      <c r="I830" s="12">
        <v>34</v>
      </c>
      <c r="J830" t="str">
        <f>VLOOKUP(B830,Paramètres!$A$4:$C$11,3,FALSE)</f>
        <v>Grande couronne</v>
      </c>
      <c r="K830" s="13">
        <f>IFERROR(H830/G830,"")</f>
        <v>17</v>
      </c>
      <c r="L830" s="14">
        <f>IFERROR(I830/G830,"")</f>
        <v>0.97142857142857142</v>
      </c>
      <c r="M830" s="11" t="str">
        <f>IF(K830&gt;=Paramètres!$F$6,"Très forte",IF(K830&gt;=Paramètres!$F$5,"Forte",IF(K830&gt;=Paramètres!$F$4,"Modérée","Faible")))</f>
        <v>Modérée</v>
      </c>
    </row>
    <row r="831" spans="1:13">
      <c r="A831" t="s">
        <v>835</v>
      </c>
      <c r="B831" s="11">
        <v>75</v>
      </c>
      <c r="C831" t="s">
        <v>86</v>
      </c>
      <c r="D831" t="s">
        <v>797</v>
      </c>
      <c r="E831" t="s">
        <v>1028</v>
      </c>
      <c r="F831" t="s">
        <v>92</v>
      </c>
      <c r="G831" s="12">
        <v>24</v>
      </c>
      <c r="H831" s="12">
        <v>406</v>
      </c>
      <c r="I831" s="12">
        <v>21</v>
      </c>
      <c r="J831" t="str">
        <f>VLOOKUP(B831,Paramètres!$A$4:$C$11,3,FALSE)</f>
        <v>Paris</v>
      </c>
      <c r="K831" s="13">
        <f>IFERROR(H831/G831,"")</f>
        <v>16.916666666666668</v>
      </c>
      <c r="L831" s="14">
        <f>IFERROR(I831/G831,"")</f>
        <v>0.875</v>
      </c>
      <c r="M831" s="11" t="str">
        <f>IF(K831&gt;=Paramètres!$F$6,"Très forte",IF(K831&gt;=Paramètres!$F$5,"Forte",IF(K831&gt;=Paramètres!$F$4,"Modérée","Faible")))</f>
        <v>Modérée</v>
      </c>
    </row>
    <row r="832" spans="1:13">
      <c r="A832" t="s">
        <v>930</v>
      </c>
      <c r="B832" s="11">
        <v>95</v>
      </c>
      <c r="C832" t="s">
        <v>90</v>
      </c>
      <c r="D832" t="s">
        <v>797</v>
      </c>
      <c r="E832" t="s">
        <v>822</v>
      </c>
      <c r="F832" t="s">
        <v>92</v>
      </c>
      <c r="G832" s="12">
        <v>35</v>
      </c>
      <c r="H832" s="12">
        <v>592</v>
      </c>
      <c r="I832" s="12">
        <v>35</v>
      </c>
      <c r="J832" t="str">
        <f>VLOOKUP(B832,Paramètres!$A$4:$C$11,3,FALSE)</f>
        <v>Grande couronne</v>
      </c>
      <c r="K832" s="13">
        <f>IFERROR(H832/G832,"")</f>
        <v>16.914285714285715</v>
      </c>
      <c r="L832" s="14">
        <f>IFERROR(I832/G832,"")</f>
        <v>1</v>
      </c>
      <c r="M832" s="11" t="str">
        <f>IF(K832&gt;=Paramètres!$F$6,"Très forte",IF(K832&gt;=Paramètres!$F$5,"Forte",IF(K832&gt;=Paramètres!$F$4,"Modérée","Faible")))</f>
        <v>Modérée</v>
      </c>
    </row>
    <row r="833" spans="1:13">
      <c r="A833" t="s">
        <v>930</v>
      </c>
      <c r="B833" s="11">
        <v>91</v>
      </c>
      <c r="C833" t="s">
        <v>105</v>
      </c>
      <c r="D833" t="s">
        <v>797</v>
      </c>
      <c r="E833" t="s">
        <v>832</v>
      </c>
      <c r="F833" t="s">
        <v>92</v>
      </c>
      <c r="G833" s="12">
        <v>35</v>
      </c>
      <c r="H833" s="12">
        <v>591</v>
      </c>
      <c r="I833" s="12">
        <v>32</v>
      </c>
      <c r="J833" t="str">
        <f>VLOOKUP(B833,Paramètres!$A$4:$C$11,3,FALSE)</f>
        <v>Grande couronne</v>
      </c>
      <c r="K833" s="13">
        <f>IFERROR(H833/G833,"")</f>
        <v>16.885714285714286</v>
      </c>
      <c r="L833" s="14">
        <f>IFERROR(I833/G833,"")</f>
        <v>0.91428571428571426</v>
      </c>
      <c r="M833" s="11" t="str">
        <f>IF(K833&gt;=Paramètres!$F$6,"Très forte",IF(K833&gt;=Paramètres!$F$5,"Forte",IF(K833&gt;=Paramètres!$F$4,"Modérée","Faible")))</f>
        <v>Modérée</v>
      </c>
    </row>
    <row r="834" spans="1:13">
      <c r="A834" t="s">
        <v>917</v>
      </c>
      <c r="B834" s="11">
        <v>91</v>
      </c>
      <c r="C834" t="s">
        <v>105</v>
      </c>
      <c r="D834" t="s">
        <v>797</v>
      </c>
      <c r="E834" t="s">
        <v>832</v>
      </c>
      <c r="F834" t="s">
        <v>92</v>
      </c>
      <c r="G834" s="12">
        <v>35</v>
      </c>
      <c r="H834" s="12">
        <v>590</v>
      </c>
      <c r="I834" s="12">
        <v>30</v>
      </c>
      <c r="J834" t="str">
        <f>VLOOKUP(B834,Paramètres!$A$4:$C$11,3,FALSE)</f>
        <v>Grande couronne</v>
      </c>
      <c r="K834" s="13">
        <f>IFERROR(H834/G834,"")</f>
        <v>16.857142857142858</v>
      </c>
      <c r="L834" s="14">
        <f>IFERROR(I834/G834,"")</f>
        <v>0.8571428571428571</v>
      </c>
      <c r="M834" s="11" t="str">
        <f>IF(K834&gt;=Paramètres!$F$6,"Très forte",IF(K834&gt;=Paramètres!$F$5,"Forte",IF(K834&gt;=Paramètres!$F$4,"Modérée","Faible")))</f>
        <v>Modérée</v>
      </c>
    </row>
    <row r="835" spans="1:13">
      <c r="A835" t="s">
        <v>1066</v>
      </c>
      <c r="B835" s="11">
        <v>91</v>
      </c>
      <c r="C835" t="s">
        <v>105</v>
      </c>
      <c r="D835" t="s">
        <v>797</v>
      </c>
      <c r="E835" t="s">
        <v>845</v>
      </c>
      <c r="F835" t="s">
        <v>92</v>
      </c>
      <c r="G835" s="12">
        <v>24</v>
      </c>
      <c r="H835" s="12">
        <v>404</v>
      </c>
      <c r="I835" s="12">
        <v>22</v>
      </c>
      <c r="J835" t="str">
        <f>VLOOKUP(B835,Paramètres!$A$4:$C$11,3,FALSE)</f>
        <v>Grande couronne</v>
      </c>
      <c r="K835" s="13">
        <f>IFERROR(H835/G835,"")</f>
        <v>16.833333333333332</v>
      </c>
      <c r="L835" s="14">
        <f>IFERROR(I835/G835,"")</f>
        <v>0.91666666666666663</v>
      </c>
      <c r="M835" s="11" t="str">
        <f>IF(K835&gt;=Paramètres!$F$6,"Très forte",IF(K835&gt;=Paramètres!$F$5,"Forte",IF(K835&gt;=Paramètres!$F$4,"Modérée","Faible")))</f>
        <v>Modérée</v>
      </c>
    </row>
    <row r="836" spans="1:13">
      <c r="A836" t="s">
        <v>1037</v>
      </c>
      <c r="B836" s="11">
        <v>75</v>
      </c>
      <c r="C836" t="s">
        <v>86</v>
      </c>
      <c r="D836" t="s">
        <v>797</v>
      </c>
      <c r="E836" t="s">
        <v>1038</v>
      </c>
      <c r="F836" t="s">
        <v>92</v>
      </c>
      <c r="G836" s="12">
        <v>24</v>
      </c>
      <c r="H836" s="12">
        <v>403</v>
      </c>
      <c r="I836" s="12">
        <v>24</v>
      </c>
      <c r="J836" t="str">
        <f>VLOOKUP(B836,Paramètres!$A$4:$C$11,3,FALSE)</f>
        <v>Paris</v>
      </c>
      <c r="K836" s="13">
        <f>IFERROR(H836/G836,"")</f>
        <v>16.791666666666668</v>
      </c>
      <c r="L836" s="14">
        <f>IFERROR(I836/G836,"")</f>
        <v>1</v>
      </c>
      <c r="M836" s="11" t="str">
        <f>IF(K836&gt;=Paramètres!$F$6,"Très forte",IF(K836&gt;=Paramètres!$F$5,"Forte",IF(K836&gt;=Paramètres!$F$4,"Modérée","Faible")))</f>
        <v>Modérée</v>
      </c>
    </row>
    <row r="837" spans="1:13">
      <c r="A837" t="s">
        <v>1099</v>
      </c>
      <c r="B837" s="11">
        <v>94</v>
      </c>
      <c r="C837" t="s">
        <v>116</v>
      </c>
      <c r="D837" t="s">
        <v>797</v>
      </c>
      <c r="E837" t="s">
        <v>883</v>
      </c>
      <c r="F837" t="s">
        <v>92</v>
      </c>
      <c r="G837" s="12">
        <v>48</v>
      </c>
      <c r="H837" s="12">
        <v>805</v>
      </c>
      <c r="I837" s="12">
        <v>39</v>
      </c>
      <c r="J837" t="str">
        <f>VLOOKUP(B837,Paramètres!$A$4:$C$11,3,FALSE)</f>
        <v>Petite couronne</v>
      </c>
      <c r="K837" s="13">
        <f>IFERROR(H837/G837,"")</f>
        <v>16.770833333333332</v>
      </c>
      <c r="L837" s="14">
        <f>IFERROR(I837/G837,"")</f>
        <v>0.8125</v>
      </c>
      <c r="M837" s="11" t="str">
        <f>IF(K837&gt;=Paramètres!$F$6,"Très forte",IF(K837&gt;=Paramètres!$F$5,"Forte",IF(K837&gt;=Paramètres!$F$4,"Modérée","Faible")))</f>
        <v>Modérée</v>
      </c>
    </row>
    <row r="838" spans="1:13">
      <c r="A838" t="s">
        <v>880</v>
      </c>
      <c r="B838" s="11">
        <v>77</v>
      </c>
      <c r="C838" t="s">
        <v>132</v>
      </c>
      <c r="D838" t="s">
        <v>797</v>
      </c>
      <c r="E838" t="s">
        <v>837</v>
      </c>
      <c r="F838" t="s">
        <v>92</v>
      </c>
      <c r="G838" s="12">
        <v>28</v>
      </c>
      <c r="H838" s="12">
        <v>468</v>
      </c>
      <c r="I838" s="12">
        <v>28</v>
      </c>
      <c r="J838" t="str">
        <f>VLOOKUP(B838,Paramètres!$A$4:$C$11,3,FALSE)</f>
        <v>Grande couronne</v>
      </c>
      <c r="K838" s="13">
        <f>IFERROR(H838/G838,"")</f>
        <v>16.714285714285715</v>
      </c>
      <c r="L838" s="14">
        <f>IFERROR(I838/G838,"")</f>
        <v>1</v>
      </c>
      <c r="M838" s="11" t="str">
        <f>IF(K838&gt;=Paramètres!$F$6,"Très forte",IF(K838&gt;=Paramètres!$F$5,"Forte",IF(K838&gt;=Paramètres!$F$4,"Modérée","Faible")))</f>
        <v>Modérée</v>
      </c>
    </row>
    <row r="839" spans="1:13">
      <c r="A839" t="s">
        <v>1141</v>
      </c>
      <c r="B839" s="11">
        <v>77</v>
      </c>
      <c r="C839" t="s">
        <v>132</v>
      </c>
      <c r="D839" t="s">
        <v>797</v>
      </c>
      <c r="E839" t="s">
        <v>864</v>
      </c>
      <c r="F839" t="s">
        <v>92</v>
      </c>
      <c r="G839" s="12">
        <v>10</v>
      </c>
      <c r="H839" s="12">
        <v>167</v>
      </c>
      <c r="I839" s="12">
        <v>8</v>
      </c>
      <c r="J839" t="str">
        <f>VLOOKUP(B839,Paramètres!$A$4:$C$11,3,FALSE)</f>
        <v>Grande couronne</v>
      </c>
      <c r="K839" s="13">
        <f>IFERROR(H839/G839,"")</f>
        <v>16.7</v>
      </c>
      <c r="L839" s="14">
        <f>IFERROR(I839/G839,"")</f>
        <v>0.8</v>
      </c>
      <c r="M839" s="11" t="str">
        <f>IF(K839&gt;=Paramètres!$F$6,"Très forte",IF(K839&gt;=Paramètres!$F$5,"Forte",IF(K839&gt;=Paramètres!$F$4,"Modérée","Faible")))</f>
        <v>Modérée</v>
      </c>
    </row>
    <row r="840" spans="1:13">
      <c r="A840" t="s">
        <v>1122</v>
      </c>
      <c r="B840" s="11">
        <v>78</v>
      </c>
      <c r="C840" t="s">
        <v>135</v>
      </c>
      <c r="D840" t="s">
        <v>797</v>
      </c>
      <c r="E840" t="s">
        <v>825</v>
      </c>
      <c r="F840" t="s">
        <v>92</v>
      </c>
      <c r="G840" s="12">
        <v>25</v>
      </c>
      <c r="H840" s="12">
        <v>417</v>
      </c>
      <c r="I840" s="12">
        <v>20</v>
      </c>
      <c r="J840" t="str">
        <f>VLOOKUP(B840,Paramètres!$A$4:$C$11,3,FALSE)</f>
        <v>Grande couronne</v>
      </c>
      <c r="K840" s="13">
        <f>IFERROR(H840/G840,"")</f>
        <v>16.68</v>
      </c>
      <c r="L840" s="14">
        <f>IFERROR(I840/G840,"")</f>
        <v>0.8</v>
      </c>
      <c r="M840" s="11" t="str">
        <f>IF(K840&gt;=Paramètres!$F$6,"Très forte",IF(K840&gt;=Paramètres!$F$5,"Forte",IF(K840&gt;=Paramètres!$F$4,"Modérée","Faible")))</f>
        <v>Modérée</v>
      </c>
    </row>
    <row r="841" spans="1:13">
      <c r="A841" t="s">
        <v>1014</v>
      </c>
      <c r="B841" s="11">
        <v>78</v>
      </c>
      <c r="C841" t="s">
        <v>135</v>
      </c>
      <c r="D841" t="s">
        <v>797</v>
      </c>
      <c r="E841" t="s">
        <v>825</v>
      </c>
      <c r="F841" t="s">
        <v>92</v>
      </c>
      <c r="G841" s="12">
        <v>35</v>
      </c>
      <c r="H841" s="12">
        <v>579</v>
      </c>
      <c r="I841" s="12">
        <v>34</v>
      </c>
      <c r="J841" t="str">
        <f>VLOOKUP(B841,Paramètres!$A$4:$C$11,3,FALSE)</f>
        <v>Grande couronne</v>
      </c>
      <c r="K841" s="13">
        <f>IFERROR(H841/G841,"")</f>
        <v>16.542857142857144</v>
      </c>
      <c r="L841" s="14">
        <f>IFERROR(I841/G841,"")</f>
        <v>0.97142857142857142</v>
      </c>
      <c r="M841" s="11" t="str">
        <f>IF(K841&gt;=Paramètres!$F$6,"Très forte",IF(K841&gt;=Paramètres!$F$5,"Forte",IF(K841&gt;=Paramètres!$F$4,"Modérée","Faible")))</f>
        <v>Modérée</v>
      </c>
    </row>
    <row r="842" spans="1:13">
      <c r="A842" t="s">
        <v>1171</v>
      </c>
      <c r="B842" s="11">
        <v>95</v>
      </c>
      <c r="C842" t="s">
        <v>90</v>
      </c>
      <c r="D842" t="s">
        <v>797</v>
      </c>
      <c r="E842" t="s">
        <v>1003</v>
      </c>
      <c r="F842" t="s">
        <v>92</v>
      </c>
      <c r="G842" s="12">
        <v>28</v>
      </c>
      <c r="H842" s="12">
        <v>462</v>
      </c>
      <c r="I842" s="12">
        <v>18</v>
      </c>
      <c r="J842" t="str">
        <f>VLOOKUP(B842,Paramètres!$A$4:$C$11,3,FALSE)</f>
        <v>Grande couronne</v>
      </c>
      <c r="K842" s="13">
        <f>IFERROR(H842/G842,"")</f>
        <v>16.5</v>
      </c>
      <c r="L842" s="14">
        <f>IFERROR(I842/G842,"")</f>
        <v>0.6428571428571429</v>
      </c>
      <c r="M842" s="11" t="str">
        <f>IF(K842&gt;=Paramètres!$F$6,"Très forte",IF(K842&gt;=Paramètres!$F$5,"Forte",IF(K842&gt;=Paramètres!$F$4,"Modérée","Faible")))</f>
        <v>Modérée</v>
      </c>
    </row>
    <row r="843" spans="1:13">
      <c r="A843" t="s">
        <v>1156</v>
      </c>
      <c r="B843" s="11">
        <v>93</v>
      </c>
      <c r="C843" t="s">
        <v>100</v>
      </c>
      <c r="D843" t="s">
        <v>797</v>
      </c>
      <c r="E843" t="s">
        <v>928</v>
      </c>
      <c r="F843" t="s">
        <v>92</v>
      </c>
      <c r="G843" s="12">
        <v>20</v>
      </c>
      <c r="H843" s="12">
        <v>327</v>
      </c>
      <c r="I843" s="12">
        <v>23</v>
      </c>
      <c r="J843" t="str">
        <f>VLOOKUP(B843,Paramètres!$A$4:$C$11,3,FALSE)</f>
        <v>Petite couronne</v>
      </c>
      <c r="K843" s="13">
        <f>IFERROR(H843/G843,"")</f>
        <v>16.350000000000001</v>
      </c>
      <c r="L843" s="14">
        <f>IFERROR(I843/G843,"")</f>
        <v>1.1499999999999999</v>
      </c>
      <c r="M843" s="11" t="str">
        <f>IF(K843&gt;=Paramètres!$F$6,"Très forte",IF(K843&gt;=Paramètres!$F$5,"Forte",IF(K843&gt;=Paramètres!$F$4,"Modérée","Faible")))</f>
        <v>Modérée</v>
      </c>
    </row>
    <row r="844" spans="1:13">
      <c r="A844" t="s">
        <v>815</v>
      </c>
      <c r="B844" s="11">
        <v>91</v>
      </c>
      <c r="C844" t="s">
        <v>105</v>
      </c>
      <c r="D844" t="s">
        <v>797</v>
      </c>
      <c r="E844" t="s">
        <v>920</v>
      </c>
      <c r="F844" t="s">
        <v>92</v>
      </c>
      <c r="G844" s="12">
        <v>24</v>
      </c>
      <c r="H844" s="12">
        <v>392</v>
      </c>
      <c r="I844" s="12">
        <v>24</v>
      </c>
      <c r="J844" t="str">
        <f>VLOOKUP(B844,Paramètres!$A$4:$C$11,3,FALSE)</f>
        <v>Grande couronne</v>
      </c>
      <c r="K844" s="13">
        <f>IFERROR(H844/G844,"")</f>
        <v>16.333333333333332</v>
      </c>
      <c r="L844" s="14">
        <f>IFERROR(I844/G844,"")</f>
        <v>1</v>
      </c>
      <c r="M844" s="11" t="str">
        <f>IF(K844&gt;=Paramètres!$F$6,"Très forte",IF(K844&gt;=Paramètres!$F$5,"Forte",IF(K844&gt;=Paramètres!$F$4,"Modérée","Faible")))</f>
        <v>Modérée</v>
      </c>
    </row>
    <row r="845" spans="1:13">
      <c r="A845" t="s">
        <v>903</v>
      </c>
      <c r="B845" s="11">
        <v>77</v>
      </c>
      <c r="C845" t="s">
        <v>132</v>
      </c>
      <c r="D845" t="s">
        <v>797</v>
      </c>
      <c r="E845" t="s">
        <v>832</v>
      </c>
      <c r="F845" t="s">
        <v>92</v>
      </c>
      <c r="G845" s="12">
        <v>30</v>
      </c>
      <c r="H845" s="12">
        <v>489</v>
      </c>
      <c r="I845" s="12">
        <v>28</v>
      </c>
      <c r="J845" t="str">
        <f>VLOOKUP(B845,Paramètres!$A$4:$C$11,3,FALSE)</f>
        <v>Grande couronne</v>
      </c>
      <c r="K845" s="13">
        <f>IFERROR(H845/G845,"")</f>
        <v>16.3</v>
      </c>
      <c r="L845" s="14">
        <f>IFERROR(I845/G845,"")</f>
        <v>0.93333333333333335</v>
      </c>
      <c r="M845" s="11" t="str">
        <f>IF(K845&gt;=Paramètres!$F$6,"Très forte",IF(K845&gt;=Paramètres!$F$5,"Forte",IF(K845&gt;=Paramètres!$F$4,"Modérée","Faible")))</f>
        <v>Modérée</v>
      </c>
    </row>
    <row r="846" spans="1:13">
      <c r="A846" t="s">
        <v>1033</v>
      </c>
      <c r="B846" s="11">
        <v>75</v>
      </c>
      <c r="C846" t="s">
        <v>86</v>
      </c>
      <c r="D846" t="s">
        <v>797</v>
      </c>
      <c r="E846" t="s">
        <v>1150</v>
      </c>
      <c r="F846" t="s">
        <v>92</v>
      </c>
      <c r="G846" s="12">
        <v>30</v>
      </c>
      <c r="H846" s="12">
        <v>488</v>
      </c>
      <c r="I846" s="12">
        <v>29</v>
      </c>
      <c r="J846" t="str">
        <f>VLOOKUP(B846,Paramètres!$A$4:$C$11,3,FALSE)</f>
        <v>Paris</v>
      </c>
      <c r="K846" s="13">
        <f>IFERROR(H846/G846,"")</f>
        <v>16.266666666666666</v>
      </c>
      <c r="L846" s="14">
        <f>IFERROR(I846/G846,"")</f>
        <v>0.96666666666666667</v>
      </c>
      <c r="M846" s="11" t="str">
        <f>IF(K846&gt;=Paramètres!$F$6,"Très forte",IF(K846&gt;=Paramètres!$F$5,"Forte",IF(K846&gt;=Paramètres!$F$4,"Modérée","Faible")))</f>
        <v>Modérée</v>
      </c>
    </row>
    <row r="847" spans="1:13">
      <c r="A847" t="s">
        <v>902</v>
      </c>
      <c r="B847" s="11">
        <v>75</v>
      </c>
      <c r="C847" t="s">
        <v>86</v>
      </c>
      <c r="D847" t="s">
        <v>797</v>
      </c>
      <c r="E847" t="s">
        <v>798</v>
      </c>
      <c r="F847" t="s">
        <v>92</v>
      </c>
      <c r="G847" s="12">
        <v>60</v>
      </c>
      <c r="H847" s="12">
        <v>961</v>
      </c>
      <c r="I847" s="12">
        <v>34</v>
      </c>
      <c r="J847" t="str">
        <f>VLOOKUP(B847,Paramètres!$A$4:$C$11,3,FALSE)</f>
        <v>Paris</v>
      </c>
      <c r="K847" s="13">
        <f>IFERROR(H847/G847,"")</f>
        <v>16.016666666666666</v>
      </c>
      <c r="L847" s="14">
        <f>IFERROR(I847/G847,"")</f>
        <v>0.56666666666666665</v>
      </c>
      <c r="M847" s="11" t="str">
        <f>IF(K847&gt;=Paramètres!$F$6,"Très forte",IF(K847&gt;=Paramètres!$F$5,"Forte",IF(K847&gt;=Paramètres!$F$4,"Modérée","Faible")))</f>
        <v>Modérée</v>
      </c>
    </row>
    <row r="848" spans="1:13">
      <c r="A848" t="s">
        <v>914</v>
      </c>
      <c r="B848" s="11">
        <v>91</v>
      </c>
      <c r="C848" t="s">
        <v>105</v>
      </c>
      <c r="D848" t="s">
        <v>797</v>
      </c>
      <c r="E848" t="s">
        <v>836</v>
      </c>
      <c r="F848" t="s">
        <v>92</v>
      </c>
      <c r="G848" s="12">
        <v>26</v>
      </c>
      <c r="H848" s="12">
        <v>415</v>
      </c>
      <c r="I848" s="12">
        <v>23</v>
      </c>
      <c r="J848" t="str">
        <f>VLOOKUP(B848,Paramètres!$A$4:$C$11,3,FALSE)</f>
        <v>Grande couronne</v>
      </c>
      <c r="K848" s="13">
        <f>IFERROR(H848/G848,"")</f>
        <v>15.961538461538462</v>
      </c>
      <c r="L848" s="14">
        <f>IFERROR(I848/G848,"")</f>
        <v>0.88461538461538458</v>
      </c>
      <c r="M848" s="11" t="str">
        <f>IF(K848&gt;=Paramètres!$F$6,"Très forte",IF(K848&gt;=Paramètres!$F$5,"Forte",IF(K848&gt;=Paramètres!$F$4,"Modérée","Faible")))</f>
        <v>Modérée</v>
      </c>
    </row>
    <row r="849" spans="1:13">
      <c r="A849" t="s">
        <v>876</v>
      </c>
      <c r="B849" s="11">
        <v>75</v>
      </c>
      <c r="C849" t="s">
        <v>86</v>
      </c>
      <c r="D849" t="s">
        <v>797</v>
      </c>
      <c r="E849" t="s">
        <v>885</v>
      </c>
      <c r="F849" t="s">
        <v>92</v>
      </c>
      <c r="G849" s="12">
        <v>37</v>
      </c>
      <c r="H849" s="12">
        <v>589</v>
      </c>
      <c r="I849" s="12">
        <v>24</v>
      </c>
      <c r="J849" t="str">
        <f>VLOOKUP(B849,Paramètres!$A$4:$C$11,3,FALSE)</f>
        <v>Paris</v>
      </c>
      <c r="K849" s="13">
        <f>IFERROR(H849/G849,"")</f>
        <v>15.918918918918919</v>
      </c>
      <c r="L849" s="14">
        <f>IFERROR(I849/G849,"")</f>
        <v>0.64864864864864868</v>
      </c>
      <c r="M849" s="11" t="str">
        <f>IF(K849&gt;=Paramètres!$F$6,"Très forte",IF(K849&gt;=Paramètres!$F$5,"Forte",IF(K849&gt;=Paramètres!$F$4,"Modérée","Faible")))</f>
        <v>Modérée</v>
      </c>
    </row>
    <row r="850" spans="1:13">
      <c r="A850" t="s">
        <v>1042</v>
      </c>
      <c r="B850" s="11">
        <v>75</v>
      </c>
      <c r="C850" t="s">
        <v>86</v>
      </c>
      <c r="D850" t="s">
        <v>797</v>
      </c>
      <c r="E850" t="s">
        <v>822</v>
      </c>
      <c r="F850" t="s">
        <v>92</v>
      </c>
      <c r="G850" s="12">
        <v>35</v>
      </c>
      <c r="H850" s="12">
        <v>557</v>
      </c>
      <c r="I850" s="12">
        <v>31</v>
      </c>
      <c r="J850" t="str">
        <f>VLOOKUP(B850,Paramètres!$A$4:$C$11,3,FALSE)</f>
        <v>Paris</v>
      </c>
      <c r="K850" s="13">
        <f>IFERROR(H850/G850,"")</f>
        <v>15.914285714285715</v>
      </c>
      <c r="L850" s="14">
        <f>IFERROR(I850/G850,"")</f>
        <v>0.88571428571428568</v>
      </c>
      <c r="M850" s="11" t="str">
        <f>IF(K850&gt;=Paramètres!$F$6,"Très forte",IF(K850&gt;=Paramètres!$F$5,"Forte",IF(K850&gt;=Paramètres!$F$4,"Modérée","Faible")))</f>
        <v>Modérée</v>
      </c>
    </row>
    <row r="851" spans="1:13">
      <c r="A851" t="s">
        <v>1236</v>
      </c>
      <c r="B851" s="11">
        <v>77</v>
      </c>
      <c r="C851" t="s">
        <v>132</v>
      </c>
      <c r="D851" t="s">
        <v>797</v>
      </c>
      <c r="E851" t="s">
        <v>822</v>
      </c>
      <c r="F851" t="s">
        <v>92</v>
      </c>
      <c r="G851" s="12">
        <v>35</v>
      </c>
      <c r="H851" s="12">
        <v>553</v>
      </c>
      <c r="I851" s="12">
        <v>30</v>
      </c>
      <c r="J851" t="str">
        <f>VLOOKUP(B851,Paramètres!$A$4:$C$11,3,FALSE)</f>
        <v>Grande couronne</v>
      </c>
      <c r="K851" s="13">
        <f>IFERROR(H851/G851,"")</f>
        <v>15.8</v>
      </c>
      <c r="L851" s="14">
        <f>IFERROR(I851/G851,"")</f>
        <v>0.8571428571428571</v>
      </c>
      <c r="M851" s="11" t="str">
        <f>IF(K851&gt;=Paramètres!$F$6,"Très forte",IF(K851&gt;=Paramètres!$F$5,"Forte",IF(K851&gt;=Paramètres!$F$4,"Modérée","Faible")))</f>
        <v>Modérée</v>
      </c>
    </row>
    <row r="852" spans="1:13">
      <c r="A852" t="s">
        <v>1153</v>
      </c>
      <c r="B852" s="11">
        <v>92</v>
      </c>
      <c r="C852" t="s">
        <v>94</v>
      </c>
      <c r="D852" t="s">
        <v>797</v>
      </c>
      <c r="E852" t="s">
        <v>832</v>
      </c>
      <c r="F852" t="s">
        <v>92</v>
      </c>
      <c r="G852" s="12">
        <v>38</v>
      </c>
      <c r="H852" s="12">
        <v>597</v>
      </c>
      <c r="I852" s="12">
        <v>38</v>
      </c>
      <c r="J852" t="str">
        <f>VLOOKUP(B852,Paramètres!$A$4:$C$11,3,FALSE)</f>
        <v>Petite couronne</v>
      </c>
      <c r="K852" s="13">
        <f>IFERROR(H852/G852,"")</f>
        <v>15.710526315789474</v>
      </c>
      <c r="L852" s="14">
        <f>IFERROR(I852/G852,"")</f>
        <v>1</v>
      </c>
      <c r="M852" s="11" t="str">
        <f>IF(K852&gt;=Paramètres!$F$6,"Très forte",IF(K852&gt;=Paramètres!$F$5,"Forte",IF(K852&gt;=Paramètres!$F$4,"Modérée","Faible")))</f>
        <v>Modérée</v>
      </c>
    </row>
    <row r="853" spans="1:13">
      <c r="A853" t="s">
        <v>1107</v>
      </c>
      <c r="B853" s="11">
        <v>77</v>
      </c>
      <c r="C853" t="s">
        <v>132</v>
      </c>
      <c r="D853" t="s">
        <v>797</v>
      </c>
      <c r="E853" t="s">
        <v>832</v>
      </c>
      <c r="F853" t="s">
        <v>92</v>
      </c>
      <c r="G853" s="12">
        <v>24</v>
      </c>
      <c r="H853" s="12">
        <v>375</v>
      </c>
      <c r="I853" s="12">
        <v>20</v>
      </c>
      <c r="J853" t="str">
        <f>VLOOKUP(B853,Paramètres!$A$4:$C$11,3,FALSE)</f>
        <v>Grande couronne</v>
      </c>
      <c r="K853" s="13">
        <f>IFERROR(H853/G853,"")</f>
        <v>15.625</v>
      </c>
      <c r="L853" s="14">
        <f>IFERROR(I853/G853,"")</f>
        <v>0.83333333333333337</v>
      </c>
      <c r="M853" s="11" t="str">
        <f>IF(K853&gt;=Paramètres!$F$6,"Très forte",IF(K853&gt;=Paramètres!$F$5,"Forte",IF(K853&gt;=Paramètres!$F$4,"Modérée","Faible")))</f>
        <v>Modérée</v>
      </c>
    </row>
    <row r="854" spans="1:13">
      <c r="A854" t="s">
        <v>967</v>
      </c>
      <c r="B854" s="11">
        <v>94</v>
      </c>
      <c r="C854" t="s">
        <v>116</v>
      </c>
      <c r="D854" t="s">
        <v>797</v>
      </c>
      <c r="E854" t="s">
        <v>968</v>
      </c>
      <c r="F854" t="s">
        <v>92</v>
      </c>
      <c r="G854" s="12">
        <v>24</v>
      </c>
      <c r="H854" s="12">
        <v>373</v>
      </c>
      <c r="I854" s="12">
        <v>24</v>
      </c>
      <c r="J854" t="str">
        <f>VLOOKUP(B854,Paramètres!$A$4:$C$11,3,FALSE)</f>
        <v>Petite couronne</v>
      </c>
      <c r="K854" s="13">
        <f>IFERROR(H854/G854,"")</f>
        <v>15.541666666666666</v>
      </c>
      <c r="L854" s="14">
        <f>IFERROR(I854/G854,"")</f>
        <v>1</v>
      </c>
      <c r="M854" s="11" t="str">
        <f>IF(K854&gt;=Paramètres!$F$6,"Très forte",IF(K854&gt;=Paramètres!$F$5,"Forte",IF(K854&gt;=Paramètres!$F$4,"Modérée","Faible")))</f>
        <v>Modérée</v>
      </c>
    </row>
    <row r="855" spans="1:13">
      <c r="A855" t="s">
        <v>1013</v>
      </c>
      <c r="B855" s="11">
        <v>78</v>
      </c>
      <c r="C855" t="s">
        <v>135</v>
      </c>
      <c r="D855" t="s">
        <v>797</v>
      </c>
      <c r="E855" t="s">
        <v>832</v>
      </c>
      <c r="F855" t="s">
        <v>92</v>
      </c>
      <c r="G855" s="12">
        <v>30</v>
      </c>
      <c r="H855" s="12">
        <v>465</v>
      </c>
      <c r="I855" s="12">
        <v>28</v>
      </c>
      <c r="J855" t="str">
        <f>VLOOKUP(B855,Paramètres!$A$4:$C$11,3,FALSE)</f>
        <v>Grande couronne</v>
      </c>
      <c r="K855" s="13">
        <f>IFERROR(H855/G855,"")</f>
        <v>15.5</v>
      </c>
      <c r="L855" s="14">
        <f>IFERROR(I855/G855,"")</f>
        <v>0.93333333333333335</v>
      </c>
      <c r="M855" s="11" t="str">
        <f>IF(K855&gt;=Paramètres!$F$6,"Très forte",IF(K855&gt;=Paramètres!$F$5,"Forte",IF(K855&gt;=Paramètres!$F$4,"Modérée","Faible")))</f>
        <v>Modérée</v>
      </c>
    </row>
    <row r="856" spans="1:13">
      <c r="A856" t="s">
        <v>1213</v>
      </c>
      <c r="B856" s="11">
        <v>78</v>
      </c>
      <c r="C856" t="s">
        <v>135</v>
      </c>
      <c r="D856" t="s">
        <v>797</v>
      </c>
      <c r="E856" t="s">
        <v>991</v>
      </c>
      <c r="F856" t="s">
        <v>92</v>
      </c>
      <c r="G856" s="12">
        <v>32</v>
      </c>
      <c r="H856" s="12">
        <v>494</v>
      </c>
      <c r="I856" s="12">
        <v>32</v>
      </c>
      <c r="J856" t="str">
        <f>VLOOKUP(B856,Paramètres!$A$4:$C$11,3,FALSE)</f>
        <v>Grande couronne</v>
      </c>
      <c r="K856" s="13">
        <f>IFERROR(H856/G856,"")</f>
        <v>15.4375</v>
      </c>
      <c r="L856" s="14">
        <f>IFERROR(I856/G856,"")</f>
        <v>1</v>
      </c>
      <c r="M856" s="11" t="str">
        <f>IF(K856&gt;=Paramètres!$F$6,"Très forte",IF(K856&gt;=Paramètres!$F$5,"Forte",IF(K856&gt;=Paramètres!$F$4,"Modérée","Faible")))</f>
        <v>Modérée</v>
      </c>
    </row>
    <row r="857" spans="1:13">
      <c r="A857" t="s">
        <v>1078</v>
      </c>
      <c r="B857" s="11">
        <v>92</v>
      </c>
      <c r="C857" t="s">
        <v>94</v>
      </c>
      <c r="D857" t="s">
        <v>797</v>
      </c>
      <c r="E857" t="s">
        <v>844</v>
      </c>
      <c r="F857" t="s">
        <v>92</v>
      </c>
      <c r="G857" s="12">
        <v>30</v>
      </c>
      <c r="H857" s="12">
        <v>462</v>
      </c>
      <c r="I857" s="12">
        <v>28</v>
      </c>
      <c r="J857" t="str">
        <f>VLOOKUP(B857,Paramètres!$A$4:$C$11,3,FALSE)</f>
        <v>Petite couronne</v>
      </c>
      <c r="K857" s="13">
        <f>IFERROR(H857/G857,"")</f>
        <v>15.4</v>
      </c>
      <c r="L857" s="14">
        <f>IFERROR(I857/G857,"")</f>
        <v>0.93333333333333335</v>
      </c>
      <c r="M857" s="11" t="str">
        <f>IF(K857&gt;=Paramètres!$F$6,"Très forte",IF(K857&gt;=Paramètres!$F$5,"Forte",IF(K857&gt;=Paramètres!$F$4,"Modérée","Faible")))</f>
        <v>Modérée</v>
      </c>
    </row>
    <row r="858" spans="1:13">
      <c r="A858" t="s">
        <v>841</v>
      </c>
      <c r="B858" s="11">
        <v>75</v>
      </c>
      <c r="C858" t="s">
        <v>86</v>
      </c>
      <c r="D858" t="s">
        <v>797</v>
      </c>
      <c r="E858" t="s">
        <v>1031</v>
      </c>
      <c r="F858" t="s">
        <v>92</v>
      </c>
      <c r="G858" s="12">
        <v>30</v>
      </c>
      <c r="H858" s="12">
        <v>458</v>
      </c>
      <c r="I858" s="12">
        <v>40</v>
      </c>
      <c r="J858" t="str">
        <f>VLOOKUP(B858,Paramètres!$A$4:$C$11,3,FALSE)</f>
        <v>Paris</v>
      </c>
      <c r="K858" s="13">
        <f>IFERROR(H858/G858,"")</f>
        <v>15.266666666666667</v>
      </c>
      <c r="L858" s="14">
        <f>IFERROR(I858/G858,"")</f>
        <v>1.3333333333333333</v>
      </c>
      <c r="M858" s="11" t="str">
        <f>IF(K858&gt;=Paramètres!$F$6,"Très forte",IF(K858&gt;=Paramètres!$F$5,"Forte",IF(K858&gt;=Paramètres!$F$4,"Modérée","Faible")))</f>
        <v>Modérée</v>
      </c>
    </row>
    <row r="859" spans="1:13">
      <c r="A859" t="s">
        <v>800</v>
      </c>
      <c r="B859" s="11">
        <v>78</v>
      </c>
      <c r="C859" t="s">
        <v>135</v>
      </c>
      <c r="D859" t="s">
        <v>797</v>
      </c>
      <c r="E859" t="s">
        <v>798</v>
      </c>
      <c r="F859" t="s">
        <v>92</v>
      </c>
      <c r="G859" s="12">
        <v>35</v>
      </c>
      <c r="H859" s="12">
        <v>534</v>
      </c>
      <c r="I859" s="12">
        <v>25</v>
      </c>
      <c r="J859" t="str">
        <f>VLOOKUP(B859,Paramètres!$A$4:$C$11,3,FALSE)</f>
        <v>Grande couronne</v>
      </c>
      <c r="K859" s="13">
        <f>IFERROR(H859/G859,"")</f>
        <v>15.257142857142858</v>
      </c>
      <c r="L859" s="14">
        <f>IFERROR(I859/G859,"")</f>
        <v>0.7142857142857143</v>
      </c>
      <c r="M859" s="11" t="str">
        <f>IF(K859&gt;=Paramètres!$F$6,"Très forte",IF(K859&gt;=Paramètres!$F$5,"Forte",IF(K859&gt;=Paramètres!$F$4,"Modérée","Faible")))</f>
        <v>Modérée</v>
      </c>
    </row>
    <row r="860" spans="1:13">
      <c r="A860" t="s">
        <v>1147</v>
      </c>
      <c r="B860" s="11">
        <v>91</v>
      </c>
      <c r="C860" t="s">
        <v>105</v>
      </c>
      <c r="D860" t="s">
        <v>797</v>
      </c>
      <c r="E860" t="s">
        <v>891</v>
      </c>
      <c r="F860" t="s">
        <v>92</v>
      </c>
      <c r="G860" s="12">
        <v>36</v>
      </c>
      <c r="H860" s="12">
        <v>549</v>
      </c>
      <c r="I860" s="12">
        <v>0</v>
      </c>
      <c r="J860" t="str">
        <f>VLOOKUP(B860,Paramètres!$A$4:$C$11,3,FALSE)</f>
        <v>Grande couronne</v>
      </c>
      <c r="K860" s="13">
        <f>IFERROR(H860/G860,"")</f>
        <v>15.25</v>
      </c>
      <c r="L860" s="14">
        <f>IFERROR(I860/G860,"")</f>
        <v>0</v>
      </c>
      <c r="M860" s="11" t="str">
        <f>IF(K860&gt;=Paramètres!$F$6,"Très forte",IF(K860&gt;=Paramètres!$F$5,"Forte",IF(K860&gt;=Paramètres!$F$4,"Modérée","Faible")))</f>
        <v>Modérée</v>
      </c>
    </row>
    <row r="861" spans="1:13">
      <c r="A861" t="s">
        <v>1033</v>
      </c>
      <c r="B861" s="11">
        <v>75</v>
      </c>
      <c r="C861" t="s">
        <v>86</v>
      </c>
      <c r="D861" t="s">
        <v>797</v>
      </c>
      <c r="E861" t="s">
        <v>1001</v>
      </c>
      <c r="F861" t="s">
        <v>92</v>
      </c>
      <c r="G861" s="12">
        <v>30</v>
      </c>
      <c r="H861" s="12">
        <v>457</v>
      </c>
      <c r="I861" s="12">
        <v>33</v>
      </c>
      <c r="J861" t="str">
        <f>VLOOKUP(B861,Paramètres!$A$4:$C$11,3,FALSE)</f>
        <v>Paris</v>
      </c>
      <c r="K861" s="13">
        <f>IFERROR(H861/G861,"")</f>
        <v>15.233333333333333</v>
      </c>
      <c r="L861" s="14">
        <f>IFERROR(I861/G861,"")</f>
        <v>1.1000000000000001</v>
      </c>
      <c r="M861" s="11" t="str">
        <f>IF(K861&gt;=Paramètres!$F$6,"Très forte",IF(K861&gt;=Paramètres!$F$5,"Forte",IF(K861&gt;=Paramètres!$F$4,"Modérée","Faible")))</f>
        <v>Modérée</v>
      </c>
    </row>
    <row r="862" spans="1:13">
      <c r="A862" t="s">
        <v>1061</v>
      </c>
      <c r="B862" s="11">
        <v>78</v>
      </c>
      <c r="C862" t="s">
        <v>135</v>
      </c>
      <c r="D862" t="s">
        <v>797</v>
      </c>
      <c r="E862" t="s">
        <v>798</v>
      </c>
      <c r="F862" t="s">
        <v>92</v>
      </c>
      <c r="G862" s="12">
        <v>35</v>
      </c>
      <c r="H862" s="12">
        <v>533</v>
      </c>
      <c r="I862" s="12">
        <v>32</v>
      </c>
      <c r="J862" t="str">
        <f>VLOOKUP(B862,Paramètres!$A$4:$C$11,3,FALSE)</f>
        <v>Grande couronne</v>
      </c>
      <c r="K862" s="13">
        <f>IFERROR(H862/G862,"")</f>
        <v>15.228571428571428</v>
      </c>
      <c r="L862" s="14">
        <f>IFERROR(I862/G862,"")</f>
        <v>0.91428571428571426</v>
      </c>
      <c r="M862" s="11" t="str">
        <f>IF(K862&gt;=Paramètres!$F$6,"Très forte",IF(K862&gt;=Paramètres!$F$5,"Forte",IF(K862&gt;=Paramètres!$F$4,"Modérée","Faible")))</f>
        <v>Modérée</v>
      </c>
    </row>
    <row r="863" spans="1:13">
      <c r="A863" t="s">
        <v>1104</v>
      </c>
      <c r="B863" s="11">
        <v>94</v>
      </c>
      <c r="C863" t="s">
        <v>116</v>
      </c>
      <c r="D863" t="s">
        <v>797</v>
      </c>
      <c r="E863" t="s">
        <v>823</v>
      </c>
      <c r="F863" t="s">
        <v>92</v>
      </c>
      <c r="G863" s="12">
        <v>30</v>
      </c>
      <c r="H863" s="12">
        <v>456</v>
      </c>
      <c r="I863" s="12">
        <v>27</v>
      </c>
      <c r="J863" t="str">
        <f>VLOOKUP(B863,Paramètres!$A$4:$C$11,3,FALSE)</f>
        <v>Petite couronne</v>
      </c>
      <c r="K863" s="13">
        <f>IFERROR(H863/G863,"")</f>
        <v>15.2</v>
      </c>
      <c r="L863" s="14">
        <f>IFERROR(I863/G863,"")</f>
        <v>0.9</v>
      </c>
      <c r="M863" s="11" t="str">
        <f>IF(K863&gt;=Paramètres!$F$6,"Très forte",IF(K863&gt;=Paramètres!$F$5,"Forte",IF(K863&gt;=Paramètres!$F$4,"Modérée","Faible")))</f>
        <v>Modérée</v>
      </c>
    </row>
    <row r="864" spans="1:13">
      <c r="A864" t="s">
        <v>996</v>
      </c>
      <c r="B864" s="11">
        <v>78</v>
      </c>
      <c r="C864" t="s">
        <v>135</v>
      </c>
      <c r="D864" t="s">
        <v>797</v>
      </c>
      <c r="E864" t="s">
        <v>861</v>
      </c>
      <c r="F864" t="s">
        <v>92</v>
      </c>
      <c r="G864" s="12">
        <v>26</v>
      </c>
      <c r="H864" s="12">
        <v>394</v>
      </c>
      <c r="I864" s="12">
        <v>20</v>
      </c>
      <c r="J864" t="str">
        <f>VLOOKUP(B864,Paramètres!$A$4:$C$11,3,FALSE)</f>
        <v>Grande couronne</v>
      </c>
      <c r="K864" s="13">
        <f>IFERROR(H864/G864,"")</f>
        <v>15.153846153846153</v>
      </c>
      <c r="L864" s="14">
        <f>IFERROR(I864/G864,"")</f>
        <v>0.76923076923076927</v>
      </c>
      <c r="M864" s="11" t="str">
        <f>IF(K864&gt;=Paramètres!$F$6,"Très forte",IF(K864&gt;=Paramètres!$F$5,"Forte",IF(K864&gt;=Paramètres!$F$4,"Modérée","Faible")))</f>
        <v>Modérée</v>
      </c>
    </row>
    <row r="865" spans="1:13">
      <c r="A865" t="s">
        <v>1225</v>
      </c>
      <c r="B865" s="11">
        <v>77</v>
      </c>
      <c r="C865" t="s">
        <v>132</v>
      </c>
      <c r="D865" t="s">
        <v>797</v>
      </c>
      <c r="E865" t="s">
        <v>1003</v>
      </c>
      <c r="F865" t="s">
        <v>92</v>
      </c>
      <c r="G865" s="12">
        <v>23</v>
      </c>
      <c r="H865" s="12">
        <v>348</v>
      </c>
      <c r="I865" s="12">
        <v>15</v>
      </c>
      <c r="J865" t="str">
        <f>VLOOKUP(B865,Paramètres!$A$4:$C$11,3,FALSE)</f>
        <v>Grande couronne</v>
      </c>
      <c r="K865" s="13">
        <f>IFERROR(H865/G865,"")</f>
        <v>15.130434782608695</v>
      </c>
      <c r="L865" s="14">
        <f>IFERROR(I865/G865,"")</f>
        <v>0.65217391304347827</v>
      </c>
      <c r="M865" s="11" t="str">
        <f>IF(K865&gt;=Paramètres!$F$6,"Très forte",IF(K865&gt;=Paramètres!$F$5,"Forte",IF(K865&gt;=Paramètres!$F$4,"Modérée","Faible")))</f>
        <v>Modérée</v>
      </c>
    </row>
    <row r="866" spans="1:13">
      <c r="A866" t="s">
        <v>1190</v>
      </c>
      <c r="B866" s="11">
        <v>95</v>
      </c>
      <c r="C866" t="s">
        <v>90</v>
      </c>
      <c r="D866" t="s">
        <v>797</v>
      </c>
      <c r="E866" t="s">
        <v>928</v>
      </c>
      <c r="F866" t="s">
        <v>92</v>
      </c>
      <c r="G866" s="12">
        <v>20</v>
      </c>
      <c r="H866" s="12">
        <v>302</v>
      </c>
      <c r="I866" s="12">
        <v>23</v>
      </c>
      <c r="J866" t="str">
        <f>VLOOKUP(B866,Paramètres!$A$4:$C$11,3,FALSE)</f>
        <v>Grande couronne</v>
      </c>
      <c r="K866" s="13">
        <f>IFERROR(H866/G866,"")</f>
        <v>15.1</v>
      </c>
      <c r="L866" s="14">
        <f>IFERROR(I866/G866,"")</f>
        <v>1.1499999999999999</v>
      </c>
      <c r="M866" s="11" t="str">
        <f>IF(K866&gt;=Paramètres!$F$6,"Très forte",IF(K866&gt;=Paramètres!$F$5,"Forte",IF(K866&gt;=Paramètres!$F$4,"Modérée","Faible")))</f>
        <v>Modérée</v>
      </c>
    </row>
    <row r="867" spans="1:13">
      <c r="A867" t="s">
        <v>939</v>
      </c>
      <c r="B867" s="11">
        <v>91</v>
      </c>
      <c r="C867" t="s">
        <v>105</v>
      </c>
      <c r="D867" t="s">
        <v>797</v>
      </c>
      <c r="E867" t="s">
        <v>1003</v>
      </c>
      <c r="F867" t="s">
        <v>92</v>
      </c>
      <c r="G867" s="12">
        <v>32</v>
      </c>
      <c r="H867" s="12">
        <v>483</v>
      </c>
      <c r="I867" s="12">
        <v>27</v>
      </c>
      <c r="J867" t="str">
        <f>VLOOKUP(B867,Paramètres!$A$4:$C$11,3,FALSE)</f>
        <v>Grande couronne</v>
      </c>
      <c r="K867" s="13">
        <f>IFERROR(H867/G867,"")</f>
        <v>15.09375</v>
      </c>
      <c r="L867" s="14">
        <f>IFERROR(I867/G867,"")</f>
        <v>0.84375</v>
      </c>
      <c r="M867" s="11" t="str">
        <f>IF(K867&gt;=Paramètres!$F$6,"Très forte",IF(K867&gt;=Paramètres!$F$5,"Forte",IF(K867&gt;=Paramètres!$F$4,"Modérée","Faible")))</f>
        <v>Modérée</v>
      </c>
    </row>
    <row r="868" spans="1:13">
      <c r="A868" t="s">
        <v>964</v>
      </c>
      <c r="B868" s="11">
        <v>94</v>
      </c>
      <c r="C868" t="s">
        <v>116</v>
      </c>
      <c r="D868" t="s">
        <v>797</v>
      </c>
      <c r="E868" t="s">
        <v>861</v>
      </c>
      <c r="F868" t="s">
        <v>92</v>
      </c>
      <c r="G868" s="12">
        <v>24</v>
      </c>
      <c r="H868" s="12">
        <v>362</v>
      </c>
      <c r="I868" s="12">
        <v>21</v>
      </c>
      <c r="J868" t="str">
        <f>VLOOKUP(B868,Paramètres!$A$4:$C$11,3,FALSE)</f>
        <v>Petite couronne</v>
      </c>
      <c r="K868" s="13">
        <f>IFERROR(H868/G868,"")</f>
        <v>15.083333333333334</v>
      </c>
      <c r="L868" s="14">
        <f>IFERROR(I868/G868,"")</f>
        <v>0.875</v>
      </c>
      <c r="M868" s="11" t="str">
        <f>IF(K868&gt;=Paramètres!$F$6,"Très forte",IF(K868&gt;=Paramètres!$F$5,"Forte",IF(K868&gt;=Paramètres!$F$4,"Modérée","Faible")))</f>
        <v>Modérée</v>
      </c>
    </row>
    <row r="869" spans="1:13">
      <c r="A869" t="s">
        <v>927</v>
      </c>
      <c r="B869" s="11">
        <v>91</v>
      </c>
      <c r="C869" t="s">
        <v>105</v>
      </c>
      <c r="D869" t="s">
        <v>797</v>
      </c>
      <c r="E869" t="s">
        <v>928</v>
      </c>
      <c r="F869" t="s">
        <v>92</v>
      </c>
      <c r="G869" s="12">
        <v>24</v>
      </c>
      <c r="H869" s="12">
        <v>358</v>
      </c>
      <c r="I869" s="12">
        <v>28</v>
      </c>
      <c r="J869" t="str">
        <f>VLOOKUP(B869,Paramètres!$A$4:$C$11,3,FALSE)</f>
        <v>Grande couronne</v>
      </c>
      <c r="K869" s="13">
        <f>IFERROR(H869/G869,"")</f>
        <v>14.916666666666666</v>
      </c>
      <c r="L869" s="14">
        <f>IFERROR(I869/G869,"")</f>
        <v>1.1666666666666667</v>
      </c>
      <c r="M869" s="11" t="str">
        <f>IF(K869&gt;=Paramètres!$F$6,"Très forte",IF(K869&gt;=Paramètres!$F$5,"Forte",IF(K869&gt;=Paramètres!$F$4,"Modérée","Faible")))</f>
        <v>Modérée</v>
      </c>
    </row>
    <row r="870" spans="1:13">
      <c r="A870" t="s">
        <v>880</v>
      </c>
      <c r="B870" s="11">
        <v>77</v>
      </c>
      <c r="C870" t="s">
        <v>132</v>
      </c>
      <c r="D870" t="s">
        <v>797</v>
      </c>
      <c r="E870" t="s">
        <v>839</v>
      </c>
      <c r="F870" t="s">
        <v>92</v>
      </c>
      <c r="G870" s="12">
        <v>35</v>
      </c>
      <c r="H870" s="12">
        <v>518</v>
      </c>
      <c r="I870" s="12">
        <v>21</v>
      </c>
      <c r="J870" t="str">
        <f>VLOOKUP(B870,Paramètres!$A$4:$C$11,3,FALSE)</f>
        <v>Grande couronne</v>
      </c>
      <c r="K870" s="13">
        <f>IFERROR(H870/G870,"")</f>
        <v>14.8</v>
      </c>
      <c r="L870" s="14">
        <f>IFERROR(I870/G870,"")</f>
        <v>0.6</v>
      </c>
      <c r="M870" s="11" t="str">
        <f>IF(K870&gt;=Paramètres!$F$6,"Très forte",IF(K870&gt;=Paramètres!$F$5,"Forte",IF(K870&gt;=Paramètres!$F$4,"Modérée","Faible")))</f>
        <v>Modérée</v>
      </c>
    </row>
    <row r="871" spans="1:13">
      <c r="A871" t="s">
        <v>938</v>
      </c>
      <c r="B871" s="11">
        <v>92</v>
      </c>
      <c r="C871" t="s">
        <v>94</v>
      </c>
      <c r="D871" t="s">
        <v>797</v>
      </c>
      <c r="E871" t="s">
        <v>1003</v>
      </c>
      <c r="F871" t="s">
        <v>92</v>
      </c>
      <c r="G871" s="12">
        <v>32</v>
      </c>
      <c r="H871" s="12">
        <v>472</v>
      </c>
      <c r="I871" s="12">
        <v>29</v>
      </c>
      <c r="J871" t="str">
        <f>VLOOKUP(B871,Paramètres!$A$4:$C$11,3,FALSE)</f>
        <v>Petite couronne</v>
      </c>
      <c r="K871" s="13">
        <f>IFERROR(H871/G871,"")</f>
        <v>14.75</v>
      </c>
      <c r="L871" s="14">
        <f>IFERROR(I871/G871,"")</f>
        <v>0.90625</v>
      </c>
      <c r="M871" s="11" t="str">
        <f>IF(K871&gt;=Paramètres!$F$6,"Très forte",IF(K871&gt;=Paramètres!$F$5,"Forte",IF(K871&gt;=Paramètres!$F$4,"Modérée","Faible")))</f>
        <v>Modérée</v>
      </c>
    </row>
    <row r="872" spans="1:13">
      <c r="A872" t="s">
        <v>1053</v>
      </c>
      <c r="B872" s="11">
        <v>78</v>
      </c>
      <c r="C872" t="s">
        <v>135</v>
      </c>
      <c r="D872" t="s">
        <v>797</v>
      </c>
      <c r="E872" t="s">
        <v>825</v>
      </c>
      <c r="F872" t="s">
        <v>92</v>
      </c>
      <c r="G872" s="12">
        <v>35</v>
      </c>
      <c r="H872" s="12">
        <v>516</v>
      </c>
      <c r="I872" s="12">
        <v>31</v>
      </c>
      <c r="J872" t="str">
        <f>VLOOKUP(B872,Paramètres!$A$4:$C$11,3,FALSE)</f>
        <v>Grande couronne</v>
      </c>
      <c r="K872" s="13">
        <f>IFERROR(H872/G872,"")</f>
        <v>14.742857142857142</v>
      </c>
      <c r="L872" s="14">
        <f>IFERROR(I872/G872,"")</f>
        <v>0.88571428571428568</v>
      </c>
      <c r="M872" s="11" t="str">
        <f>IF(K872&gt;=Paramètres!$F$6,"Très forte",IF(K872&gt;=Paramètres!$F$5,"Forte",IF(K872&gt;=Paramètres!$F$4,"Modérée","Faible")))</f>
        <v>Modérée</v>
      </c>
    </row>
    <row r="873" spans="1:13">
      <c r="A873" t="s">
        <v>876</v>
      </c>
      <c r="B873" s="11">
        <v>75</v>
      </c>
      <c r="C873" t="s">
        <v>86</v>
      </c>
      <c r="D873" t="s">
        <v>797</v>
      </c>
      <c r="E873" t="s">
        <v>798</v>
      </c>
      <c r="F873" t="s">
        <v>92</v>
      </c>
      <c r="G873" s="12">
        <v>37</v>
      </c>
      <c r="H873" s="12">
        <v>541</v>
      </c>
      <c r="I873" s="12">
        <v>30</v>
      </c>
      <c r="J873" t="str">
        <f>VLOOKUP(B873,Paramètres!$A$4:$C$11,3,FALSE)</f>
        <v>Paris</v>
      </c>
      <c r="K873" s="13">
        <f>IFERROR(H873/G873,"")</f>
        <v>14.621621621621621</v>
      </c>
      <c r="L873" s="14">
        <f>IFERROR(I873/G873,"")</f>
        <v>0.81081081081081086</v>
      </c>
      <c r="M873" s="11" t="str">
        <f>IF(K873&gt;=Paramètres!$F$6,"Très forte",IF(K873&gt;=Paramètres!$F$5,"Forte",IF(K873&gt;=Paramètres!$F$4,"Modérée","Faible")))</f>
        <v>Modérée</v>
      </c>
    </row>
    <row r="874" spans="1:13">
      <c r="A874" t="s">
        <v>915</v>
      </c>
      <c r="B874" s="11">
        <v>91</v>
      </c>
      <c r="C874" t="s">
        <v>105</v>
      </c>
      <c r="D874" t="s">
        <v>797</v>
      </c>
      <c r="E874" t="s">
        <v>823</v>
      </c>
      <c r="F874" t="s">
        <v>92</v>
      </c>
      <c r="G874" s="12">
        <v>32</v>
      </c>
      <c r="H874" s="12">
        <v>466</v>
      </c>
      <c r="I874" s="12">
        <v>33</v>
      </c>
      <c r="J874" t="str">
        <f>VLOOKUP(B874,Paramètres!$A$4:$C$11,3,FALSE)</f>
        <v>Grande couronne</v>
      </c>
      <c r="K874" s="13">
        <f>IFERROR(H874/G874,"")</f>
        <v>14.5625</v>
      </c>
      <c r="L874" s="14">
        <f>IFERROR(I874/G874,"")</f>
        <v>1.03125</v>
      </c>
      <c r="M874" s="11" t="str">
        <f>IF(K874&gt;=Paramètres!$F$6,"Très forte",IF(K874&gt;=Paramètres!$F$5,"Forte",IF(K874&gt;=Paramètres!$F$4,"Modérée","Faible")))</f>
        <v>Modérée</v>
      </c>
    </row>
    <row r="875" spans="1:13">
      <c r="A875" t="s">
        <v>994</v>
      </c>
      <c r="B875" s="11">
        <v>75</v>
      </c>
      <c r="C875" t="s">
        <v>86</v>
      </c>
      <c r="D875" t="s">
        <v>797</v>
      </c>
      <c r="E875" t="s">
        <v>1229</v>
      </c>
      <c r="F875" t="s">
        <v>92</v>
      </c>
      <c r="G875" s="12">
        <v>24</v>
      </c>
      <c r="H875" s="12">
        <v>349</v>
      </c>
      <c r="I875" s="12">
        <v>23</v>
      </c>
      <c r="J875" t="str">
        <f>VLOOKUP(B875,Paramètres!$A$4:$C$11,3,FALSE)</f>
        <v>Paris</v>
      </c>
      <c r="K875" s="13">
        <f>IFERROR(H875/G875,"")</f>
        <v>14.541666666666666</v>
      </c>
      <c r="L875" s="14">
        <f>IFERROR(I875/G875,"")</f>
        <v>0.95833333333333337</v>
      </c>
      <c r="M875" s="11" t="str">
        <f>IF(K875&gt;=Paramètres!$F$6,"Très forte",IF(K875&gt;=Paramètres!$F$5,"Forte",IF(K875&gt;=Paramètres!$F$4,"Modérée","Faible")))</f>
        <v>Modérée</v>
      </c>
    </row>
    <row r="876" spans="1:13">
      <c r="A876" t="s">
        <v>1129</v>
      </c>
      <c r="B876" s="11">
        <v>94</v>
      </c>
      <c r="C876" t="s">
        <v>116</v>
      </c>
      <c r="D876" t="s">
        <v>797</v>
      </c>
      <c r="E876" t="s">
        <v>905</v>
      </c>
      <c r="F876" t="s">
        <v>92</v>
      </c>
      <c r="G876" s="12">
        <v>34</v>
      </c>
      <c r="H876" s="12">
        <v>493</v>
      </c>
      <c r="I876" s="12">
        <v>20</v>
      </c>
      <c r="J876" t="str">
        <f>VLOOKUP(B876,Paramètres!$A$4:$C$11,3,FALSE)</f>
        <v>Petite couronne</v>
      </c>
      <c r="K876" s="13">
        <f>IFERROR(H876/G876,"")</f>
        <v>14.5</v>
      </c>
      <c r="L876" s="14">
        <f>IFERROR(I876/G876,"")</f>
        <v>0.58823529411764708</v>
      </c>
      <c r="M876" s="11" t="str">
        <f>IF(K876&gt;=Paramètres!$F$6,"Très forte",IF(K876&gt;=Paramètres!$F$5,"Forte",IF(K876&gt;=Paramètres!$F$4,"Modérée","Faible")))</f>
        <v>Modérée</v>
      </c>
    </row>
    <row r="877" spans="1:13">
      <c r="A877" t="s">
        <v>982</v>
      </c>
      <c r="B877" s="11">
        <v>95</v>
      </c>
      <c r="C877" t="s">
        <v>90</v>
      </c>
      <c r="D877" t="s">
        <v>797</v>
      </c>
      <c r="E877" t="s">
        <v>1003</v>
      </c>
      <c r="F877" t="s">
        <v>92</v>
      </c>
      <c r="G877" s="12">
        <v>35</v>
      </c>
      <c r="H877" s="12">
        <v>507</v>
      </c>
      <c r="I877" s="12">
        <v>30</v>
      </c>
      <c r="J877" t="str">
        <f>VLOOKUP(B877,Paramètres!$A$4:$C$11,3,FALSE)</f>
        <v>Grande couronne</v>
      </c>
      <c r="K877" s="13">
        <f>IFERROR(H877/G877,"")</f>
        <v>14.485714285714286</v>
      </c>
      <c r="L877" s="14">
        <f>IFERROR(I877/G877,"")</f>
        <v>0.8571428571428571</v>
      </c>
      <c r="M877" s="11" t="str">
        <f>IF(K877&gt;=Paramètres!$F$6,"Très forte",IF(K877&gt;=Paramètres!$F$5,"Forte",IF(K877&gt;=Paramètres!$F$4,"Modérée","Faible")))</f>
        <v>Modérée</v>
      </c>
    </row>
    <row r="878" spans="1:13">
      <c r="A878" t="s">
        <v>926</v>
      </c>
      <c r="B878" s="11">
        <v>91</v>
      </c>
      <c r="C878" t="s">
        <v>105</v>
      </c>
      <c r="D878" t="s">
        <v>797</v>
      </c>
      <c r="E878" t="s">
        <v>885</v>
      </c>
      <c r="F878" t="s">
        <v>92</v>
      </c>
      <c r="G878" s="12">
        <v>34</v>
      </c>
      <c r="H878" s="12">
        <v>489</v>
      </c>
      <c r="I878" s="12">
        <v>28</v>
      </c>
      <c r="J878" t="str">
        <f>VLOOKUP(B878,Paramètres!$A$4:$C$11,3,FALSE)</f>
        <v>Grande couronne</v>
      </c>
      <c r="K878" s="13">
        <f>IFERROR(H878/G878,"")</f>
        <v>14.382352941176471</v>
      </c>
      <c r="L878" s="14">
        <f>IFERROR(I878/G878,"")</f>
        <v>0.82352941176470584</v>
      </c>
      <c r="M878" s="11" t="str">
        <f>IF(K878&gt;=Paramètres!$F$6,"Très forte",IF(K878&gt;=Paramètres!$F$5,"Forte",IF(K878&gt;=Paramètres!$F$4,"Modérée","Faible")))</f>
        <v>Modérée</v>
      </c>
    </row>
    <row r="879" spans="1:13">
      <c r="A879" t="s">
        <v>950</v>
      </c>
      <c r="B879" s="11">
        <v>93</v>
      </c>
      <c r="C879" t="s">
        <v>100</v>
      </c>
      <c r="D879" t="s">
        <v>797</v>
      </c>
      <c r="E879" t="s">
        <v>853</v>
      </c>
      <c r="F879" t="s">
        <v>92</v>
      </c>
      <c r="G879" s="12">
        <v>35</v>
      </c>
      <c r="H879" s="12">
        <v>502</v>
      </c>
      <c r="I879" s="12">
        <v>34</v>
      </c>
      <c r="J879" t="str">
        <f>VLOOKUP(B879,Paramètres!$A$4:$C$11,3,FALSE)</f>
        <v>Petite couronne</v>
      </c>
      <c r="K879" s="13">
        <f>IFERROR(H879/G879,"")</f>
        <v>14.342857142857143</v>
      </c>
      <c r="L879" s="14">
        <f>IFERROR(I879/G879,"")</f>
        <v>0.97142857142857142</v>
      </c>
      <c r="M879" s="11" t="str">
        <f>IF(K879&gt;=Paramètres!$F$6,"Très forte",IF(K879&gt;=Paramètres!$F$5,"Forte",IF(K879&gt;=Paramètres!$F$4,"Modérée","Faible")))</f>
        <v>Modérée</v>
      </c>
    </row>
    <row r="880" spans="1:13">
      <c r="A880" t="s">
        <v>984</v>
      </c>
      <c r="B880" s="11">
        <v>95</v>
      </c>
      <c r="C880" t="s">
        <v>90</v>
      </c>
      <c r="D880" t="s">
        <v>797</v>
      </c>
      <c r="E880" t="s">
        <v>832</v>
      </c>
      <c r="F880" t="s">
        <v>92</v>
      </c>
      <c r="G880" s="12">
        <v>30</v>
      </c>
      <c r="H880" s="12">
        <v>429</v>
      </c>
      <c r="I880" s="12">
        <v>23</v>
      </c>
      <c r="J880" t="str">
        <f>VLOOKUP(B880,Paramètres!$A$4:$C$11,3,FALSE)</f>
        <v>Grande couronne</v>
      </c>
      <c r="K880" s="13">
        <f>IFERROR(H880/G880,"")</f>
        <v>14.3</v>
      </c>
      <c r="L880" s="14">
        <f>IFERROR(I880/G880,"")</f>
        <v>0.76666666666666672</v>
      </c>
      <c r="M880" s="11" t="str">
        <f>IF(K880&gt;=Paramètres!$F$6,"Très forte",IF(K880&gt;=Paramètres!$F$5,"Forte",IF(K880&gt;=Paramètres!$F$4,"Modérée","Faible")))</f>
        <v>Modérée</v>
      </c>
    </row>
    <row r="881" spans="1:13">
      <c r="A881" t="s">
        <v>909</v>
      </c>
      <c r="B881" s="11">
        <v>78</v>
      </c>
      <c r="C881" t="s">
        <v>135</v>
      </c>
      <c r="D881" t="s">
        <v>797</v>
      </c>
      <c r="E881" t="s">
        <v>839</v>
      </c>
      <c r="F881" t="s">
        <v>92</v>
      </c>
      <c r="G881" s="12">
        <v>29</v>
      </c>
      <c r="H881" s="12">
        <v>413</v>
      </c>
      <c r="I881" s="12">
        <v>29</v>
      </c>
      <c r="J881" t="str">
        <f>VLOOKUP(B881,Paramètres!$A$4:$C$11,3,FALSE)</f>
        <v>Grande couronne</v>
      </c>
      <c r="K881" s="13">
        <f>IFERROR(H881/G881,"")</f>
        <v>14.241379310344827</v>
      </c>
      <c r="L881" s="14">
        <f>IFERROR(I881/G881,"")</f>
        <v>1</v>
      </c>
      <c r="M881" s="11" t="str">
        <f>IF(K881&gt;=Paramètres!$F$6,"Très forte",IF(K881&gt;=Paramètres!$F$5,"Forte",IF(K881&gt;=Paramètres!$F$4,"Modérée","Faible")))</f>
        <v>Modérée</v>
      </c>
    </row>
    <row r="882" spans="1:13">
      <c r="A882" t="s">
        <v>908</v>
      </c>
      <c r="B882" s="11">
        <v>78</v>
      </c>
      <c r="C882" t="s">
        <v>135</v>
      </c>
      <c r="D882" t="s">
        <v>797</v>
      </c>
      <c r="E882" t="s">
        <v>832</v>
      </c>
      <c r="F882" t="s">
        <v>92</v>
      </c>
      <c r="G882" s="12">
        <v>35</v>
      </c>
      <c r="H882" s="12">
        <v>493</v>
      </c>
      <c r="I882" s="12">
        <v>29</v>
      </c>
      <c r="J882" t="str">
        <f>VLOOKUP(B882,Paramètres!$A$4:$C$11,3,FALSE)</f>
        <v>Grande couronne</v>
      </c>
      <c r="K882" s="13">
        <f>IFERROR(H882/G882,"")</f>
        <v>14.085714285714285</v>
      </c>
      <c r="L882" s="14">
        <f>IFERROR(I882/G882,"")</f>
        <v>0.82857142857142863</v>
      </c>
      <c r="M882" s="11" t="str">
        <f>IF(K882&gt;=Paramètres!$F$6,"Très forte",IF(K882&gt;=Paramètres!$F$5,"Forte",IF(K882&gt;=Paramètres!$F$4,"Modérée","Faible")))</f>
        <v>Modérée</v>
      </c>
    </row>
    <row r="883" spans="1:13">
      <c r="A883" t="s">
        <v>975</v>
      </c>
      <c r="B883" s="11">
        <v>94</v>
      </c>
      <c r="C883" t="s">
        <v>116</v>
      </c>
      <c r="D883" t="s">
        <v>797</v>
      </c>
      <c r="E883" t="s">
        <v>1019</v>
      </c>
      <c r="F883" t="s">
        <v>92</v>
      </c>
      <c r="G883" s="12">
        <v>35</v>
      </c>
      <c r="H883" s="12">
        <v>491</v>
      </c>
      <c r="I883" s="12">
        <v>31</v>
      </c>
      <c r="J883" t="str">
        <f>VLOOKUP(B883,Paramètres!$A$4:$C$11,3,FALSE)</f>
        <v>Petite couronne</v>
      </c>
      <c r="K883" s="13">
        <f>IFERROR(H883/G883,"")</f>
        <v>14.028571428571428</v>
      </c>
      <c r="L883" s="14">
        <f>IFERROR(I883/G883,"")</f>
        <v>0.88571428571428568</v>
      </c>
      <c r="M883" s="11" t="str">
        <f>IF(K883&gt;=Paramètres!$F$6,"Très forte",IF(K883&gt;=Paramètres!$F$5,"Forte",IF(K883&gt;=Paramètres!$F$4,"Modérée","Faible")))</f>
        <v>Modérée</v>
      </c>
    </row>
    <row r="884" spans="1:13">
      <c r="A884" t="s">
        <v>930</v>
      </c>
      <c r="B884" s="11">
        <v>95</v>
      </c>
      <c r="C884" t="s">
        <v>90</v>
      </c>
      <c r="D884" t="s">
        <v>797</v>
      </c>
      <c r="E884" t="s">
        <v>832</v>
      </c>
      <c r="F884" t="s">
        <v>92</v>
      </c>
      <c r="G884" s="12">
        <v>35</v>
      </c>
      <c r="H884" s="12">
        <v>490</v>
      </c>
      <c r="I884" s="12">
        <v>27</v>
      </c>
      <c r="J884" t="str">
        <f>VLOOKUP(B884,Paramètres!$A$4:$C$11,3,FALSE)</f>
        <v>Grande couronne</v>
      </c>
      <c r="K884" s="13">
        <f>IFERROR(H884/G884,"")</f>
        <v>14</v>
      </c>
      <c r="L884" s="14">
        <f>IFERROR(I884/G884,"")</f>
        <v>0.77142857142857146</v>
      </c>
      <c r="M884" s="11" t="str">
        <f>IF(K884&gt;=Paramètres!$F$6,"Très forte",IF(K884&gt;=Paramètres!$F$5,"Forte",IF(K884&gt;=Paramètres!$F$4,"Modérée","Faible")))</f>
        <v>Modérée</v>
      </c>
    </row>
    <row r="885" spans="1:13">
      <c r="A885" t="s">
        <v>871</v>
      </c>
      <c r="B885" s="11">
        <v>75</v>
      </c>
      <c r="C885" t="s">
        <v>86</v>
      </c>
      <c r="D885" t="s">
        <v>797</v>
      </c>
      <c r="E885" t="s">
        <v>891</v>
      </c>
      <c r="F885" t="s">
        <v>92</v>
      </c>
      <c r="G885" s="12">
        <v>80</v>
      </c>
      <c r="H885" s="12">
        <v>1120</v>
      </c>
      <c r="I885" s="12">
        <v>72</v>
      </c>
      <c r="J885" t="str">
        <f>VLOOKUP(B885,Paramètres!$A$4:$C$11,3,FALSE)</f>
        <v>Paris</v>
      </c>
      <c r="K885" s="13">
        <f>IFERROR(H885/G885,"")</f>
        <v>14</v>
      </c>
      <c r="L885" s="14">
        <f>IFERROR(I885/G885,"")</f>
        <v>0.9</v>
      </c>
      <c r="M885" s="11" t="str">
        <f>IF(K885&gt;=Paramètres!$F$6,"Très forte",IF(K885&gt;=Paramètres!$F$5,"Forte",IF(K885&gt;=Paramètres!$F$4,"Modérée","Faible")))</f>
        <v>Modérée</v>
      </c>
    </row>
    <row r="886" spans="1:13">
      <c r="A886" t="s">
        <v>1119</v>
      </c>
      <c r="B886" s="11">
        <v>78</v>
      </c>
      <c r="C886" t="s">
        <v>135</v>
      </c>
      <c r="D886" t="s">
        <v>797</v>
      </c>
      <c r="E886" t="s">
        <v>832</v>
      </c>
      <c r="F886" t="s">
        <v>92</v>
      </c>
      <c r="G886" s="12">
        <v>18</v>
      </c>
      <c r="H886" s="12">
        <v>251</v>
      </c>
      <c r="I886" s="12">
        <v>18</v>
      </c>
      <c r="J886" t="str">
        <f>VLOOKUP(B886,Paramètres!$A$4:$C$11,3,FALSE)</f>
        <v>Grande couronne</v>
      </c>
      <c r="K886" s="13">
        <f>IFERROR(H886/G886,"")</f>
        <v>13.944444444444445</v>
      </c>
      <c r="L886" s="14">
        <f>IFERROR(I886/G886,"")</f>
        <v>1</v>
      </c>
      <c r="M886" s="11" t="str">
        <f>IF(K886&gt;=Paramètres!$F$6,"Très forte",IF(K886&gt;=Paramètres!$F$5,"Forte",IF(K886&gt;=Paramètres!$F$4,"Modérée","Faible")))</f>
        <v>Modérée</v>
      </c>
    </row>
    <row r="887" spans="1:13">
      <c r="A887" t="s">
        <v>1231</v>
      </c>
      <c r="B887" s="11">
        <v>75</v>
      </c>
      <c r="C887" t="s">
        <v>86</v>
      </c>
      <c r="D887" t="s">
        <v>797</v>
      </c>
      <c r="E887" t="s">
        <v>891</v>
      </c>
      <c r="F887" t="s">
        <v>92</v>
      </c>
      <c r="G887" s="12">
        <v>33</v>
      </c>
      <c r="H887" s="12">
        <v>460</v>
      </c>
      <c r="I887" s="12">
        <v>32</v>
      </c>
      <c r="J887" t="str">
        <f>VLOOKUP(B887,Paramètres!$A$4:$C$11,3,FALSE)</f>
        <v>Paris</v>
      </c>
      <c r="K887" s="13">
        <f>IFERROR(H887/G887,"")</f>
        <v>13.939393939393939</v>
      </c>
      <c r="L887" s="14">
        <f>IFERROR(I887/G887,"")</f>
        <v>0.96969696969696972</v>
      </c>
      <c r="M887" s="11" t="str">
        <f>IF(K887&gt;=Paramètres!$F$6,"Très forte",IF(K887&gt;=Paramètres!$F$5,"Forte",IF(K887&gt;=Paramètres!$F$4,"Modérée","Faible")))</f>
        <v>Modérée</v>
      </c>
    </row>
    <row r="888" spans="1:13">
      <c r="A888" t="s">
        <v>859</v>
      </c>
      <c r="B888" s="11">
        <v>75</v>
      </c>
      <c r="C888" t="s">
        <v>86</v>
      </c>
      <c r="D888" t="s">
        <v>797</v>
      </c>
      <c r="E888" t="s">
        <v>860</v>
      </c>
      <c r="F888" t="s">
        <v>92</v>
      </c>
      <c r="G888" s="12">
        <v>48</v>
      </c>
      <c r="H888" s="12">
        <v>662</v>
      </c>
      <c r="I888" s="12">
        <v>46</v>
      </c>
      <c r="J888" t="str">
        <f>VLOOKUP(B888,Paramètres!$A$4:$C$11,3,FALSE)</f>
        <v>Paris</v>
      </c>
      <c r="K888" s="13">
        <f>IFERROR(H888/G888,"")</f>
        <v>13.791666666666666</v>
      </c>
      <c r="L888" s="14">
        <f>IFERROR(I888/G888,"")</f>
        <v>0.95833333333333337</v>
      </c>
      <c r="M888" s="11" t="str">
        <f>IF(K888&gt;=Paramètres!$F$6,"Très forte",IF(K888&gt;=Paramètres!$F$5,"Forte",IF(K888&gt;=Paramètres!$F$4,"Modérée","Faible")))</f>
        <v>Modérée</v>
      </c>
    </row>
    <row r="889" spans="1:13">
      <c r="A889" t="s">
        <v>918</v>
      </c>
      <c r="B889" s="11">
        <v>77</v>
      </c>
      <c r="C889" t="s">
        <v>132</v>
      </c>
      <c r="D889" t="s">
        <v>797</v>
      </c>
      <c r="E889" t="s">
        <v>958</v>
      </c>
      <c r="F889" t="s">
        <v>92</v>
      </c>
      <c r="G889" s="12">
        <v>24</v>
      </c>
      <c r="H889" s="12">
        <v>331</v>
      </c>
      <c r="I889" s="12">
        <v>16</v>
      </c>
      <c r="J889" t="str">
        <f>VLOOKUP(B889,Paramètres!$A$4:$C$11,3,FALSE)</f>
        <v>Grande couronne</v>
      </c>
      <c r="K889" s="13">
        <f>IFERROR(H889/G889,"")</f>
        <v>13.791666666666666</v>
      </c>
      <c r="L889" s="14">
        <f>IFERROR(I889/G889,"")</f>
        <v>0.66666666666666663</v>
      </c>
      <c r="M889" s="11" t="str">
        <f>IF(K889&gt;=Paramètres!$F$6,"Très forte",IF(K889&gt;=Paramètres!$F$5,"Forte",IF(K889&gt;=Paramètres!$F$4,"Modérée","Faible")))</f>
        <v>Modérée</v>
      </c>
    </row>
    <row r="890" spans="1:13">
      <c r="A890" t="s">
        <v>967</v>
      </c>
      <c r="B890" s="11">
        <v>94</v>
      </c>
      <c r="C890" t="s">
        <v>116</v>
      </c>
      <c r="D890" t="s">
        <v>797</v>
      </c>
      <c r="E890" t="s">
        <v>1001</v>
      </c>
      <c r="F890" t="s">
        <v>92</v>
      </c>
      <c r="G890" s="12">
        <v>24</v>
      </c>
      <c r="H890" s="12">
        <v>331</v>
      </c>
      <c r="I890" s="12">
        <v>25</v>
      </c>
      <c r="J890" t="str">
        <f>VLOOKUP(B890,Paramètres!$A$4:$C$11,3,FALSE)</f>
        <v>Petite couronne</v>
      </c>
      <c r="K890" s="13">
        <f>IFERROR(H890/G890,"")</f>
        <v>13.791666666666666</v>
      </c>
      <c r="L890" s="14">
        <f>IFERROR(I890/G890,"")</f>
        <v>1.0416666666666667</v>
      </c>
      <c r="M890" s="11" t="str">
        <f>IF(K890&gt;=Paramètres!$F$6,"Très forte",IF(K890&gt;=Paramètres!$F$5,"Forte",IF(K890&gt;=Paramètres!$F$4,"Modérée","Faible")))</f>
        <v>Modérée</v>
      </c>
    </row>
    <row r="891" spans="1:13">
      <c r="A891" t="s">
        <v>818</v>
      </c>
      <c r="B891" s="11">
        <v>77</v>
      </c>
      <c r="C891" t="s">
        <v>132</v>
      </c>
      <c r="D891" t="s">
        <v>797</v>
      </c>
      <c r="E891" t="s">
        <v>845</v>
      </c>
      <c r="F891" t="s">
        <v>92</v>
      </c>
      <c r="G891" s="12">
        <v>24</v>
      </c>
      <c r="H891" s="12">
        <v>328</v>
      </c>
      <c r="I891" s="12">
        <v>24</v>
      </c>
      <c r="J891" t="str">
        <f>VLOOKUP(B891,Paramètres!$A$4:$C$11,3,FALSE)</f>
        <v>Grande couronne</v>
      </c>
      <c r="K891" s="13">
        <f>IFERROR(H891/G891,"")</f>
        <v>13.666666666666666</v>
      </c>
      <c r="L891" s="14">
        <f>IFERROR(I891/G891,"")</f>
        <v>1</v>
      </c>
      <c r="M891" s="11" t="str">
        <f>IF(K891&gt;=Paramètres!$F$6,"Très forte",IF(K891&gt;=Paramètres!$F$5,"Forte",IF(K891&gt;=Paramètres!$F$4,"Modérée","Faible")))</f>
        <v>Modérée</v>
      </c>
    </row>
    <row r="892" spans="1:13">
      <c r="A892" t="s">
        <v>1084</v>
      </c>
      <c r="B892" s="11">
        <v>93</v>
      </c>
      <c r="C892" t="s">
        <v>100</v>
      </c>
      <c r="D892" t="s">
        <v>797</v>
      </c>
      <c r="E892" t="s">
        <v>1031</v>
      </c>
      <c r="F892" t="s">
        <v>92</v>
      </c>
      <c r="G892" s="12">
        <v>30</v>
      </c>
      <c r="H892" s="12">
        <v>406</v>
      </c>
      <c r="I892" s="12">
        <v>29</v>
      </c>
      <c r="J892" t="str">
        <f>VLOOKUP(B892,Paramètres!$A$4:$C$11,3,FALSE)</f>
        <v>Petite couronne</v>
      </c>
      <c r="K892" s="13">
        <f>IFERROR(H892/G892,"")</f>
        <v>13.533333333333333</v>
      </c>
      <c r="L892" s="14">
        <f>IFERROR(I892/G892,"")</f>
        <v>0.96666666666666667</v>
      </c>
      <c r="M892" s="11" t="str">
        <f>IF(K892&gt;=Paramètres!$F$6,"Très forte",IF(K892&gt;=Paramètres!$F$5,"Forte",IF(K892&gt;=Paramètres!$F$4,"Modérée","Faible")))</f>
        <v>Modérée</v>
      </c>
    </row>
    <row r="893" spans="1:13">
      <c r="A893" t="s">
        <v>988</v>
      </c>
      <c r="B893" s="11">
        <v>95</v>
      </c>
      <c r="C893" t="s">
        <v>90</v>
      </c>
      <c r="D893" t="s">
        <v>797</v>
      </c>
      <c r="E893" t="s">
        <v>1019</v>
      </c>
      <c r="F893" t="s">
        <v>92</v>
      </c>
      <c r="G893" s="12">
        <v>12</v>
      </c>
      <c r="H893" s="12">
        <v>162</v>
      </c>
      <c r="I893" s="12">
        <v>12</v>
      </c>
      <c r="J893" t="str">
        <f>VLOOKUP(B893,Paramètres!$A$4:$C$11,3,FALSE)</f>
        <v>Grande couronne</v>
      </c>
      <c r="K893" s="13">
        <f>IFERROR(H893/G893,"")</f>
        <v>13.5</v>
      </c>
      <c r="L893" s="14">
        <f>IFERROR(I893/G893,"")</f>
        <v>1</v>
      </c>
      <c r="M893" s="11" t="str">
        <f>IF(K893&gt;=Paramètres!$F$6,"Très forte",IF(K893&gt;=Paramètres!$F$5,"Forte",IF(K893&gt;=Paramètres!$F$4,"Modérée","Faible")))</f>
        <v>Modérée</v>
      </c>
    </row>
    <row r="894" spans="1:13">
      <c r="A894" t="s">
        <v>1004</v>
      </c>
      <c r="B894" s="11">
        <v>94</v>
      </c>
      <c r="C894" t="s">
        <v>116</v>
      </c>
      <c r="D894" t="s">
        <v>797</v>
      </c>
      <c r="E894" t="s">
        <v>867</v>
      </c>
      <c r="F894" t="s">
        <v>92</v>
      </c>
      <c r="G894" s="12">
        <v>18</v>
      </c>
      <c r="H894" s="12">
        <v>243</v>
      </c>
      <c r="I894" s="12">
        <v>22</v>
      </c>
      <c r="J894" t="str">
        <f>VLOOKUP(B894,Paramètres!$A$4:$C$11,3,FALSE)</f>
        <v>Petite couronne</v>
      </c>
      <c r="K894" s="13">
        <f>IFERROR(H894/G894,"")</f>
        <v>13.5</v>
      </c>
      <c r="L894" s="14">
        <f>IFERROR(I894/G894,"")</f>
        <v>1.2222222222222223</v>
      </c>
      <c r="M894" s="11" t="str">
        <f>IF(K894&gt;=Paramètres!$F$6,"Très forte",IF(K894&gt;=Paramètres!$F$5,"Forte",IF(K894&gt;=Paramètres!$F$4,"Modérée","Faible")))</f>
        <v>Modérée</v>
      </c>
    </row>
    <row r="895" spans="1:13">
      <c r="A895" t="s">
        <v>1167</v>
      </c>
      <c r="B895" s="11">
        <v>77</v>
      </c>
      <c r="C895" t="s">
        <v>132</v>
      </c>
      <c r="D895" t="s">
        <v>797</v>
      </c>
      <c r="E895" t="s">
        <v>832</v>
      </c>
      <c r="F895" t="s">
        <v>92</v>
      </c>
      <c r="G895" s="12">
        <v>35</v>
      </c>
      <c r="H895" s="12">
        <v>472</v>
      </c>
      <c r="I895" s="12">
        <v>35</v>
      </c>
      <c r="J895" t="str">
        <f>VLOOKUP(B895,Paramètres!$A$4:$C$11,3,FALSE)</f>
        <v>Grande couronne</v>
      </c>
      <c r="K895" s="13">
        <f>IFERROR(H895/G895,"")</f>
        <v>13.485714285714286</v>
      </c>
      <c r="L895" s="14">
        <f>IFERROR(I895/G895,"")</f>
        <v>1</v>
      </c>
      <c r="M895" s="11" t="str">
        <f>IF(K895&gt;=Paramètres!$F$6,"Très forte",IF(K895&gt;=Paramètres!$F$5,"Forte",IF(K895&gt;=Paramètres!$F$4,"Modérée","Faible")))</f>
        <v>Modérée</v>
      </c>
    </row>
    <row r="896" spans="1:13">
      <c r="A896" t="s">
        <v>909</v>
      </c>
      <c r="B896" s="11">
        <v>78</v>
      </c>
      <c r="C896" t="s">
        <v>135</v>
      </c>
      <c r="D896" t="s">
        <v>797</v>
      </c>
      <c r="E896" t="s">
        <v>861</v>
      </c>
      <c r="F896" t="s">
        <v>92</v>
      </c>
      <c r="G896" s="12">
        <v>28</v>
      </c>
      <c r="H896" s="12">
        <v>375</v>
      </c>
      <c r="I896" s="12">
        <v>26</v>
      </c>
      <c r="J896" t="str">
        <f>VLOOKUP(B896,Paramètres!$A$4:$C$11,3,FALSE)</f>
        <v>Grande couronne</v>
      </c>
      <c r="K896" s="13">
        <f>IFERROR(H896/G896,"")</f>
        <v>13.392857142857142</v>
      </c>
      <c r="L896" s="14">
        <f>IFERROR(I896/G896,"")</f>
        <v>0.9285714285714286</v>
      </c>
      <c r="M896" s="11" t="str">
        <f>IF(K896&gt;=Paramètres!$F$6,"Très forte",IF(K896&gt;=Paramètres!$F$5,"Forte",IF(K896&gt;=Paramètres!$F$4,"Modérée","Faible")))</f>
        <v>Modérée</v>
      </c>
    </row>
    <row r="897" spans="1:13">
      <c r="A897" t="s">
        <v>874</v>
      </c>
      <c r="B897" s="11">
        <v>75</v>
      </c>
      <c r="C897" t="s">
        <v>86</v>
      </c>
      <c r="D897" t="s">
        <v>797</v>
      </c>
      <c r="E897" t="s">
        <v>885</v>
      </c>
      <c r="F897" t="s">
        <v>92</v>
      </c>
      <c r="G897" s="12">
        <v>36</v>
      </c>
      <c r="H897" s="12">
        <v>482</v>
      </c>
      <c r="I897" s="12">
        <v>30</v>
      </c>
      <c r="J897" t="str">
        <f>VLOOKUP(B897,Paramètres!$A$4:$C$11,3,FALSE)</f>
        <v>Paris</v>
      </c>
      <c r="K897" s="13">
        <f>IFERROR(H897/G897,"")</f>
        <v>13.388888888888889</v>
      </c>
      <c r="L897" s="14">
        <f>IFERROR(I897/G897,"")</f>
        <v>0.83333333333333337</v>
      </c>
      <c r="M897" s="11" t="str">
        <f>IF(K897&gt;=Paramètres!$F$6,"Très forte",IF(K897&gt;=Paramètres!$F$5,"Forte",IF(K897&gt;=Paramètres!$F$4,"Modérée","Faible")))</f>
        <v>Modérée</v>
      </c>
    </row>
    <row r="898" spans="1:13">
      <c r="A898" t="s">
        <v>938</v>
      </c>
      <c r="B898" s="11">
        <v>92</v>
      </c>
      <c r="C898" t="s">
        <v>94</v>
      </c>
      <c r="D898" t="s">
        <v>797</v>
      </c>
      <c r="E898" t="s">
        <v>920</v>
      </c>
      <c r="F898" t="s">
        <v>92</v>
      </c>
      <c r="G898" s="12">
        <v>26</v>
      </c>
      <c r="H898" s="12">
        <v>348</v>
      </c>
      <c r="I898" s="12">
        <v>20</v>
      </c>
      <c r="J898" t="str">
        <f>VLOOKUP(B898,Paramètres!$A$4:$C$11,3,FALSE)</f>
        <v>Petite couronne</v>
      </c>
      <c r="K898" s="13">
        <f>IFERROR(H898/G898,"")</f>
        <v>13.384615384615385</v>
      </c>
      <c r="L898" s="14">
        <f>IFERROR(I898/G898,"")</f>
        <v>0.76923076923076927</v>
      </c>
      <c r="M898" s="11" t="str">
        <f>IF(K898&gt;=Paramètres!$F$6,"Très forte",IF(K898&gt;=Paramètres!$F$5,"Forte",IF(K898&gt;=Paramètres!$F$4,"Modérée","Faible")))</f>
        <v>Modérée</v>
      </c>
    </row>
    <row r="899" spans="1:13">
      <c r="A899" t="s">
        <v>1009</v>
      </c>
      <c r="B899" s="11">
        <v>77</v>
      </c>
      <c r="C899" t="s">
        <v>132</v>
      </c>
      <c r="D899" t="s">
        <v>797</v>
      </c>
      <c r="E899" t="s">
        <v>911</v>
      </c>
      <c r="F899" t="s">
        <v>92</v>
      </c>
      <c r="G899" s="12">
        <v>35</v>
      </c>
      <c r="H899" s="12">
        <v>467</v>
      </c>
      <c r="I899" s="12">
        <v>35</v>
      </c>
      <c r="J899" t="str">
        <f>VLOOKUP(B899,Paramètres!$A$4:$C$11,3,FALSE)</f>
        <v>Grande couronne</v>
      </c>
      <c r="K899" s="13">
        <f>IFERROR(H899/G899,"")</f>
        <v>13.342857142857143</v>
      </c>
      <c r="L899" s="14">
        <f>IFERROR(I899/G899,"")</f>
        <v>1</v>
      </c>
      <c r="M899" s="11" t="str">
        <f>IF(K899&gt;=Paramètres!$F$6,"Très forte",IF(K899&gt;=Paramètres!$F$5,"Forte",IF(K899&gt;=Paramètres!$F$4,"Modérée","Faible")))</f>
        <v>Modérée</v>
      </c>
    </row>
    <row r="900" spans="1:13">
      <c r="A900" t="s">
        <v>953</v>
      </c>
      <c r="B900" s="11">
        <v>77</v>
      </c>
      <c r="C900" t="s">
        <v>132</v>
      </c>
      <c r="D900" t="s">
        <v>797</v>
      </c>
      <c r="E900" t="s">
        <v>825</v>
      </c>
      <c r="F900" t="s">
        <v>92</v>
      </c>
      <c r="G900" s="12">
        <v>35</v>
      </c>
      <c r="H900" s="12">
        <v>467</v>
      </c>
      <c r="I900" s="12">
        <v>25</v>
      </c>
      <c r="J900" t="str">
        <f>VLOOKUP(B900,Paramètres!$A$4:$C$11,3,FALSE)</f>
        <v>Grande couronne</v>
      </c>
      <c r="K900" s="13">
        <f>IFERROR(H900/G900,"")</f>
        <v>13.342857142857143</v>
      </c>
      <c r="L900" s="14">
        <f>IFERROR(I900/G900,"")</f>
        <v>0.7142857142857143</v>
      </c>
      <c r="M900" s="11" t="str">
        <f>IF(K900&gt;=Paramètres!$F$6,"Très forte",IF(K900&gt;=Paramètres!$F$5,"Forte",IF(K900&gt;=Paramètres!$F$4,"Modérée","Faible")))</f>
        <v>Modérée</v>
      </c>
    </row>
    <row r="901" spans="1:13">
      <c r="A901" t="s">
        <v>918</v>
      </c>
      <c r="B901" s="11">
        <v>77</v>
      </c>
      <c r="C901" t="s">
        <v>132</v>
      </c>
      <c r="D901" t="s">
        <v>797</v>
      </c>
      <c r="E901" t="s">
        <v>883</v>
      </c>
      <c r="F901" t="s">
        <v>92</v>
      </c>
      <c r="G901" s="12">
        <v>15</v>
      </c>
      <c r="H901" s="12">
        <v>200</v>
      </c>
      <c r="I901" s="12">
        <v>8</v>
      </c>
      <c r="J901" t="str">
        <f>VLOOKUP(B901,Paramètres!$A$4:$C$11,3,FALSE)</f>
        <v>Grande couronne</v>
      </c>
      <c r="K901" s="13">
        <f>IFERROR(H901/G901,"")</f>
        <v>13.333333333333334</v>
      </c>
      <c r="L901" s="14">
        <f>IFERROR(I901/G901,"")</f>
        <v>0.53333333333333333</v>
      </c>
      <c r="M901" s="11" t="str">
        <f>IF(K901&gt;=Paramètres!$F$6,"Très forte",IF(K901&gt;=Paramètres!$F$5,"Forte",IF(K901&gt;=Paramètres!$F$4,"Modérée","Faible")))</f>
        <v>Modérée</v>
      </c>
    </row>
    <row r="902" spans="1:13">
      <c r="A902" t="s">
        <v>927</v>
      </c>
      <c r="B902" s="11">
        <v>91</v>
      </c>
      <c r="C902" t="s">
        <v>105</v>
      </c>
      <c r="D902" t="s">
        <v>797</v>
      </c>
      <c r="E902" t="s">
        <v>1068</v>
      </c>
      <c r="F902" t="s">
        <v>92</v>
      </c>
      <c r="G902" s="12">
        <v>20</v>
      </c>
      <c r="H902" s="12">
        <v>264</v>
      </c>
      <c r="I902" s="12">
        <v>16</v>
      </c>
      <c r="J902" t="str">
        <f>VLOOKUP(B902,Paramètres!$A$4:$C$11,3,FALSE)</f>
        <v>Grande couronne</v>
      </c>
      <c r="K902" s="13">
        <f>IFERROR(H902/G902,"")</f>
        <v>13.2</v>
      </c>
      <c r="L902" s="14">
        <f>IFERROR(I902/G902,"")</f>
        <v>0.8</v>
      </c>
      <c r="M902" s="11" t="str">
        <f>IF(K902&gt;=Paramètres!$F$6,"Très forte",IF(K902&gt;=Paramètres!$F$5,"Forte",IF(K902&gt;=Paramètres!$F$4,"Modérée","Faible")))</f>
        <v>Modérée</v>
      </c>
    </row>
    <row r="903" spans="1:13">
      <c r="A903" t="s">
        <v>1076</v>
      </c>
      <c r="B903" s="11">
        <v>92</v>
      </c>
      <c r="C903" t="s">
        <v>94</v>
      </c>
      <c r="D903" t="s">
        <v>797</v>
      </c>
      <c r="E903" t="s">
        <v>891</v>
      </c>
      <c r="F903" t="s">
        <v>92</v>
      </c>
      <c r="G903" s="12">
        <v>74</v>
      </c>
      <c r="H903" s="12">
        <v>976</v>
      </c>
      <c r="I903" s="12">
        <v>61</v>
      </c>
      <c r="J903" t="str">
        <f>VLOOKUP(B903,Paramètres!$A$4:$C$11,3,FALSE)</f>
        <v>Petite couronne</v>
      </c>
      <c r="K903" s="13">
        <f>IFERROR(H903/G903,"")</f>
        <v>13.189189189189189</v>
      </c>
      <c r="L903" s="14">
        <f>IFERROR(I903/G903,"")</f>
        <v>0.82432432432432434</v>
      </c>
      <c r="M903" s="11" t="str">
        <f>IF(K903&gt;=Paramètres!$F$6,"Très forte",IF(K903&gt;=Paramètres!$F$5,"Forte",IF(K903&gt;=Paramètres!$F$4,"Modérée","Faible")))</f>
        <v>Modérée</v>
      </c>
    </row>
    <row r="904" spans="1:13">
      <c r="A904" t="s">
        <v>939</v>
      </c>
      <c r="B904" s="11">
        <v>77</v>
      </c>
      <c r="C904" t="s">
        <v>132</v>
      </c>
      <c r="D904" t="s">
        <v>797</v>
      </c>
      <c r="E904" t="s">
        <v>823</v>
      </c>
      <c r="F904" t="s">
        <v>92</v>
      </c>
      <c r="G904" s="12">
        <v>70</v>
      </c>
      <c r="H904" s="12">
        <v>922</v>
      </c>
      <c r="I904" s="12">
        <v>70</v>
      </c>
      <c r="J904" t="str">
        <f>VLOOKUP(B904,Paramètres!$A$4:$C$11,3,FALSE)</f>
        <v>Grande couronne</v>
      </c>
      <c r="K904" s="13">
        <f>IFERROR(H904/G904,"")</f>
        <v>13.171428571428571</v>
      </c>
      <c r="L904" s="14">
        <f>IFERROR(I904/G904,"")</f>
        <v>1</v>
      </c>
      <c r="M904" s="11" t="str">
        <f>IF(K904&gt;=Paramètres!$F$6,"Très forte",IF(K904&gt;=Paramètres!$F$5,"Forte",IF(K904&gt;=Paramètres!$F$4,"Modérée","Faible")))</f>
        <v>Modérée</v>
      </c>
    </row>
    <row r="905" spans="1:13">
      <c r="A905" t="s">
        <v>1045</v>
      </c>
      <c r="B905" s="11">
        <v>77</v>
      </c>
      <c r="C905" t="s">
        <v>132</v>
      </c>
      <c r="D905" t="s">
        <v>797</v>
      </c>
      <c r="E905" t="s">
        <v>861</v>
      </c>
      <c r="F905" t="s">
        <v>92</v>
      </c>
      <c r="G905" s="12">
        <v>24</v>
      </c>
      <c r="H905" s="12">
        <v>316</v>
      </c>
      <c r="I905" s="12">
        <v>19</v>
      </c>
      <c r="J905" t="str">
        <f>VLOOKUP(B905,Paramètres!$A$4:$C$11,3,FALSE)</f>
        <v>Grande couronne</v>
      </c>
      <c r="K905" s="13">
        <f>IFERROR(H905/G905,"")</f>
        <v>13.166666666666666</v>
      </c>
      <c r="L905" s="14">
        <f>IFERROR(I905/G905,"")</f>
        <v>0.79166666666666663</v>
      </c>
      <c r="M905" s="11" t="str">
        <f>IF(K905&gt;=Paramètres!$F$6,"Très forte",IF(K905&gt;=Paramètres!$F$5,"Forte",IF(K905&gt;=Paramètres!$F$4,"Modérée","Faible")))</f>
        <v>Modérée</v>
      </c>
    </row>
    <row r="906" spans="1:13">
      <c r="A906" t="s">
        <v>950</v>
      </c>
      <c r="B906" s="11">
        <v>93</v>
      </c>
      <c r="C906" t="s">
        <v>100</v>
      </c>
      <c r="D906" t="s">
        <v>797</v>
      </c>
      <c r="E906" t="s">
        <v>920</v>
      </c>
      <c r="F906" t="s">
        <v>92</v>
      </c>
      <c r="G906" s="12">
        <v>24</v>
      </c>
      <c r="H906" s="12">
        <v>316</v>
      </c>
      <c r="I906" s="12">
        <v>23</v>
      </c>
      <c r="J906" t="str">
        <f>VLOOKUP(B906,Paramètres!$A$4:$C$11,3,FALSE)</f>
        <v>Petite couronne</v>
      </c>
      <c r="K906" s="13">
        <f>IFERROR(H906/G906,"")</f>
        <v>13.166666666666666</v>
      </c>
      <c r="L906" s="14">
        <f>IFERROR(I906/G906,"")</f>
        <v>0.95833333333333337</v>
      </c>
      <c r="M906" s="11" t="str">
        <f>IF(K906&gt;=Paramètres!$F$6,"Très forte",IF(K906&gt;=Paramètres!$F$5,"Forte",IF(K906&gt;=Paramètres!$F$4,"Modérée","Faible")))</f>
        <v>Modérée</v>
      </c>
    </row>
    <row r="907" spans="1:13">
      <c r="A907" t="s">
        <v>900</v>
      </c>
      <c r="B907" s="11">
        <v>91</v>
      </c>
      <c r="C907" t="s">
        <v>105</v>
      </c>
      <c r="D907" t="s">
        <v>797</v>
      </c>
      <c r="E907" t="s">
        <v>901</v>
      </c>
      <c r="F907" t="s">
        <v>92</v>
      </c>
      <c r="G907" s="12">
        <v>24</v>
      </c>
      <c r="H907" s="12">
        <v>314</v>
      </c>
      <c r="I907" s="12">
        <v>14</v>
      </c>
      <c r="J907" t="str">
        <f>VLOOKUP(B907,Paramètres!$A$4:$C$11,3,FALSE)</f>
        <v>Grande couronne</v>
      </c>
      <c r="K907" s="13">
        <f>IFERROR(H907/G907,"")</f>
        <v>13.083333333333334</v>
      </c>
      <c r="L907" s="14">
        <f>IFERROR(I907/G907,"")</f>
        <v>0.58333333333333337</v>
      </c>
      <c r="M907" s="11" t="str">
        <f>IF(K907&gt;=Paramètres!$F$6,"Très forte",IF(K907&gt;=Paramètres!$F$5,"Forte",IF(K907&gt;=Paramètres!$F$4,"Modérée","Faible")))</f>
        <v>Modérée</v>
      </c>
    </row>
    <row r="908" spans="1:13">
      <c r="A908" t="s">
        <v>874</v>
      </c>
      <c r="B908" s="11">
        <v>75</v>
      </c>
      <c r="C908" t="s">
        <v>86</v>
      </c>
      <c r="D908" t="s">
        <v>797</v>
      </c>
      <c r="E908" t="s">
        <v>823</v>
      </c>
      <c r="F908" t="s">
        <v>92</v>
      </c>
      <c r="G908" s="12">
        <v>36</v>
      </c>
      <c r="H908" s="12">
        <v>470</v>
      </c>
      <c r="I908" s="12">
        <v>32</v>
      </c>
      <c r="J908" t="str">
        <f>VLOOKUP(B908,Paramètres!$A$4:$C$11,3,FALSE)</f>
        <v>Paris</v>
      </c>
      <c r="K908" s="13">
        <f>IFERROR(H908/G908,"")</f>
        <v>13.055555555555555</v>
      </c>
      <c r="L908" s="14">
        <f>IFERROR(I908/G908,"")</f>
        <v>0.88888888888888884</v>
      </c>
      <c r="M908" s="11" t="str">
        <f>IF(K908&gt;=Paramètres!$F$6,"Très forte",IF(K908&gt;=Paramètres!$F$5,"Forte",IF(K908&gt;=Paramètres!$F$4,"Modérée","Faible")))</f>
        <v>Modérée</v>
      </c>
    </row>
    <row r="909" spans="1:13">
      <c r="A909" t="s">
        <v>874</v>
      </c>
      <c r="B909" s="11">
        <v>75</v>
      </c>
      <c r="C909" t="s">
        <v>86</v>
      </c>
      <c r="D909" t="s">
        <v>797</v>
      </c>
      <c r="E909" t="s">
        <v>822</v>
      </c>
      <c r="F909" t="s">
        <v>92</v>
      </c>
      <c r="G909" s="12">
        <v>36</v>
      </c>
      <c r="H909" s="12">
        <v>469</v>
      </c>
      <c r="I909" s="12">
        <v>32</v>
      </c>
      <c r="J909" t="str">
        <f>VLOOKUP(B909,Paramètres!$A$4:$C$11,3,FALSE)</f>
        <v>Paris</v>
      </c>
      <c r="K909" s="13">
        <f>IFERROR(H909/G909,"")</f>
        <v>13.027777777777779</v>
      </c>
      <c r="L909" s="14">
        <f>IFERROR(I909/G909,"")</f>
        <v>0.88888888888888884</v>
      </c>
      <c r="M909" s="11" t="str">
        <f>IF(K909&gt;=Paramètres!$F$6,"Très forte",IF(K909&gt;=Paramètres!$F$5,"Forte",IF(K909&gt;=Paramètres!$F$4,"Modérée","Faible")))</f>
        <v>Modérée</v>
      </c>
    </row>
    <row r="910" spans="1:13">
      <c r="A910" t="s">
        <v>1129</v>
      </c>
      <c r="B910" s="11">
        <v>94</v>
      </c>
      <c r="C910" t="s">
        <v>116</v>
      </c>
      <c r="D910" t="s">
        <v>797</v>
      </c>
      <c r="E910" t="s">
        <v>867</v>
      </c>
      <c r="F910" t="s">
        <v>92</v>
      </c>
      <c r="G910" s="12">
        <v>34</v>
      </c>
      <c r="H910" s="12">
        <v>441</v>
      </c>
      <c r="I910" s="12">
        <v>24</v>
      </c>
      <c r="J910" t="str">
        <f>VLOOKUP(B910,Paramètres!$A$4:$C$11,3,FALSE)</f>
        <v>Petite couronne</v>
      </c>
      <c r="K910" s="13">
        <f>IFERROR(H910/G910,"")</f>
        <v>12.970588235294118</v>
      </c>
      <c r="L910" s="14">
        <f>IFERROR(I910/G910,"")</f>
        <v>0.70588235294117652</v>
      </c>
      <c r="M910" s="11" t="str">
        <f>IF(K910&gt;=Paramètres!$F$6,"Très forte",IF(K910&gt;=Paramètres!$F$5,"Forte",IF(K910&gt;=Paramètres!$F$4,"Modérée","Faible")))</f>
        <v>Modérée</v>
      </c>
    </row>
    <row r="911" spans="1:13">
      <c r="A911" t="s">
        <v>1058</v>
      </c>
      <c r="B911" s="11">
        <v>77</v>
      </c>
      <c r="C911" t="s">
        <v>132</v>
      </c>
      <c r="D911" t="s">
        <v>797</v>
      </c>
      <c r="E911" t="s">
        <v>853</v>
      </c>
      <c r="F911" t="s">
        <v>92</v>
      </c>
      <c r="G911" s="12">
        <v>24</v>
      </c>
      <c r="H911" s="12">
        <v>311</v>
      </c>
      <c r="I911" s="12">
        <v>23</v>
      </c>
      <c r="J911" t="str">
        <f>VLOOKUP(B911,Paramètres!$A$4:$C$11,3,FALSE)</f>
        <v>Grande couronne</v>
      </c>
      <c r="K911" s="13">
        <f>IFERROR(H911/G911,"")</f>
        <v>12.958333333333334</v>
      </c>
      <c r="L911" s="14">
        <f>IFERROR(I911/G911,"")</f>
        <v>0.95833333333333337</v>
      </c>
      <c r="M911" s="11" t="str">
        <f>IF(K911&gt;=Paramètres!$F$6,"Très forte",IF(K911&gt;=Paramètres!$F$5,"Forte",IF(K911&gt;=Paramètres!$F$4,"Modérée","Faible")))</f>
        <v>Modérée</v>
      </c>
    </row>
    <row r="912" spans="1:13">
      <c r="A912" t="s">
        <v>1111</v>
      </c>
      <c r="B912" s="11">
        <v>75</v>
      </c>
      <c r="C912" t="s">
        <v>86</v>
      </c>
      <c r="D912" t="s">
        <v>797</v>
      </c>
      <c r="E912" t="s">
        <v>1032</v>
      </c>
      <c r="F912" t="s">
        <v>92</v>
      </c>
      <c r="G912" s="12">
        <v>39</v>
      </c>
      <c r="H912" s="12">
        <v>504</v>
      </c>
      <c r="I912" s="12">
        <v>39</v>
      </c>
      <c r="J912" t="str">
        <f>VLOOKUP(B912,Paramètres!$A$4:$C$11,3,FALSE)</f>
        <v>Paris</v>
      </c>
      <c r="K912" s="13">
        <f>IFERROR(H912/G912,"")</f>
        <v>12.923076923076923</v>
      </c>
      <c r="L912" s="14">
        <f>IFERROR(I912/G912,"")</f>
        <v>1</v>
      </c>
      <c r="M912" s="11" t="str">
        <f>IF(K912&gt;=Paramètres!$F$6,"Très forte",IF(K912&gt;=Paramètres!$F$5,"Forte",IF(K912&gt;=Paramètres!$F$4,"Modérée","Faible")))</f>
        <v>Modérée</v>
      </c>
    </row>
    <row r="913" spans="1:13">
      <c r="A913" t="s">
        <v>915</v>
      </c>
      <c r="B913" s="11">
        <v>91</v>
      </c>
      <c r="C913" t="s">
        <v>105</v>
      </c>
      <c r="D913" t="s">
        <v>797</v>
      </c>
      <c r="E913" t="s">
        <v>819</v>
      </c>
      <c r="F913" t="s">
        <v>92</v>
      </c>
      <c r="G913" s="12">
        <v>33</v>
      </c>
      <c r="H913" s="12">
        <v>424</v>
      </c>
      <c r="I913" s="12">
        <v>31</v>
      </c>
      <c r="J913" t="str">
        <f>VLOOKUP(B913,Paramètres!$A$4:$C$11,3,FALSE)</f>
        <v>Grande couronne</v>
      </c>
      <c r="K913" s="13">
        <f>IFERROR(H913/G913,"")</f>
        <v>12.848484848484848</v>
      </c>
      <c r="L913" s="14">
        <f>IFERROR(I913/G913,"")</f>
        <v>0.93939393939393945</v>
      </c>
      <c r="M913" s="11" t="str">
        <f>IF(K913&gt;=Paramètres!$F$6,"Très forte",IF(K913&gt;=Paramètres!$F$5,"Forte",IF(K913&gt;=Paramètres!$F$4,"Modérée","Faible")))</f>
        <v>Modérée</v>
      </c>
    </row>
    <row r="914" spans="1:13">
      <c r="A914" t="s">
        <v>862</v>
      </c>
      <c r="B914" s="11">
        <v>94</v>
      </c>
      <c r="C914" t="s">
        <v>116</v>
      </c>
      <c r="D914" t="s">
        <v>797</v>
      </c>
      <c r="E914" t="s">
        <v>836</v>
      </c>
      <c r="F914" t="s">
        <v>92</v>
      </c>
      <c r="G914" s="12">
        <v>24</v>
      </c>
      <c r="H914" s="12">
        <v>308</v>
      </c>
      <c r="I914" s="12">
        <v>24</v>
      </c>
      <c r="J914" t="str">
        <f>VLOOKUP(B914,Paramètres!$A$4:$C$11,3,FALSE)</f>
        <v>Petite couronne</v>
      </c>
      <c r="K914" s="13">
        <f>IFERROR(H914/G914,"")</f>
        <v>12.833333333333334</v>
      </c>
      <c r="L914" s="14">
        <f>IFERROR(I914/G914,"")</f>
        <v>1</v>
      </c>
      <c r="M914" s="11" t="str">
        <f>IF(K914&gt;=Paramètres!$F$6,"Très forte",IF(K914&gt;=Paramètres!$F$5,"Forte",IF(K914&gt;=Paramètres!$F$4,"Modérée","Faible")))</f>
        <v>Modérée</v>
      </c>
    </row>
    <row r="915" spans="1:13">
      <c r="A915" t="s">
        <v>1104</v>
      </c>
      <c r="B915" s="11">
        <v>94</v>
      </c>
      <c r="C915" t="s">
        <v>116</v>
      </c>
      <c r="D915" t="s">
        <v>797</v>
      </c>
      <c r="E915" t="s">
        <v>891</v>
      </c>
      <c r="F915" t="s">
        <v>92</v>
      </c>
      <c r="G915" s="12">
        <v>32</v>
      </c>
      <c r="H915" s="12">
        <v>410</v>
      </c>
      <c r="I915" s="12">
        <v>28</v>
      </c>
      <c r="J915" t="str">
        <f>VLOOKUP(B915,Paramètres!$A$4:$C$11,3,FALSE)</f>
        <v>Petite couronne</v>
      </c>
      <c r="K915" s="13">
        <f>IFERROR(H915/G915,"")</f>
        <v>12.8125</v>
      </c>
      <c r="L915" s="14">
        <f>IFERROR(I915/G915,"")</f>
        <v>0.875</v>
      </c>
      <c r="M915" s="11" t="str">
        <f>IF(K915&gt;=Paramètres!$F$6,"Très forte",IF(K915&gt;=Paramètres!$F$5,"Forte",IF(K915&gt;=Paramètres!$F$4,"Modérée","Faible")))</f>
        <v>Modérée</v>
      </c>
    </row>
    <row r="916" spans="1:13">
      <c r="A916" t="s">
        <v>1000</v>
      </c>
      <c r="B916" s="11">
        <v>78</v>
      </c>
      <c r="C916" t="s">
        <v>135</v>
      </c>
      <c r="D916" t="s">
        <v>797</v>
      </c>
      <c r="E916" t="s">
        <v>1001</v>
      </c>
      <c r="F916" t="s">
        <v>92</v>
      </c>
      <c r="G916" s="12">
        <v>15</v>
      </c>
      <c r="H916" s="12">
        <v>190</v>
      </c>
      <c r="I916" s="12">
        <v>13</v>
      </c>
      <c r="J916" t="str">
        <f>VLOOKUP(B916,Paramètres!$A$4:$C$11,3,FALSE)</f>
        <v>Grande couronne</v>
      </c>
      <c r="K916" s="13">
        <f>IFERROR(H916/G916,"")</f>
        <v>12.666666666666666</v>
      </c>
      <c r="L916" s="14">
        <f>IFERROR(I916/G916,"")</f>
        <v>0.8666666666666667</v>
      </c>
      <c r="M916" s="11" t="str">
        <f>IF(K916&gt;=Paramètres!$F$6,"Très forte",IF(K916&gt;=Paramètres!$F$5,"Forte",IF(K916&gt;=Paramètres!$F$4,"Modérée","Faible")))</f>
        <v>Modérée</v>
      </c>
    </row>
    <row r="917" spans="1:13">
      <c r="A917" t="s">
        <v>796</v>
      </c>
      <c r="B917" s="11">
        <v>77</v>
      </c>
      <c r="C917" t="s">
        <v>132</v>
      </c>
      <c r="D917" t="s">
        <v>797</v>
      </c>
      <c r="E917" t="s">
        <v>798</v>
      </c>
      <c r="F917" t="s">
        <v>92</v>
      </c>
      <c r="G917" s="12">
        <v>35</v>
      </c>
      <c r="H917" s="12">
        <v>443</v>
      </c>
      <c r="I917" s="12">
        <v>32</v>
      </c>
      <c r="J917" t="str">
        <f>VLOOKUP(B917,Paramètres!$A$4:$C$11,3,FALSE)</f>
        <v>Grande couronne</v>
      </c>
      <c r="K917" s="13">
        <f>IFERROR(H917/G917,"")</f>
        <v>12.657142857142857</v>
      </c>
      <c r="L917" s="14">
        <f>IFERROR(I917/G917,"")</f>
        <v>0.91428571428571426</v>
      </c>
      <c r="M917" s="11" t="str">
        <f>IF(K917&gt;=Paramètres!$F$6,"Très forte",IF(K917&gt;=Paramètres!$F$5,"Forte",IF(K917&gt;=Paramètres!$F$4,"Modérée","Faible")))</f>
        <v>Modérée</v>
      </c>
    </row>
    <row r="918" spans="1:13">
      <c r="A918" t="s">
        <v>1158</v>
      </c>
      <c r="B918" s="11">
        <v>94</v>
      </c>
      <c r="C918" t="s">
        <v>116</v>
      </c>
      <c r="D918" t="s">
        <v>797</v>
      </c>
      <c r="E918" t="s">
        <v>1159</v>
      </c>
      <c r="F918" t="s">
        <v>92</v>
      </c>
      <c r="G918" s="12">
        <v>20</v>
      </c>
      <c r="H918" s="12">
        <v>253</v>
      </c>
      <c r="I918" s="12">
        <v>15</v>
      </c>
      <c r="J918" t="str">
        <f>VLOOKUP(B918,Paramètres!$A$4:$C$11,3,FALSE)</f>
        <v>Petite couronne</v>
      </c>
      <c r="K918" s="13">
        <f>IFERROR(H918/G918,"")</f>
        <v>12.65</v>
      </c>
      <c r="L918" s="14">
        <f>IFERROR(I918/G918,"")</f>
        <v>0.75</v>
      </c>
      <c r="M918" s="11" t="str">
        <f>IF(K918&gt;=Paramètres!$F$6,"Très forte",IF(K918&gt;=Paramètres!$F$5,"Forte",IF(K918&gt;=Paramètres!$F$4,"Modérée","Faible")))</f>
        <v>Modérée</v>
      </c>
    </row>
    <row r="919" spans="1:13">
      <c r="A919" t="s">
        <v>1078</v>
      </c>
      <c r="B919" s="11">
        <v>95</v>
      </c>
      <c r="C919" t="s">
        <v>90</v>
      </c>
      <c r="D919" t="s">
        <v>797</v>
      </c>
      <c r="E919" t="s">
        <v>968</v>
      </c>
      <c r="F919" t="s">
        <v>92</v>
      </c>
      <c r="G919" s="12">
        <v>30</v>
      </c>
      <c r="H919" s="12">
        <v>378</v>
      </c>
      <c r="I919" s="12">
        <v>25</v>
      </c>
      <c r="J919" t="str">
        <f>VLOOKUP(B919,Paramètres!$A$4:$C$11,3,FALSE)</f>
        <v>Grande couronne</v>
      </c>
      <c r="K919" s="13">
        <f>IFERROR(H919/G919,"")</f>
        <v>12.6</v>
      </c>
      <c r="L919" s="14">
        <f>IFERROR(I919/G919,"")</f>
        <v>0.83333333333333337</v>
      </c>
      <c r="M919" s="11" t="str">
        <f>IF(K919&gt;=Paramètres!$F$6,"Très forte",IF(K919&gt;=Paramètres!$F$5,"Forte",IF(K919&gt;=Paramètres!$F$4,"Modérée","Faible")))</f>
        <v>Modérée</v>
      </c>
    </row>
    <row r="920" spans="1:13">
      <c r="A920" t="s">
        <v>1187</v>
      </c>
      <c r="B920" s="11">
        <v>94</v>
      </c>
      <c r="C920" t="s">
        <v>116</v>
      </c>
      <c r="D920" t="s">
        <v>797</v>
      </c>
      <c r="E920" t="s">
        <v>822</v>
      </c>
      <c r="F920" t="s">
        <v>92</v>
      </c>
      <c r="G920" s="12">
        <v>35</v>
      </c>
      <c r="H920" s="12">
        <v>440</v>
      </c>
      <c r="I920" s="12">
        <v>30</v>
      </c>
      <c r="J920" t="str">
        <f>VLOOKUP(B920,Paramètres!$A$4:$C$11,3,FALSE)</f>
        <v>Petite couronne</v>
      </c>
      <c r="K920" s="13">
        <f>IFERROR(H920/G920,"")</f>
        <v>12.571428571428571</v>
      </c>
      <c r="L920" s="14">
        <f>IFERROR(I920/G920,"")</f>
        <v>0.8571428571428571</v>
      </c>
      <c r="M920" s="11" t="str">
        <f>IF(K920&gt;=Paramètres!$F$6,"Très forte",IF(K920&gt;=Paramètres!$F$5,"Forte",IF(K920&gt;=Paramètres!$F$4,"Modérée","Faible")))</f>
        <v>Modérée</v>
      </c>
    </row>
    <row r="921" spans="1:13">
      <c r="A921" t="s">
        <v>1111</v>
      </c>
      <c r="B921" s="11">
        <v>75</v>
      </c>
      <c r="C921" t="s">
        <v>86</v>
      </c>
      <c r="D921" t="s">
        <v>797</v>
      </c>
      <c r="E921" t="s">
        <v>912</v>
      </c>
      <c r="F921" t="s">
        <v>92</v>
      </c>
      <c r="G921" s="12">
        <v>80</v>
      </c>
      <c r="H921" s="12">
        <v>1001</v>
      </c>
      <c r="I921" s="12">
        <v>82</v>
      </c>
      <c r="J921" t="str">
        <f>VLOOKUP(B921,Paramètres!$A$4:$C$11,3,FALSE)</f>
        <v>Paris</v>
      </c>
      <c r="K921" s="13">
        <f>IFERROR(H921/G921,"")</f>
        <v>12.512499999999999</v>
      </c>
      <c r="L921" s="14">
        <f>IFERROR(I921/G921,"")</f>
        <v>1.0249999999999999</v>
      </c>
      <c r="M921" s="11" t="str">
        <f>IF(K921&gt;=Paramètres!$F$6,"Très forte",IF(K921&gt;=Paramètres!$F$5,"Forte",IF(K921&gt;=Paramètres!$F$4,"Modérée","Faible")))</f>
        <v>Modérée</v>
      </c>
    </row>
    <row r="922" spans="1:13">
      <c r="A922" t="s">
        <v>1208</v>
      </c>
      <c r="B922" s="11">
        <v>77</v>
      </c>
      <c r="C922" t="s">
        <v>132</v>
      </c>
      <c r="D922" t="s">
        <v>797</v>
      </c>
      <c r="E922" t="s">
        <v>843</v>
      </c>
      <c r="F922" t="s">
        <v>92</v>
      </c>
      <c r="G922" s="12">
        <v>24</v>
      </c>
      <c r="H922" s="12">
        <v>295</v>
      </c>
      <c r="I922" s="12">
        <v>19</v>
      </c>
      <c r="J922" t="str">
        <f>VLOOKUP(B922,Paramètres!$A$4:$C$11,3,FALSE)</f>
        <v>Grande couronne</v>
      </c>
      <c r="K922" s="13">
        <f>IFERROR(H922/G922,"")</f>
        <v>12.291666666666666</v>
      </c>
      <c r="L922" s="14">
        <f>IFERROR(I922/G922,"")</f>
        <v>0.79166666666666663</v>
      </c>
      <c r="M922" s="11" t="str">
        <f>IF(K922&gt;=Paramètres!$F$6,"Très forte",IF(K922&gt;=Paramètres!$F$5,"Forte",IF(K922&gt;=Paramètres!$F$4,"Modérée","Faible")))</f>
        <v>Modérée</v>
      </c>
    </row>
    <row r="923" spans="1:13">
      <c r="A923" t="s">
        <v>1013</v>
      </c>
      <c r="B923" s="11">
        <v>78</v>
      </c>
      <c r="C923" t="s">
        <v>135</v>
      </c>
      <c r="D923" t="s">
        <v>797</v>
      </c>
      <c r="E923" t="s">
        <v>822</v>
      </c>
      <c r="F923" t="s">
        <v>92</v>
      </c>
      <c r="G923" s="12">
        <v>30</v>
      </c>
      <c r="H923" s="12">
        <v>367</v>
      </c>
      <c r="I923" s="12">
        <v>29</v>
      </c>
      <c r="J923" t="str">
        <f>VLOOKUP(B923,Paramètres!$A$4:$C$11,3,FALSE)</f>
        <v>Grande couronne</v>
      </c>
      <c r="K923" s="13">
        <f>IFERROR(H923/G923,"")</f>
        <v>12.233333333333333</v>
      </c>
      <c r="L923" s="14">
        <f>IFERROR(I923/G923,"")</f>
        <v>0.96666666666666667</v>
      </c>
      <c r="M923" s="11" t="str">
        <f>IF(K923&gt;=Paramètres!$F$6,"Très forte",IF(K923&gt;=Paramètres!$F$5,"Forte",IF(K923&gt;=Paramètres!$F$4,"Modérée","Faible")))</f>
        <v>Modérée</v>
      </c>
    </row>
    <row r="924" spans="1:13">
      <c r="A924" t="s">
        <v>1129</v>
      </c>
      <c r="B924" s="11">
        <v>94</v>
      </c>
      <c r="C924" t="s">
        <v>116</v>
      </c>
      <c r="D924" t="s">
        <v>797</v>
      </c>
      <c r="E924" t="s">
        <v>998</v>
      </c>
      <c r="F924" t="s">
        <v>92</v>
      </c>
      <c r="G924" s="12">
        <v>28</v>
      </c>
      <c r="H924" s="12">
        <v>341</v>
      </c>
      <c r="I924" s="12">
        <v>21</v>
      </c>
      <c r="J924" t="str">
        <f>VLOOKUP(B924,Paramètres!$A$4:$C$11,3,FALSE)</f>
        <v>Petite couronne</v>
      </c>
      <c r="K924" s="13">
        <f>IFERROR(H924/G924,"")</f>
        <v>12.178571428571429</v>
      </c>
      <c r="L924" s="14">
        <f>IFERROR(I924/G924,"")</f>
        <v>0.75</v>
      </c>
      <c r="M924" s="11" t="str">
        <f>IF(K924&gt;=Paramètres!$F$6,"Très forte",IF(K924&gt;=Paramètres!$F$5,"Forte",IF(K924&gt;=Paramètres!$F$4,"Modérée","Faible")))</f>
        <v>Modérée</v>
      </c>
    </row>
    <row r="925" spans="1:13">
      <c r="A925" t="s">
        <v>1044</v>
      </c>
      <c r="B925" s="11">
        <v>77</v>
      </c>
      <c r="C925" t="s">
        <v>132</v>
      </c>
      <c r="D925" t="s">
        <v>797</v>
      </c>
      <c r="E925" t="s">
        <v>1003</v>
      </c>
      <c r="F925" t="s">
        <v>92</v>
      </c>
      <c r="G925" s="12">
        <v>24</v>
      </c>
      <c r="H925" s="12">
        <v>291</v>
      </c>
      <c r="I925" s="12">
        <v>16</v>
      </c>
      <c r="J925" t="str">
        <f>VLOOKUP(B925,Paramètres!$A$4:$C$11,3,FALSE)</f>
        <v>Grande couronne</v>
      </c>
      <c r="K925" s="13">
        <f>IFERROR(H925/G925,"")</f>
        <v>12.125</v>
      </c>
      <c r="L925" s="14">
        <f>IFERROR(I925/G925,"")</f>
        <v>0.66666666666666663</v>
      </c>
      <c r="M925" s="11" t="str">
        <f>IF(K925&gt;=Paramètres!$F$6,"Très forte",IF(K925&gt;=Paramètres!$F$5,"Forte",IF(K925&gt;=Paramètres!$F$4,"Modérée","Faible")))</f>
        <v>Modérée</v>
      </c>
    </row>
    <row r="926" spans="1:13">
      <c r="A926" t="s">
        <v>1189</v>
      </c>
      <c r="B926" s="11">
        <v>95</v>
      </c>
      <c r="C926" t="s">
        <v>90</v>
      </c>
      <c r="D926" t="s">
        <v>797</v>
      </c>
      <c r="E926" t="s">
        <v>891</v>
      </c>
      <c r="F926" t="s">
        <v>92</v>
      </c>
      <c r="G926" s="12">
        <v>40</v>
      </c>
      <c r="H926" s="12">
        <v>484</v>
      </c>
      <c r="I926" s="12">
        <v>32</v>
      </c>
      <c r="J926" t="str">
        <f>VLOOKUP(B926,Paramètres!$A$4:$C$11,3,FALSE)</f>
        <v>Grande couronne</v>
      </c>
      <c r="K926" s="13">
        <f>IFERROR(H926/G926,"")</f>
        <v>12.1</v>
      </c>
      <c r="L926" s="14">
        <f>IFERROR(I926/G926,"")</f>
        <v>0.8</v>
      </c>
      <c r="M926" s="11" t="str">
        <f>IF(K926&gt;=Paramètres!$F$6,"Très forte",IF(K926&gt;=Paramètres!$F$5,"Forte",IF(K926&gt;=Paramètres!$F$4,"Modérée","Faible")))</f>
        <v>Modérée</v>
      </c>
    </row>
    <row r="927" spans="1:13">
      <c r="A927" t="s">
        <v>1218</v>
      </c>
      <c r="B927" s="11">
        <v>91</v>
      </c>
      <c r="C927" t="s">
        <v>105</v>
      </c>
      <c r="D927" t="s">
        <v>797</v>
      </c>
      <c r="E927" t="s">
        <v>845</v>
      </c>
      <c r="F927" t="s">
        <v>92</v>
      </c>
      <c r="G927" s="12">
        <v>28</v>
      </c>
      <c r="H927" s="12">
        <v>338</v>
      </c>
      <c r="I927" s="12">
        <v>28</v>
      </c>
      <c r="J927" t="str">
        <f>VLOOKUP(B927,Paramètres!$A$4:$C$11,3,FALSE)</f>
        <v>Grande couronne</v>
      </c>
      <c r="K927" s="13">
        <f>IFERROR(H927/G927,"")</f>
        <v>12.071428571428571</v>
      </c>
      <c r="L927" s="14">
        <f>IFERROR(I927/G927,"")</f>
        <v>1</v>
      </c>
      <c r="M927" s="11" t="str">
        <f>IF(K927&gt;=Paramètres!$F$6,"Très forte",IF(K927&gt;=Paramètres!$F$5,"Forte",IF(K927&gt;=Paramètres!$F$4,"Modérée","Faible")))</f>
        <v>Modérée</v>
      </c>
    </row>
    <row r="928" spans="1:13">
      <c r="A928" t="s">
        <v>939</v>
      </c>
      <c r="B928" s="11">
        <v>91</v>
      </c>
      <c r="C928" t="s">
        <v>105</v>
      </c>
      <c r="D928" t="s">
        <v>797</v>
      </c>
      <c r="E928" t="s">
        <v>861</v>
      </c>
      <c r="F928" t="s">
        <v>92</v>
      </c>
      <c r="G928" s="12">
        <v>26</v>
      </c>
      <c r="H928" s="12">
        <v>312</v>
      </c>
      <c r="I928" s="12">
        <v>22</v>
      </c>
      <c r="J928" t="str">
        <f>VLOOKUP(B928,Paramètres!$A$4:$C$11,3,FALSE)</f>
        <v>Grande couronne</v>
      </c>
      <c r="K928" s="13">
        <f>IFERROR(H928/G928,"")</f>
        <v>12</v>
      </c>
      <c r="L928" s="14">
        <f>IFERROR(I928/G928,"")</f>
        <v>0.84615384615384615</v>
      </c>
      <c r="M928" s="11" t="str">
        <f>IF(K928&gt;=Paramètres!$F$6,"Très forte",IF(K928&gt;=Paramètres!$F$5,"Forte",IF(K928&gt;=Paramètres!$F$4,"Modérée","Faible")))</f>
        <v>Modérée</v>
      </c>
    </row>
    <row r="929" spans="1:13">
      <c r="A929" t="s">
        <v>902</v>
      </c>
      <c r="B929" s="11">
        <v>75</v>
      </c>
      <c r="C929" t="s">
        <v>86</v>
      </c>
      <c r="D929" t="s">
        <v>797</v>
      </c>
      <c r="E929" t="s">
        <v>825</v>
      </c>
      <c r="F929" t="s">
        <v>92</v>
      </c>
      <c r="G929" s="12">
        <v>30</v>
      </c>
      <c r="H929" s="12">
        <v>359</v>
      </c>
      <c r="I929" s="12">
        <v>20</v>
      </c>
      <c r="J929" t="str">
        <f>VLOOKUP(B929,Paramètres!$A$4:$C$11,3,FALSE)</f>
        <v>Paris</v>
      </c>
      <c r="K929" s="13">
        <f>IFERROR(H929/G929,"")</f>
        <v>11.966666666666667</v>
      </c>
      <c r="L929" s="14">
        <f>IFERROR(I929/G929,"")</f>
        <v>0.66666666666666663</v>
      </c>
      <c r="M929" s="11" t="str">
        <f>IF(K929&gt;=Paramètres!$F$6,"Très forte",IF(K929&gt;=Paramètres!$F$5,"Forte",IF(K929&gt;=Paramètres!$F$4,"Modérée","Faible")))</f>
        <v>Modérée</v>
      </c>
    </row>
    <row r="930" spans="1:13">
      <c r="A930" t="s">
        <v>909</v>
      </c>
      <c r="B930" s="11">
        <v>78</v>
      </c>
      <c r="C930" t="s">
        <v>135</v>
      </c>
      <c r="D930" t="s">
        <v>797</v>
      </c>
      <c r="E930" t="s">
        <v>836</v>
      </c>
      <c r="F930" t="s">
        <v>92</v>
      </c>
      <c r="G930" s="12">
        <v>24</v>
      </c>
      <c r="H930" s="12">
        <v>287</v>
      </c>
      <c r="I930" s="12">
        <v>21</v>
      </c>
      <c r="J930" t="str">
        <f>VLOOKUP(B930,Paramètres!$A$4:$C$11,3,FALSE)</f>
        <v>Grande couronne</v>
      </c>
      <c r="K930" s="13">
        <f>IFERROR(H930/G930,"")</f>
        <v>11.958333333333334</v>
      </c>
      <c r="L930" s="14">
        <f>IFERROR(I930/G930,"")</f>
        <v>0.875</v>
      </c>
      <c r="M930" s="11" t="str">
        <f>IF(K930&gt;=Paramètres!$F$6,"Très forte",IF(K930&gt;=Paramètres!$F$5,"Forte",IF(K930&gt;=Paramètres!$F$4,"Modérée","Faible")))</f>
        <v>Modérée</v>
      </c>
    </row>
    <row r="931" spans="1:13">
      <c r="A931" t="s">
        <v>1044</v>
      </c>
      <c r="B931" s="11">
        <v>77</v>
      </c>
      <c r="C931" t="s">
        <v>132</v>
      </c>
      <c r="D931" t="s">
        <v>797</v>
      </c>
      <c r="E931" t="s">
        <v>822</v>
      </c>
      <c r="F931" t="s">
        <v>92</v>
      </c>
      <c r="G931" s="12">
        <v>35</v>
      </c>
      <c r="H931" s="12">
        <v>417</v>
      </c>
      <c r="I931" s="12">
        <v>32</v>
      </c>
      <c r="J931" t="str">
        <f>VLOOKUP(B931,Paramètres!$A$4:$C$11,3,FALSE)</f>
        <v>Grande couronne</v>
      </c>
      <c r="K931" s="13">
        <f>IFERROR(H931/G931,"")</f>
        <v>11.914285714285715</v>
      </c>
      <c r="L931" s="14">
        <f>IFERROR(I931/G931,"")</f>
        <v>0.91428571428571426</v>
      </c>
      <c r="M931" s="11" t="str">
        <f>IF(K931&gt;=Paramètres!$F$6,"Très forte",IF(K931&gt;=Paramètres!$F$5,"Forte",IF(K931&gt;=Paramètres!$F$4,"Modérée","Faible")))</f>
        <v>Modérée</v>
      </c>
    </row>
    <row r="932" spans="1:13">
      <c r="A932" t="s">
        <v>1075</v>
      </c>
      <c r="B932" s="11">
        <v>92</v>
      </c>
      <c r="C932" t="s">
        <v>94</v>
      </c>
      <c r="D932" t="s">
        <v>797</v>
      </c>
      <c r="E932" t="s">
        <v>823</v>
      </c>
      <c r="F932" t="s">
        <v>92</v>
      </c>
      <c r="G932" s="12">
        <v>32</v>
      </c>
      <c r="H932" s="12">
        <v>380</v>
      </c>
      <c r="I932" s="12">
        <v>27</v>
      </c>
      <c r="J932" t="str">
        <f>VLOOKUP(B932,Paramètres!$A$4:$C$11,3,FALSE)</f>
        <v>Petite couronne</v>
      </c>
      <c r="K932" s="13">
        <f>IFERROR(H932/G932,"")</f>
        <v>11.875</v>
      </c>
      <c r="L932" s="14">
        <f>IFERROR(I932/G932,"")</f>
        <v>0.84375</v>
      </c>
      <c r="M932" s="11" t="str">
        <f>IF(K932&gt;=Paramètres!$F$6,"Très forte",IF(K932&gt;=Paramètres!$F$5,"Forte",IF(K932&gt;=Paramètres!$F$4,"Modérée","Faible")))</f>
        <v>Modérée</v>
      </c>
    </row>
    <row r="933" spans="1:13">
      <c r="A933" t="s">
        <v>1182</v>
      </c>
      <c r="B933" s="11">
        <v>92</v>
      </c>
      <c r="C933" t="s">
        <v>94</v>
      </c>
      <c r="D933" t="s">
        <v>797</v>
      </c>
      <c r="E933" t="s">
        <v>853</v>
      </c>
      <c r="F933" t="s">
        <v>92</v>
      </c>
      <c r="G933" s="12">
        <v>30</v>
      </c>
      <c r="H933" s="12">
        <v>349</v>
      </c>
      <c r="I933" s="12">
        <v>21</v>
      </c>
      <c r="J933" t="str">
        <f>VLOOKUP(B933,Paramètres!$A$4:$C$11,3,FALSE)</f>
        <v>Petite couronne</v>
      </c>
      <c r="K933" s="13">
        <f>IFERROR(H933/G933,"")</f>
        <v>11.633333333333333</v>
      </c>
      <c r="L933" s="14">
        <f>IFERROR(I933/G933,"")</f>
        <v>0.7</v>
      </c>
      <c r="M933" s="11" t="str">
        <f>IF(K933&gt;=Paramètres!$F$6,"Très forte",IF(K933&gt;=Paramètres!$F$5,"Forte",IF(K933&gt;=Paramètres!$F$4,"Modérée","Faible")))</f>
        <v>Modérée</v>
      </c>
    </row>
    <row r="934" spans="1:13">
      <c r="A934" t="s">
        <v>1044</v>
      </c>
      <c r="B934" s="11">
        <v>77</v>
      </c>
      <c r="C934" t="s">
        <v>132</v>
      </c>
      <c r="D934" t="s">
        <v>797</v>
      </c>
      <c r="E934" t="s">
        <v>872</v>
      </c>
      <c r="F934" t="s">
        <v>92</v>
      </c>
      <c r="G934" s="12">
        <v>24</v>
      </c>
      <c r="H934" s="12">
        <v>279</v>
      </c>
      <c r="I934" s="12">
        <v>20</v>
      </c>
      <c r="J934" t="str">
        <f>VLOOKUP(B934,Paramètres!$A$4:$C$11,3,FALSE)</f>
        <v>Grande couronne</v>
      </c>
      <c r="K934" s="13">
        <f>IFERROR(H934/G934,"")</f>
        <v>11.625</v>
      </c>
      <c r="L934" s="14">
        <f>IFERROR(I934/G934,"")</f>
        <v>0.83333333333333337</v>
      </c>
      <c r="M934" s="11" t="str">
        <f>IF(K934&gt;=Paramètres!$F$6,"Très forte",IF(K934&gt;=Paramètres!$F$5,"Forte",IF(K934&gt;=Paramètres!$F$4,"Modérée","Faible")))</f>
        <v>Modérée</v>
      </c>
    </row>
    <row r="935" spans="1:13">
      <c r="A935" t="s">
        <v>871</v>
      </c>
      <c r="B935" s="11">
        <v>75</v>
      </c>
      <c r="C935" t="s">
        <v>86</v>
      </c>
      <c r="D935" t="s">
        <v>797</v>
      </c>
      <c r="E935" t="s">
        <v>798</v>
      </c>
      <c r="F935" t="s">
        <v>92</v>
      </c>
      <c r="G935" s="12">
        <v>64</v>
      </c>
      <c r="H935" s="12">
        <v>742</v>
      </c>
      <c r="I935" s="12">
        <v>55</v>
      </c>
      <c r="J935" t="str">
        <f>VLOOKUP(B935,Paramètres!$A$4:$C$11,3,FALSE)</f>
        <v>Paris</v>
      </c>
      <c r="K935" s="13">
        <f>IFERROR(H935/G935,"")</f>
        <v>11.59375</v>
      </c>
      <c r="L935" s="14">
        <f>IFERROR(I935/G935,"")</f>
        <v>0.859375</v>
      </c>
      <c r="M935" s="11" t="str">
        <f>IF(K935&gt;=Paramètres!$F$6,"Très forte",IF(K935&gt;=Paramètres!$F$5,"Forte",IF(K935&gt;=Paramètres!$F$4,"Modérée","Faible")))</f>
        <v>Modérée</v>
      </c>
    </row>
    <row r="936" spans="1:13">
      <c r="A936" t="s">
        <v>1004</v>
      </c>
      <c r="B936" s="11">
        <v>94</v>
      </c>
      <c r="C936" t="s">
        <v>116</v>
      </c>
      <c r="D936" t="s">
        <v>797</v>
      </c>
      <c r="E936" t="s">
        <v>823</v>
      </c>
      <c r="F936" t="s">
        <v>92</v>
      </c>
      <c r="G936" s="12">
        <v>36</v>
      </c>
      <c r="H936" s="12">
        <v>417</v>
      </c>
      <c r="I936" s="12">
        <v>33</v>
      </c>
      <c r="J936" t="str">
        <f>VLOOKUP(B936,Paramètres!$A$4:$C$11,3,FALSE)</f>
        <v>Petite couronne</v>
      </c>
      <c r="K936" s="13">
        <f>IFERROR(H936/G936,"")</f>
        <v>11.583333333333334</v>
      </c>
      <c r="L936" s="14">
        <f>IFERROR(I936/G936,"")</f>
        <v>0.91666666666666663</v>
      </c>
      <c r="M936" s="11" t="str">
        <f>IF(K936&gt;=Paramètres!$F$6,"Très forte",IF(K936&gt;=Paramètres!$F$5,"Forte",IF(K936&gt;=Paramètres!$F$4,"Modérée","Faible")))</f>
        <v>Modérée</v>
      </c>
    </row>
    <row r="937" spans="1:13">
      <c r="A937" t="s">
        <v>996</v>
      </c>
      <c r="B937" s="11">
        <v>78</v>
      </c>
      <c r="C937" t="s">
        <v>135</v>
      </c>
      <c r="D937" t="s">
        <v>797</v>
      </c>
      <c r="E937" t="s">
        <v>920</v>
      </c>
      <c r="F937" t="s">
        <v>92</v>
      </c>
      <c r="G937" s="12">
        <v>23</v>
      </c>
      <c r="H937" s="12">
        <v>266</v>
      </c>
      <c r="I937" s="12">
        <v>13</v>
      </c>
      <c r="J937" t="str">
        <f>VLOOKUP(B937,Paramètres!$A$4:$C$11,3,FALSE)</f>
        <v>Grande couronne</v>
      </c>
      <c r="K937" s="13">
        <f>IFERROR(H937/G937,"")</f>
        <v>11.565217391304348</v>
      </c>
      <c r="L937" s="14">
        <f>IFERROR(I937/G937,"")</f>
        <v>0.56521739130434778</v>
      </c>
      <c r="M937" s="11" t="str">
        <f>IF(K937&gt;=Paramètres!$F$6,"Très forte",IF(K937&gt;=Paramètres!$F$5,"Forte",IF(K937&gt;=Paramètres!$F$4,"Modérée","Faible")))</f>
        <v>Modérée</v>
      </c>
    </row>
    <row r="938" spans="1:13">
      <c r="A938" t="s">
        <v>985</v>
      </c>
      <c r="B938" s="11">
        <v>95</v>
      </c>
      <c r="C938" t="s">
        <v>90</v>
      </c>
      <c r="D938" t="s">
        <v>797</v>
      </c>
      <c r="E938" t="s">
        <v>940</v>
      </c>
      <c r="F938" t="s">
        <v>92</v>
      </c>
      <c r="G938" s="12">
        <v>23</v>
      </c>
      <c r="H938" s="12">
        <v>265</v>
      </c>
      <c r="I938" s="12">
        <v>11</v>
      </c>
      <c r="J938" t="str">
        <f>VLOOKUP(B938,Paramètres!$A$4:$C$11,3,FALSE)</f>
        <v>Grande couronne</v>
      </c>
      <c r="K938" s="13">
        <f>IFERROR(H938/G938,"")</f>
        <v>11.521739130434783</v>
      </c>
      <c r="L938" s="14">
        <f>IFERROR(I938/G938,"")</f>
        <v>0.47826086956521741</v>
      </c>
      <c r="M938" s="11" t="str">
        <f>IF(K938&gt;=Paramètres!$F$6,"Très forte",IF(K938&gt;=Paramètres!$F$5,"Forte",IF(K938&gt;=Paramètres!$F$4,"Modérée","Faible")))</f>
        <v>Modérée</v>
      </c>
    </row>
    <row r="939" spans="1:13">
      <c r="A939" t="s">
        <v>1197</v>
      </c>
      <c r="B939" s="11">
        <v>95</v>
      </c>
      <c r="C939" t="s">
        <v>90</v>
      </c>
      <c r="D939" t="s">
        <v>797</v>
      </c>
      <c r="E939" t="s">
        <v>1150</v>
      </c>
      <c r="F939" t="s">
        <v>92</v>
      </c>
      <c r="G939" s="12">
        <v>30</v>
      </c>
      <c r="H939" s="12">
        <v>345</v>
      </c>
      <c r="I939" s="12">
        <v>23</v>
      </c>
      <c r="J939" t="str">
        <f>VLOOKUP(B939,Paramètres!$A$4:$C$11,3,FALSE)</f>
        <v>Grande couronne</v>
      </c>
      <c r="K939" s="13">
        <f>IFERROR(H939/G939,"")</f>
        <v>11.5</v>
      </c>
      <c r="L939" s="14">
        <f>IFERROR(I939/G939,"")</f>
        <v>0.76666666666666672</v>
      </c>
      <c r="M939" s="11" t="str">
        <f>IF(K939&gt;=Paramètres!$F$6,"Très forte",IF(K939&gt;=Paramètres!$F$5,"Forte",IF(K939&gt;=Paramètres!$F$4,"Modérée","Faible")))</f>
        <v>Modérée</v>
      </c>
    </row>
    <row r="940" spans="1:13">
      <c r="A940" t="s">
        <v>1053</v>
      </c>
      <c r="B940" s="11">
        <v>78</v>
      </c>
      <c r="C940" t="s">
        <v>135</v>
      </c>
      <c r="D940" t="s">
        <v>797</v>
      </c>
      <c r="E940" t="s">
        <v>798</v>
      </c>
      <c r="F940" t="s">
        <v>92</v>
      </c>
      <c r="G940" s="12">
        <v>35</v>
      </c>
      <c r="H940" s="12">
        <v>402</v>
      </c>
      <c r="I940" s="12">
        <v>31</v>
      </c>
      <c r="J940" t="str">
        <f>VLOOKUP(B940,Paramètres!$A$4:$C$11,3,FALSE)</f>
        <v>Grande couronne</v>
      </c>
      <c r="K940" s="13">
        <f>IFERROR(H940/G940,"")</f>
        <v>11.485714285714286</v>
      </c>
      <c r="L940" s="14">
        <f>IFERROR(I940/G940,"")</f>
        <v>0.88571428571428568</v>
      </c>
      <c r="M940" s="11" t="str">
        <f>IF(K940&gt;=Paramètres!$F$6,"Très forte",IF(K940&gt;=Paramètres!$F$5,"Forte",IF(K940&gt;=Paramètres!$F$4,"Modérée","Faible")))</f>
        <v>Modérée</v>
      </c>
    </row>
    <row r="941" spans="1:13">
      <c r="A941" t="s">
        <v>1044</v>
      </c>
      <c r="B941" s="11">
        <v>77</v>
      </c>
      <c r="C941" t="s">
        <v>132</v>
      </c>
      <c r="D941" t="s">
        <v>797</v>
      </c>
      <c r="E941" t="s">
        <v>1032</v>
      </c>
      <c r="F941" t="s">
        <v>92</v>
      </c>
      <c r="G941" s="12">
        <v>30</v>
      </c>
      <c r="H941" s="12">
        <v>344</v>
      </c>
      <c r="I941" s="12">
        <v>25</v>
      </c>
      <c r="J941" t="str">
        <f>VLOOKUP(B941,Paramètres!$A$4:$C$11,3,FALSE)</f>
        <v>Grande couronne</v>
      </c>
      <c r="K941" s="13">
        <f>IFERROR(H941/G941,"")</f>
        <v>11.466666666666667</v>
      </c>
      <c r="L941" s="14">
        <f>IFERROR(I941/G941,"")</f>
        <v>0.83333333333333337</v>
      </c>
      <c r="M941" s="11" t="str">
        <f>IF(K941&gt;=Paramètres!$F$6,"Très forte",IF(K941&gt;=Paramètres!$F$5,"Forte",IF(K941&gt;=Paramètres!$F$4,"Modérée","Faible")))</f>
        <v>Modérée</v>
      </c>
    </row>
    <row r="942" spans="1:13">
      <c r="A942" t="s">
        <v>1122</v>
      </c>
      <c r="B942" s="11">
        <v>78</v>
      </c>
      <c r="C942" t="s">
        <v>135</v>
      </c>
      <c r="D942" t="s">
        <v>797</v>
      </c>
      <c r="E942" t="s">
        <v>1003</v>
      </c>
      <c r="F942" t="s">
        <v>92</v>
      </c>
      <c r="G942" s="12">
        <v>30</v>
      </c>
      <c r="H942" s="12">
        <v>344</v>
      </c>
      <c r="I942" s="12">
        <v>18</v>
      </c>
      <c r="J942" t="str">
        <f>VLOOKUP(B942,Paramètres!$A$4:$C$11,3,FALSE)</f>
        <v>Grande couronne</v>
      </c>
      <c r="K942" s="13">
        <f>IFERROR(H942/G942,"")</f>
        <v>11.466666666666667</v>
      </c>
      <c r="L942" s="14">
        <f>IFERROR(I942/G942,"")</f>
        <v>0.6</v>
      </c>
      <c r="M942" s="11" t="str">
        <f>IF(K942&gt;=Paramètres!$F$6,"Très forte",IF(K942&gt;=Paramètres!$F$5,"Forte",IF(K942&gt;=Paramètres!$F$4,"Modérée","Faible")))</f>
        <v>Modérée</v>
      </c>
    </row>
    <row r="943" spans="1:13">
      <c r="A943" t="s">
        <v>957</v>
      </c>
      <c r="B943" s="11">
        <v>77</v>
      </c>
      <c r="C943" t="s">
        <v>132</v>
      </c>
      <c r="D943" t="s">
        <v>797</v>
      </c>
      <c r="E943" t="s">
        <v>822</v>
      </c>
      <c r="F943" t="s">
        <v>92</v>
      </c>
      <c r="G943" s="12">
        <v>24</v>
      </c>
      <c r="H943" s="12">
        <v>275</v>
      </c>
      <c r="I943" s="12">
        <v>16</v>
      </c>
      <c r="J943" t="str">
        <f>VLOOKUP(B943,Paramètres!$A$4:$C$11,3,FALSE)</f>
        <v>Grande couronne</v>
      </c>
      <c r="K943" s="13">
        <f>IFERROR(H943/G943,"")</f>
        <v>11.458333333333334</v>
      </c>
      <c r="L943" s="14">
        <f>IFERROR(I943/G943,"")</f>
        <v>0.66666666666666663</v>
      </c>
      <c r="M943" s="11" t="str">
        <f>IF(K943&gt;=Paramètres!$F$6,"Très forte",IF(K943&gt;=Paramètres!$F$5,"Forte",IF(K943&gt;=Paramètres!$F$4,"Modérée","Faible")))</f>
        <v>Modérée</v>
      </c>
    </row>
    <row r="944" spans="1:13">
      <c r="A944" t="s">
        <v>1117</v>
      </c>
      <c r="B944" s="11">
        <v>95</v>
      </c>
      <c r="C944" t="s">
        <v>90</v>
      </c>
      <c r="D944" t="s">
        <v>797</v>
      </c>
      <c r="E944" t="s">
        <v>920</v>
      </c>
      <c r="F944" t="s">
        <v>92</v>
      </c>
      <c r="G944" s="12">
        <v>28</v>
      </c>
      <c r="H944" s="12">
        <v>320</v>
      </c>
      <c r="I944" s="12">
        <v>21</v>
      </c>
      <c r="J944" t="str">
        <f>VLOOKUP(B944,Paramètres!$A$4:$C$11,3,FALSE)</f>
        <v>Grande couronne</v>
      </c>
      <c r="K944" s="13">
        <f>IFERROR(H944/G944,"")</f>
        <v>11.428571428571429</v>
      </c>
      <c r="L944" s="14">
        <f>IFERROR(I944/G944,"")</f>
        <v>0.75</v>
      </c>
      <c r="M944" s="11" t="str">
        <f>IF(K944&gt;=Paramètres!$F$6,"Très forte",IF(K944&gt;=Paramètres!$F$5,"Forte",IF(K944&gt;=Paramètres!$F$4,"Modérée","Faible")))</f>
        <v>Modérée</v>
      </c>
    </row>
    <row r="945" spans="1:13">
      <c r="A945" t="s">
        <v>1141</v>
      </c>
      <c r="B945" s="11">
        <v>77</v>
      </c>
      <c r="C945" t="s">
        <v>132</v>
      </c>
      <c r="D945" t="s">
        <v>797</v>
      </c>
      <c r="E945" t="s">
        <v>1142</v>
      </c>
      <c r="F945" t="s">
        <v>92</v>
      </c>
      <c r="G945" s="12">
        <v>8</v>
      </c>
      <c r="H945" s="12">
        <v>91</v>
      </c>
      <c r="I945" s="12">
        <v>5</v>
      </c>
      <c r="J945" t="str">
        <f>VLOOKUP(B945,Paramètres!$A$4:$C$11,3,FALSE)</f>
        <v>Grande couronne</v>
      </c>
      <c r="K945" s="13">
        <f>IFERROR(H945/G945,"")</f>
        <v>11.375</v>
      </c>
      <c r="L945" s="14">
        <f>IFERROR(I945/G945,"")</f>
        <v>0.625</v>
      </c>
      <c r="M945" s="11" t="str">
        <f>IF(K945&gt;=Paramètres!$F$6,"Très forte",IF(K945&gt;=Paramètres!$F$5,"Forte",IF(K945&gt;=Paramètres!$F$4,"Modérée","Faible")))</f>
        <v>Modérée</v>
      </c>
    </row>
    <row r="946" spans="1:13">
      <c r="A946" t="s">
        <v>907</v>
      </c>
      <c r="B946" s="11">
        <v>93</v>
      </c>
      <c r="C946" t="s">
        <v>100</v>
      </c>
      <c r="D946" t="s">
        <v>797</v>
      </c>
      <c r="E946" t="s">
        <v>853</v>
      </c>
      <c r="F946" t="s">
        <v>92</v>
      </c>
      <c r="G946" s="12">
        <v>35</v>
      </c>
      <c r="H946" s="12">
        <v>398</v>
      </c>
      <c r="I946" s="12">
        <v>34</v>
      </c>
      <c r="J946" t="str">
        <f>VLOOKUP(B946,Paramètres!$A$4:$C$11,3,FALSE)</f>
        <v>Petite couronne</v>
      </c>
      <c r="K946" s="13">
        <f>IFERROR(H946/G946,"")</f>
        <v>11.371428571428572</v>
      </c>
      <c r="L946" s="14">
        <f>IFERROR(I946/G946,"")</f>
        <v>0.97142857142857142</v>
      </c>
      <c r="M946" s="11" t="str">
        <f>IF(K946&gt;=Paramètres!$F$6,"Très forte",IF(K946&gt;=Paramètres!$F$5,"Forte",IF(K946&gt;=Paramètres!$F$4,"Modérée","Faible")))</f>
        <v>Modérée</v>
      </c>
    </row>
    <row r="947" spans="1:13">
      <c r="A947" t="s">
        <v>951</v>
      </c>
      <c r="B947" s="11">
        <v>93</v>
      </c>
      <c r="C947" t="s">
        <v>100</v>
      </c>
      <c r="D947" t="s">
        <v>797</v>
      </c>
      <c r="E947" t="s">
        <v>891</v>
      </c>
      <c r="F947" t="s">
        <v>92</v>
      </c>
      <c r="G947" s="12">
        <v>20</v>
      </c>
      <c r="H947" s="12">
        <v>226</v>
      </c>
      <c r="I947" s="12">
        <v>15</v>
      </c>
      <c r="J947" t="str">
        <f>VLOOKUP(B947,Paramètres!$A$4:$C$11,3,FALSE)</f>
        <v>Petite couronne</v>
      </c>
      <c r="K947" s="13">
        <f>IFERROR(H947/G947,"")</f>
        <v>11.3</v>
      </c>
      <c r="L947" s="14">
        <f>IFERROR(I947/G947,"")</f>
        <v>0.75</v>
      </c>
      <c r="M947" s="11" t="str">
        <f>IF(K947&gt;=Paramètres!$F$6,"Très forte",IF(K947&gt;=Paramètres!$F$5,"Forte",IF(K947&gt;=Paramètres!$F$4,"Modérée","Faible")))</f>
        <v>Modérée</v>
      </c>
    </row>
    <row r="948" spans="1:13">
      <c r="A948" t="s">
        <v>976</v>
      </c>
      <c r="B948" s="11">
        <v>95</v>
      </c>
      <c r="C948" t="s">
        <v>90</v>
      </c>
      <c r="D948" t="s">
        <v>797</v>
      </c>
      <c r="E948" t="s">
        <v>838</v>
      </c>
      <c r="F948" t="s">
        <v>92</v>
      </c>
      <c r="G948" s="12">
        <v>15</v>
      </c>
      <c r="H948" s="12">
        <v>169</v>
      </c>
      <c r="I948" s="12">
        <v>14</v>
      </c>
      <c r="J948" t="str">
        <f>VLOOKUP(B948,Paramètres!$A$4:$C$11,3,FALSE)</f>
        <v>Grande couronne</v>
      </c>
      <c r="K948" s="13">
        <f>IFERROR(H948/G948,"")</f>
        <v>11.266666666666667</v>
      </c>
      <c r="L948" s="14">
        <f>IFERROR(I948/G948,"")</f>
        <v>0.93333333333333335</v>
      </c>
      <c r="M948" s="11" t="str">
        <f>IF(K948&gt;=Paramètres!$F$6,"Très forte",IF(K948&gt;=Paramètres!$F$5,"Forte",IF(K948&gt;=Paramètres!$F$4,"Modérée","Faible")))</f>
        <v>Modérée</v>
      </c>
    </row>
    <row r="949" spans="1:13">
      <c r="A949" t="s">
        <v>841</v>
      </c>
      <c r="B949" s="11">
        <v>75</v>
      </c>
      <c r="C949" t="s">
        <v>86</v>
      </c>
      <c r="D949" t="s">
        <v>797</v>
      </c>
      <c r="E949" t="s">
        <v>1118</v>
      </c>
      <c r="F949" t="s">
        <v>92</v>
      </c>
      <c r="G949" s="12">
        <v>24</v>
      </c>
      <c r="H949" s="12">
        <v>270</v>
      </c>
      <c r="I949" s="12">
        <v>24</v>
      </c>
      <c r="J949" t="str">
        <f>VLOOKUP(B949,Paramètres!$A$4:$C$11,3,FALSE)</f>
        <v>Paris</v>
      </c>
      <c r="K949" s="13">
        <f>IFERROR(H949/G949,"")</f>
        <v>11.25</v>
      </c>
      <c r="L949" s="14">
        <f>IFERROR(I949/G949,"")</f>
        <v>1</v>
      </c>
      <c r="M949" s="11" t="str">
        <f>IF(K949&gt;=Paramètres!$F$6,"Très forte",IF(K949&gt;=Paramètres!$F$5,"Forte",IF(K949&gt;=Paramètres!$F$4,"Modérée","Faible")))</f>
        <v>Modérée</v>
      </c>
    </row>
    <row r="950" spans="1:13">
      <c r="A950" t="s">
        <v>1152</v>
      </c>
      <c r="B950" s="11">
        <v>92</v>
      </c>
      <c r="C950" t="s">
        <v>94</v>
      </c>
      <c r="D950" t="s">
        <v>797</v>
      </c>
      <c r="E950" t="s">
        <v>798</v>
      </c>
      <c r="F950" t="s">
        <v>92</v>
      </c>
      <c r="G950" s="12">
        <v>37</v>
      </c>
      <c r="H950" s="12">
        <v>415</v>
      </c>
      <c r="I950" s="12">
        <v>26</v>
      </c>
      <c r="J950" t="str">
        <f>VLOOKUP(B950,Paramètres!$A$4:$C$11,3,FALSE)</f>
        <v>Petite couronne</v>
      </c>
      <c r="K950" s="13">
        <f>IFERROR(H950/G950,"")</f>
        <v>11.216216216216216</v>
      </c>
      <c r="L950" s="14">
        <f>IFERROR(I950/G950,"")</f>
        <v>0.70270270270270274</v>
      </c>
      <c r="M950" s="11" t="str">
        <f>IF(K950&gt;=Paramètres!$F$6,"Très forte",IF(K950&gt;=Paramètres!$F$5,"Forte",IF(K950&gt;=Paramètres!$F$4,"Modérée","Faible")))</f>
        <v>Modérée</v>
      </c>
    </row>
    <row r="951" spans="1:13">
      <c r="A951" t="s">
        <v>1089</v>
      </c>
      <c r="B951" s="11">
        <v>93</v>
      </c>
      <c r="C951" t="s">
        <v>100</v>
      </c>
      <c r="D951" t="s">
        <v>797</v>
      </c>
      <c r="E951" t="s">
        <v>923</v>
      </c>
      <c r="F951" t="s">
        <v>92</v>
      </c>
      <c r="G951" s="12">
        <v>36</v>
      </c>
      <c r="H951" s="12">
        <v>402</v>
      </c>
      <c r="I951" s="12">
        <v>30</v>
      </c>
      <c r="J951" t="str">
        <f>VLOOKUP(B951,Paramètres!$A$4:$C$11,3,FALSE)</f>
        <v>Petite couronne</v>
      </c>
      <c r="K951" s="13">
        <f>IFERROR(H951/G951,"")</f>
        <v>11.166666666666666</v>
      </c>
      <c r="L951" s="14">
        <f>IFERROR(I951/G951,"")</f>
        <v>0.83333333333333337</v>
      </c>
      <c r="M951" s="11" t="str">
        <f>IF(K951&gt;=Paramètres!$F$6,"Très forte",IF(K951&gt;=Paramètres!$F$5,"Forte",IF(K951&gt;=Paramètres!$F$4,"Modérée","Faible")))</f>
        <v>Modérée</v>
      </c>
    </row>
    <row r="952" spans="1:13">
      <c r="A952" t="s">
        <v>978</v>
      </c>
      <c r="B952" s="11">
        <v>95</v>
      </c>
      <c r="C952" t="s">
        <v>90</v>
      </c>
      <c r="D952" t="s">
        <v>797</v>
      </c>
      <c r="E952" t="s">
        <v>920</v>
      </c>
      <c r="F952" t="s">
        <v>92</v>
      </c>
      <c r="G952" s="12">
        <v>24</v>
      </c>
      <c r="H952" s="12">
        <v>268</v>
      </c>
      <c r="I952" s="12">
        <v>25</v>
      </c>
      <c r="J952" t="str">
        <f>VLOOKUP(B952,Paramètres!$A$4:$C$11,3,FALSE)</f>
        <v>Grande couronne</v>
      </c>
      <c r="K952" s="13">
        <f>IFERROR(H952/G952,"")</f>
        <v>11.166666666666666</v>
      </c>
      <c r="L952" s="14">
        <f>IFERROR(I952/G952,"")</f>
        <v>1.0416666666666667</v>
      </c>
      <c r="M952" s="11" t="str">
        <f>IF(K952&gt;=Paramètres!$F$6,"Très forte",IF(K952&gt;=Paramètres!$F$5,"Forte",IF(K952&gt;=Paramètres!$F$4,"Modérée","Faible")))</f>
        <v>Modérée</v>
      </c>
    </row>
    <row r="953" spans="1:13">
      <c r="A953" t="s">
        <v>1144</v>
      </c>
      <c r="B953" s="11">
        <v>78</v>
      </c>
      <c r="C953" t="s">
        <v>135</v>
      </c>
      <c r="D953" t="s">
        <v>797</v>
      </c>
      <c r="E953" t="s">
        <v>822</v>
      </c>
      <c r="F953" t="s">
        <v>92</v>
      </c>
      <c r="G953" s="12">
        <v>33</v>
      </c>
      <c r="H953" s="12">
        <v>368</v>
      </c>
      <c r="I953" s="12">
        <v>32</v>
      </c>
      <c r="J953" t="str">
        <f>VLOOKUP(B953,Paramètres!$A$4:$C$11,3,FALSE)</f>
        <v>Grande couronne</v>
      </c>
      <c r="K953" s="13">
        <f>IFERROR(H953/G953,"")</f>
        <v>11.151515151515152</v>
      </c>
      <c r="L953" s="14">
        <f>IFERROR(I953/G953,"")</f>
        <v>0.96969696969696972</v>
      </c>
      <c r="M953" s="11" t="str">
        <f>IF(K953&gt;=Paramètres!$F$6,"Très forte",IF(K953&gt;=Paramètres!$F$5,"Forte",IF(K953&gt;=Paramètres!$F$4,"Modérée","Faible")))</f>
        <v>Modérée</v>
      </c>
    </row>
    <row r="954" spans="1:13">
      <c r="A954" t="s">
        <v>1116</v>
      </c>
      <c r="B954" s="11">
        <v>92</v>
      </c>
      <c r="C954" t="s">
        <v>94</v>
      </c>
      <c r="D954" t="s">
        <v>797</v>
      </c>
      <c r="E954" t="s">
        <v>1006</v>
      </c>
      <c r="F954" t="s">
        <v>92</v>
      </c>
      <c r="G954" s="12">
        <v>30</v>
      </c>
      <c r="H954" s="12">
        <v>334</v>
      </c>
      <c r="I954" s="12">
        <v>21</v>
      </c>
      <c r="J954" t="str">
        <f>VLOOKUP(B954,Paramètres!$A$4:$C$11,3,FALSE)</f>
        <v>Petite couronne</v>
      </c>
      <c r="K954" s="13">
        <f>IFERROR(H954/G954,"")</f>
        <v>11.133333333333333</v>
      </c>
      <c r="L954" s="14">
        <f>IFERROR(I954/G954,"")</f>
        <v>0.7</v>
      </c>
      <c r="M954" s="11" t="str">
        <f>IF(K954&gt;=Paramètres!$F$6,"Très forte",IF(K954&gt;=Paramètres!$F$5,"Forte",IF(K954&gt;=Paramètres!$F$4,"Modérée","Faible")))</f>
        <v>Modérée</v>
      </c>
    </row>
    <row r="955" spans="1:13">
      <c r="A955" t="s">
        <v>871</v>
      </c>
      <c r="B955" s="11">
        <v>75</v>
      </c>
      <c r="C955" t="s">
        <v>86</v>
      </c>
      <c r="D955" t="s">
        <v>797</v>
      </c>
      <c r="E955" t="s">
        <v>825</v>
      </c>
      <c r="F955" t="s">
        <v>92</v>
      </c>
      <c r="G955" s="12">
        <v>40</v>
      </c>
      <c r="H955" s="12">
        <v>445</v>
      </c>
      <c r="I955" s="12">
        <v>38</v>
      </c>
      <c r="J955" t="str">
        <f>VLOOKUP(B955,Paramètres!$A$4:$C$11,3,FALSE)</f>
        <v>Paris</v>
      </c>
      <c r="K955" s="13">
        <f>IFERROR(H955/G955,"")</f>
        <v>11.125</v>
      </c>
      <c r="L955" s="14">
        <f>IFERROR(I955/G955,"")</f>
        <v>0.95</v>
      </c>
      <c r="M955" s="11" t="str">
        <f>IF(K955&gt;=Paramètres!$F$6,"Très forte",IF(K955&gt;=Paramètres!$F$5,"Forte",IF(K955&gt;=Paramètres!$F$4,"Modérée","Faible")))</f>
        <v>Modérée</v>
      </c>
    </row>
    <row r="956" spans="1:13">
      <c r="A956" t="s">
        <v>970</v>
      </c>
      <c r="B956" s="11">
        <v>94</v>
      </c>
      <c r="C956" t="s">
        <v>116</v>
      </c>
      <c r="D956" t="s">
        <v>797</v>
      </c>
      <c r="E956" t="s">
        <v>853</v>
      </c>
      <c r="F956" t="s">
        <v>92</v>
      </c>
      <c r="G956" s="12">
        <v>24</v>
      </c>
      <c r="H956" s="12">
        <v>267</v>
      </c>
      <c r="I956" s="12">
        <v>20</v>
      </c>
      <c r="J956" t="str">
        <f>VLOOKUP(B956,Paramètres!$A$4:$C$11,3,FALSE)</f>
        <v>Petite couronne</v>
      </c>
      <c r="K956" s="13">
        <f>IFERROR(H956/G956,"")</f>
        <v>11.125</v>
      </c>
      <c r="L956" s="14">
        <f>IFERROR(I956/G956,"")</f>
        <v>0.83333333333333337</v>
      </c>
      <c r="M956" s="11" t="str">
        <f>IF(K956&gt;=Paramètres!$F$6,"Très forte",IF(K956&gt;=Paramètres!$F$5,"Forte",IF(K956&gt;=Paramètres!$F$4,"Modérée","Faible")))</f>
        <v>Modérée</v>
      </c>
    </row>
    <row r="957" spans="1:13">
      <c r="A957" t="s">
        <v>915</v>
      </c>
      <c r="B957" s="11">
        <v>91</v>
      </c>
      <c r="C957" t="s">
        <v>105</v>
      </c>
      <c r="D957" t="s">
        <v>797</v>
      </c>
      <c r="E957" t="s">
        <v>825</v>
      </c>
      <c r="F957" t="s">
        <v>92</v>
      </c>
      <c r="G957" s="12">
        <v>33</v>
      </c>
      <c r="H957" s="12">
        <v>367</v>
      </c>
      <c r="I957" s="12">
        <v>33</v>
      </c>
      <c r="J957" t="str">
        <f>VLOOKUP(B957,Paramètres!$A$4:$C$11,3,FALSE)</f>
        <v>Grande couronne</v>
      </c>
      <c r="K957" s="13">
        <f>IFERROR(H957/G957,"")</f>
        <v>11.121212121212121</v>
      </c>
      <c r="L957" s="14">
        <f>IFERROR(I957/G957,"")</f>
        <v>1</v>
      </c>
      <c r="M957" s="11" t="str">
        <f>IF(K957&gt;=Paramètres!$F$6,"Très forte",IF(K957&gt;=Paramètres!$F$5,"Forte",IF(K957&gt;=Paramètres!$F$4,"Modérée","Faible")))</f>
        <v>Modérée</v>
      </c>
    </row>
    <row r="958" spans="1:13">
      <c r="A958" t="s">
        <v>1049</v>
      </c>
      <c r="B958" s="11">
        <v>77</v>
      </c>
      <c r="C958" t="s">
        <v>132</v>
      </c>
      <c r="D958" t="s">
        <v>797</v>
      </c>
      <c r="E958" t="s">
        <v>906</v>
      </c>
      <c r="F958" t="s">
        <v>92</v>
      </c>
      <c r="G958" s="12">
        <v>17</v>
      </c>
      <c r="H958" s="12">
        <v>189</v>
      </c>
      <c r="I958" s="12">
        <v>13</v>
      </c>
      <c r="J958" t="str">
        <f>VLOOKUP(B958,Paramètres!$A$4:$C$11,3,FALSE)</f>
        <v>Grande couronne</v>
      </c>
      <c r="K958" s="13">
        <f>IFERROR(H958/G958,"")</f>
        <v>11.117647058823529</v>
      </c>
      <c r="L958" s="14">
        <f>IFERROR(I958/G958,"")</f>
        <v>0.76470588235294112</v>
      </c>
      <c r="M958" s="11" t="str">
        <f>IF(K958&gt;=Paramètres!$F$6,"Très forte",IF(K958&gt;=Paramètres!$F$5,"Forte",IF(K958&gt;=Paramètres!$F$4,"Modérée","Faible")))</f>
        <v>Modérée</v>
      </c>
    </row>
    <row r="959" spans="1:13">
      <c r="A959" t="s">
        <v>1117</v>
      </c>
      <c r="B959" s="11">
        <v>95</v>
      </c>
      <c r="C959" t="s">
        <v>90</v>
      </c>
      <c r="D959" t="s">
        <v>797</v>
      </c>
      <c r="E959" t="s">
        <v>861</v>
      </c>
      <c r="F959" t="s">
        <v>92</v>
      </c>
      <c r="G959" s="12">
        <v>28</v>
      </c>
      <c r="H959" s="12">
        <v>311</v>
      </c>
      <c r="I959" s="12">
        <v>26</v>
      </c>
      <c r="J959" t="str">
        <f>VLOOKUP(B959,Paramètres!$A$4:$C$11,3,FALSE)</f>
        <v>Grande couronne</v>
      </c>
      <c r="K959" s="13">
        <f>IFERROR(H959/G959,"")</f>
        <v>11.107142857142858</v>
      </c>
      <c r="L959" s="14">
        <f>IFERROR(I959/G959,"")</f>
        <v>0.9285714285714286</v>
      </c>
      <c r="M959" s="11" t="str">
        <f>IF(K959&gt;=Paramètres!$F$6,"Très forte",IF(K959&gt;=Paramètres!$F$5,"Forte",IF(K959&gt;=Paramètres!$F$4,"Modérée","Faible")))</f>
        <v>Modérée</v>
      </c>
    </row>
    <row r="960" spans="1:13">
      <c r="A960" t="s">
        <v>939</v>
      </c>
      <c r="B960" s="11">
        <v>77</v>
      </c>
      <c r="C960" t="s">
        <v>132</v>
      </c>
      <c r="D960" t="s">
        <v>797</v>
      </c>
      <c r="E960" t="s">
        <v>920</v>
      </c>
      <c r="F960" t="s">
        <v>92</v>
      </c>
      <c r="G960" s="12">
        <v>33</v>
      </c>
      <c r="H960" s="12">
        <v>365</v>
      </c>
      <c r="I960" s="12">
        <v>26</v>
      </c>
      <c r="J960" t="str">
        <f>VLOOKUP(B960,Paramètres!$A$4:$C$11,3,FALSE)</f>
        <v>Grande couronne</v>
      </c>
      <c r="K960" s="13">
        <f>IFERROR(H960/G960,"")</f>
        <v>11.060606060606061</v>
      </c>
      <c r="L960" s="14">
        <f>IFERROR(I960/G960,"")</f>
        <v>0.78787878787878785</v>
      </c>
      <c r="M960" s="11" t="str">
        <f>IF(K960&gt;=Paramètres!$F$6,"Très forte",IF(K960&gt;=Paramètres!$F$5,"Forte",IF(K960&gt;=Paramètres!$F$4,"Modérée","Faible")))</f>
        <v>Modérée</v>
      </c>
    </row>
    <row r="961" spans="1:13">
      <c r="A961" t="s">
        <v>876</v>
      </c>
      <c r="B961" s="11">
        <v>75</v>
      </c>
      <c r="C961" t="s">
        <v>86</v>
      </c>
      <c r="D961" t="s">
        <v>797</v>
      </c>
      <c r="E961" t="s">
        <v>823</v>
      </c>
      <c r="F961" t="s">
        <v>92</v>
      </c>
      <c r="G961" s="12">
        <v>37</v>
      </c>
      <c r="H961" s="12">
        <v>406</v>
      </c>
      <c r="I961" s="12">
        <v>35</v>
      </c>
      <c r="J961" t="str">
        <f>VLOOKUP(B961,Paramètres!$A$4:$C$11,3,FALSE)</f>
        <v>Paris</v>
      </c>
      <c r="K961" s="13">
        <f>IFERROR(H961/G961,"")</f>
        <v>10.972972972972974</v>
      </c>
      <c r="L961" s="14">
        <f>IFERROR(I961/G961,"")</f>
        <v>0.94594594594594594</v>
      </c>
      <c r="M961" s="11" t="str">
        <f>IF(K961&gt;=Paramètres!$F$6,"Très forte",IF(K961&gt;=Paramètres!$F$5,"Forte",IF(K961&gt;=Paramètres!$F$4,"Modérée","Faible")))</f>
        <v>Modérée</v>
      </c>
    </row>
    <row r="962" spans="1:13">
      <c r="A962" t="s">
        <v>973</v>
      </c>
      <c r="B962" s="11">
        <v>94</v>
      </c>
      <c r="C962" t="s">
        <v>116</v>
      </c>
      <c r="D962" t="s">
        <v>797</v>
      </c>
      <c r="E962" t="s">
        <v>991</v>
      </c>
      <c r="F962" t="s">
        <v>92</v>
      </c>
      <c r="G962" s="12">
        <v>36</v>
      </c>
      <c r="H962" s="12">
        <v>392</v>
      </c>
      <c r="I962" s="12">
        <v>19</v>
      </c>
      <c r="J962" t="str">
        <f>VLOOKUP(B962,Paramètres!$A$4:$C$11,3,FALSE)</f>
        <v>Petite couronne</v>
      </c>
      <c r="K962" s="13">
        <f>IFERROR(H962/G962,"")</f>
        <v>10.888888888888889</v>
      </c>
      <c r="L962" s="14">
        <f>IFERROR(I962/G962,"")</f>
        <v>0.52777777777777779</v>
      </c>
      <c r="M962" s="11" t="str">
        <f>IF(K962&gt;=Paramètres!$F$6,"Très forte",IF(K962&gt;=Paramètres!$F$5,"Forte",IF(K962&gt;=Paramètres!$F$4,"Modérée","Faible")))</f>
        <v>Modérée</v>
      </c>
    </row>
    <row r="963" spans="1:13">
      <c r="A963" t="s">
        <v>899</v>
      </c>
      <c r="B963" s="11">
        <v>78</v>
      </c>
      <c r="C963" t="s">
        <v>135</v>
      </c>
      <c r="D963" t="s">
        <v>797</v>
      </c>
      <c r="E963" t="s">
        <v>822</v>
      </c>
      <c r="F963" t="s">
        <v>92</v>
      </c>
      <c r="G963" s="12">
        <v>35</v>
      </c>
      <c r="H963" s="12">
        <v>381</v>
      </c>
      <c r="I963" s="12">
        <v>35</v>
      </c>
      <c r="J963" t="str">
        <f>VLOOKUP(B963,Paramètres!$A$4:$C$11,3,FALSE)</f>
        <v>Grande couronne</v>
      </c>
      <c r="K963" s="13">
        <f>IFERROR(H963/G963,"")</f>
        <v>10.885714285714286</v>
      </c>
      <c r="L963" s="14">
        <f>IFERROR(I963/G963,"")</f>
        <v>1</v>
      </c>
      <c r="M963" s="11" t="str">
        <f>IF(K963&gt;=Paramètres!$F$6,"Très forte",IF(K963&gt;=Paramètres!$F$5,"Forte",IF(K963&gt;=Paramètres!$F$4,"Modérée","Faible")))</f>
        <v>Modérée</v>
      </c>
    </row>
    <row r="964" spans="1:13">
      <c r="A964" t="s">
        <v>963</v>
      </c>
      <c r="B964" s="11">
        <v>94</v>
      </c>
      <c r="C964" t="s">
        <v>116</v>
      </c>
      <c r="D964" t="s">
        <v>797</v>
      </c>
      <c r="E964" t="s">
        <v>838</v>
      </c>
      <c r="F964" t="s">
        <v>92</v>
      </c>
      <c r="G964" s="12">
        <v>36</v>
      </c>
      <c r="H964" s="12">
        <v>391</v>
      </c>
      <c r="I964" s="12">
        <v>30</v>
      </c>
      <c r="J964" t="str">
        <f>VLOOKUP(B964,Paramètres!$A$4:$C$11,3,FALSE)</f>
        <v>Petite couronne</v>
      </c>
      <c r="K964" s="13">
        <f>IFERROR(H964/G964,"")</f>
        <v>10.861111111111111</v>
      </c>
      <c r="L964" s="14">
        <f>IFERROR(I964/G964,"")</f>
        <v>0.83333333333333337</v>
      </c>
      <c r="M964" s="11" t="str">
        <f>IF(K964&gt;=Paramètres!$F$6,"Très forte",IF(K964&gt;=Paramètres!$F$5,"Forte",IF(K964&gt;=Paramètres!$F$4,"Modérée","Faible")))</f>
        <v>Modérée</v>
      </c>
    </row>
    <row r="965" spans="1:13">
      <c r="A965" t="s">
        <v>903</v>
      </c>
      <c r="B965" s="11">
        <v>77</v>
      </c>
      <c r="C965" t="s">
        <v>132</v>
      </c>
      <c r="D965" t="s">
        <v>797</v>
      </c>
      <c r="E965" t="s">
        <v>822</v>
      </c>
      <c r="F965" t="s">
        <v>92</v>
      </c>
      <c r="G965" s="12">
        <v>35</v>
      </c>
      <c r="H965" s="12">
        <v>379</v>
      </c>
      <c r="I965" s="12">
        <v>35</v>
      </c>
      <c r="J965" t="str">
        <f>VLOOKUP(B965,Paramètres!$A$4:$C$11,3,FALSE)</f>
        <v>Grande couronne</v>
      </c>
      <c r="K965" s="13">
        <f>IFERROR(H965/G965,"")</f>
        <v>10.828571428571429</v>
      </c>
      <c r="L965" s="14">
        <f>IFERROR(I965/G965,"")</f>
        <v>1</v>
      </c>
      <c r="M965" s="11" t="str">
        <f>IF(K965&gt;=Paramètres!$F$6,"Très forte",IF(K965&gt;=Paramètres!$F$5,"Forte",IF(K965&gt;=Paramètres!$F$4,"Modérée","Faible")))</f>
        <v>Modérée</v>
      </c>
    </row>
    <row r="966" spans="1:13">
      <c r="A966" t="s">
        <v>1165</v>
      </c>
      <c r="B966" s="11">
        <v>95</v>
      </c>
      <c r="C966" t="s">
        <v>90</v>
      </c>
      <c r="D966" t="s">
        <v>797</v>
      </c>
      <c r="E966" t="s">
        <v>798</v>
      </c>
      <c r="F966" t="s">
        <v>92</v>
      </c>
      <c r="G966" s="12">
        <v>30</v>
      </c>
      <c r="H966" s="12">
        <v>323</v>
      </c>
      <c r="I966" s="12">
        <v>16</v>
      </c>
      <c r="J966" t="str">
        <f>VLOOKUP(B966,Paramètres!$A$4:$C$11,3,FALSE)</f>
        <v>Grande couronne</v>
      </c>
      <c r="K966" s="13">
        <f>IFERROR(H966/G966,"")</f>
        <v>10.766666666666667</v>
      </c>
      <c r="L966" s="14">
        <f>IFERROR(I966/G966,"")</f>
        <v>0.53333333333333333</v>
      </c>
      <c r="M966" s="11" t="str">
        <f>IF(K966&gt;=Paramètres!$F$6,"Très forte",IF(K966&gt;=Paramètres!$F$5,"Forte",IF(K966&gt;=Paramètres!$F$4,"Modérée","Faible")))</f>
        <v>Modérée</v>
      </c>
    </row>
    <row r="967" spans="1:13">
      <c r="A967" t="s">
        <v>1222</v>
      </c>
      <c r="B967" s="11">
        <v>95</v>
      </c>
      <c r="C967" t="s">
        <v>90</v>
      </c>
      <c r="D967" t="s">
        <v>797</v>
      </c>
      <c r="E967" t="s">
        <v>883</v>
      </c>
      <c r="F967" t="s">
        <v>92</v>
      </c>
      <c r="G967" s="12">
        <v>30</v>
      </c>
      <c r="H967" s="12">
        <v>323</v>
      </c>
      <c r="I967" s="12">
        <v>24</v>
      </c>
      <c r="J967" t="str">
        <f>VLOOKUP(B967,Paramètres!$A$4:$C$11,3,FALSE)</f>
        <v>Grande couronne</v>
      </c>
      <c r="K967" s="13">
        <f>IFERROR(H967/G967,"")</f>
        <v>10.766666666666667</v>
      </c>
      <c r="L967" s="14">
        <f>IFERROR(I967/G967,"")</f>
        <v>0.8</v>
      </c>
      <c r="M967" s="11" t="str">
        <f>IF(K967&gt;=Paramètres!$F$6,"Très forte",IF(K967&gt;=Paramètres!$F$5,"Forte",IF(K967&gt;=Paramètres!$F$4,"Modérée","Faible")))</f>
        <v>Modérée</v>
      </c>
    </row>
    <row r="968" spans="1:13">
      <c r="A968" t="s">
        <v>918</v>
      </c>
      <c r="B968" s="11">
        <v>91</v>
      </c>
      <c r="C968" t="s">
        <v>105</v>
      </c>
      <c r="D968" t="s">
        <v>797</v>
      </c>
      <c r="E968" t="s">
        <v>883</v>
      </c>
      <c r="F968" t="s">
        <v>92</v>
      </c>
      <c r="G968" s="12">
        <v>30</v>
      </c>
      <c r="H968" s="12">
        <v>322</v>
      </c>
      <c r="I968" s="12">
        <v>27</v>
      </c>
      <c r="J968" t="str">
        <f>VLOOKUP(B968,Paramètres!$A$4:$C$11,3,FALSE)</f>
        <v>Grande couronne</v>
      </c>
      <c r="K968" s="13">
        <f>IFERROR(H968/G968,"")</f>
        <v>10.733333333333333</v>
      </c>
      <c r="L968" s="14">
        <f>IFERROR(I968/G968,"")</f>
        <v>0.9</v>
      </c>
      <c r="M968" s="11" t="str">
        <f>IF(K968&gt;=Paramètres!$F$6,"Très forte",IF(K968&gt;=Paramètres!$F$5,"Forte",IF(K968&gt;=Paramètres!$F$4,"Modérée","Faible")))</f>
        <v>Modérée</v>
      </c>
    </row>
    <row r="969" spans="1:13">
      <c r="A969" t="s">
        <v>976</v>
      </c>
      <c r="B969" s="11">
        <v>95</v>
      </c>
      <c r="C969" t="s">
        <v>90</v>
      </c>
      <c r="D969" t="s">
        <v>797</v>
      </c>
      <c r="E969" t="s">
        <v>836</v>
      </c>
      <c r="F969" t="s">
        <v>92</v>
      </c>
      <c r="G969" s="12">
        <v>30</v>
      </c>
      <c r="H969" s="12">
        <v>322</v>
      </c>
      <c r="I969" s="12">
        <v>25</v>
      </c>
      <c r="J969" t="str">
        <f>VLOOKUP(B969,Paramètres!$A$4:$C$11,3,FALSE)</f>
        <v>Grande couronne</v>
      </c>
      <c r="K969" s="13">
        <f>IFERROR(H969/G969,"")</f>
        <v>10.733333333333333</v>
      </c>
      <c r="L969" s="14">
        <f>IFERROR(I969/G969,"")</f>
        <v>0.83333333333333337</v>
      </c>
      <c r="M969" s="11" t="str">
        <f>IF(K969&gt;=Paramètres!$F$6,"Très forte",IF(K969&gt;=Paramètres!$F$5,"Forte",IF(K969&gt;=Paramètres!$F$4,"Modérée","Faible")))</f>
        <v>Modérée</v>
      </c>
    </row>
    <row r="970" spans="1:13">
      <c r="A970" t="s">
        <v>969</v>
      </c>
      <c r="B970" s="11">
        <v>94</v>
      </c>
      <c r="C970" t="s">
        <v>116</v>
      </c>
      <c r="D970" t="s">
        <v>797</v>
      </c>
      <c r="E970" t="s">
        <v>977</v>
      </c>
      <c r="F970" t="s">
        <v>92</v>
      </c>
      <c r="G970" s="12">
        <v>15</v>
      </c>
      <c r="H970" s="12">
        <v>161</v>
      </c>
      <c r="I970" s="12">
        <v>16</v>
      </c>
      <c r="J970" t="str">
        <f>VLOOKUP(B970,Paramètres!$A$4:$C$11,3,FALSE)</f>
        <v>Petite couronne</v>
      </c>
      <c r="K970" s="13">
        <f>IFERROR(H970/G970,"")</f>
        <v>10.733333333333333</v>
      </c>
      <c r="L970" s="14">
        <f>IFERROR(I970/G970,"")</f>
        <v>1.0666666666666667</v>
      </c>
      <c r="M970" s="11" t="str">
        <f>IF(K970&gt;=Paramètres!$F$6,"Très forte",IF(K970&gt;=Paramètres!$F$5,"Forte",IF(K970&gt;=Paramètres!$F$4,"Modérée","Faible")))</f>
        <v>Modérée</v>
      </c>
    </row>
    <row r="971" spans="1:13">
      <c r="A971" t="s">
        <v>857</v>
      </c>
      <c r="B971" s="11">
        <v>75</v>
      </c>
      <c r="C971" t="s">
        <v>86</v>
      </c>
      <c r="D971" t="s">
        <v>797</v>
      </c>
      <c r="E971" t="s">
        <v>858</v>
      </c>
      <c r="F971" t="s">
        <v>92</v>
      </c>
      <c r="G971" s="12">
        <v>15</v>
      </c>
      <c r="H971" s="12">
        <v>160</v>
      </c>
      <c r="I971" s="12">
        <v>14</v>
      </c>
      <c r="J971" t="str">
        <f>VLOOKUP(B971,Paramètres!$A$4:$C$11,3,FALSE)</f>
        <v>Paris</v>
      </c>
      <c r="K971" s="13">
        <f>IFERROR(H971/G971,"")</f>
        <v>10.666666666666666</v>
      </c>
      <c r="L971" s="14">
        <f>IFERROR(I971/G971,"")</f>
        <v>0.93333333333333335</v>
      </c>
      <c r="M971" s="11" t="str">
        <f>IF(K971&gt;=Paramètres!$F$6,"Très forte",IF(K971&gt;=Paramètres!$F$5,"Forte",IF(K971&gt;=Paramètres!$F$4,"Modérée","Faible")))</f>
        <v>Modérée</v>
      </c>
    </row>
    <row r="972" spans="1:13">
      <c r="A972" t="s">
        <v>1145</v>
      </c>
      <c r="B972" s="11">
        <v>91</v>
      </c>
      <c r="C972" t="s">
        <v>105</v>
      </c>
      <c r="D972" t="s">
        <v>797</v>
      </c>
      <c r="E972" t="s">
        <v>798</v>
      </c>
      <c r="F972" t="s">
        <v>92</v>
      </c>
      <c r="G972" s="12">
        <v>35</v>
      </c>
      <c r="H972" s="12">
        <v>373</v>
      </c>
      <c r="I972" s="12">
        <v>21</v>
      </c>
      <c r="J972" t="str">
        <f>VLOOKUP(B972,Paramètres!$A$4:$C$11,3,FALSE)</f>
        <v>Grande couronne</v>
      </c>
      <c r="K972" s="13">
        <f>IFERROR(H972/G972,"")</f>
        <v>10.657142857142857</v>
      </c>
      <c r="L972" s="14">
        <f>IFERROR(I972/G972,"")</f>
        <v>0.6</v>
      </c>
      <c r="M972" s="11" t="str">
        <f>IF(K972&gt;=Paramètres!$F$6,"Très forte",IF(K972&gt;=Paramètres!$F$5,"Forte",IF(K972&gt;=Paramètres!$F$4,"Modérée","Faible")))</f>
        <v>Modérée</v>
      </c>
    </row>
    <row r="973" spans="1:13">
      <c r="A973" t="s">
        <v>987</v>
      </c>
      <c r="B973" s="11">
        <v>78</v>
      </c>
      <c r="C973" t="s">
        <v>135</v>
      </c>
      <c r="D973" t="s">
        <v>797</v>
      </c>
      <c r="E973" t="s">
        <v>885</v>
      </c>
      <c r="F973" t="s">
        <v>92</v>
      </c>
      <c r="G973" s="12">
        <v>35</v>
      </c>
      <c r="H973" s="12">
        <v>371</v>
      </c>
      <c r="I973" s="12">
        <v>21</v>
      </c>
      <c r="J973" t="str">
        <f>VLOOKUP(B973,Paramètres!$A$4:$C$11,3,FALSE)</f>
        <v>Grande couronne</v>
      </c>
      <c r="K973" s="13">
        <f>IFERROR(H973/G973,"")</f>
        <v>10.6</v>
      </c>
      <c r="L973" s="14">
        <f>IFERROR(I973/G973,"")</f>
        <v>0.6</v>
      </c>
      <c r="M973" s="11" t="str">
        <f>IF(K973&gt;=Paramètres!$F$6,"Très forte",IF(K973&gt;=Paramètres!$F$5,"Forte",IF(K973&gt;=Paramètres!$F$4,"Modérée","Faible")))</f>
        <v>Modérée</v>
      </c>
    </row>
    <row r="974" spans="1:13">
      <c r="A974" t="s">
        <v>897</v>
      </c>
      <c r="B974" s="11">
        <v>78</v>
      </c>
      <c r="C974" t="s">
        <v>135</v>
      </c>
      <c r="D974" t="s">
        <v>797</v>
      </c>
      <c r="E974" t="s">
        <v>1224</v>
      </c>
      <c r="F974" t="s">
        <v>92</v>
      </c>
      <c r="G974" s="12">
        <v>80</v>
      </c>
      <c r="H974" s="12">
        <v>845</v>
      </c>
      <c r="I974" s="12">
        <v>72</v>
      </c>
      <c r="J974" t="str">
        <f>VLOOKUP(B974,Paramètres!$A$4:$C$11,3,FALSE)</f>
        <v>Grande couronne</v>
      </c>
      <c r="K974" s="13">
        <f>IFERROR(H974/G974,"")</f>
        <v>10.5625</v>
      </c>
      <c r="L974" s="14">
        <f>IFERROR(I974/G974,"")</f>
        <v>0.9</v>
      </c>
      <c r="M974" s="11" t="str">
        <f>IF(K974&gt;=Paramètres!$F$6,"Très forte",IF(K974&gt;=Paramètres!$F$5,"Forte",IF(K974&gt;=Paramètres!$F$4,"Modérée","Faible")))</f>
        <v>Modérée</v>
      </c>
    </row>
    <row r="975" spans="1:13">
      <c r="A975" t="s">
        <v>888</v>
      </c>
      <c r="B975" s="11">
        <v>77</v>
      </c>
      <c r="C975" t="s">
        <v>132</v>
      </c>
      <c r="D975" t="s">
        <v>797</v>
      </c>
      <c r="E975" t="s">
        <v>1001</v>
      </c>
      <c r="F975" t="s">
        <v>92</v>
      </c>
      <c r="G975" s="12">
        <v>24</v>
      </c>
      <c r="H975" s="12">
        <v>253</v>
      </c>
      <c r="I975" s="12">
        <v>20</v>
      </c>
      <c r="J975" t="str">
        <f>VLOOKUP(B975,Paramètres!$A$4:$C$11,3,FALSE)</f>
        <v>Grande couronne</v>
      </c>
      <c r="K975" s="13">
        <f>IFERROR(H975/G975,"")</f>
        <v>10.541666666666666</v>
      </c>
      <c r="L975" s="14">
        <f>IFERROR(I975/G975,"")</f>
        <v>0.83333333333333337</v>
      </c>
      <c r="M975" s="11" t="str">
        <f>IF(K975&gt;=Paramètres!$F$6,"Très forte",IF(K975&gt;=Paramètres!$F$5,"Forte",IF(K975&gt;=Paramètres!$F$4,"Modérée","Faible")))</f>
        <v>Modérée</v>
      </c>
    </row>
    <row r="976" spans="1:13">
      <c r="A976" t="s">
        <v>921</v>
      </c>
      <c r="B976" s="11">
        <v>91</v>
      </c>
      <c r="C976" t="s">
        <v>105</v>
      </c>
      <c r="D976" t="s">
        <v>797</v>
      </c>
      <c r="E976" t="s">
        <v>971</v>
      </c>
      <c r="F976" t="s">
        <v>92</v>
      </c>
      <c r="G976" s="12">
        <v>30</v>
      </c>
      <c r="H976" s="12">
        <v>316</v>
      </c>
      <c r="I976" s="12">
        <v>29</v>
      </c>
      <c r="J976" t="str">
        <f>VLOOKUP(B976,Paramètres!$A$4:$C$11,3,FALSE)</f>
        <v>Grande couronne</v>
      </c>
      <c r="K976" s="13">
        <f>IFERROR(H976/G976,"")</f>
        <v>10.533333333333333</v>
      </c>
      <c r="L976" s="14">
        <f>IFERROR(I976/G976,"")</f>
        <v>0.96666666666666667</v>
      </c>
      <c r="M976" s="11" t="str">
        <f>IF(K976&gt;=Paramètres!$F$6,"Très forte",IF(K976&gt;=Paramètres!$F$5,"Forte",IF(K976&gt;=Paramètres!$F$4,"Modérée","Faible")))</f>
        <v>Modérée</v>
      </c>
    </row>
    <row r="977" spans="1:13">
      <c r="A977" t="s">
        <v>1058</v>
      </c>
      <c r="B977" s="11">
        <v>77</v>
      </c>
      <c r="C977" t="s">
        <v>132</v>
      </c>
      <c r="D977" t="s">
        <v>797</v>
      </c>
      <c r="E977" t="s">
        <v>1019</v>
      </c>
      <c r="F977" t="s">
        <v>92</v>
      </c>
      <c r="G977" s="12">
        <v>24</v>
      </c>
      <c r="H977" s="12">
        <v>252</v>
      </c>
      <c r="I977" s="12">
        <v>21</v>
      </c>
      <c r="J977" t="str">
        <f>VLOOKUP(B977,Paramètres!$A$4:$C$11,3,FALSE)</f>
        <v>Grande couronne</v>
      </c>
      <c r="K977" s="13">
        <f>IFERROR(H977/G977,"")</f>
        <v>10.5</v>
      </c>
      <c r="L977" s="14">
        <f>IFERROR(I977/G977,"")</f>
        <v>0.875</v>
      </c>
      <c r="M977" s="11" t="str">
        <f>IF(K977&gt;=Paramètres!$F$6,"Très forte",IF(K977&gt;=Paramètres!$F$5,"Forte",IF(K977&gt;=Paramètres!$F$4,"Modérée","Faible")))</f>
        <v>Modérée</v>
      </c>
    </row>
    <row r="978" spans="1:13">
      <c r="A978" t="s">
        <v>996</v>
      </c>
      <c r="B978" s="11">
        <v>75</v>
      </c>
      <c r="C978" t="s">
        <v>86</v>
      </c>
      <c r="D978" t="s">
        <v>797</v>
      </c>
      <c r="E978" t="s">
        <v>1160</v>
      </c>
      <c r="F978" t="s">
        <v>92</v>
      </c>
      <c r="G978" s="12">
        <v>30</v>
      </c>
      <c r="H978" s="12">
        <v>313</v>
      </c>
      <c r="I978" s="12">
        <v>21</v>
      </c>
      <c r="J978" t="str">
        <f>VLOOKUP(B978,Paramètres!$A$4:$C$11,3,FALSE)</f>
        <v>Paris</v>
      </c>
      <c r="K978" s="13">
        <f>IFERROR(H978/G978,"")</f>
        <v>10.433333333333334</v>
      </c>
      <c r="L978" s="14">
        <f>IFERROR(I978/G978,"")</f>
        <v>0.7</v>
      </c>
      <c r="M978" s="11" t="str">
        <f>IF(K978&gt;=Paramètres!$F$6,"Très forte",IF(K978&gt;=Paramètres!$F$5,"Forte",IF(K978&gt;=Paramètres!$F$4,"Modérée","Faible")))</f>
        <v>Modérée</v>
      </c>
    </row>
    <row r="979" spans="1:13">
      <c r="A979" t="s">
        <v>874</v>
      </c>
      <c r="B979" s="11">
        <v>75</v>
      </c>
      <c r="C979" t="s">
        <v>86</v>
      </c>
      <c r="D979" t="s">
        <v>797</v>
      </c>
      <c r="E979" t="s">
        <v>872</v>
      </c>
      <c r="F979" t="s">
        <v>92</v>
      </c>
      <c r="G979" s="12">
        <v>36</v>
      </c>
      <c r="H979" s="12">
        <v>375</v>
      </c>
      <c r="I979" s="12">
        <v>16</v>
      </c>
      <c r="J979" t="str">
        <f>VLOOKUP(B979,Paramètres!$A$4:$C$11,3,FALSE)</f>
        <v>Paris</v>
      </c>
      <c r="K979" s="13">
        <f>IFERROR(H979/G979,"")</f>
        <v>10.416666666666666</v>
      </c>
      <c r="L979" s="14">
        <f>IFERROR(I979/G979,"")</f>
        <v>0.44444444444444442</v>
      </c>
      <c r="M979" s="11" t="str">
        <f>IF(K979&gt;=Paramètres!$F$6,"Très forte",IF(K979&gt;=Paramètres!$F$5,"Forte",IF(K979&gt;=Paramètres!$F$4,"Modérée","Faible")))</f>
        <v>Modérée</v>
      </c>
    </row>
    <row r="980" spans="1:13">
      <c r="A980" t="s">
        <v>1043</v>
      </c>
      <c r="B980" s="11">
        <v>75</v>
      </c>
      <c r="C980" t="s">
        <v>86</v>
      </c>
      <c r="D980" t="s">
        <v>797</v>
      </c>
      <c r="E980" t="s">
        <v>911</v>
      </c>
      <c r="F980" t="s">
        <v>92</v>
      </c>
      <c r="G980" s="12">
        <v>35</v>
      </c>
      <c r="H980" s="12">
        <v>364</v>
      </c>
      <c r="I980" s="12">
        <v>27</v>
      </c>
      <c r="J980" t="str">
        <f>VLOOKUP(B980,Paramètres!$A$4:$C$11,3,FALSE)</f>
        <v>Paris</v>
      </c>
      <c r="K980" s="13">
        <f>IFERROR(H980/G980,"")</f>
        <v>10.4</v>
      </c>
      <c r="L980" s="14">
        <f>IFERROR(I980/G980,"")</f>
        <v>0.77142857142857146</v>
      </c>
      <c r="M980" s="11" t="str">
        <f>IF(K980&gt;=Paramètres!$F$6,"Très forte",IF(K980&gt;=Paramètres!$F$5,"Forte",IF(K980&gt;=Paramètres!$F$4,"Modérée","Faible")))</f>
        <v>Modérée</v>
      </c>
    </row>
    <row r="981" spans="1:13">
      <c r="A981" t="s">
        <v>925</v>
      </c>
      <c r="B981" s="11">
        <v>91</v>
      </c>
      <c r="C981" t="s">
        <v>105</v>
      </c>
      <c r="D981" t="s">
        <v>797</v>
      </c>
      <c r="E981" t="s">
        <v>883</v>
      </c>
      <c r="F981" t="s">
        <v>92</v>
      </c>
      <c r="G981" s="12">
        <v>15</v>
      </c>
      <c r="H981" s="12">
        <v>156</v>
      </c>
      <c r="I981" s="12">
        <v>15</v>
      </c>
      <c r="J981" t="str">
        <f>VLOOKUP(B981,Paramètres!$A$4:$C$11,3,FALSE)</f>
        <v>Grande couronne</v>
      </c>
      <c r="K981" s="13">
        <f>IFERROR(H981/G981,"")</f>
        <v>10.4</v>
      </c>
      <c r="L981" s="14">
        <f>IFERROR(I981/G981,"")</f>
        <v>1</v>
      </c>
      <c r="M981" s="11" t="str">
        <f>IF(K981&gt;=Paramètres!$F$6,"Très forte",IF(K981&gt;=Paramètres!$F$5,"Forte",IF(K981&gt;=Paramètres!$F$4,"Modérée","Faible")))</f>
        <v>Modérée</v>
      </c>
    </row>
    <row r="982" spans="1:13">
      <c r="A982" t="s">
        <v>1129</v>
      </c>
      <c r="B982" s="11">
        <v>94</v>
      </c>
      <c r="C982" t="s">
        <v>116</v>
      </c>
      <c r="D982" t="s">
        <v>797</v>
      </c>
      <c r="E982" t="s">
        <v>798</v>
      </c>
      <c r="F982" t="s">
        <v>92</v>
      </c>
      <c r="G982" s="12">
        <v>34</v>
      </c>
      <c r="H982" s="12">
        <v>352</v>
      </c>
      <c r="I982" s="12">
        <v>23</v>
      </c>
      <c r="J982" t="str">
        <f>VLOOKUP(B982,Paramètres!$A$4:$C$11,3,FALSE)</f>
        <v>Petite couronne</v>
      </c>
      <c r="K982" s="13">
        <f>IFERROR(H982/G982,"")</f>
        <v>10.352941176470589</v>
      </c>
      <c r="L982" s="14">
        <f>IFERROR(I982/G982,"")</f>
        <v>0.67647058823529416</v>
      </c>
      <c r="M982" s="11" t="str">
        <f>IF(K982&gt;=Paramètres!$F$6,"Très forte",IF(K982&gt;=Paramètres!$F$5,"Forte",IF(K982&gt;=Paramètres!$F$4,"Modérée","Faible")))</f>
        <v>Modérée</v>
      </c>
    </row>
    <row r="983" spans="1:13">
      <c r="A983" t="s">
        <v>1050</v>
      </c>
      <c r="B983" s="11">
        <v>77</v>
      </c>
      <c r="C983" t="s">
        <v>132</v>
      </c>
      <c r="D983" t="s">
        <v>797</v>
      </c>
      <c r="E983" t="s">
        <v>1051</v>
      </c>
      <c r="F983" t="s">
        <v>92</v>
      </c>
      <c r="G983" s="12">
        <v>12</v>
      </c>
      <c r="H983" s="12">
        <v>124</v>
      </c>
      <c r="I983" s="12">
        <v>8</v>
      </c>
      <c r="J983" t="str">
        <f>VLOOKUP(B983,Paramètres!$A$4:$C$11,3,FALSE)</f>
        <v>Grande couronne</v>
      </c>
      <c r="K983" s="13">
        <f>IFERROR(H983/G983,"")</f>
        <v>10.333333333333334</v>
      </c>
      <c r="L983" s="14">
        <f>IFERROR(I983/G983,"")</f>
        <v>0.66666666666666663</v>
      </c>
      <c r="M983" s="11" t="str">
        <f>IF(K983&gt;=Paramètres!$F$6,"Très forte",IF(K983&gt;=Paramètres!$F$5,"Forte",IF(K983&gt;=Paramètres!$F$4,"Modérée","Faible")))</f>
        <v>Modérée</v>
      </c>
    </row>
    <row r="984" spans="1:13">
      <c r="A984" t="s">
        <v>879</v>
      </c>
      <c r="B984" s="11">
        <v>75</v>
      </c>
      <c r="C984" t="s">
        <v>86</v>
      </c>
      <c r="D984" t="s">
        <v>797</v>
      </c>
      <c r="E984" t="s">
        <v>867</v>
      </c>
      <c r="F984" t="s">
        <v>92</v>
      </c>
      <c r="G984" s="12">
        <v>40</v>
      </c>
      <c r="H984" s="12">
        <v>413</v>
      </c>
      <c r="I984" s="12">
        <v>32</v>
      </c>
      <c r="J984" t="str">
        <f>VLOOKUP(B984,Paramètres!$A$4:$C$11,3,FALSE)</f>
        <v>Paris</v>
      </c>
      <c r="K984" s="13">
        <f>IFERROR(H984/G984,"")</f>
        <v>10.324999999999999</v>
      </c>
      <c r="L984" s="14">
        <f>IFERROR(I984/G984,"")</f>
        <v>0.8</v>
      </c>
      <c r="M984" s="11" t="str">
        <f>IF(K984&gt;=Paramètres!$F$6,"Très forte",IF(K984&gt;=Paramètres!$F$5,"Forte",IF(K984&gt;=Paramètres!$F$4,"Modérée","Faible")))</f>
        <v>Modérée</v>
      </c>
    </row>
    <row r="985" spans="1:13">
      <c r="A985" t="s">
        <v>1047</v>
      </c>
      <c r="B985" s="11">
        <v>77</v>
      </c>
      <c r="C985" t="s">
        <v>132</v>
      </c>
      <c r="D985" t="s">
        <v>797</v>
      </c>
      <c r="E985" t="s">
        <v>798</v>
      </c>
      <c r="F985" t="s">
        <v>92</v>
      </c>
      <c r="G985" s="12">
        <v>27</v>
      </c>
      <c r="H985" s="12">
        <v>273</v>
      </c>
      <c r="I985" s="12">
        <v>24</v>
      </c>
      <c r="J985" t="str">
        <f>VLOOKUP(B985,Paramètres!$A$4:$C$11,3,FALSE)</f>
        <v>Grande couronne</v>
      </c>
      <c r="K985" s="13">
        <f>IFERROR(H985/G985,"")</f>
        <v>10.111111111111111</v>
      </c>
      <c r="L985" s="14">
        <f>IFERROR(I985/G985,"")</f>
        <v>0.88888888888888884</v>
      </c>
      <c r="M985" s="11" t="str">
        <f>IF(K985&gt;=Paramètres!$F$6,"Très forte",IF(K985&gt;=Paramètres!$F$5,"Forte",IF(K985&gt;=Paramètres!$F$4,"Modérée","Faible")))</f>
        <v>Modérée</v>
      </c>
    </row>
    <row r="986" spans="1:13">
      <c r="A986" t="s">
        <v>1111</v>
      </c>
      <c r="B986" s="11">
        <v>75</v>
      </c>
      <c r="C986" t="s">
        <v>86</v>
      </c>
      <c r="D986" t="s">
        <v>797</v>
      </c>
      <c r="E986" t="s">
        <v>845</v>
      </c>
      <c r="F986" t="s">
        <v>92</v>
      </c>
      <c r="G986" s="12">
        <v>42</v>
      </c>
      <c r="H986" s="12">
        <v>424</v>
      </c>
      <c r="I986" s="12">
        <v>44</v>
      </c>
      <c r="J986" t="str">
        <f>VLOOKUP(B986,Paramètres!$A$4:$C$11,3,FALSE)</f>
        <v>Paris</v>
      </c>
      <c r="K986" s="13">
        <f>IFERROR(H986/G986,"")</f>
        <v>10.095238095238095</v>
      </c>
      <c r="L986" s="14">
        <f>IFERROR(I986/G986,"")</f>
        <v>1.0476190476190477</v>
      </c>
      <c r="M986" s="11" t="str">
        <f>IF(K986&gt;=Paramètres!$F$6,"Très forte",IF(K986&gt;=Paramètres!$F$5,"Forte",IF(K986&gt;=Paramètres!$F$4,"Modérée","Faible")))</f>
        <v>Modérée</v>
      </c>
    </row>
    <row r="987" spans="1:13">
      <c r="A987" t="s">
        <v>1178</v>
      </c>
      <c r="B987" s="11">
        <v>75</v>
      </c>
      <c r="C987" t="s">
        <v>86</v>
      </c>
      <c r="D987" t="s">
        <v>797</v>
      </c>
      <c r="E987" t="s">
        <v>1006</v>
      </c>
      <c r="F987" t="s">
        <v>92</v>
      </c>
      <c r="G987" s="12">
        <v>15</v>
      </c>
      <c r="H987" s="12">
        <v>151</v>
      </c>
      <c r="I987" s="12">
        <v>14</v>
      </c>
      <c r="J987" t="str">
        <f>VLOOKUP(B987,Paramètres!$A$4:$C$11,3,FALSE)</f>
        <v>Paris</v>
      </c>
      <c r="K987" s="13">
        <f>IFERROR(H987/G987,"")</f>
        <v>10.066666666666666</v>
      </c>
      <c r="L987" s="14">
        <f>IFERROR(I987/G987,"")</f>
        <v>0.93333333333333335</v>
      </c>
      <c r="M987" s="11" t="str">
        <f>IF(K987&gt;=Paramètres!$F$6,"Très forte",IF(K987&gt;=Paramètres!$F$5,"Forte",IF(K987&gt;=Paramètres!$F$4,"Modérée","Faible")))</f>
        <v>Modérée</v>
      </c>
    </row>
    <row r="988" spans="1:13">
      <c r="A988" t="s">
        <v>874</v>
      </c>
      <c r="B988" s="11">
        <v>75</v>
      </c>
      <c r="C988" t="s">
        <v>86</v>
      </c>
      <c r="D988" t="s">
        <v>797</v>
      </c>
      <c r="E988" t="s">
        <v>798</v>
      </c>
      <c r="F988" t="s">
        <v>92</v>
      </c>
      <c r="G988" s="12">
        <v>36</v>
      </c>
      <c r="H988" s="12">
        <v>362</v>
      </c>
      <c r="I988" s="12">
        <v>28</v>
      </c>
      <c r="J988" t="str">
        <f>VLOOKUP(B988,Paramètres!$A$4:$C$11,3,FALSE)</f>
        <v>Paris</v>
      </c>
      <c r="K988" s="13">
        <f>IFERROR(H988/G988,"")</f>
        <v>10.055555555555555</v>
      </c>
      <c r="L988" s="14">
        <f>IFERROR(I988/G988,"")</f>
        <v>0.77777777777777779</v>
      </c>
      <c r="M988" s="11" t="str">
        <f>IF(K988&gt;=Paramètres!$F$6,"Très forte",IF(K988&gt;=Paramètres!$F$5,"Forte",IF(K988&gt;=Paramètres!$F$4,"Modérée","Faible")))</f>
        <v>Modérée</v>
      </c>
    </row>
    <row r="989" spans="1:13">
      <c r="A989" t="s">
        <v>1165</v>
      </c>
      <c r="B989" s="11">
        <v>95</v>
      </c>
      <c r="C989" t="s">
        <v>90</v>
      </c>
      <c r="D989" t="s">
        <v>797</v>
      </c>
      <c r="E989" t="s">
        <v>885</v>
      </c>
      <c r="F989" t="s">
        <v>92</v>
      </c>
      <c r="G989" s="12">
        <v>30</v>
      </c>
      <c r="H989" s="12">
        <v>301</v>
      </c>
      <c r="I989" s="12">
        <v>23</v>
      </c>
      <c r="J989" t="str">
        <f>VLOOKUP(B989,Paramètres!$A$4:$C$11,3,FALSE)</f>
        <v>Grande couronne</v>
      </c>
      <c r="K989" s="13">
        <f>IFERROR(H989/G989,"")</f>
        <v>10.033333333333333</v>
      </c>
      <c r="L989" s="14">
        <f>IFERROR(I989/G989,"")</f>
        <v>0.76666666666666672</v>
      </c>
      <c r="M989" s="11" t="str">
        <f>IF(K989&gt;=Paramètres!$F$6,"Très forte",IF(K989&gt;=Paramètres!$F$5,"Forte",IF(K989&gt;=Paramètres!$F$4,"Modérée","Faible")))</f>
        <v>Modérée</v>
      </c>
    </row>
    <row r="990" spans="1:13">
      <c r="A990" t="s">
        <v>1041</v>
      </c>
      <c r="B990" s="11">
        <v>75</v>
      </c>
      <c r="C990" t="s">
        <v>86</v>
      </c>
      <c r="D990" t="s">
        <v>797</v>
      </c>
      <c r="E990" t="s">
        <v>798</v>
      </c>
      <c r="F990" t="s">
        <v>92</v>
      </c>
      <c r="G990" s="12">
        <v>30</v>
      </c>
      <c r="H990" s="12">
        <v>300</v>
      </c>
      <c r="I990" s="12">
        <v>18</v>
      </c>
      <c r="J990" t="str">
        <f>VLOOKUP(B990,Paramètres!$A$4:$C$11,3,FALSE)</f>
        <v>Paris</v>
      </c>
      <c r="K990" s="13">
        <f>IFERROR(H990/G990,"")</f>
        <v>10</v>
      </c>
      <c r="L990" s="14">
        <f>IFERROR(I990/G990,"")</f>
        <v>0.6</v>
      </c>
      <c r="M990" s="11" t="str">
        <f>IF(K990&gt;=Paramètres!$F$6,"Très forte",IF(K990&gt;=Paramètres!$F$5,"Forte",IF(K990&gt;=Paramètres!$F$4,"Modérée","Faible")))</f>
        <v>Modérée</v>
      </c>
    </row>
    <row r="991" spans="1:13">
      <c r="A991" t="s">
        <v>970</v>
      </c>
      <c r="B991" s="11">
        <v>94</v>
      </c>
      <c r="C991" t="s">
        <v>116</v>
      </c>
      <c r="D991" t="s">
        <v>797</v>
      </c>
      <c r="E991" t="s">
        <v>1160</v>
      </c>
      <c r="F991" t="s">
        <v>92</v>
      </c>
      <c r="G991" s="12">
        <v>18</v>
      </c>
      <c r="H991" s="12">
        <v>180</v>
      </c>
      <c r="I991" s="12">
        <v>16</v>
      </c>
      <c r="J991" t="str">
        <f>VLOOKUP(B991,Paramètres!$A$4:$C$11,3,FALSE)</f>
        <v>Petite couronne</v>
      </c>
      <c r="K991" s="13">
        <f>IFERROR(H991/G991,"")</f>
        <v>10</v>
      </c>
      <c r="L991" s="14">
        <f>IFERROR(I991/G991,"")</f>
        <v>0.88888888888888884</v>
      </c>
      <c r="M991" s="11" t="str">
        <f>IF(K991&gt;=Paramètres!$F$6,"Très forte",IF(K991&gt;=Paramètres!$F$5,"Forte",IF(K991&gt;=Paramètres!$F$4,"Modérée","Faible")))</f>
        <v>Modérée</v>
      </c>
    </row>
    <row r="992" spans="1:13">
      <c r="A992" t="s">
        <v>925</v>
      </c>
      <c r="B992" s="11">
        <v>91</v>
      </c>
      <c r="C992" t="s">
        <v>105</v>
      </c>
      <c r="D992" t="s">
        <v>797</v>
      </c>
      <c r="E992" t="s">
        <v>861</v>
      </c>
      <c r="F992" t="s">
        <v>92</v>
      </c>
      <c r="G992" s="12">
        <v>28</v>
      </c>
      <c r="H992" s="12">
        <v>279</v>
      </c>
      <c r="I992" s="12">
        <v>24</v>
      </c>
      <c r="J992" t="str">
        <f>VLOOKUP(B992,Paramètres!$A$4:$C$11,3,FALSE)</f>
        <v>Grande couronne</v>
      </c>
      <c r="K992" s="13">
        <f>IFERROR(H992/G992,"")</f>
        <v>9.9642857142857135</v>
      </c>
      <c r="L992" s="14">
        <f>IFERROR(I992/G992,"")</f>
        <v>0.8571428571428571</v>
      </c>
      <c r="M992" s="11" t="str">
        <f>IF(K992&gt;=Paramètres!$F$6,"Très forte",IF(K992&gt;=Paramètres!$F$5,"Forte",IF(K992&gt;=Paramètres!$F$4,"Modérée","Faible")))</f>
        <v>Faible</v>
      </c>
    </row>
    <row r="993" spans="1:13">
      <c r="A993" t="s">
        <v>1139</v>
      </c>
      <c r="B993" s="11">
        <v>75</v>
      </c>
      <c r="C993" t="s">
        <v>86</v>
      </c>
      <c r="D993" t="s">
        <v>797</v>
      </c>
      <c r="E993" t="s">
        <v>905</v>
      </c>
      <c r="F993" t="s">
        <v>92</v>
      </c>
      <c r="G993" s="12">
        <v>74</v>
      </c>
      <c r="H993" s="12">
        <v>737</v>
      </c>
      <c r="I993" s="12">
        <v>66</v>
      </c>
      <c r="J993" t="str">
        <f>VLOOKUP(B993,Paramètres!$A$4:$C$11,3,FALSE)</f>
        <v>Paris</v>
      </c>
      <c r="K993" s="13">
        <f>IFERROR(H993/G993,"")</f>
        <v>9.9594594594594597</v>
      </c>
      <c r="L993" s="14">
        <f>IFERROR(I993/G993,"")</f>
        <v>0.89189189189189189</v>
      </c>
      <c r="M993" s="11" t="str">
        <f>IF(K993&gt;=Paramètres!$F$6,"Très forte",IF(K993&gt;=Paramètres!$F$5,"Forte",IF(K993&gt;=Paramètres!$F$4,"Modérée","Faible")))</f>
        <v>Faible</v>
      </c>
    </row>
    <row r="994" spans="1:13">
      <c r="A994" t="s">
        <v>938</v>
      </c>
      <c r="B994" s="11">
        <v>92</v>
      </c>
      <c r="C994" t="s">
        <v>94</v>
      </c>
      <c r="D994" t="s">
        <v>797</v>
      </c>
      <c r="E994" t="s">
        <v>1150</v>
      </c>
      <c r="F994" t="s">
        <v>92</v>
      </c>
      <c r="G994" s="12">
        <v>26</v>
      </c>
      <c r="H994" s="12">
        <v>257</v>
      </c>
      <c r="I994" s="12">
        <v>25</v>
      </c>
      <c r="J994" t="str">
        <f>VLOOKUP(B994,Paramètres!$A$4:$C$11,3,FALSE)</f>
        <v>Petite couronne</v>
      </c>
      <c r="K994" s="13">
        <f>IFERROR(H994/G994,"")</f>
        <v>9.884615384615385</v>
      </c>
      <c r="L994" s="14">
        <f>IFERROR(I994/G994,"")</f>
        <v>0.96153846153846156</v>
      </c>
      <c r="M994" s="11" t="str">
        <f>IF(K994&gt;=Paramètres!$F$6,"Très forte",IF(K994&gt;=Paramètres!$F$5,"Forte",IF(K994&gt;=Paramètres!$F$4,"Modérée","Faible")))</f>
        <v>Faible</v>
      </c>
    </row>
    <row r="995" spans="1:13">
      <c r="A995" t="s">
        <v>976</v>
      </c>
      <c r="B995" s="11">
        <v>95</v>
      </c>
      <c r="C995" t="s">
        <v>90</v>
      </c>
      <c r="D995" t="s">
        <v>797</v>
      </c>
      <c r="E995" t="s">
        <v>977</v>
      </c>
      <c r="F995" t="s">
        <v>92</v>
      </c>
      <c r="G995" s="12">
        <v>15</v>
      </c>
      <c r="H995" s="12">
        <v>148</v>
      </c>
      <c r="I995" s="12">
        <v>11</v>
      </c>
      <c r="J995" t="str">
        <f>VLOOKUP(B995,Paramètres!$A$4:$C$11,3,FALSE)</f>
        <v>Grande couronne</v>
      </c>
      <c r="K995" s="13">
        <f>IFERROR(H995/G995,"")</f>
        <v>9.8666666666666671</v>
      </c>
      <c r="L995" s="14">
        <f>IFERROR(I995/G995,"")</f>
        <v>0.73333333333333328</v>
      </c>
      <c r="M995" s="11" t="str">
        <f>IF(K995&gt;=Paramètres!$F$6,"Très forte",IF(K995&gt;=Paramètres!$F$5,"Forte",IF(K995&gt;=Paramètres!$F$4,"Modérée","Faible")))</f>
        <v>Faible</v>
      </c>
    </row>
    <row r="996" spans="1:13">
      <c r="A996" t="s">
        <v>889</v>
      </c>
      <c r="B996" s="11">
        <v>77</v>
      </c>
      <c r="C996" t="s">
        <v>132</v>
      </c>
      <c r="D996" t="s">
        <v>797</v>
      </c>
      <c r="E996" t="s">
        <v>891</v>
      </c>
      <c r="F996" t="s">
        <v>92</v>
      </c>
      <c r="G996" s="12">
        <v>24</v>
      </c>
      <c r="H996" s="12">
        <v>234</v>
      </c>
      <c r="I996" s="12">
        <v>24</v>
      </c>
      <c r="J996" t="str">
        <f>VLOOKUP(B996,Paramètres!$A$4:$C$11,3,FALSE)</f>
        <v>Grande couronne</v>
      </c>
      <c r="K996" s="13">
        <f>IFERROR(H996/G996,"")</f>
        <v>9.75</v>
      </c>
      <c r="L996" s="14">
        <f>IFERROR(I996/G996,"")</f>
        <v>1</v>
      </c>
      <c r="M996" s="11" t="str">
        <f>IF(K996&gt;=Paramètres!$F$6,"Très forte",IF(K996&gt;=Paramètres!$F$5,"Forte",IF(K996&gt;=Paramètres!$F$4,"Modérée","Faible")))</f>
        <v>Faible</v>
      </c>
    </row>
    <row r="997" spans="1:13">
      <c r="A997" t="s">
        <v>1147</v>
      </c>
      <c r="B997" s="11">
        <v>91</v>
      </c>
      <c r="C997" t="s">
        <v>105</v>
      </c>
      <c r="D997" t="s">
        <v>797</v>
      </c>
      <c r="E997" t="s">
        <v>905</v>
      </c>
      <c r="F997" t="s">
        <v>92</v>
      </c>
      <c r="G997" s="12">
        <v>36</v>
      </c>
      <c r="H997" s="12">
        <v>350</v>
      </c>
      <c r="I997" s="12">
        <v>29</v>
      </c>
      <c r="J997" t="str">
        <f>VLOOKUP(B997,Paramètres!$A$4:$C$11,3,FALSE)</f>
        <v>Grande couronne</v>
      </c>
      <c r="K997" s="13">
        <f>IFERROR(H997/G997,"")</f>
        <v>9.7222222222222214</v>
      </c>
      <c r="L997" s="14">
        <f>IFERROR(I997/G997,"")</f>
        <v>0.80555555555555558</v>
      </c>
      <c r="M997" s="11" t="str">
        <f>IF(K997&gt;=Paramètres!$F$6,"Très forte",IF(K997&gt;=Paramètres!$F$5,"Forte",IF(K997&gt;=Paramètres!$F$4,"Modérée","Faible")))</f>
        <v>Faible</v>
      </c>
    </row>
    <row r="998" spans="1:13">
      <c r="A998" t="s">
        <v>987</v>
      </c>
      <c r="B998" s="11">
        <v>78</v>
      </c>
      <c r="C998" t="s">
        <v>135</v>
      </c>
      <c r="D998" t="s">
        <v>797</v>
      </c>
      <c r="E998" t="s">
        <v>825</v>
      </c>
      <c r="F998" t="s">
        <v>92</v>
      </c>
      <c r="G998" s="12">
        <v>35</v>
      </c>
      <c r="H998" s="12">
        <v>340</v>
      </c>
      <c r="I998" s="12">
        <v>33</v>
      </c>
      <c r="J998" t="str">
        <f>VLOOKUP(B998,Paramètres!$A$4:$C$11,3,FALSE)</f>
        <v>Grande couronne</v>
      </c>
      <c r="K998" s="13">
        <f>IFERROR(H998/G998,"")</f>
        <v>9.7142857142857135</v>
      </c>
      <c r="L998" s="14">
        <f>IFERROR(I998/G998,"")</f>
        <v>0.94285714285714284</v>
      </c>
      <c r="M998" s="11" t="str">
        <f>IF(K998&gt;=Paramètres!$F$6,"Très forte",IF(K998&gt;=Paramètres!$F$5,"Forte",IF(K998&gt;=Paramètres!$F$4,"Modérée","Faible")))</f>
        <v>Faible</v>
      </c>
    </row>
    <row r="999" spans="1:13">
      <c r="A999" t="s">
        <v>877</v>
      </c>
      <c r="B999" s="11">
        <v>75</v>
      </c>
      <c r="C999" t="s">
        <v>86</v>
      </c>
      <c r="D999" t="s">
        <v>797</v>
      </c>
      <c r="E999" t="s">
        <v>878</v>
      </c>
      <c r="F999" t="s">
        <v>92</v>
      </c>
      <c r="G999" s="12">
        <v>72</v>
      </c>
      <c r="H999" s="12">
        <v>699</v>
      </c>
      <c r="I999" s="12">
        <v>83</v>
      </c>
      <c r="J999" t="str">
        <f>VLOOKUP(B999,Paramètres!$A$4:$C$11,3,FALSE)</f>
        <v>Paris</v>
      </c>
      <c r="K999" s="13">
        <f>IFERROR(H999/G999,"")</f>
        <v>9.7083333333333339</v>
      </c>
      <c r="L999" s="14">
        <f>IFERROR(I999/G999,"")</f>
        <v>1.1527777777777777</v>
      </c>
      <c r="M999" s="11" t="str">
        <f>IF(K999&gt;=Paramètres!$F$6,"Très forte",IF(K999&gt;=Paramètres!$F$5,"Forte",IF(K999&gt;=Paramètres!$F$4,"Modérée","Faible")))</f>
        <v>Faible</v>
      </c>
    </row>
    <row r="1000" spans="1:13">
      <c r="A1000" t="s">
        <v>1089</v>
      </c>
      <c r="B1000" s="11">
        <v>93</v>
      </c>
      <c r="C1000" t="s">
        <v>100</v>
      </c>
      <c r="D1000" t="s">
        <v>797</v>
      </c>
      <c r="E1000" t="s">
        <v>823</v>
      </c>
      <c r="F1000" t="s">
        <v>92</v>
      </c>
      <c r="G1000" s="12">
        <v>72</v>
      </c>
      <c r="H1000" s="12">
        <v>699</v>
      </c>
      <c r="I1000" s="12">
        <v>48</v>
      </c>
      <c r="J1000" t="str">
        <f>VLOOKUP(B1000,Paramètres!$A$4:$C$11,3,FALSE)</f>
        <v>Petite couronne</v>
      </c>
      <c r="K1000" s="13">
        <f>IFERROR(H1000/G1000,"")</f>
        <v>9.7083333333333339</v>
      </c>
      <c r="L1000" s="14">
        <f>IFERROR(I1000/G1000,"")</f>
        <v>0.66666666666666663</v>
      </c>
      <c r="M1000" s="11" t="str">
        <f>IF(K1000&gt;=Paramètres!$F$6,"Très forte",IF(K1000&gt;=Paramètres!$F$5,"Forte",IF(K1000&gt;=Paramètres!$F$4,"Modérée","Faible")))</f>
        <v>Faible</v>
      </c>
    </row>
    <row r="1001" spans="1:13">
      <c r="A1001" t="s">
        <v>1146</v>
      </c>
      <c r="B1001" s="11">
        <v>78</v>
      </c>
      <c r="C1001" t="s">
        <v>135</v>
      </c>
      <c r="D1001" t="s">
        <v>797</v>
      </c>
      <c r="E1001" t="s">
        <v>861</v>
      </c>
      <c r="F1001" t="s">
        <v>92</v>
      </c>
      <c r="G1001" s="12">
        <v>22</v>
      </c>
      <c r="H1001" s="12">
        <v>213</v>
      </c>
      <c r="I1001" s="12">
        <v>20</v>
      </c>
      <c r="J1001" t="str">
        <f>VLOOKUP(B1001,Paramètres!$A$4:$C$11,3,FALSE)</f>
        <v>Grande couronne</v>
      </c>
      <c r="K1001" s="13">
        <f>IFERROR(H1001/G1001,"")</f>
        <v>9.6818181818181817</v>
      </c>
      <c r="L1001" s="14">
        <f>IFERROR(I1001/G1001,"")</f>
        <v>0.90909090909090906</v>
      </c>
      <c r="M1001" s="11" t="str">
        <f>IF(K1001&gt;=Paramètres!$F$6,"Très forte",IF(K1001&gt;=Paramètres!$F$5,"Forte",IF(K1001&gt;=Paramètres!$F$4,"Modérée","Faible")))</f>
        <v>Faible</v>
      </c>
    </row>
    <row r="1002" spans="1:13">
      <c r="A1002" t="s">
        <v>952</v>
      </c>
      <c r="B1002" s="11">
        <v>93</v>
      </c>
      <c r="C1002" t="s">
        <v>100</v>
      </c>
      <c r="D1002" t="s">
        <v>797</v>
      </c>
      <c r="E1002" t="s">
        <v>885</v>
      </c>
      <c r="F1002" t="s">
        <v>92</v>
      </c>
      <c r="G1002" s="12">
        <v>28</v>
      </c>
      <c r="H1002" s="12">
        <v>271</v>
      </c>
      <c r="I1002" s="12">
        <v>18</v>
      </c>
      <c r="J1002" t="str">
        <f>VLOOKUP(B1002,Paramètres!$A$4:$C$11,3,FALSE)</f>
        <v>Petite couronne</v>
      </c>
      <c r="K1002" s="13">
        <f>IFERROR(H1002/G1002,"")</f>
        <v>9.6785714285714288</v>
      </c>
      <c r="L1002" s="14">
        <f>IFERROR(I1002/G1002,"")</f>
        <v>0.6428571428571429</v>
      </c>
      <c r="M1002" s="11" t="str">
        <f>IF(K1002&gt;=Paramètres!$F$6,"Très forte",IF(K1002&gt;=Paramètres!$F$5,"Forte",IF(K1002&gt;=Paramètres!$F$4,"Modérée","Faible")))</f>
        <v>Faible</v>
      </c>
    </row>
    <row r="1003" spans="1:13">
      <c r="A1003" t="s">
        <v>1041</v>
      </c>
      <c r="B1003" s="11">
        <v>75</v>
      </c>
      <c r="C1003" t="s">
        <v>86</v>
      </c>
      <c r="D1003" t="s">
        <v>797</v>
      </c>
      <c r="E1003" t="s">
        <v>825</v>
      </c>
      <c r="F1003" t="s">
        <v>92</v>
      </c>
      <c r="G1003" s="12">
        <v>24</v>
      </c>
      <c r="H1003" s="12">
        <v>232</v>
      </c>
      <c r="I1003" s="12">
        <v>22</v>
      </c>
      <c r="J1003" t="str">
        <f>VLOOKUP(B1003,Paramètres!$A$4:$C$11,3,FALSE)</f>
        <v>Paris</v>
      </c>
      <c r="K1003" s="13">
        <f>IFERROR(H1003/G1003,"")</f>
        <v>9.6666666666666661</v>
      </c>
      <c r="L1003" s="14">
        <f>IFERROR(I1003/G1003,"")</f>
        <v>0.91666666666666663</v>
      </c>
      <c r="M1003" s="11" t="str">
        <f>IF(K1003&gt;=Paramètres!$F$6,"Très forte",IF(K1003&gt;=Paramètres!$F$5,"Forte",IF(K1003&gt;=Paramètres!$F$4,"Modérée","Faible")))</f>
        <v>Faible</v>
      </c>
    </row>
    <row r="1004" spans="1:13">
      <c r="A1004" t="s">
        <v>1211</v>
      </c>
      <c r="B1004" s="11">
        <v>78</v>
      </c>
      <c r="C1004" t="s">
        <v>135</v>
      </c>
      <c r="D1004" t="s">
        <v>797</v>
      </c>
      <c r="E1004" t="s">
        <v>1035</v>
      </c>
      <c r="F1004" t="s">
        <v>92</v>
      </c>
      <c r="G1004" s="12">
        <v>15</v>
      </c>
      <c r="H1004" s="12">
        <v>145</v>
      </c>
      <c r="I1004" s="12">
        <v>11</v>
      </c>
      <c r="J1004" t="str">
        <f>VLOOKUP(B1004,Paramètres!$A$4:$C$11,3,FALSE)</f>
        <v>Grande couronne</v>
      </c>
      <c r="K1004" s="13">
        <f>IFERROR(H1004/G1004,"")</f>
        <v>9.6666666666666661</v>
      </c>
      <c r="L1004" s="14">
        <f>IFERROR(I1004/G1004,"")</f>
        <v>0.73333333333333328</v>
      </c>
      <c r="M1004" s="11" t="str">
        <f>IF(K1004&gt;=Paramètres!$F$6,"Très forte",IF(K1004&gt;=Paramètres!$F$5,"Forte",IF(K1004&gt;=Paramètres!$F$4,"Modérée","Faible")))</f>
        <v>Faible</v>
      </c>
    </row>
    <row r="1005" spans="1:13">
      <c r="A1005" t="s">
        <v>973</v>
      </c>
      <c r="B1005" s="11">
        <v>94</v>
      </c>
      <c r="C1005" t="s">
        <v>116</v>
      </c>
      <c r="D1005" t="s">
        <v>797</v>
      </c>
      <c r="E1005" t="s">
        <v>872</v>
      </c>
      <c r="F1005" t="s">
        <v>92</v>
      </c>
      <c r="G1005" s="12">
        <v>24</v>
      </c>
      <c r="H1005" s="12">
        <v>232</v>
      </c>
      <c r="I1005" s="12">
        <v>15</v>
      </c>
      <c r="J1005" t="str">
        <f>VLOOKUP(B1005,Paramètres!$A$4:$C$11,3,FALSE)</f>
        <v>Petite couronne</v>
      </c>
      <c r="K1005" s="13">
        <f>IFERROR(H1005/G1005,"")</f>
        <v>9.6666666666666661</v>
      </c>
      <c r="L1005" s="14">
        <f>IFERROR(I1005/G1005,"")</f>
        <v>0.625</v>
      </c>
      <c r="M1005" s="11" t="str">
        <f>IF(K1005&gt;=Paramètres!$F$6,"Très forte",IF(K1005&gt;=Paramètres!$F$5,"Forte",IF(K1005&gt;=Paramètres!$F$4,"Modérée","Faible")))</f>
        <v>Faible</v>
      </c>
    </row>
    <row r="1006" spans="1:13">
      <c r="A1006" t="s">
        <v>1152</v>
      </c>
      <c r="B1006" s="11">
        <v>92</v>
      </c>
      <c r="C1006" t="s">
        <v>94</v>
      </c>
      <c r="D1006" t="s">
        <v>797</v>
      </c>
      <c r="E1006" t="s">
        <v>823</v>
      </c>
      <c r="F1006" t="s">
        <v>92</v>
      </c>
      <c r="G1006" s="12">
        <v>35</v>
      </c>
      <c r="H1006" s="12">
        <v>337</v>
      </c>
      <c r="I1006" s="12">
        <v>32</v>
      </c>
      <c r="J1006" t="str">
        <f>VLOOKUP(B1006,Paramètres!$A$4:$C$11,3,FALSE)</f>
        <v>Petite couronne</v>
      </c>
      <c r="K1006" s="13">
        <f>IFERROR(H1006/G1006,"")</f>
        <v>9.6285714285714281</v>
      </c>
      <c r="L1006" s="14">
        <f>IFERROR(I1006/G1006,"")</f>
        <v>0.91428571428571426</v>
      </c>
      <c r="M1006" s="11" t="str">
        <f>IF(K1006&gt;=Paramètres!$F$6,"Très forte",IF(K1006&gt;=Paramètres!$F$5,"Forte",IF(K1006&gt;=Paramètres!$F$4,"Modérée","Faible")))</f>
        <v>Faible</v>
      </c>
    </row>
    <row r="1007" spans="1:13">
      <c r="A1007" t="s">
        <v>1146</v>
      </c>
      <c r="B1007" s="11">
        <v>78</v>
      </c>
      <c r="C1007" t="s">
        <v>135</v>
      </c>
      <c r="D1007" t="s">
        <v>797</v>
      </c>
      <c r="E1007" t="s">
        <v>928</v>
      </c>
      <c r="F1007" t="s">
        <v>92</v>
      </c>
      <c r="G1007" s="12">
        <v>14</v>
      </c>
      <c r="H1007" s="12">
        <v>134</v>
      </c>
      <c r="I1007" s="12">
        <v>16</v>
      </c>
      <c r="J1007" t="str">
        <f>VLOOKUP(B1007,Paramètres!$A$4:$C$11,3,FALSE)</f>
        <v>Grande couronne</v>
      </c>
      <c r="K1007" s="13">
        <f>IFERROR(H1007/G1007,"")</f>
        <v>9.5714285714285712</v>
      </c>
      <c r="L1007" s="14">
        <f>IFERROR(I1007/G1007,"")</f>
        <v>1.1428571428571428</v>
      </c>
      <c r="M1007" s="11" t="str">
        <f>IF(K1007&gt;=Paramètres!$F$6,"Très forte",IF(K1007&gt;=Paramètres!$F$5,"Forte",IF(K1007&gt;=Paramètres!$F$4,"Modérée","Faible")))</f>
        <v>Faible</v>
      </c>
    </row>
    <row r="1008" spans="1:13">
      <c r="A1008" t="s">
        <v>1044</v>
      </c>
      <c r="B1008" s="11">
        <v>77</v>
      </c>
      <c r="C1008" t="s">
        <v>132</v>
      </c>
      <c r="D1008" t="s">
        <v>797</v>
      </c>
      <c r="E1008" t="s">
        <v>832</v>
      </c>
      <c r="F1008" t="s">
        <v>92</v>
      </c>
      <c r="G1008" s="12">
        <v>35</v>
      </c>
      <c r="H1008" s="12">
        <v>335</v>
      </c>
      <c r="I1008" s="12">
        <v>31</v>
      </c>
      <c r="J1008" t="str">
        <f>VLOOKUP(B1008,Paramètres!$A$4:$C$11,3,FALSE)</f>
        <v>Grande couronne</v>
      </c>
      <c r="K1008" s="13">
        <f>IFERROR(H1008/G1008,"")</f>
        <v>9.5714285714285712</v>
      </c>
      <c r="L1008" s="14">
        <f>IFERROR(I1008/G1008,"")</f>
        <v>0.88571428571428568</v>
      </c>
      <c r="M1008" s="11" t="str">
        <f>IF(K1008&gt;=Paramètres!$F$6,"Très forte",IF(K1008&gt;=Paramètres!$F$5,"Forte",IF(K1008&gt;=Paramètres!$F$4,"Modérée","Faible")))</f>
        <v>Faible</v>
      </c>
    </row>
    <row r="1009" spans="1:13">
      <c r="A1009" t="s">
        <v>1145</v>
      </c>
      <c r="B1009" s="11">
        <v>91</v>
      </c>
      <c r="C1009" t="s">
        <v>105</v>
      </c>
      <c r="D1009" t="s">
        <v>797</v>
      </c>
      <c r="E1009" t="s">
        <v>991</v>
      </c>
      <c r="F1009" t="s">
        <v>92</v>
      </c>
      <c r="G1009" s="12">
        <v>35</v>
      </c>
      <c r="H1009" s="12">
        <v>334</v>
      </c>
      <c r="I1009" s="12">
        <v>30</v>
      </c>
      <c r="J1009" t="str">
        <f>VLOOKUP(B1009,Paramètres!$A$4:$C$11,3,FALSE)</f>
        <v>Grande couronne</v>
      </c>
      <c r="K1009" s="13">
        <f>IFERROR(H1009/G1009,"")</f>
        <v>9.5428571428571427</v>
      </c>
      <c r="L1009" s="14">
        <f>IFERROR(I1009/G1009,"")</f>
        <v>0.8571428571428571</v>
      </c>
      <c r="M1009" s="11" t="str">
        <f>IF(K1009&gt;=Paramètres!$F$6,"Très forte",IF(K1009&gt;=Paramètres!$F$5,"Forte",IF(K1009&gt;=Paramètres!$F$4,"Modérée","Faible")))</f>
        <v>Faible</v>
      </c>
    </row>
    <row r="1010" spans="1:13">
      <c r="A1010" t="s">
        <v>1219</v>
      </c>
      <c r="B1010" s="11">
        <v>92</v>
      </c>
      <c r="C1010" t="s">
        <v>94</v>
      </c>
      <c r="D1010" t="s">
        <v>797</v>
      </c>
      <c r="E1010" t="s">
        <v>832</v>
      </c>
      <c r="F1010" t="s">
        <v>92</v>
      </c>
      <c r="G1010" s="12">
        <v>34</v>
      </c>
      <c r="H1010" s="12">
        <v>322</v>
      </c>
      <c r="I1010" s="12">
        <v>26</v>
      </c>
      <c r="J1010" t="str">
        <f>VLOOKUP(B1010,Paramètres!$A$4:$C$11,3,FALSE)</f>
        <v>Petite couronne</v>
      </c>
      <c r="K1010" s="13">
        <f>IFERROR(H1010/G1010,"")</f>
        <v>9.4705882352941178</v>
      </c>
      <c r="L1010" s="14">
        <f>IFERROR(I1010/G1010,"")</f>
        <v>0.76470588235294112</v>
      </c>
      <c r="M1010" s="11" t="str">
        <f>IF(K1010&gt;=Paramètres!$F$6,"Très forte",IF(K1010&gt;=Paramètres!$F$5,"Forte",IF(K1010&gt;=Paramètres!$F$4,"Modérée","Faible")))</f>
        <v>Faible</v>
      </c>
    </row>
    <row r="1011" spans="1:13">
      <c r="A1011" t="s">
        <v>1145</v>
      </c>
      <c r="B1011" s="11">
        <v>91</v>
      </c>
      <c r="C1011" t="s">
        <v>105</v>
      </c>
      <c r="D1011" t="s">
        <v>797</v>
      </c>
      <c r="E1011" t="s">
        <v>867</v>
      </c>
      <c r="F1011" t="s">
        <v>92</v>
      </c>
      <c r="G1011" s="12">
        <v>35</v>
      </c>
      <c r="H1011" s="12">
        <v>331</v>
      </c>
      <c r="I1011" s="12">
        <v>34</v>
      </c>
      <c r="J1011" t="str">
        <f>VLOOKUP(B1011,Paramètres!$A$4:$C$11,3,FALSE)</f>
        <v>Grande couronne</v>
      </c>
      <c r="K1011" s="13">
        <f>IFERROR(H1011/G1011,"")</f>
        <v>9.4571428571428573</v>
      </c>
      <c r="L1011" s="14">
        <f>IFERROR(I1011/G1011,"")</f>
        <v>0.97142857142857142</v>
      </c>
      <c r="M1011" s="11" t="str">
        <f>IF(K1011&gt;=Paramètres!$F$6,"Très forte",IF(K1011&gt;=Paramètres!$F$5,"Forte",IF(K1011&gt;=Paramètres!$F$4,"Modérée","Faible")))</f>
        <v>Faible</v>
      </c>
    </row>
    <row r="1012" spans="1:13">
      <c r="A1012" t="s">
        <v>871</v>
      </c>
      <c r="B1012" s="11">
        <v>75</v>
      </c>
      <c r="C1012" t="s">
        <v>86</v>
      </c>
      <c r="D1012" t="s">
        <v>797</v>
      </c>
      <c r="E1012" t="s">
        <v>867</v>
      </c>
      <c r="F1012" t="s">
        <v>92</v>
      </c>
      <c r="G1012" s="12">
        <v>80</v>
      </c>
      <c r="H1012" s="12">
        <v>754</v>
      </c>
      <c r="I1012" s="12">
        <v>65</v>
      </c>
      <c r="J1012" t="str">
        <f>VLOOKUP(B1012,Paramètres!$A$4:$C$11,3,FALSE)</f>
        <v>Paris</v>
      </c>
      <c r="K1012" s="13">
        <f>IFERROR(H1012/G1012,"")</f>
        <v>9.4250000000000007</v>
      </c>
      <c r="L1012" s="14">
        <f>IFERROR(I1012/G1012,"")</f>
        <v>0.8125</v>
      </c>
      <c r="M1012" s="11" t="str">
        <f>IF(K1012&gt;=Paramètres!$F$6,"Très forte",IF(K1012&gt;=Paramètres!$F$5,"Forte",IF(K1012&gt;=Paramètres!$F$4,"Modérée","Faible")))</f>
        <v>Faible</v>
      </c>
    </row>
    <row r="1013" spans="1:13">
      <c r="A1013" t="s">
        <v>1178</v>
      </c>
      <c r="B1013" s="11">
        <v>75</v>
      </c>
      <c r="C1013" t="s">
        <v>86</v>
      </c>
      <c r="D1013" t="s">
        <v>797</v>
      </c>
      <c r="E1013" t="s">
        <v>1198</v>
      </c>
      <c r="F1013" t="s">
        <v>92</v>
      </c>
      <c r="G1013" s="12">
        <v>15</v>
      </c>
      <c r="H1013" s="12">
        <v>140</v>
      </c>
      <c r="I1013" s="12">
        <v>14</v>
      </c>
      <c r="J1013" t="str">
        <f>VLOOKUP(B1013,Paramètres!$A$4:$C$11,3,FALSE)</f>
        <v>Paris</v>
      </c>
      <c r="K1013" s="13">
        <f>IFERROR(H1013/G1013,"")</f>
        <v>9.3333333333333339</v>
      </c>
      <c r="L1013" s="14">
        <f>IFERROR(I1013/G1013,"")</f>
        <v>0.93333333333333335</v>
      </c>
      <c r="M1013" s="11" t="str">
        <f>IF(K1013&gt;=Paramètres!$F$6,"Très forte",IF(K1013&gt;=Paramètres!$F$5,"Forte",IF(K1013&gt;=Paramètres!$F$4,"Modérée","Faible")))</f>
        <v>Faible</v>
      </c>
    </row>
    <row r="1014" spans="1:13">
      <c r="A1014" t="s">
        <v>1054</v>
      </c>
      <c r="B1014" s="11">
        <v>77</v>
      </c>
      <c r="C1014" t="s">
        <v>132</v>
      </c>
      <c r="D1014" t="s">
        <v>797</v>
      </c>
      <c r="E1014" t="s">
        <v>860</v>
      </c>
      <c r="F1014" t="s">
        <v>92</v>
      </c>
      <c r="G1014" s="12">
        <v>24</v>
      </c>
      <c r="H1014" s="12">
        <v>223</v>
      </c>
      <c r="I1014" s="12">
        <v>19</v>
      </c>
      <c r="J1014" t="str">
        <f>VLOOKUP(B1014,Paramètres!$A$4:$C$11,3,FALSE)</f>
        <v>Grande couronne</v>
      </c>
      <c r="K1014" s="13">
        <f>IFERROR(H1014/G1014,"")</f>
        <v>9.2916666666666661</v>
      </c>
      <c r="L1014" s="14">
        <f>IFERROR(I1014/G1014,"")</f>
        <v>0.79166666666666663</v>
      </c>
      <c r="M1014" s="11" t="str">
        <f>IF(K1014&gt;=Paramètres!$F$6,"Très forte",IF(K1014&gt;=Paramètres!$F$5,"Forte",IF(K1014&gt;=Paramètres!$F$4,"Modérée","Faible")))</f>
        <v>Faible</v>
      </c>
    </row>
    <row r="1015" spans="1:13">
      <c r="A1015" t="s">
        <v>1226</v>
      </c>
      <c r="B1015" s="11">
        <v>93</v>
      </c>
      <c r="C1015" t="s">
        <v>100</v>
      </c>
      <c r="D1015" t="s">
        <v>797</v>
      </c>
      <c r="E1015" t="s">
        <v>867</v>
      </c>
      <c r="F1015" t="s">
        <v>92</v>
      </c>
      <c r="G1015" s="12">
        <v>24</v>
      </c>
      <c r="H1015" s="12">
        <v>223</v>
      </c>
      <c r="I1015" s="12">
        <v>13</v>
      </c>
      <c r="J1015" t="str">
        <f>VLOOKUP(B1015,Paramètres!$A$4:$C$11,3,FALSE)</f>
        <v>Petite couronne</v>
      </c>
      <c r="K1015" s="13">
        <f>IFERROR(H1015/G1015,"")</f>
        <v>9.2916666666666661</v>
      </c>
      <c r="L1015" s="14">
        <f>IFERROR(I1015/G1015,"")</f>
        <v>0.54166666666666663</v>
      </c>
      <c r="M1015" s="11" t="str">
        <f>IF(K1015&gt;=Paramètres!$F$6,"Très forte",IF(K1015&gt;=Paramètres!$F$5,"Forte",IF(K1015&gt;=Paramètres!$F$4,"Modérée","Faible")))</f>
        <v>Faible</v>
      </c>
    </row>
    <row r="1016" spans="1:13">
      <c r="A1016" t="s">
        <v>889</v>
      </c>
      <c r="B1016" s="11">
        <v>77</v>
      </c>
      <c r="C1016" t="s">
        <v>132</v>
      </c>
      <c r="D1016" t="s">
        <v>797</v>
      </c>
      <c r="E1016" t="s">
        <v>798</v>
      </c>
      <c r="F1016" t="s">
        <v>92</v>
      </c>
      <c r="G1016" s="12">
        <v>24</v>
      </c>
      <c r="H1016" s="12">
        <v>223</v>
      </c>
      <c r="I1016" s="12">
        <v>20</v>
      </c>
      <c r="J1016" t="str">
        <f>VLOOKUP(B1016,Paramètres!$A$4:$C$11,3,FALSE)</f>
        <v>Grande couronne</v>
      </c>
      <c r="K1016" s="13">
        <f>IFERROR(H1016/G1016,"")</f>
        <v>9.2916666666666661</v>
      </c>
      <c r="L1016" s="14">
        <f>IFERROR(I1016/G1016,"")</f>
        <v>0.83333333333333337</v>
      </c>
      <c r="M1016" s="11" t="str">
        <f>IF(K1016&gt;=Paramètres!$F$6,"Très forte",IF(K1016&gt;=Paramètres!$F$5,"Forte",IF(K1016&gt;=Paramètres!$F$4,"Modérée","Faible")))</f>
        <v>Faible</v>
      </c>
    </row>
    <row r="1017" spans="1:13">
      <c r="A1017" t="s">
        <v>1075</v>
      </c>
      <c r="B1017" s="11">
        <v>92</v>
      </c>
      <c r="C1017" t="s">
        <v>94</v>
      </c>
      <c r="D1017" t="s">
        <v>797</v>
      </c>
      <c r="E1017" t="s">
        <v>822</v>
      </c>
      <c r="F1017" t="s">
        <v>92</v>
      </c>
      <c r="G1017" s="12">
        <v>28</v>
      </c>
      <c r="H1017" s="12">
        <v>260</v>
      </c>
      <c r="I1017" s="12">
        <v>19</v>
      </c>
      <c r="J1017" t="str">
        <f>VLOOKUP(B1017,Paramètres!$A$4:$C$11,3,FALSE)</f>
        <v>Petite couronne</v>
      </c>
      <c r="K1017" s="13">
        <f>IFERROR(H1017/G1017,"")</f>
        <v>9.2857142857142865</v>
      </c>
      <c r="L1017" s="14">
        <f>IFERROR(I1017/G1017,"")</f>
        <v>0.6785714285714286</v>
      </c>
      <c r="M1017" s="11" t="str">
        <f>IF(K1017&gt;=Paramètres!$F$6,"Très forte",IF(K1017&gt;=Paramètres!$F$5,"Forte",IF(K1017&gt;=Paramètres!$F$4,"Modérée","Faible")))</f>
        <v>Faible</v>
      </c>
    </row>
    <row r="1018" spans="1:13">
      <c r="A1018" t="s">
        <v>921</v>
      </c>
      <c r="B1018" s="11">
        <v>91</v>
      </c>
      <c r="C1018" t="s">
        <v>105</v>
      </c>
      <c r="D1018" t="s">
        <v>797</v>
      </c>
      <c r="E1018" t="s">
        <v>1028</v>
      </c>
      <c r="F1018" t="s">
        <v>92</v>
      </c>
      <c r="G1018" s="12">
        <v>30</v>
      </c>
      <c r="H1018" s="12">
        <v>275</v>
      </c>
      <c r="I1018" s="12">
        <v>25</v>
      </c>
      <c r="J1018" t="str">
        <f>VLOOKUP(B1018,Paramètres!$A$4:$C$11,3,FALSE)</f>
        <v>Grande couronne</v>
      </c>
      <c r="K1018" s="13">
        <f>IFERROR(H1018/G1018,"")</f>
        <v>9.1666666666666661</v>
      </c>
      <c r="L1018" s="14">
        <f>IFERROR(I1018/G1018,"")</f>
        <v>0.83333333333333337</v>
      </c>
      <c r="M1018" s="11" t="str">
        <f>IF(K1018&gt;=Paramètres!$F$6,"Très forte",IF(K1018&gt;=Paramètres!$F$5,"Forte",IF(K1018&gt;=Paramètres!$F$4,"Modérée","Faible")))</f>
        <v>Faible</v>
      </c>
    </row>
    <row r="1019" spans="1:13">
      <c r="A1019" t="s">
        <v>1036</v>
      </c>
      <c r="B1019" s="11">
        <v>75</v>
      </c>
      <c r="C1019" t="s">
        <v>86</v>
      </c>
      <c r="D1019" t="s">
        <v>797</v>
      </c>
      <c r="E1019" t="s">
        <v>878</v>
      </c>
      <c r="F1019" t="s">
        <v>92</v>
      </c>
      <c r="G1019" s="12">
        <v>72</v>
      </c>
      <c r="H1019" s="12">
        <v>657</v>
      </c>
      <c r="I1019" s="12">
        <v>56</v>
      </c>
      <c r="J1019" t="str">
        <f>VLOOKUP(B1019,Paramètres!$A$4:$C$11,3,FALSE)</f>
        <v>Paris</v>
      </c>
      <c r="K1019" s="13">
        <f>IFERROR(H1019/G1019,"")</f>
        <v>9.125</v>
      </c>
      <c r="L1019" s="14">
        <f>IFERROR(I1019/G1019,"")</f>
        <v>0.77777777777777779</v>
      </c>
      <c r="M1019" s="11" t="str">
        <f>IF(K1019&gt;=Paramètres!$F$6,"Très forte",IF(K1019&gt;=Paramètres!$F$5,"Forte",IF(K1019&gt;=Paramètres!$F$4,"Modérée","Faible")))</f>
        <v>Faible</v>
      </c>
    </row>
    <row r="1020" spans="1:13">
      <c r="A1020" t="s">
        <v>873</v>
      </c>
      <c r="B1020" s="11">
        <v>75</v>
      </c>
      <c r="C1020" t="s">
        <v>86</v>
      </c>
      <c r="D1020" t="s">
        <v>797</v>
      </c>
      <c r="E1020" t="s">
        <v>798</v>
      </c>
      <c r="F1020" t="s">
        <v>92</v>
      </c>
      <c r="G1020" s="12">
        <v>70</v>
      </c>
      <c r="H1020" s="12">
        <v>638</v>
      </c>
      <c r="I1020" s="12">
        <v>54</v>
      </c>
      <c r="J1020" t="str">
        <f>VLOOKUP(B1020,Paramètres!$A$4:$C$11,3,FALSE)</f>
        <v>Paris</v>
      </c>
      <c r="K1020" s="13">
        <f>IFERROR(H1020/G1020,"")</f>
        <v>9.1142857142857139</v>
      </c>
      <c r="L1020" s="14">
        <f>IFERROR(I1020/G1020,"")</f>
        <v>0.77142857142857146</v>
      </c>
      <c r="M1020" s="11" t="str">
        <f>IF(K1020&gt;=Paramètres!$F$6,"Très forte",IF(K1020&gt;=Paramètres!$F$5,"Forte",IF(K1020&gt;=Paramètres!$F$4,"Modérée","Faible")))</f>
        <v>Faible</v>
      </c>
    </row>
    <row r="1021" spans="1:13">
      <c r="A1021" t="s">
        <v>1147</v>
      </c>
      <c r="B1021" s="11">
        <v>91</v>
      </c>
      <c r="C1021" t="s">
        <v>105</v>
      </c>
      <c r="D1021" t="s">
        <v>797</v>
      </c>
      <c r="E1021" t="s">
        <v>867</v>
      </c>
      <c r="F1021" t="s">
        <v>92</v>
      </c>
      <c r="G1021" s="12">
        <v>36</v>
      </c>
      <c r="H1021" s="12">
        <v>328</v>
      </c>
      <c r="I1021" s="12">
        <v>29</v>
      </c>
      <c r="J1021" t="str">
        <f>VLOOKUP(B1021,Paramètres!$A$4:$C$11,3,FALSE)</f>
        <v>Grande couronne</v>
      </c>
      <c r="K1021" s="13">
        <f>IFERROR(H1021/G1021,"")</f>
        <v>9.1111111111111107</v>
      </c>
      <c r="L1021" s="14">
        <f>IFERROR(I1021/G1021,"")</f>
        <v>0.80555555555555558</v>
      </c>
      <c r="M1021" s="11" t="str">
        <f>IF(K1021&gt;=Paramètres!$F$6,"Très forte",IF(K1021&gt;=Paramètres!$F$5,"Forte",IF(K1021&gt;=Paramètres!$F$4,"Modérée","Faible")))</f>
        <v>Faible</v>
      </c>
    </row>
    <row r="1022" spans="1:13">
      <c r="A1022" t="s">
        <v>950</v>
      </c>
      <c r="B1022" s="11">
        <v>93</v>
      </c>
      <c r="C1022" t="s">
        <v>100</v>
      </c>
      <c r="D1022" t="s">
        <v>797</v>
      </c>
      <c r="E1022" t="s">
        <v>836</v>
      </c>
      <c r="F1022" t="s">
        <v>92</v>
      </c>
      <c r="G1022" s="12">
        <v>24</v>
      </c>
      <c r="H1022" s="12">
        <v>217</v>
      </c>
      <c r="I1022" s="12">
        <v>23</v>
      </c>
      <c r="J1022" t="str">
        <f>VLOOKUP(B1022,Paramètres!$A$4:$C$11,3,FALSE)</f>
        <v>Petite couronne</v>
      </c>
      <c r="K1022" s="13">
        <f>IFERROR(H1022/G1022,"")</f>
        <v>9.0416666666666661</v>
      </c>
      <c r="L1022" s="14">
        <f>IFERROR(I1022/G1022,"")</f>
        <v>0.95833333333333337</v>
      </c>
      <c r="M1022" s="11" t="str">
        <f>IF(K1022&gt;=Paramètres!$F$6,"Très forte",IF(K1022&gt;=Paramètres!$F$5,"Forte",IF(K1022&gt;=Paramètres!$F$4,"Modérée","Faible")))</f>
        <v>Faible</v>
      </c>
    </row>
    <row r="1023" spans="1:13">
      <c r="A1023" t="s">
        <v>946</v>
      </c>
      <c r="B1023" s="11">
        <v>93</v>
      </c>
      <c r="C1023" t="s">
        <v>100</v>
      </c>
      <c r="D1023" t="s">
        <v>797</v>
      </c>
      <c r="E1023" t="s">
        <v>858</v>
      </c>
      <c r="F1023" t="s">
        <v>92</v>
      </c>
      <c r="G1023" s="12">
        <v>24</v>
      </c>
      <c r="H1023" s="12">
        <v>217</v>
      </c>
      <c r="I1023" s="12">
        <v>23</v>
      </c>
      <c r="J1023" t="str">
        <f>VLOOKUP(B1023,Paramètres!$A$4:$C$11,3,FALSE)</f>
        <v>Petite couronne</v>
      </c>
      <c r="K1023" s="13">
        <f>IFERROR(H1023/G1023,"")</f>
        <v>9.0416666666666661</v>
      </c>
      <c r="L1023" s="14">
        <f>IFERROR(I1023/G1023,"")</f>
        <v>0.95833333333333337</v>
      </c>
      <c r="M1023" s="11" t="str">
        <f>IF(K1023&gt;=Paramètres!$F$6,"Très forte",IF(K1023&gt;=Paramètres!$F$5,"Forte",IF(K1023&gt;=Paramètres!$F$4,"Modérée","Faible")))</f>
        <v>Faible</v>
      </c>
    </row>
    <row r="1024" spans="1:13">
      <c r="A1024" t="s">
        <v>915</v>
      </c>
      <c r="B1024" s="11">
        <v>91</v>
      </c>
      <c r="C1024" t="s">
        <v>105</v>
      </c>
      <c r="D1024" t="s">
        <v>797</v>
      </c>
      <c r="E1024" t="s">
        <v>872</v>
      </c>
      <c r="F1024" t="s">
        <v>92</v>
      </c>
      <c r="G1024" s="12">
        <v>33</v>
      </c>
      <c r="H1024" s="12">
        <v>297</v>
      </c>
      <c r="I1024" s="12">
        <v>32</v>
      </c>
      <c r="J1024" t="str">
        <f>VLOOKUP(B1024,Paramètres!$A$4:$C$11,3,FALSE)</f>
        <v>Grande couronne</v>
      </c>
      <c r="K1024" s="13">
        <f>IFERROR(H1024/G1024,"")</f>
        <v>9</v>
      </c>
      <c r="L1024" s="14">
        <f>IFERROR(I1024/G1024,"")</f>
        <v>0.96969696969696972</v>
      </c>
      <c r="M1024" s="11" t="str">
        <f>IF(K1024&gt;=Paramètres!$F$6,"Très forte",IF(K1024&gt;=Paramètres!$F$5,"Forte",IF(K1024&gt;=Paramètres!$F$4,"Modérée","Faible")))</f>
        <v>Faible</v>
      </c>
    </row>
    <row r="1025" spans="1:13">
      <c r="A1025" t="s">
        <v>1104</v>
      </c>
      <c r="B1025" s="11">
        <v>94</v>
      </c>
      <c r="C1025" t="s">
        <v>116</v>
      </c>
      <c r="D1025" t="s">
        <v>797</v>
      </c>
      <c r="E1025" t="s">
        <v>885</v>
      </c>
      <c r="F1025" t="s">
        <v>92</v>
      </c>
      <c r="G1025" s="12">
        <v>33</v>
      </c>
      <c r="H1025" s="12">
        <v>297</v>
      </c>
      <c r="I1025" s="12">
        <v>19</v>
      </c>
      <c r="J1025" t="str">
        <f>VLOOKUP(B1025,Paramètres!$A$4:$C$11,3,FALSE)</f>
        <v>Petite couronne</v>
      </c>
      <c r="K1025" s="13">
        <f>IFERROR(H1025/G1025,"")</f>
        <v>9</v>
      </c>
      <c r="L1025" s="14">
        <f>IFERROR(I1025/G1025,"")</f>
        <v>0.5757575757575758</v>
      </c>
      <c r="M1025" s="11" t="str">
        <f>IF(K1025&gt;=Paramètres!$F$6,"Très forte",IF(K1025&gt;=Paramètres!$F$5,"Forte",IF(K1025&gt;=Paramètres!$F$4,"Modérée","Faible")))</f>
        <v>Faible</v>
      </c>
    </row>
    <row r="1026" spans="1:13">
      <c r="A1026" t="s">
        <v>1061</v>
      </c>
      <c r="B1026" s="11">
        <v>78</v>
      </c>
      <c r="C1026" t="s">
        <v>135</v>
      </c>
      <c r="D1026" t="s">
        <v>797</v>
      </c>
      <c r="E1026" t="s">
        <v>861</v>
      </c>
      <c r="F1026" t="s">
        <v>92</v>
      </c>
      <c r="G1026" s="12">
        <v>24</v>
      </c>
      <c r="H1026" s="12">
        <v>211</v>
      </c>
      <c r="I1026" s="12">
        <v>17</v>
      </c>
      <c r="J1026" t="str">
        <f>VLOOKUP(B1026,Paramètres!$A$4:$C$11,3,FALSE)</f>
        <v>Grande couronne</v>
      </c>
      <c r="K1026" s="13">
        <f>IFERROR(H1026/G1026,"")</f>
        <v>8.7916666666666661</v>
      </c>
      <c r="L1026" s="14">
        <f>IFERROR(I1026/G1026,"")</f>
        <v>0.70833333333333337</v>
      </c>
      <c r="M1026" s="11" t="str">
        <f>IF(K1026&gt;=Paramètres!$F$6,"Très forte",IF(K1026&gt;=Paramètres!$F$5,"Forte",IF(K1026&gt;=Paramètres!$F$4,"Modérée","Faible")))</f>
        <v>Faible</v>
      </c>
    </row>
    <row r="1027" spans="1:13">
      <c r="A1027" t="s">
        <v>871</v>
      </c>
      <c r="B1027" s="11">
        <v>75</v>
      </c>
      <c r="C1027" t="s">
        <v>86</v>
      </c>
      <c r="D1027" t="s">
        <v>797</v>
      </c>
      <c r="E1027" t="s">
        <v>872</v>
      </c>
      <c r="F1027" t="s">
        <v>92</v>
      </c>
      <c r="G1027" s="12">
        <v>40</v>
      </c>
      <c r="H1027" s="12">
        <v>350</v>
      </c>
      <c r="I1027" s="12">
        <v>15</v>
      </c>
      <c r="J1027" t="str">
        <f>VLOOKUP(B1027,Paramètres!$A$4:$C$11,3,FALSE)</f>
        <v>Paris</v>
      </c>
      <c r="K1027" s="13">
        <f>IFERROR(H1027/G1027,"")</f>
        <v>8.75</v>
      </c>
      <c r="L1027" s="14">
        <f>IFERROR(I1027/G1027,"")</f>
        <v>0.375</v>
      </c>
      <c r="M1027" s="11" t="str">
        <f>IF(K1027&gt;=Paramètres!$F$6,"Très forte",IF(K1027&gt;=Paramètres!$F$5,"Forte",IF(K1027&gt;=Paramètres!$F$4,"Modérée","Faible")))</f>
        <v>Faible</v>
      </c>
    </row>
    <row r="1028" spans="1:13">
      <c r="A1028" t="s">
        <v>992</v>
      </c>
      <c r="B1028" s="11">
        <v>75</v>
      </c>
      <c r="C1028" t="s">
        <v>86</v>
      </c>
      <c r="D1028" t="s">
        <v>797</v>
      </c>
      <c r="E1028" t="s">
        <v>844</v>
      </c>
      <c r="F1028" t="s">
        <v>92</v>
      </c>
      <c r="G1028" s="12">
        <v>36</v>
      </c>
      <c r="H1028" s="12">
        <v>315</v>
      </c>
      <c r="I1028" s="12">
        <v>26</v>
      </c>
      <c r="J1028" t="str">
        <f>VLOOKUP(B1028,Paramètres!$A$4:$C$11,3,FALSE)</f>
        <v>Paris</v>
      </c>
      <c r="K1028" s="13">
        <f>IFERROR(H1028/G1028,"")</f>
        <v>8.75</v>
      </c>
      <c r="L1028" s="14">
        <f>IFERROR(I1028/G1028,"")</f>
        <v>0.72222222222222221</v>
      </c>
      <c r="M1028" s="11" t="str">
        <f>IF(K1028&gt;=Paramètres!$F$6,"Très forte",IF(K1028&gt;=Paramètres!$F$5,"Forte",IF(K1028&gt;=Paramètres!$F$4,"Modérée","Faible")))</f>
        <v>Faible</v>
      </c>
    </row>
    <row r="1029" spans="1:13">
      <c r="A1029" t="s">
        <v>893</v>
      </c>
      <c r="B1029" s="11">
        <v>77</v>
      </c>
      <c r="C1029" t="s">
        <v>132</v>
      </c>
      <c r="D1029" t="s">
        <v>797</v>
      </c>
      <c r="E1029" t="s">
        <v>1003</v>
      </c>
      <c r="F1029" t="s">
        <v>92</v>
      </c>
      <c r="G1029" s="12">
        <v>24</v>
      </c>
      <c r="H1029" s="12">
        <v>210</v>
      </c>
      <c r="I1029" s="12">
        <v>17</v>
      </c>
      <c r="J1029" t="str">
        <f>VLOOKUP(B1029,Paramètres!$A$4:$C$11,3,FALSE)</f>
        <v>Grande couronne</v>
      </c>
      <c r="K1029" s="13">
        <f>IFERROR(H1029/G1029,"")</f>
        <v>8.75</v>
      </c>
      <c r="L1029" s="14">
        <f>IFERROR(I1029/G1029,"")</f>
        <v>0.70833333333333337</v>
      </c>
      <c r="M1029" s="11" t="str">
        <f>IF(K1029&gt;=Paramètres!$F$6,"Très forte",IF(K1029&gt;=Paramètres!$F$5,"Forte",IF(K1029&gt;=Paramètres!$F$4,"Modérée","Faible")))</f>
        <v>Faible</v>
      </c>
    </row>
    <row r="1030" spans="1:13">
      <c r="A1030" t="s">
        <v>863</v>
      </c>
      <c r="B1030" s="11">
        <v>75</v>
      </c>
      <c r="C1030" t="s">
        <v>86</v>
      </c>
      <c r="D1030" t="s">
        <v>797</v>
      </c>
      <c r="E1030" t="s">
        <v>864</v>
      </c>
      <c r="F1030" t="s">
        <v>92</v>
      </c>
      <c r="G1030" s="12">
        <v>28</v>
      </c>
      <c r="H1030" s="12">
        <v>244</v>
      </c>
      <c r="I1030" s="12">
        <v>28</v>
      </c>
      <c r="J1030" t="str">
        <f>VLOOKUP(B1030,Paramètres!$A$4:$C$11,3,FALSE)</f>
        <v>Paris</v>
      </c>
      <c r="K1030" s="13">
        <f>IFERROR(H1030/G1030,"")</f>
        <v>8.7142857142857135</v>
      </c>
      <c r="L1030" s="14">
        <f>IFERROR(I1030/G1030,"")</f>
        <v>1</v>
      </c>
      <c r="M1030" s="11" t="str">
        <f>IF(K1030&gt;=Paramètres!$F$6,"Très forte",IF(K1030&gt;=Paramètres!$F$5,"Forte",IF(K1030&gt;=Paramètres!$F$4,"Modérée","Faible")))</f>
        <v>Faible</v>
      </c>
    </row>
    <row r="1031" spans="1:13">
      <c r="A1031" t="s">
        <v>907</v>
      </c>
      <c r="B1031" s="11">
        <v>93</v>
      </c>
      <c r="C1031" t="s">
        <v>100</v>
      </c>
      <c r="D1031" t="s">
        <v>797</v>
      </c>
      <c r="E1031" t="s">
        <v>838</v>
      </c>
      <c r="F1031" t="s">
        <v>92</v>
      </c>
      <c r="G1031" s="12">
        <v>24</v>
      </c>
      <c r="H1031" s="12">
        <v>209</v>
      </c>
      <c r="I1031" s="12">
        <v>21</v>
      </c>
      <c r="J1031" t="str">
        <f>VLOOKUP(B1031,Paramètres!$A$4:$C$11,3,FALSE)</f>
        <v>Petite couronne</v>
      </c>
      <c r="K1031" s="13">
        <f>IFERROR(H1031/G1031,"")</f>
        <v>8.7083333333333339</v>
      </c>
      <c r="L1031" s="14">
        <f>IFERROR(I1031/G1031,"")</f>
        <v>0.875</v>
      </c>
      <c r="M1031" s="11" t="str">
        <f>IF(K1031&gt;=Paramètres!$F$6,"Très forte",IF(K1031&gt;=Paramètres!$F$5,"Forte",IF(K1031&gt;=Paramètres!$F$4,"Modérée","Faible")))</f>
        <v>Faible</v>
      </c>
    </row>
    <row r="1032" spans="1:13">
      <c r="A1032" t="s">
        <v>1104</v>
      </c>
      <c r="B1032" s="11">
        <v>94</v>
      </c>
      <c r="C1032" t="s">
        <v>116</v>
      </c>
      <c r="D1032" t="s">
        <v>797</v>
      </c>
      <c r="E1032" t="s">
        <v>798</v>
      </c>
      <c r="F1032" t="s">
        <v>92</v>
      </c>
      <c r="G1032" s="12">
        <v>32</v>
      </c>
      <c r="H1032" s="12">
        <v>276</v>
      </c>
      <c r="I1032" s="12">
        <v>15</v>
      </c>
      <c r="J1032" t="str">
        <f>VLOOKUP(B1032,Paramètres!$A$4:$C$11,3,FALSE)</f>
        <v>Petite couronne</v>
      </c>
      <c r="K1032" s="13">
        <f>IFERROR(H1032/G1032,"")</f>
        <v>8.625</v>
      </c>
      <c r="L1032" s="14">
        <f>IFERROR(I1032/G1032,"")</f>
        <v>0.46875</v>
      </c>
      <c r="M1032" s="11" t="str">
        <f>IF(K1032&gt;=Paramètres!$F$6,"Très forte",IF(K1032&gt;=Paramètres!$F$5,"Forte",IF(K1032&gt;=Paramètres!$F$4,"Modérée","Faible")))</f>
        <v>Faible</v>
      </c>
    </row>
    <row r="1033" spans="1:13">
      <c r="A1033" t="s">
        <v>1129</v>
      </c>
      <c r="B1033" s="11">
        <v>94</v>
      </c>
      <c r="C1033" t="s">
        <v>116</v>
      </c>
      <c r="D1033" t="s">
        <v>797</v>
      </c>
      <c r="E1033" t="s">
        <v>845</v>
      </c>
      <c r="F1033" t="s">
        <v>92</v>
      </c>
      <c r="G1033" s="12">
        <v>34</v>
      </c>
      <c r="H1033" s="12">
        <v>292</v>
      </c>
      <c r="I1033" s="12">
        <v>18</v>
      </c>
      <c r="J1033" t="str">
        <f>VLOOKUP(B1033,Paramètres!$A$4:$C$11,3,FALSE)</f>
        <v>Petite couronne</v>
      </c>
      <c r="K1033" s="13">
        <f>IFERROR(H1033/G1033,"")</f>
        <v>8.5882352941176467</v>
      </c>
      <c r="L1033" s="14">
        <f>IFERROR(I1033/G1033,"")</f>
        <v>0.52941176470588236</v>
      </c>
      <c r="M1033" s="11" t="str">
        <f>IF(K1033&gt;=Paramètres!$F$6,"Très forte",IF(K1033&gt;=Paramètres!$F$5,"Forte",IF(K1033&gt;=Paramètres!$F$4,"Modérée","Faible")))</f>
        <v>Faible</v>
      </c>
    </row>
    <row r="1034" spans="1:13">
      <c r="A1034" t="s">
        <v>1212</v>
      </c>
      <c r="B1034" s="11">
        <v>78</v>
      </c>
      <c r="C1034" t="s">
        <v>135</v>
      </c>
      <c r="D1034" t="s">
        <v>797</v>
      </c>
      <c r="E1034" t="s">
        <v>883</v>
      </c>
      <c r="F1034" t="s">
        <v>92</v>
      </c>
      <c r="G1034" s="12">
        <v>24</v>
      </c>
      <c r="H1034" s="12">
        <v>206</v>
      </c>
      <c r="I1034" s="12">
        <v>19</v>
      </c>
      <c r="J1034" t="str">
        <f>VLOOKUP(B1034,Paramètres!$A$4:$C$11,3,FALSE)</f>
        <v>Grande couronne</v>
      </c>
      <c r="K1034" s="13">
        <f>IFERROR(H1034/G1034,"")</f>
        <v>8.5833333333333339</v>
      </c>
      <c r="L1034" s="14">
        <f>IFERROR(I1034/G1034,"")</f>
        <v>0.79166666666666663</v>
      </c>
      <c r="M1034" s="11" t="str">
        <f>IF(K1034&gt;=Paramètres!$F$6,"Très forte",IF(K1034&gt;=Paramètres!$F$5,"Forte",IF(K1034&gt;=Paramètres!$F$4,"Modérée","Faible")))</f>
        <v>Faible</v>
      </c>
    </row>
    <row r="1035" spans="1:13">
      <c r="A1035" t="s">
        <v>879</v>
      </c>
      <c r="B1035" s="11">
        <v>75</v>
      </c>
      <c r="C1035" t="s">
        <v>86</v>
      </c>
      <c r="D1035" t="s">
        <v>797</v>
      </c>
      <c r="E1035" t="s">
        <v>822</v>
      </c>
      <c r="F1035" t="s">
        <v>92</v>
      </c>
      <c r="G1035" s="12">
        <v>28</v>
      </c>
      <c r="H1035" s="12">
        <v>240</v>
      </c>
      <c r="I1035" s="12">
        <v>25</v>
      </c>
      <c r="J1035" t="str">
        <f>VLOOKUP(B1035,Paramètres!$A$4:$C$11,3,FALSE)</f>
        <v>Paris</v>
      </c>
      <c r="K1035" s="13">
        <f>IFERROR(H1035/G1035,"")</f>
        <v>8.5714285714285712</v>
      </c>
      <c r="L1035" s="14">
        <f>IFERROR(I1035/G1035,"")</f>
        <v>0.8928571428571429</v>
      </c>
      <c r="M1035" s="11" t="str">
        <f>IF(K1035&gt;=Paramètres!$F$6,"Très forte",IF(K1035&gt;=Paramètres!$F$5,"Forte",IF(K1035&gt;=Paramètres!$F$4,"Modérée","Faible")))</f>
        <v>Faible</v>
      </c>
    </row>
    <row r="1036" spans="1:13">
      <c r="A1036" t="s">
        <v>888</v>
      </c>
      <c r="B1036" s="11">
        <v>77</v>
      </c>
      <c r="C1036" t="s">
        <v>132</v>
      </c>
      <c r="D1036" t="s">
        <v>797</v>
      </c>
      <c r="E1036" t="s">
        <v>838</v>
      </c>
      <c r="F1036" t="s">
        <v>92</v>
      </c>
      <c r="G1036" s="12">
        <v>24</v>
      </c>
      <c r="H1036" s="12">
        <v>205</v>
      </c>
      <c r="I1036" s="12">
        <v>24</v>
      </c>
      <c r="J1036" t="str">
        <f>VLOOKUP(B1036,Paramètres!$A$4:$C$11,3,FALSE)</f>
        <v>Grande couronne</v>
      </c>
      <c r="K1036" s="13">
        <f>IFERROR(H1036/G1036,"")</f>
        <v>8.5416666666666661</v>
      </c>
      <c r="L1036" s="14">
        <f>IFERROR(I1036/G1036,"")</f>
        <v>1</v>
      </c>
      <c r="M1036" s="11" t="str">
        <f>IF(K1036&gt;=Paramètres!$F$6,"Très forte",IF(K1036&gt;=Paramètres!$F$5,"Forte",IF(K1036&gt;=Paramètres!$F$4,"Modérée","Faible")))</f>
        <v>Faible</v>
      </c>
    </row>
    <row r="1037" spans="1:13">
      <c r="A1037" t="s">
        <v>1062</v>
      </c>
      <c r="B1037" s="11">
        <v>78</v>
      </c>
      <c r="C1037" t="s">
        <v>135</v>
      </c>
      <c r="D1037" t="s">
        <v>797</v>
      </c>
      <c r="E1037" t="s">
        <v>968</v>
      </c>
      <c r="F1037" t="s">
        <v>92</v>
      </c>
      <c r="G1037" s="12">
        <v>15</v>
      </c>
      <c r="H1037" s="12">
        <v>128</v>
      </c>
      <c r="I1037" s="12">
        <v>16</v>
      </c>
      <c r="J1037" t="str">
        <f>VLOOKUP(B1037,Paramètres!$A$4:$C$11,3,FALSE)</f>
        <v>Grande couronne</v>
      </c>
      <c r="K1037" s="13">
        <f>IFERROR(H1037/G1037,"")</f>
        <v>8.5333333333333332</v>
      </c>
      <c r="L1037" s="14">
        <f>IFERROR(I1037/G1037,"")</f>
        <v>1.0666666666666667</v>
      </c>
      <c r="M1037" s="11" t="str">
        <f>IF(K1037&gt;=Paramètres!$F$6,"Très forte",IF(K1037&gt;=Paramètres!$F$5,"Forte",IF(K1037&gt;=Paramètres!$F$4,"Modérée","Faible")))</f>
        <v>Faible</v>
      </c>
    </row>
    <row r="1038" spans="1:13">
      <c r="A1038" t="s">
        <v>973</v>
      </c>
      <c r="B1038" s="11">
        <v>94</v>
      </c>
      <c r="C1038" t="s">
        <v>116</v>
      </c>
      <c r="D1038" t="s">
        <v>797</v>
      </c>
      <c r="E1038" t="s">
        <v>825</v>
      </c>
      <c r="F1038" t="s">
        <v>92</v>
      </c>
      <c r="G1038" s="12">
        <v>36</v>
      </c>
      <c r="H1038" s="12">
        <v>307</v>
      </c>
      <c r="I1038" s="12">
        <v>15</v>
      </c>
      <c r="J1038" t="str">
        <f>VLOOKUP(B1038,Paramètres!$A$4:$C$11,3,FALSE)</f>
        <v>Petite couronne</v>
      </c>
      <c r="K1038" s="13">
        <f>IFERROR(H1038/G1038,"")</f>
        <v>8.5277777777777786</v>
      </c>
      <c r="L1038" s="14">
        <f>IFERROR(I1038/G1038,"")</f>
        <v>0.41666666666666669</v>
      </c>
      <c r="M1038" s="11" t="str">
        <f>IF(K1038&gt;=Paramètres!$F$6,"Très forte",IF(K1038&gt;=Paramètres!$F$5,"Forte",IF(K1038&gt;=Paramètres!$F$4,"Modérée","Faible")))</f>
        <v>Faible</v>
      </c>
    </row>
    <row r="1039" spans="1:13">
      <c r="A1039" t="s">
        <v>873</v>
      </c>
      <c r="B1039" s="11">
        <v>75</v>
      </c>
      <c r="C1039" t="s">
        <v>86</v>
      </c>
      <c r="D1039" t="s">
        <v>797</v>
      </c>
      <c r="E1039" t="s">
        <v>822</v>
      </c>
      <c r="F1039" t="s">
        <v>92</v>
      </c>
      <c r="G1039" s="12">
        <v>35</v>
      </c>
      <c r="H1039" s="12">
        <v>298</v>
      </c>
      <c r="I1039" s="12">
        <v>24</v>
      </c>
      <c r="J1039" t="str">
        <f>VLOOKUP(B1039,Paramètres!$A$4:$C$11,3,FALSE)</f>
        <v>Paris</v>
      </c>
      <c r="K1039" s="13">
        <f>IFERROR(H1039/G1039,"")</f>
        <v>8.5142857142857142</v>
      </c>
      <c r="L1039" s="14">
        <f>IFERROR(I1039/G1039,"")</f>
        <v>0.68571428571428572</v>
      </c>
      <c r="M1039" s="11" t="str">
        <f>IF(K1039&gt;=Paramètres!$F$6,"Très forte",IF(K1039&gt;=Paramètres!$F$5,"Forte",IF(K1039&gt;=Paramètres!$F$4,"Modérée","Faible")))</f>
        <v>Faible</v>
      </c>
    </row>
    <row r="1040" spans="1:13">
      <c r="A1040" t="s">
        <v>1042</v>
      </c>
      <c r="B1040" s="11">
        <v>75</v>
      </c>
      <c r="C1040" t="s">
        <v>86</v>
      </c>
      <c r="D1040" t="s">
        <v>797</v>
      </c>
      <c r="E1040" t="s">
        <v>920</v>
      </c>
      <c r="F1040" t="s">
        <v>92</v>
      </c>
      <c r="G1040" s="12">
        <v>30</v>
      </c>
      <c r="H1040" s="12">
        <v>254</v>
      </c>
      <c r="I1040" s="12">
        <v>26</v>
      </c>
      <c r="J1040" t="str">
        <f>VLOOKUP(B1040,Paramètres!$A$4:$C$11,3,FALSE)</f>
        <v>Paris</v>
      </c>
      <c r="K1040" s="13">
        <f>IFERROR(H1040/G1040,"")</f>
        <v>8.4666666666666668</v>
      </c>
      <c r="L1040" s="14">
        <f>IFERROR(I1040/G1040,"")</f>
        <v>0.8666666666666667</v>
      </c>
      <c r="M1040" s="11" t="str">
        <f>IF(K1040&gt;=Paramètres!$F$6,"Très forte",IF(K1040&gt;=Paramètres!$F$5,"Forte",IF(K1040&gt;=Paramètres!$F$4,"Modérée","Faible")))</f>
        <v>Faible</v>
      </c>
    </row>
    <row r="1041" spans="1:13">
      <c r="A1041" t="s">
        <v>914</v>
      </c>
      <c r="B1041" s="11">
        <v>91</v>
      </c>
      <c r="C1041" t="s">
        <v>105</v>
      </c>
      <c r="D1041" t="s">
        <v>797</v>
      </c>
      <c r="E1041" t="s">
        <v>838</v>
      </c>
      <c r="F1041" t="s">
        <v>92</v>
      </c>
      <c r="G1041" s="12">
        <v>24</v>
      </c>
      <c r="H1041" s="12">
        <v>203</v>
      </c>
      <c r="I1041" s="12">
        <v>21</v>
      </c>
      <c r="J1041" t="str">
        <f>VLOOKUP(B1041,Paramètres!$A$4:$C$11,3,FALSE)</f>
        <v>Grande couronne</v>
      </c>
      <c r="K1041" s="13">
        <f>IFERROR(H1041/G1041,"")</f>
        <v>8.4583333333333339</v>
      </c>
      <c r="L1041" s="14">
        <f>IFERROR(I1041/G1041,"")</f>
        <v>0.875</v>
      </c>
      <c r="M1041" s="11" t="str">
        <f>IF(K1041&gt;=Paramètres!$F$6,"Très forte",IF(K1041&gt;=Paramètres!$F$5,"Forte",IF(K1041&gt;=Paramètres!$F$4,"Modérée","Faible")))</f>
        <v>Faible</v>
      </c>
    </row>
    <row r="1042" spans="1:13">
      <c r="A1042" t="s">
        <v>973</v>
      </c>
      <c r="B1042" s="11">
        <v>94</v>
      </c>
      <c r="C1042" t="s">
        <v>116</v>
      </c>
      <c r="D1042" t="s">
        <v>797</v>
      </c>
      <c r="E1042" t="s">
        <v>822</v>
      </c>
      <c r="F1042" t="s">
        <v>92</v>
      </c>
      <c r="G1042" s="12">
        <v>36</v>
      </c>
      <c r="H1042" s="12">
        <v>304</v>
      </c>
      <c r="I1042" s="12">
        <v>28</v>
      </c>
      <c r="J1042" t="str">
        <f>VLOOKUP(B1042,Paramètres!$A$4:$C$11,3,FALSE)</f>
        <v>Petite couronne</v>
      </c>
      <c r="K1042" s="13">
        <f>IFERROR(H1042/G1042,"")</f>
        <v>8.4444444444444446</v>
      </c>
      <c r="L1042" s="14">
        <f>IFERROR(I1042/G1042,"")</f>
        <v>0.77777777777777779</v>
      </c>
      <c r="M1042" s="11" t="str">
        <f>IF(K1042&gt;=Paramètres!$F$6,"Très forte",IF(K1042&gt;=Paramètres!$F$5,"Forte",IF(K1042&gt;=Paramètres!$F$4,"Modérée","Faible")))</f>
        <v>Faible</v>
      </c>
    </row>
    <row r="1043" spans="1:13">
      <c r="A1043" t="s">
        <v>1089</v>
      </c>
      <c r="B1043" s="11">
        <v>93</v>
      </c>
      <c r="C1043" t="s">
        <v>100</v>
      </c>
      <c r="D1043" t="s">
        <v>797</v>
      </c>
      <c r="E1043" t="s">
        <v>822</v>
      </c>
      <c r="F1043" t="s">
        <v>92</v>
      </c>
      <c r="G1043" s="12">
        <v>36</v>
      </c>
      <c r="H1043" s="12">
        <v>303</v>
      </c>
      <c r="I1043" s="12">
        <v>23</v>
      </c>
      <c r="J1043" t="str">
        <f>VLOOKUP(B1043,Paramètres!$A$4:$C$11,3,FALSE)</f>
        <v>Petite couronne</v>
      </c>
      <c r="K1043" s="13">
        <f>IFERROR(H1043/G1043,"")</f>
        <v>8.4166666666666661</v>
      </c>
      <c r="L1043" s="14">
        <f>IFERROR(I1043/G1043,"")</f>
        <v>0.63888888888888884</v>
      </c>
      <c r="M1043" s="11" t="str">
        <f>IF(K1043&gt;=Paramètres!$F$6,"Très forte",IF(K1043&gt;=Paramètres!$F$5,"Forte",IF(K1043&gt;=Paramètres!$F$4,"Modérée","Faible")))</f>
        <v>Faible</v>
      </c>
    </row>
    <row r="1044" spans="1:13">
      <c r="A1044" t="s">
        <v>1098</v>
      </c>
      <c r="B1044" s="11">
        <v>94</v>
      </c>
      <c r="C1044" t="s">
        <v>116</v>
      </c>
      <c r="D1044" t="s">
        <v>797</v>
      </c>
      <c r="E1044" t="s">
        <v>1035</v>
      </c>
      <c r="F1044" t="s">
        <v>92</v>
      </c>
      <c r="G1044" s="12">
        <v>30</v>
      </c>
      <c r="H1044" s="12">
        <v>251</v>
      </c>
      <c r="I1044" s="12">
        <v>21</v>
      </c>
      <c r="J1044" t="str">
        <f>VLOOKUP(B1044,Paramètres!$A$4:$C$11,3,FALSE)</f>
        <v>Petite couronne</v>
      </c>
      <c r="K1044" s="13">
        <f>IFERROR(H1044/G1044,"")</f>
        <v>8.3666666666666671</v>
      </c>
      <c r="L1044" s="14">
        <f>IFERROR(I1044/G1044,"")</f>
        <v>0.7</v>
      </c>
      <c r="M1044" s="11" t="str">
        <f>IF(K1044&gt;=Paramètres!$F$6,"Très forte",IF(K1044&gt;=Paramètres!$F$5,"Forte",IF(K1044&gt;=Paramètres!$F$4,"Modérée","Faible")))</f>
        <v>Faible</v>
      </c>
    </row>
    <row r="1045" spans="1:13">
      <c r="A1045" t="s">
        <v>1139</v>
      </c>
      <c r="B1045" s="11">
        <v>75</v>
      </c>
      <c r="C1045" t="s">
        <v>86</v>
      </c>
      <c r="D1045" t="s">
        <v>797</v>
      </c>
      <c r="E1045" t="s">
        <v>832</v>
      </c>
      <c r="F1045" t="s">
        <v>92</v>
      </c>
      <c r="G1045" s="12">
        <v>24</v>
      </c>
      <c r="H1045" s="12">
        <v>200</v>
      </c>
      <c r="I1045" s="12">
        <v>18</v>
      </c>
      <c r="J1045" t="str">
        <f>VLOOKUP(B1045,Paramètres!$A$4:$C$11,3,FALSE)</f>
        <v>Paris</v>
      </c>
      <c r="K1045" s="13">
        <f>IFERROR(H1045/G1045,"")</f>
        <v>8.3333333333333339</v>
      </c>
      <c r="L1045" s="14">
        <f>IFERROR(I1045/G1045,"")</f>
        <v>0.75</v>
      </c>
      <c r="M1045" s="11" t="str">
        <f>IF(K1045&gt;=Paramètres!$F$6,"Très forte",IF(K1045&gt;=Paramètres!$F$5,"Forte",IF(K1045&gt;=Paramètres!$F$4,"Modérée","Faible")))</f>
        <v>Faible</v>
      </c>
    </row>
    <row r="1046" spans="1:13">
      <c r="A1046" t="s">
        <v>1098</v>
      </c>
      <c r="B1046" s="11">
        <v>94</v>
      </c>
      <c r="C1046" t="s">
        <v>116</v>
      </c>
      <c r="D1046" t="s">
        <v>797</v>
      </c>
      <c r="E1046" t="s">
        <v>1028</v>
      </c>
      <c r="F1046" t="s">
        <v>92</v>
      </c>
      <c r="G1046" s="12">
        <v>16</v>
      </c>
      <c r="H1046" s="12">
        <v>132</v>
      </c>
      <c r="I1046" s="12">
        <v>10</v>
      </c>
      <c r="J1046" t="str">
        <f>VLOOKUP(B1046,Paramètres!$A$4:$C$11,3,FALSE)</f>
        <v>Petite couronne</v>
      </c>
      <c r="K1046" s="13">
        <f>IFERROR(H1046/G1046,"")</f>
        <v>8.25</v>
      </c>
      <c r="L1046" s="14">
        <f>IFERROR(I1046/G1046,"")</f>
        <v>0.625</v>
      </c>
      <c r="M1046" s="11" t="str">
        <f>IF(K1046&gt;=Paramètres!$F$6,"Très forte",IF(K1046&gt;=Paramètres!$F$5,"Forte",IF(K1046&gt;=Paramètres!$F$4,"Modérée","Faible")))</f>
        <v>Faible</v>
      </c>
    </row>
    <row r="1047" spans="1:13">
      <c r="A1047" t="s">
        <v>955</v>
      </c>
      <c r="B1047" s="11">
        <v>93</v>
      </c>
      <c r="C1047" t="s">
        <v>100</v>
      </c>
      <c r="D1047" t="s">
        <v>797</v>
      </c>
      <c r="E1047" t="s">
        <v>864</v>
      </c>
      <c r="F1047" t="s">
        <v>92</v>
      </c>
      <c r="G1047" s="12">
        <v>65</v>
      </c>
      <c r="H1047" s="12">
        <v>536</v>
      </c>
      <c r="I1047" s="12">
        <v>31</v>
      </c>
      <c r="J1047" t="str">
        <f>VLOOKUP(B1047,Paramètres!$A$4:$C$11,3,FALSE)</f>
        <v>Petite couronne</v>
      </c>
      <c r="K1047" s="13">
        <f>IFERROR(H1047/G1047,"")</f>
        <v>8.2461538461538453</v>
      </c>
      <c r="L1047" s="14">
        <f>IFERROR(I1047/G1047,"")</f>
        <v>0.47692307692307695</v>
      </c>
      <c r="M1047" s="11" t="str">
        <f>IF(K1047&gt;=Paramètres!$F$6,"Très forte",IF(K1047&gt;=Paramètres!$F$5,"Forte",IF(K1047&gt;=Paramètres!$F$4,"Modérée","Faible")))</f>
        <v>Faible</v>
      </c>
    </row>
    <row r="1048" spans="1:13">
      <c r="A1048" t="s">
        <v>882</v>
      </c>
      <c r="B1048" s="11">
        <v>77</v>
      </c>
      <c r="C1048" t="s">
        <v>132</v>
      </c>
      <c r="D1048" t="s">
        <v>797</v>
      </c>
      <c r="E1048" t="s">
        <v>849</v>
      </c>
      <c r="F1048" t="s">
        <v>92</v>
      </c>
      <c r="G1048" s="12">
        <v>22</v>
      </c>
      <c r="H1048" s="12">
        <v>180</v>
      </c>
      <c r="I1048" s="12">
        <v>20</v>
      </c>
      <c r="J1048" t="str">
        <f>VLOOKUP(B1048,Paramètres!$A$4:$C$11,3,FALSE)</f>
        <v>Grande couronne</v>
      </c>
      <c r="K1048" s="13">
        <f>IFERROR(H1048/G1048,"")</f>
        <v>8.1818181818181817</v>
      </c>
      <c r="L1048" s="14">
        <f>IFERROR(I1048/G1048,"")</f>
        <v>0.90909090909090906</v>
      </c>
      <c r="M1048" s="11" t="str">
        <f>IF(K1048&gt;=Paramètres!$F$6,"Très forte",IF(K1048&gt;=Paramètres!$F$5,"Forte",IF(K1048&gt;=Paramètres!$F$4,"Modérée","Faible")))</f>
        <v>Faible</v>
      </c>
    </row>
    <row r="1049" spans="1:13">
      <c r="A1049" t="s">
        <v>937</v>
      </c>
      <c r="B1049" s="11">
        <v>92</v>
      </c>
      <c r="C1049" t="s">
        <v>94</v>
      </c>
      <c r="D1049" t="s">
        <v>797</v>
      </c>
      <c r="E1049" t="s">
        <v>860</v>
      </c>
      <c r="F1049" t="s">
        <v>92</v>
      </c>
      <c r="G1049" s="12">
        <v>18</v>
      </c>
      <c r="H1049" s="12">
        <v>147</v>
      </c>
      <c r="I1049" s="12">
        <v>9</v>
      </c>
      <c r="J1049" t="str">
        <f>VLOOKUP(B1049,Paramètres!$A$4:$C$11,3,FALSE)</f>
        <v>Petite couronne</v>
      </c>
      <c r="K1049" s="13">
        <f>IFERROR(H1049/G1049,"")</f>
        <v>8.1666666666666661</v>
      </c>
      <c r="L1049" s="14">
        <f>IFERROR(I1049/G1049,"")</f>
        <v>0.5</v>
      </c>
      <c r="M1049" s="11" t="str">
        <f>IF(K1049&gt;=Paramètres!$F$6,"Très forte",IF(K1049&gt;=Paramètres!$F$5,"Forte",IF(K1049&gt;=Paramètres!$F$4,"Modérée","Faible")))</f>
        <v>Faible</v>
      </c>
    </row>
    <row r="1050" spans="1:13">
      <c r="A1050" t="s">
        <v>1062</v>
      </c>
      <c r="B1050" s="11">
        <v>78</v>
      </c>
      <c r="C1050" t="s">
        <v>135</v>
      </c>
      <c r="D1050" t="s">
        <v>797</v>
      </c>
      <c r="E1050" t="s">
        <v>1096</v>
      </c>
      <c r="F1050" t="s">
        <v>92</v>
      </c>
      <c r="G1050" s="12">
        <v>15</v>
      </c>
      <c r="H1050" s="12">
        <v>121</v>
      </c>
      <c r="I1050" s="12">
        <v>12</v>
      </c>
      <c r="J1050" t="str">
        <f>VLOOKUP(B1050,Paramètres!$A$4:$C$11,3,FALSE)</f>
        <v>Grande couronne</v>
      </c>
      <c r="K1050" s="13">
        <f>IFERROR(H1050/G1050,"")</f>
        <v>8.0666666666666664</v>
      </c>
      <c r="L1050" s="14">
        <f>IFERROR(I1050/G1050,"")</f>
        <v>0.8</v>
      </c>
      <c r="M1050" s="11" t="str">
        <f>IF(K1050&gt;=Paramètres!$F$6,"Très forte",IF(K1050&gt;=Paramètres!$F$5,"Forte",IF(K1050&gt;=Paramètres!$F$4,"Modérée","Faible")))</f>
        <v>Faible</v>
      </c>
    </row>
    <row r="1051" spans="1:13">
      <c r="A1051" t="s">
        <v>984</v>
      </c>
      <c r="B1051" s="11">
        <v>95</v>
      </c>
      <c r="C1051" t="s">
        <v>90</v>
      </c>
      <c r="D1051" t="s">
        <v>797</v>
      </c>
      <c r="E1051" t="s">
        <v>883</v>
      </c>
      <c r="F1051" t="s">
        <v>92</v>
      </c>
      <c r="G1051" s="12">
        <v>24</v>
      </c>
      <c r="H1051" s="12">
        <v>193</v>
      </c>
      <c r="I1051" s="12">
        <v>19</v>
      </c>
      <c r="J1051" t="str">
        <f>VLOOKUP(B1051,Paramètres!$A$4:$C$11,3,FALSE)</f>
        <v>Grande couronne</v>
      </c>
      <c r="K1051" s="13">
        <f>IFERROR(H1051/G1051,"")</f>
        <v>8.0416666666666661</v>
      </c>
      <c r="L1051" s="14">
        <f>IFERROR(I1051/G1051,"")</f>
        <v>0.79166666666666663</v>
      </c>
      <c r="M1051" s="11" t="str">
        <f>IF(K1051&gt;=Paramètres!$F$6,"Très forte",IF(K1051&gt;=Paramètres!$F$5,"Forte",IF(K1051&gt;=Paramètres!$F$4,"Modérée","Faible")))</f>
        <v>Faible</v>
      </c>
    </row>
    <row r="1052" spans="1:13">
      <c r="A1052" t="s">
        <v>1064</v>
      </c>
      <c r="B1052" s="11">
        <v>78</v>
      </c>
      <c r="C1052" t="s">
        <v>135</v>
      </c>
      <c r="D1052" t="s">
        <v>797</v>
      </c>
      <c r="E1052" t="s">
        <v>1065</v>
      </c>
      <c r="F1052" t="s">
        <v>92</v>
      </c>
      <c r="G1052" s="12">
        <v>28</v>
      </c>
      <c r="H1052" s="12">
        <v>223</v>
      </c>
      <c r="I1052" s="12">
        <v>18</v>
      </c>
      <c r="J1052" t="str">
        <f>VLOOKUP(B1052,Paramètres!$A$4:$C$11,3,FALSE)</f>
        <v>Grande couronne</v>
      </c>
      <c r="K1052" s="13">
        <f>IFERROR(H1052/G1052,"")</f>
        <v>7.9642857142857144</v>
      </c>
      <c r="L1052" s="14">
        <f>IFERROR(I1052/G1052,"")</f>
        <v>0.6428571428571429</v>
      </c>
      <c r="M1052" s="11" t="str">
        <f>IF(K1052&gt;=Paramètres!$F$6,"Très forte",IF(K1052&gt;=Paramètres!$F$5,"Forte",IF(K1052&gt;=Paramètres!$F$4,"Modérée","Faible")))</f>
        <v>Faible</v>
      </c>
    </row>
    <row r="1053" spans="1:13">
      <c r="A1053" t="s">
        <v>815</v>
      </c>
      <c r="B1053" s="11">
        <v>91</v>
      </c>
      <c r="C1053" t="s">
        <v>105</v>
      </c>
      <c r="D1053" t="s">
        <v>797</v>
      </c>
      <c r="E1053" t="s">
        <v>940</v>
      </c>
      <c r="F1053" t="s">
        <v>92</v>
      </c>
      <c r="G1053" s="12">
        <v>24</v>
      </c>
      <c r="H1053" s="12">
        <v>191</v>
      </c>
      <c r="I1053" s="12">
        <v>23</v>
      </c>
      <c r="J1053" t="str">
        <f>VLOOKUP(B1053,Paramètres!$A$4:$C$11,3,FALSE)</f>
        <v>Grande couronne</v>
      </c>
      <c r="K1053" s="13">
        <f>IFERROR(H1053/G1053,"")</f>
        <v>7.958333333333333</v>
      </c>
      <c r="L1053" s="14">
        <f>IFERROR(I1053/G1053,"")</f>
        <v>0.95833333333333337</v>
      </c>
      <c r="M1053" s="11" t="str">
        <f>IF(K1053&gt;=Paramètres!$F$6,"Très forte",IF(K1053&gt;=Paramètres!$F$5,"Forte",IF(K1053&gt;=Paramètres!$F$4,"Modérée","Faible")))</f>
        <v>Faible</v>
      </c>
    </row>
    <row r="1054" spans="1:13">
      <c r="A1054" t="s">
        <v>886</v>
      </c>
      <c r="B1054" s="11">
        <v>77</v>
      </c>
      <c r="C1054" t="s">
        <v>132</v>
      </c>
      <c r="D1054" t="s">
        <v>797</v>
      </c>
      <c r="E1054" t="s">
        <v>852</v>
      </c>
      <c r="F1054" t="s">
        <v>92</v>
      </c>
      <c r="G1054" s="12">
        <v>24</v>
      </c>
      <c r="H1054" s="12">
        <v>190</v>
      </c>
      <c r="I1054" s="12">
        <v>20</v>
      </c>
      <c r="J1054" t="str">
        <f>VLOOKUP(B1054,Paramètres!$A$4:$C$11,3,FALSE)</f>
        <v>Grande couronne</v>
      </c>
      <c r="K1054" s="13">
        <f>IFERROR(H1054/G1054,"")</f>
        <v>7.916666666666667</v>
      </c>
      <c r="L1054" s="14">
        <f>IFERROR(I1054/G1054,"")</f>
        <v>0.83333333333333337</v>
      </c>
      <c r="M1054" s="11" t="str">
        <f>IF(K1054&gt;=Paramètres!$F$6,"Très forte",IF(K1054&gt;=Paramètres!$F$5,"Forte",IF(K1054&gt;=Paramètres!$F$4,"Modérée","Faible")))</f>
        <v>Faible</v>
      </c>
    </row>
    <row r="1055" spans="1:13">
      <c r="A1055" t="s">
        <v>1063</v>
      </c>
      <c r="B1055" s="11">
        <v>78</v>
      </c>
      <c r="C1055" t="s">
        <v>135</v>
      </c>
      <c r="D1055" t="s">
        <v>797</v>
      </c>
      <c r="E1055" t="s">
        <v>891</v>
      </c>
      <c r="F1055" t="s">
        <v>92</v>
      </c>
      <c r="G1055" s="12">
        <v>28</v>
      </c>
      <c r="H1055" s="12">
        <v>221</v>
      </c>
      <c r="I1055" s="12">
        <v>23</v>
      </c>
      <c r="J1055" t="str">
        <f>VLOOKUP(B1055,Paramètres!$A$4:$C$11,3,FALSE)</f>
        <v>Grande couronne</v>
      </c>
      <c r="K1055" s="13">
        <f>IFERROR(H1055/G1055,"")</f>
        <v>7.8928571428571432</v>
      </c>
      <c r="L1055" s="14">
        <f>IFERROR(I1055/G1055,"")</f>
        <v>0.8214285714285714</v>
      </c>
      <c r="M1055" s="11" t="str">
        <f>IF(K1055&gt;=Paramètres!$F$6,"Très forte",IF(K1055&gt;=Paramètres!$F$5,"Forte",IF(K1055&gt;=Paramètres!$F$4,"Modérée","Faible")))</f>
        <v>Faible</v>
      </c>
    </row>
    <row r="1056" spans="1:13">
      <c r="A1056" t="s">
        <v>887</v>
      </c>
      <c r="B1056" s="11">
        <v>77</v>
      </c>
      <c r="C1056" t="s">
        <v>132</v>
      </c>
      <c r="D1056" t="s">
        <v>797</v>
      </c>
      <c r="E1056" t="s">
        <v>832</v>
      </c>
      <c r="F1056" t="s">
        <v>92</v>
      </c>
      <c r="G1056" s="12">
        <v>35</v>
      </c>
      <c r="H1056" s="12">
        <v>276</v>
      </c>
      <c r="I1056" s="12">
        <v>28</v>
      </c>
      <c r="J1056" t="str">
        <f>VLOOKUP(B1056,Paramètres!$A$4:$C$11,3,FALSE)</f>
        <v>Grande couronne</v>
      </c>
      <c r="K1056" s="13">
        <f>IFERROR(H1056/G1056,"")</f>
        <v>7.8857142857142861</v>
      </c>
      <c r="L1056" s="14">
        <f>IFERROR(I1056/G1056,"")</f>
        <v>0.8</v>
      </c>
      <c r="M1056" s="11" t="str">
        <f>IF(K1056&gt;=Paramètres!$F$6,"Très forte",IF(K1056&gt;=Paramètres!$F$5,"Forte",IF(K1056&gt;=Paramètres!$F$4,"Modérée","Faible")))</f>
        <v>Faible</v>
      </c>
    </row>
    <row r="1057" spans="1:13">
      <c r="A1057" t="s">
        <v>874</v>
      </c>
      <c r="B1057" s="11">
        <v>75</v>
      </c>
      <c r="C1057" t="s">
        <v>86</v>
      </c>
      <c r="D1057" t="s">
        <v>797</v>
      </c>
      <c r="E1057" t="s">
        <v>832</v>
      </c>
      <c r="F1057" t="s">
        <v>92</v>
      </c>
      <c r="G1057" s="12">
        <v>36</v>
      </c>
      <c r="H1057" s="12">
        <v>282</v>
      </c>
      <c r="I1057" s="12">
        <v>14</v>
      </c>
      <c r="J1057" t="str">
        <f>VLOOKUP(B1057,Paramètres!$A$4:$C$11,3,FALSE)</f>
        <v>Paris</v>
      </c>
      <c r="K1057" s="13">
        <f>IFERROR(H1057/G1057,"")</f>
        <v>7.833333333333333</v>
      </c>
      <c r="L1057" s="14">
        <f>IFERROR(I1057/G1057,"")</f>
        <v>0.3888888888888889</v>
      </c>
      <c r="M1057" s="11" t="str">
        <f>IF(K1057&gt;=Paramètres!$F$6,"Très forte",IF(K1057&gt;=Paramètres!$F$5,"Forte",IF(K1057&gt;=Paramètres!$F$4,"Modérée","Faible")))</f>
        <v>Faible</v>
      </c>
    </row>
    <row r="1058" spans="1:13">
      <c r="A1058" t="s">
        <v>992</v>
      </c>
      <c r="B1058" s="11">
        <v>75</v>
      </c>
      <c r="C1058" t="s">
        <v>86</v>
      </c>
      <c r="D1058" t="s">
        <v>797</v>
      </c>
      <c r="E1058" t="s">
        <v>1032</v>
      </c>
      <c r="F1058" t="s">
        <v>92</v>
      </c>
      <c r="G1058" s="12">
        <v>88</v>
      </c>
      <c r="H1058" s="12">
        <v>687</v>
      </c>
      <c r="I1058" s="12">
        <v>42</v>
      </c>
      <c r="J1058" t="str">
        <f>VLOOKUP(B1058,Paramètres!$A$4:$C$11,3,FALSE)</f>
        <v>Paris</v>
      </c>
      <c r="K1058" s="13">
        <f>IFERROR(H1058/G1058,"")</f>
        <v>7.8068181818181817</v>
      </c>
      <c r="L1058" s="14">
        <f>IFERROR(I1058/G1058,"")</f>
        <v>0.47727272727272729</v>
      </c>
      <c r="M1058" s="11" t="str">
        <f>IF(K1058&gt;=Paramètres!$F$6,"Très forte",IF(K1058&gt;=Paramètres!$F$5,"Forte",IF(K1058&gt;=Paramètres!$F$4,"Modérée","Faible")))</f>
        <v>Faible</v>
      </c>
    </row>
    <row r="1059" spans="1:13">
      <c r="A1059" t="s">
        <v>893</v>
      </c>
      <c r="B1059" s="11">
        <v>77</v>
      </c>
      <c r="C1059" t="s">
        <v>132</v>
      </c>
      <c r="D1059" t="s">
        <v>797</v>
      </c>
      <c r="E1059" t="s">
        <v>832</v>
      </c>
      <c r="F1059" t="s">
        <v>92</v>
      </c>
      <c r="G1059" s="12">
        <v>24</v>
      </c>
      <c r="H1059" s="12">
        <v>187</v>
      </c>
      <c r="I1059" s="12">
        <v>18</v>
      </c>
      <c r="J1059" t="str">
        <f>VLOOKUP(B1059,Paramètres!$A$4:$C$11,3,FALSE)</f>
        <v>Grande couronne</v>
      </c>
      <c r="K1059" s="13">
        <f>IFERROR(H1059/G1059,"")</f>
        <v>7.791666666666667</v>
      </c>
      <c r="L1059" s="14">
        <f>IFERROR(I1059/G1059,"")</f>
        <v>0.75</v>
      </c>
      <c r="M1059" s="11" t="str">
        <f>IF(K1059&gt;=Paramètres!$F$6,"Très forte",IF(K1059&gt;=Paramètres!$F$5,"Forte",IF(K1059&gt;=Paramètres!$F$4,"Modérée","Faible")))</f>
        <v>Faible</v>
      </c>
    </row>
    <row r="1060" spans="1:13">
      <c r="A1060" t="s">
        <v>879</v>
      </c>
      <c r="B1060" s="11">
        <v>75</v>
      </c>
      <c r="C1060" t="s">
        <v>86</v>
      </c>
      <c r="D1060" t="s">
        <v>797</v>
      </c>
      <c r="E1060" t="s">
        <v>825</v>
      </c>
      <c r="F1060" t="s">
        <v>92</v>
      </c>
      <c r="G1060" s="12">
        <v>32</v>
      </c>
      <c r="H1060" s="12">
        <v>249</v>
      </c>
      <c r="I1060" s="12">
        <v>22</v>
      </c>
      <c r="J1060" t="str">
        <f>VLOOKUP(B1060,Paramètres!$A$4:$C$11,3,FALSE)</f>
        <v>Paris</v>
      </c>
      <c r="K1060" s="13">
        <f>IFERROR(H1060/G1060,"")</f>
        <v>7.78125</v>
      </c>
      <c r="L1060" s="14">
        <f>IFERROR(I1060/G1060,"")</f>
        <v>0.6875</v>
      </c>
      <c r="M1060" s="11" t="str">
        <f>IF(K1060&gt;=Paramètres!$F$6,"Très forte",IF(K1060&gt;=Paramètres!$F$5,"Forte",IF(K1060&gt;=Paramètres!$F$4,"Modérée","Faible")))</f>
        <v>Faible</v>
      </c>
    </row>
    <row r="1061" spans="1:13">
      <c r="A1061" t="s">
        <v>970</v>
      </c>
      <c r="B1061" s="11">
        <v>94</v>
      </c>
      <c r="C1061" t="s">
        <v>116</v>
      </c>
      <c r="D1061" t="s">
        <v>797</v>
      </c>
      <c r="E1061" t="s">
        <v>972</v>
      </c>
      <c r="F1061" t="s">
        <v>92</v>
      </c>
      <c r="G1061" s="12">
        <v>26</v>
      </c>
      <c r="H1061" s="12">
        <v>202</v>
      </c>
      <c r="I1061" s="12">
        <v>25</v>
      </c>
      <c r="J1061" t="str">
        <f>VLOOKUP(B1061,Paramètres!$A$4:$C$11,3,FALSE)</f>
        <v>Petite couronne</v>
      </c>
      <c r="K1061" s="13">
        <f>IFERROR(H1061/G1061,"")</f>
        <v>7.7692307692307692</v>
      </c>
      <c r="L1061" s="14">
        <f>IFERROR(I1061/G1061,"")</f>
        <v>0.96153846153846156</v>
      </c>
      <c r="M1061" s="11" t="str">
        <f>IF(K1061&gt;=Paramètres!$F$6,"Très forte",IF(K1061&gt;=Paramètres!$F$5,"Forte",IF(K1061&gt;=Paramètres!$F$4,"Modérée","Faible")))</f>
        <v>Faible</v>
      </c>
    </row>
    <row r="1062" spans="1:13">
      <c r="A1062" t="s">
        <v>952</v>
      </c>
      <c r="B1062" s="11">
        <v>93</v>
      </c>
      <c r="C1062" t="s">
        <v>100</v>
      </c>
      <c r="D1062" t="s">
        <v>797</v>
      </c>
      <c r="E1062" t="s">
        <v>825</v>
      </c>
      <c r="F1062" t="s">
        <v>92</v>
      </c>
      <c r="G1062" s="12">
        <v>28</v>
      </c>
      <c r="H1062" s="12">
        <v>216</v>
      </c>
      <c r="I1062" s="12">
        <v>26</v>
      </c>
      <c r="J1062" t="str">
        <f>VLOOKUP(B1062,Paramètres!$A$4:$C$11,3,FALSE)</f>
        <v>Petite couronne</v>
      </c>
      <c r="K1062" s="13">
        <f>IFERROR(H1062/G1062,"")</f>
        <v>7.7142857142857144</v>
      </c>
      <c r="L1062" s="14">
        <f>IFERROR(I1062/G1062,"")</f>
        <v>0.9285714285714286</v>
      </c>
      <c r="M1062" s="11" t="str">
        <f>IF(K1062&gt;=Paramètres!$F$6,"Très forte",IF(K1062&gt;=Paramètres!$F$5,"Forte",IF(K1062&gt;=Paramètres!$F$4,"Modérée","Faible")))</f>
        <v>Faible</v>
      </c>
    </row>
    <row r="1063" spans="1:13">
      <c r="A1063" t="s">
        <v>909</v>
      </c>
      <c r="B1063" s="11">
        <v>78</v>
      </c>
      <c r="C1063" t="s">
        <v>135</v>
      </c>
      <c r="D1063" t="s">
        <v>797</v>
      </c>
      <c r="E1063" t="s">
        <v>838</v>
      </c>
      <c r="F1063" t="s">
        <v>92</v>
      </c>
      <c r="G1063" s="12">
        <v>23</v>
      </c>
      <c r="H1063" s="12">
        <v>177</v>
      </c>
      <c r="I1063" s="12">
        <v>13</v>
      </c>
      <c r="J1063" t="str">
        <f>VLOOKUP(B1063,Paramètres!$A$4:$C$11,3,FALSE)</f>
        <v>Grande couronne</v>
      </c>
      <c r="K1063" s="13">
        <f>IFERROR(H1063/G1063,"")</f>
        <v>7.6956521739130439</v>
      </c>
      <c r="L1063" s="14">
        <f>IFERROR(I1063/G1063,"")</f>
        <v>0.56521739130434778</v>
      </c>
      <c r="M1063" s="11" t="str">
        <f>IF(K1063&gt;=Paramètres!$F$6,"Très forte",IF(K1063&gt;=Paramètres!$F$5,"Forte",IF(K1063&gt;=Paramètres!$F$4,"Modérée","Faible")))</f>
        <v>Faible</v>
      </c>
    </row>
    <row r="1064" spans="1:13">
      <c r="A1064" t="s">
        <v>956</v>
      </c>
      <c r="B1064" s="11">
        <v>93</v>
      </c>
      <c r="C1064" t="s">
        <v>100</v>
      </c>
      <c r="D1064" t="s">
        <v>797</v>
      </c>
      <c r="E1064" t="s">
        <v>861</v>
      </c>
      <c r="F1064" t="s">
        <v>92</v>
      </c>
      <c r="G1064" s="12">
        <v>20</v>
      </c>
      <c r="H1064" s="12">
        <v>153</v>
      </c>
      <c r="I1064" s="12">
        <v>8</v>
      </c>
      <c r="J1064" t="str">
        <f>VLOOKUP(B1064,Paramètres!$A$4:$C$11,3,FALSE)</f>
        <v>Petite couronne</v>
      </c>
      <c r="K1064" s="13">
        <f>IFERROR(H1064/G1064,"")</f>
        <v>7.65</v>
      </c>
      <c r="L1064" s="14">
        <f>IFERROR(I1064/G1064,"")</f>
        <v>0.4</v>
      </c>
      <c r="M1064" s="11" t="str">
        <f>IF(K1064&gt;=Paramètres!$F$6,"Très forte",IF(K1064&gt;=Paramètres!$F$5,"Forte",IF(K1064&gt;=Paramètres!$F$4,"Modérée","Faible")))</f>
        <v>Faible</v>
      </c>
    </row>
    <row r="1065" spans="1:13">
      <c r="A1065" t="s">
        <v>880</v>
      </c>
      <c r="B1065" s="11">
        <v>77</v>
      </c>
      <c r="C1065" t="s">
        <v>132</v>
      </c>
      <c r="D1065" t="s">
        <v>797</v>
      </c>
      <c r="E1065" t="s">
        <v>861</v>
      </c>
      <c r="F1065" t="s">
        <v>92</v>
      </c>
      <c r="G1065" s="12">
        <v>24</v>
      </c>
      <c r="H1065" s="12">
        <v>183</v>
      </c>
      <c r="I1065" s="12">
        <v>21</v>
      </c>
      <c r="J1065" t="str">
        <f>VLOOKUP(B1065,Paramètres!$A$4:$C$11,3,FALSE)</f>
        <v>Grande couronne</v>
      </c>
      <c r="K1065" s="13">
        <f>IFERROR(H1065/G1065,"")</f>
        <v>7.625</v>
      </c>
      <c r="L1065" s="14">
        <f>IFERROR(I1065/G1065,"")</f>
        <v>0.875</v>
      </c>
      <c r="M1065" s="11" t="str">
        <f>IF(K1065&gt;=Paramètres!$F$6,"Très forte",IF(K1065&gt;=Paramètres!$F$5,"Forte",IF(K1065&gt;=Paramètres!$F$4,"Modérée","Faible")))</f>
        <v>Faible</v>
      </c>
    </row>
    <row r="1066" spans="1:13">
      <c r="A1066" t="s">
        <v>1192</v>
      </c>
      <c r="B1066" s="11">
        <v>93</v>
      </c>
      <c r="C1066" t="s">
        <v>100</v>
      </c>
      <c r="D1066" t="s">
        <v>797</v>
      </c>
      <c r="E1066" t="s">
        <v>823</v>
      </c>
      <c r="F1066" t="s">
        <v>92</v>
      </c>
      <c r="G1066" s="12">
        <v>50</v>
      </c>
      <c r="H1066" s="12">
        <v>372</v>
      </c>
      <c r="I1066" s="12">
        <v>43</v>
      </c>
      <c r="J1066" t="str">
        <f>VLOOKUP(B1066,Paramètres!$A$4:$C$11,3,FALSE)</f>
        <v>Petite couronne</v>
      </c>
      <c r="K1066" s="13">
        <f>IFERROR(H1066/G1066,"")</f>
        <v>7.44</v>
      </c>
      <c r="L1066" s="14">
        <f>IFERROR(I1066/G1066,"")</f>
        <v>0.86</v>
      </c>
      <c r="M1066" s="11" t="str">
        <f>IF(K1066&gt;=Paramètres!$F$6,"Très forte",IF(K1066&gt;=Paramètres!$F$5,"Forte",IF(K1066&gt;=Paramètres!$F$4,"Modérée","Faible")))</f>
        <v>Faible</v>
      </c>
    </row>
    <row r="1067" spans="1:13">
      <c r="A1067" t="s">
        <v>879</v>
      </c>
      <c r="B1067" s="11">
        <v>75</v>
      </c>
      <c r="C1067" t="s">
        <v>86</v>
      </c>
      <c r="D1067" t="s">
        <v>797</v>
      </c>
      <c r="E1067" t="s">
        <v>998</v>
      </c>
      <c r="F1067" t="s">
        <v>92</v>
      </c>
      <c r="G1067" s="12">
        <v>28</v>
      </c>
      <c r="H1067" s="12">
        <v>206</v>
      </c>
      <c r="I1067" s="12">
        <v>18</v>
      </c>
      <c r="J1067" t="str">
        <f>VLOOKUP(B1067,Paramètres!$A$4:$C$11,3,FALSE)</f>
        <v>Paris</v>
      </c>
      <c r="K1067" s="13">
        <f>IFERROR(H1067/G1067,"")</f>
        <v>7.3571428571428568</v>
      </c>
      <c r="L1067" s="14">
        <f>IFERROR(I1067/G1067,"")</f>
        <v>0.6428571428571429</v>
      </c>
      <c r="M1067" s="11" t="str">
        <f>IF(K1067&gt;=Paramètres!$F$6,"Très forte",IF(K1067&gt;=Paramètres!$F$5,"Forte",IF(K1067&gt;=Paramètres!$F$4,"Modérée","Faible")))</f>
        <v>Faible</v>
      </c>
    </row>
    <row r="1068" spans="1:13">
      <c r="A1068" t="s">
        <v>1098</v>
      </c>
      <c r="B1068" s="11">
        <v>94</v>
      </c>
      <c r="C1068" t="s">
        <v>116</v>
      </c>
      <c r="D1068" t="s">
        <v>797</v>
      </c>
      <c r="E1068" t="s">
        <v>852</v>
      </c>
      <c r="F1068" t="s">
        <v>92</v>
      </c>
      <c r="G1068" s="12">
        <v>70</v>
      </c>
      <c r="H1068" s="12">
        <v>511</v>
      </c>
      <c r="I1068" s="12">
        <v>56</v>
      </c>
      <c r="J1068" t="str">
        <f>VLOOKUP(B1068,Paramètres!$A$4:$C$11,3,FALSE)</f>
        <v>Petite couronne</v>
      </c>
      <c r="K1068" s="13">
        <f>IFERROR(H1068/G1068,"")</f>
        <v>7.3</v>
      </c>
      <c r="L1068" s="14">
        <f>IFERROR(I1068/G1068,"")</f>
        <v>0.8</v>
      </c>
      <c r="M1068" s="11" t="str">
        <f>IF(K1068&gt;=Paramètres!$F$6,"Très forte",IF(K1068&gt;=Paramètres!$F$5,"Forte",IF(K1068&gt;=Paramètres!$F$4,"Modérée","Faible")))</f>
        <v>Faible</v>
      </c>
    </row>
    <row r="1069" spans="1:13">
      <c r="A1069" t="s">
        <v>1080</v>
      </c>
      <c r="B1069" s="11">
        <v>92</v>
      </c>
      <c r="C1069" t="s">
        <v>94</v>
      </c>
      <c r="D1069" t="s">
        <v>797</v>
      </c>
      <c r="E1069" t="s">
        <v>878</v>
      </c>
      <c r="F1069" t="s">
        <v>92</v>
      </c>
      <c r="G1069" s="12">
        <v>39</v>
      </c>
      <c r="H1069" s="12">
        <v>284</v>
      </c>
      <c r="I1069" s="12">
        <v>35</v>
      </c>
      <c r="J1069" t="str">
        <f>VLOOKUP(B1069,Paramètres!$A$4:$C$11,3,FALSE)</f>
        <v>Petite couronne</v>
      </c>
      <c r="K1069" s="13">
        <f>IFERROR(H1069/G1069,"")</f>
        <v>7.2820512820512819</v>
      </c>
      <c r="L1069" s="14">
        <f>IFERROR(I1069/G1069,"")</f>
        <v>0.89743589743589747</v>
      </c>
      <c r="M1069" s="11" t="str">
        <f>IF(K1069&gt;=Paramètres!$F$6,"Très forte",IF(K1069&gt;=Paramètres!$F$5,"Forte",IF(K1069&gt;=Paramètres!$F$4,"Modérée","Faible")))</f>
        <v>Faible</v>
      </c>
    </row>
    <row r="1070" spans="1:13">
      <c r="A1070" t="s">
        <v>873</v>
      </c>
      <c r="B1070" s="11">
        <v>75</v>
      </c>
      <c r="C1070" t="s">
        <v>86</v>
      </c>
      <c r="D1070" t="s">
        <v>797</v>
      </c>
      <c r="E1070" t="s">
        <v>832</v>
      </c>
      <c r="F1070" t="s">
        <v>92</v>
      </c>
      <c r="G1070" s="12">
        <v>35</v>
      </c>
      <c r="H1070" s="12">
        <v>253</v>
      </c>
      <c r="I1070" s="12">
        <v>15</v>
      </c>
      <c r="J1070" t="str">
        <f>VLOOKUP(B1070,Paramètres!$A$4:$C$11,3,FALSE)</f>
        <v>Paris</v>
      </c>
      <c r="K1070" s="13">
        <f>IFERROR(H1070/G1070,"")</f>
        <v>7.2285714285714286</v>
      </c>
      <c r="L1070" s="14">
        <f>IFERROR(I1070/G1070,"")</f>
        <v>0.42857142857142855</v>
      </c>
      <c r="M1070" s="11" t="str">
        <f>IF(K1070&gt;=Paramètres!$F$6,"Très forte",IF(K1070&gt;=Paramètres!$F$5,"Forte",IF(K1070&gt;=Paramètres!$F$4,"Modérée","Faible")))</f>
        <v>Faible</v>
      </c>
    </row>
    <row r="1071" spans="1:13">
      <c r="A1071" t="s">
        <v>895</v>
      </c>
      <c r="B1071" s="11">
        <v>78</v>
      </c>
      <c r="C1071" t="s">
        <v>135</v>
      </c>
      <c r="D1071" t="s">
        <v>797</v>
      </c>
      <c r="E1071" t="s">
        <v>864</v>
      </c>
      <c r="F1071" t="s">
        <v>92</v>
      </c>
      <c r="G1071" s="12">
        <v>36</v>
      </c>
      <c r="H1071" s="12">
        <v>260</v>
      </c>
      <c r="I1071" s="12">
        <v>17</v>
      </c>
      <c r="J1071" t="str">
        <f>VLOOKUP(B1071,Paramètres!$A$4:$C$11,3,FALSE)</f>
        <v>Grande couronne</v>
      </c>
      <c r="K1071" s="13">
        <f>IFERROR(H1071/G1071,"")</f>
        <v>7.2222222222222223</v>
      </c>
      <c r="L1071" s="14">
        <f>IFERROR(I1071/G1071,"")</f>
        <v>0.47222222222222221</v>
      </c>
      <c r="M1071" s="11" t="str">
        <f>IF(K1071&gt;=Paramètres!$F$6,"Très forte",IF(K1071&gt;=Paramètres!$F$5,"Forte",IF(K1071&gt;=Paramètres!$F$4,"Modérée","Faible")))</f>
        <v>Faible</v>
      </c>
    </row>
    <row r="1072" spans="1:13">
      <c r="A1072" t="s">
        <v>939</v>
      </c>
      <c r="B1072" s="11">
        <v>77</v>
      </c>
      <c r="C1072" t="s">
        <v>132</v>
      </c>
      <c r="D1072" t="s">
        <v>797</v>
      </c>
      <c r="E1072" t="s">
        <v>836</v>
      </c>
      <c r="F1072" t="s">
        <v>92</v>
      </c>
      <c r="G1072" s="12">
        <v>28</v>
      </c>
      <c r="H1072" s="12">
        <v>202</v>
      </c>
      <c r="I1072" s="12">
        <v>27</v>
      </c>
      <c r="J1072" t="str">
        <f>VLOOKUP(B1072,Paramètres!$A$4:$C$11,3,FALSE)</f>
        <v>Grande couronne</v>
      </c>
      <c r="K1072" s="13">
        <f>IFERROR(H1072/G1072,"")</f>
        <v>7.2142857142857144</v>
      </c>
      <c r="L1072" s="14">
        <f>IFERROR(I1072/G1072,"")</f>
        <v>0.9642857142857143</v>
      </c>
      <c r="M1072" s="11" t="str">
        <f>IF(K1072&gt;=Paramètres!$F$6,"Très forte",IF(K1072&gt;=Paramètres!$F$5,"Forte",IF(K1072&gt;=Paramètres!$F$4,"Modérée","Faible")))</f>
        <v>Faible</v>
      </c>
    </row>
    <row r="1073" spans="1:13">
      <c r="A1073" t="s">
        <v>879</v>
      </c>
      <c r="B1073" s="11">
        <v>75</v>
      </c>
      <c r="C1073" t="s">
        <v>86</v>
      </c>
      <c r="D1073" t="s">
        <v>797</v>
      </c>
      <c r="E1073" t="s">
        <v>991</v>
      </c>
      <c r="F1073" t="s">
        <v>92</v>
      </c>
      <c r="G1073" s="12">
        <v>35</v>
      </c>
      <c r="H1073" s="12">
        <v>251</v>
      </c>
      <c r="I1073" s="12">
        <v>23</v>
      </c>
      <c r="J1073" t="str">
        <f>VLOOKUP(B1073,Paramètres!$A$4:$C$11,3,FALSE)</f>
        <v>Paris</v>
      </c>
      <c r="K1073" s="13">
        <f>IFERROR(H1073/G1073,"")</f>
        <v>7.1714285714285717</v>
      </c>
      <c r="L1073" s="14">
        <f>IFERROR(I1073/G1073,"")</f>
        <v>0.65714285714285714</v>
      </c>
      <c r="M1073" s="11" t="str">
        <f>IF(K1073&gt;=Paramètres!$F$6,"Très forte",IF(K1073&gt;=Paramètres!$F$5,"Forte",IF(K1073&gt;=Paramètres!$F$4,"Modérée","Faible")))</f>
        <v>Faible</v>
      </c>
    </row>
    <row r="1074" spans="1:13">
      <c r="A1074" t="s">
        <v>888</v>
      </c>
      <c r="B1074" s="11">
        <v>77</v>
      </c>
      <c r="C1074" t="s">
        <v>132</v>
      </c>
      <c r="D1074" t="s">
        <v>797</v>
      </c>
      <c r="E1074" t="s">
        <v>940</v>
      </c>
      <c r="F1074" t="s">
        <v>92</v>
      </c>
      <c r="G1074" s="12">
        <v>24</v>
      </c>
      <c r="H1074" s="12">
        <v>172</v>
      </c>
      <c r="I1074" s="12">
        <v>25</v>
      </c>
      <c r="J1074" t="str">
        <f>VLOOKUP(B1074,Paramètres!$A$4:$C$11,3,FALSE)</f>
        <v>Grande couronne</v>
      </c>
      <c r="K1074" s="13">
        <f>IFERROR(H1074/G1074,"")</f>
        <v>7.166666666666667</v>
      </c>
      <c r="L1074" s="14">
        <f>IFERROR(I1074/G1074,"")</f>
        <v>1.0416666666666667</v>
      </c>
      <c r="M1074" s="11" t="str">
        <f>IF(K1074&gt;=Paramètres!$F$6,"Très forte",IF(K1074&gt;=Paramètres!$F$5,"Forte",IF(K1074&gt;=Paramètres!$F$4,"Modérée","Faible")))</f>
        <v>Faible</v>
      </c>
    </row>
    <row r="1075" spans="1:13">
      <c r="A1075" t="s">
        <v>1173</v>
      </c>
      <c r="B1075" s="11">
        <v>78</v>
      </c>
      <c r="C1075" t="s">
        <v>135</v>
      </c>
      <c r="D1075" t="s">
        <v>797</v>
      </c>
      <c r="E1075" t="s">
        <v>853</v>
      </c>
      <c r="F1075" t="s">
        <v>92</v>
      </c>
      <c r="G1075" s="12">
        <v>25</v>
      </c>
      <c r="H1075" s="12">
        <v>178</v>
      </c>
      <c r="I1075" s="12">
        <v>26</v>
      </c>
      <c r="J1075" t="str">
        <f>VLOOKUP(B1075,Paramètres!$A$4:$C$11,3,FALSE)</f>
        <v>Grande couronne</v>
      </c>
      <c r="K1075" s="13">
        <f>IFERROR(H1075/G1075,"")</f>
        <v>7.12</v>
      </c>
      <c r="L1075" s="14">
        <f>IFERROR(I1075/G1075,"")</f>
        <v>1.04</v>
      </c>
      <c r="M1075" s="11" t="str">
        <f>IF(K1075&gt;=Paramètres!$F$6,"Très forte",IF(K1075&gt;=Paramètres!$F$5,"Forte",IF(K1075&gt;=Paramètres!$F$4,"Modérée","Faible")))</f>
        <v>Faible</v>
      </c>
    </row>
    <row r="1076" spans="1:13">
      <c r="A1076" t="s">
        <v>1041</v>
      </c>
      <c r="B1076" s="11">
        <v>75</v>
      </c>
      <c r="C1076" t="s">
        <v>86</v>
      </c>
      <c r="D1076" t="s">
        <v>797</v>
      </c>
      <c r="E1076" t="s">
        <v>822</v>
      </c>
      <c r="F1076" t="s">
        <v>92</v>
      </c>
      <c r="G1076" s="12">
        <v>30</v>
      </c>
      <c r="H1076" s="12">
        <v>212</v>
      </c>
      <c r="I1076" s="12">
        <v>24</v>
      </c>
      <c r="J1076" t="str">
        <f>VLOOKUP(B1076,Paramètres!$A$4:$C$11,3,FALSE)</f>
        <v>Paris</v>
      </c>
      <c r="K1076" s="13">
        <f>IFERROR(H1076/G1076,"")</f>
        <v>7.0666666666666664</v>
      </c>
      <c r="L1076" s="14">
        <f>IFERROR(I1076/G1076,"")</f>
        <v>0.8</v>
      </c>
      <c r="M1076" s="11" t="str">
        <f>IF(K1076&gt;=Paramètres!$F$6,"Très forte",IF(K1076&gt;=Paramètres!$F$5,"Forte",IF(K1076&gt;=Paramètres!$F$4,"Modérée","Faible")))</f>
        <v>Faible</v>
      </c>
    </row>
    <row r="1077" spans="1:13">
      <c r="A1077" t="s">
        <v>962</v>
      </c>
      <c r="B1077" s="11">
        <v>93</v>
      </c>
      <c r="C1077" t="s">
        <v>100</v>
      </c>
      <c r="D1077" t="s">
        <v>797</v>
      </c>
      <c r="E1077" t="s">
        <v>878</v>
      </c>
      <c r="F1077" t="s">
        <v>92</v>
      </c>
      <c r="G1077" s="12">
        <v>24</v>
      </c>
      <c r="H1077" s="12">
        <v>169</v>
      </c>
      <c r="I1077" s="12">
        <v>24</v>
      </c>
      <c r="J1077" t="str">
        <f>VLOOKUP(B1077,Paramètres!$A$4:$C$11,3,FALSE)</f>
        <v>Petite couronne</v>
      </c>
      <c r="K1077" s="13">
        <f>IFERROR(H1077/G1077,"")</f>
        <v>7.041666666666667</v>
      </c>
      <c r="L1077" s="14">
        <f>IFERROR(I1077/G1077,"")</f>
        <v>1</v>
      </c>
      <c r="M1077" s="11" t="str">
        <f>IF(K1077&gt;=Paramètres!$F$6,"Très forte",IF(K1077&gt;=Paramètres!$F$5,"Forte",IF(K1077&gt;=Paramètres!$F$4,"Modérée","Faible")))</f>
        <v>Faible</v>
      </c>
    </row>
    <row r="1078" spans="1:13">
      <c r="A1078" t="s">
        <v>1099</v>
      </c>
      <c r="B1078" s="11">
        <v>94</v>
      </c>
      <c r="C1078" t="s">
        <v>116</v>
      </c>
      <c r="D1078" t="s">
        <v>797</v>
      </c>
      <c r="E1078" t="s">
        <v>940</v>
      </c>
      <c r="F1078" t="s">
        <v>92</v>
      </c>
      <c r="G1078" s="12">
        <v>24</v>
      </c>
      <c r="H1078" s="12">
        <v>169</v>
      </c>
      <c r="I1078" s="12">
        <v>24</v>
      </c>
      <c r="J1078" t="str">
        <f>VLOOKUP(B1078,Paramètres!$A$4:$C$11,3,FALSE)</f>
        <v>Petite couronne</v>
      </c>
      <c r="K1078" s="13">
        <f>IFERROR(H1078/G1078,"")</f>
        <v>7.041666666666667</v>
      </c>
      <c r="L1078" s="14">
        <f>IFERROR(I1078/G1078,"")</f>
        <v>1</v>
      </c>
      <c r="M1078" s="11" t="str">
        <f>IF(K1078&gt;=Paramètres!$F$6,"Très forte",IF(K1078&gt;=Paramètres!$F$5,"Forte",IF(K1078&gt;=Paramètres!$F$4,"Modérée","Faible")))</f>
        <v>Faible</v>
      </c>
    </row>
    <row r="1079" spans="1:13">
      <c r="A1079" t="s">
        <v>957</v>
      </c>
      <c r="B1079" s="11">
        <v>78</v>
      </c>
      <c r="C1079" t="s">
        <v>135</v>
      </c>
      <c r="D1079" t="s">
        <v>797</v>
      </c>
      <c r="E1079" t="s">
        <v>940</v>
      </c>
      <c r="F1079" t="s">
        <v>92</v>
      </c>
      <c r="G1079" s="12">
        <v>26</v>
      </c>
      <c r="H1079" s="12">
        <v>180</v>
      </c>
      <c r="I1079" s="12">
        <v>22</v>
      </c>
      <c r="J1079" t="str">
        <f>VLOOKUP(B1079,Paramètres!$A$4:$C$11,3,FALSE)</f>
        <v>Grande couronne</v>
      </c>
      <c r="K1079" s="13">
        <f>IFERROR(H1079/G1079,"")</f>
        <v>6.9230769230769234</v>
      </c>
      <c r="L1079" s="14">
        <f>IFERROR(I1079/G1079,"")</f>
        <v>0.84615384615384615</v>
      </c>
      <c r="M1079" s="11" t="str">
        <f>IF(K1079&gt;=Paramètres!$F$6,"Très forte",IF(K1079&gt;=Paramètres!$F$5,"Forte",IF(K1079&gt;=Paramètres!$F$4,"Modérée","Faible")))</f>
        <v>Faible</v>
      </c>
    </row>
    <row r="1080" spans="1:13">
      <c r="A1080" t="s">
        <v>1117</v>
      </c>
      <c r="B1080" s="11">
        <v>95</v>
      </c>
      <c r="C1080" t="s">
        <v>90</v>
      </c>
      <c r="D1080" t="s">
        <v>797</v>
      </c>
      <c r="E1080" t="s">
        <v>1118</v>
      </c>
      <c r="F1080" t="s">
        <v>92</v>
      </c>
      <c r="G1080" s="12">
        <v>15</v>
      </c>
      <c r="H1080" s="12">
        <v>103</v>
      </c>
      <c r="I1080" s="12">
        <v>14</v>
      </c>
      <c r="J1080" t="str">
        <f>VLOOKUP(B1080,Paramètres!$A$4:$C$11,3,FALSE)</f>
        <v>Grande couronne</v>
      </c>
      <c r="K1080" s="13">
        <f>IFERROR(H1080/G1080,"")</f>
        <v>6.8666666666666663</v>
      </c>
      <c r="L1080" s="14">
        <f>IFERROR(I1080/G1080,"")</f>
        <v>0.93333333333333335</v>
      </c>
      <c r="M1080" s="11" t="str">
        <f>IF(K1080&gt;=Paramètres!$F$6,"Très forte",IF(K1080&gt;=Paramètres!$F$5,"Forte",IF(K1080&gt;=Paramètres!$F$4,"Modérée","Faible")))</f>
        <v>Faible</v>
      </c>
    </row>
    <row r="1081" spans="1:13">
      <c r="A1081" t="s">
        <v>882</v>
      </c>
      <c r="B1081" s="11">
        <v>77</v>
      </c>
      <c r="C1081" t="s">
        <v>132</v>
      </c>
      <c r="D1081" t="s">
        <v>797</v>
      </c>
      <c r="E1081" t="s">
        <v>883</v>
      </c>
      <c r="F1081" t="s">
        <v>92</v>
      </c>
      <c r="G1081" s="12">
        <v>24</v>
      </c>
      <c r="H1081" s="12">
        <v>164</v>
      </c>
      <c r="I1081" s="12">
        <v>24</v>
      </c>
      <c r="J1081" t="str">
        <f>VLOOKUP(B1081,Paramètres!$A$4:$C$11,3,FALSE)</f>
        <v>Grande couronne</v>
      </c>
      <c r="K1081" s="13">
        <f>IFERROR(H1081/G1081,"")</f>
        <v>6.833333333333333</v>
      </c>
      <c r="L1081" s="14">
        <f>IFERROR(I1081/G1081,"")</f>
        <v>1</v>
      </c>
      <c r="M1081" s="11" t="str">
        <f>IF(K1081&gt;=Paramètres!$F$6,"Très forte",IF(K1081&gt;=Paramètres!$F$5,"Forte",IF(K1081&gt;=Paramètres!$F$4,"Modérée","Faible")))</f>
        <v>Faible</v>
      </c>
    </row>
    <row r="1082" spans="1:13">
      <c r="A1082" t="s">
        <v>889</v>
      </c>
      <c r="B1082" s="11">
        <v>77</v>
      </c>
      <c r="C1082" t="s">
        <v>132</v>
      </c>
      <c r="D1082" t="s">
        <v>797</v>
      </c>
      <c r="E1082" t="s">
        <v>822</v>
      </c>
      <c r="F1082" t="s">
        <v>92</v>
      </c>
      <c r="G1082" s="12">
        <v>24</v>
      </c>
      <c r="H1082" s="12">
        <v>164</v>
      </c>
      <c r="I1082" s="12">
        <v>24</v>
      </c>
      <c r="J1082" t="str">
        <f>VLOOKUP(B1082,Paramètres!$A$4:$C$11,3,FALSE)</f>
        <v>Grande couronne</v>
      </c>
      <c r="K1082" s="13">
        <f>IFERROR(H1082/G1082,"")</f>
        <v>6.833333333333333</v>
      </c>
      <c r="L1082" s="14">
        <f>IFERROR(I1082/G1082,"")</f>
        <v>1</v>
      </c>
      <c r="M1082" s="11" t="str">
        <f>IF(K1082&gt;=Paramètres!$F$6,"Très forte",IF(K1082&gt;=Paramètres!$F$5,"Forte",IF(K1082&gt;=Paramètres!$F$4,"Modérée","Faible")))</f>
        <v>Faible</v>
      </c>
    </row>
    <row r="1083" spans="1:13">
      <c r="A1083" t="s">
        <v>1109</v>
      </c>
      <c r="B1083" s="11">
        <v>77</v>
      </c>
      <c r="C1083" t="s">
        <v>132</v>
      </c>
      <c r="D1083" t="s">
        <v>797</v>
      </c>
      <c r="E1083" t="s">
        <v>1110</v>
      </c>
      <c r="F1083" t="s">
        <v>92</v>
      </c>
      <c r="G1083" s="12">
        <v>18</v>
      </c>
      <c r="H1083" s="12">
        <v>123</v>
      </c>
      <c r="I1083" s="12">
        <v>17</v>
      </c>
      <c r="J1083" t="str">
        <f>VLOOKUP(B1083,Paramètres!$A$4:$C$11,3,FALSE)</f>
        <v>Grande couronne</v>
      </c>
      <c r="K1083" s="13">
        <f>IFERROR(H1083/G1083,"")</f>
        <v>6.833333333333333</v>
      </c>
      <c r="L1083" s="14">
        <f>IFERROR(I1083/G1083,"")</f>
        <v>0.94444444444444442</v>
      </c>
      <c r="M1083" s="11" t="str">
        <f>IF(K1083&gt;=Paramètres!$F$6,"Très forte",IF(K1083&gt;=Paramètres!$F$5,"Forte",IF(K1083&gt;=Paramètres!$F$4,"Modérée","Faible")))</f>
        <v>Faible</v>
      </c>
    </row>
    <row r="1084" spans="1:13">
      <c r="A1084" t="s">
        <v>873</v>
      </c>
      <c r="B1084" s="11">
        <v>75</v>
      </c>
      <c r="C1084" t="s">
        <v>86</v>
      </c>
      <c r="D1084" t="s">
        <v>797</v>
      </c>
      <c r="E1084" t="s">
        <v>853</v>
      </c>
      <c r="F1084" t="s">
        <v>92</v>
      </c>
      <c r="G1084" s="12">
        <v>17</v>
      </c>
      <c r="H1084" s="12">
        <v>116</v>
      </c>
      <c r="I1084" s="12">
        <v>17</v>
      </c>
      <c r="J1084" t="str">
        <f>VLOOKUP(B1084,Paramètres!$A$4:$C$11,3,FALSE)</f>
        <v>Paris</v>
      </c>
      <c r="K1084" s="13">
        <f>IFERROR(H1084/G1084,"")</f>
        <v>6.8235294117647056</v>
      </c>
      <c r="L1084" s="14">
        <f>IFERROR(I1084/G1084,"")</f>
        <v>1</v>
      </c>
      <c r="M1084" s="11" t="str">
        <f>IF(K1084&gt;=Paramètres!$F$6,"Très forte",IF(K1084&gt;=Paramètres!$F$5,"Forte",IF(K1084&gt;=Paramètres!$F$4,"Modérée","Faible")))</f>
        <v>Faible</v>
      </c>
    </row>
    <row r="1085" spans="1:13">
      <c r="A1085" t="s">
        <v>926</v>
      </c>
      <c r="B1085" s="11">
        <v>91</v>
      </c>
      <c r="C1085" t="s">
        <v>105</v>
      </c>
      <c r="D1085" t="s">
        <v>797</v>
      </c>
      <c r="E1085" t="s">
        <v>883</v>
      </c>
      <c r="F1085" t="s">
        <v>92</v>
      </c>
      <c r="G1085" s="12">
        <v>26</v>
      </c>
      <c r="H1085" s="12">
        <v>176</v>
      </c>
      <c r="I1085" s="12">
        <v>26</v>
      </c>
      <c r="J1085" t="str">
        <f>VLOOKUP(B1085,Paramètres!$A$4:$C$11,3,FALSE)</f>
        <v>Grande couronne</v>
      </c>
      <c r="K1085" s="13">
        <f>IFERROR(H1085/G1085,"")</f>
        <v>6.7692307692307692</v>
      </c>
      <c r="L1085" s="14">
        <f>IFERROR(I1085/G1085,"")</f>
        <v>1</v>
      </c>
      <c r="M1085" s="11" t="str">
        <f>IF(K1085&gt;=Paramètres!$F$6,"Très forte",IF(K1085&gt;=Paramètres!$F$5,"Forte",IF(K1085&gt;=Paramètres!$F$4,"Modérée","Faible")))</f>
        <v>Faible</v>
      </c>
    </row>
    <row r="1086" spans="1:13">
      <c r="A1086" t="s">
        <v>1165</v>
      </c>
      <c r="B1086" s="11">
        <v>95</v>
      </c>
      <c r="C1086" t="s">
        <v>90</v>
      </c>
      <c r="D1086" t="s">
        <v>797</v>
      </c>
      <c r="E1086" t="s">
        <v>928</v>
      </c>
      <c r="F1086" t="s">
        <v>92</v>
      </c>
      <c r="G1086" s="12">
        <v>60</v>
      </c>
      <c r="H1086" s="12">
        <v>406</v>
      </c>
      <c r="I1086" s="12">
        <v>43</v>
      </c>
      <c r="J1086" t="str">
        <f>VLOOKUP(B1086,Paramètres!$A$4:$C$11,3,FALSE)</f>
        <v>Grande couronne</v>
      </c>
      <c r="K1086" s="13">
        <f>IFERROR(H1086/G1086,"")</f>
        <v>6.7666666666666666</v>
      </c>
      <c r="L1086" s="14">
        <f>IFERROR(I1086/G1086,"")</f>
        <v>0.71666666666666667</v>
      </c>
      <c r="M1086" s="11" t="str">
        <f>IF(K1086&gt;=Paramètres!$F$6,"Très forte",IF(K1086&gt;=Paramètres!$F$5,"Forte",IF(K1086&gt;=Paramètres!$F$4,"Modérée","Faible")))</f>
        <v>Faible</v>
      </c>
    </row>
    <row r="1087" spans="1:13">
      <c r="A1087" t="s">
        <v>1165</v>
      </c>
      <c r="B1087" s="11">
        <v>95</v>
      </c>
      <c r="C1087" t="s">
        <v>90</v>
      </c>
      <c r="D1087" t="s">
        <v>797</v>
      </c>
      <c r="E1087" t="s">
        <v>1184</v>
      </c>
      <c r="F1087" t="s">
        <v>92</v>
      </c>
      <c r="G1087" s="12">
        <v>25</v>
      </c>
      <c r="H1087" s="12">
        <v>165</v>
      </c>
      <c r="I1087" s="12">
        <v>21</v>
      </c>
      <c r="J1087" t="str">
        <f>VLOOKUP(B1087,Paramètres!$A$4:$C$11,3,FALSE)</f>
        <v>Grande couronne</v>
      </c>
      <c r="K1087" s="13">
        <f>IFERROR(H1087/G1087,"")</f>
        <v>6.6</v>
      </c>
      <c r="L1087" s="14">
        <f>IFERROR(I1087/G1087,"")</f>
        <v>0.84</v>
      </c>
      <c r="M1087" s="11" t="str">
        <f>IF(K1087&gt;=Paramètres!$F$6,"Très forte",IF(K1087&gt;=Paramètres!$F$5,"Forte",IF(K1087&gt;=Paramètres!$F$4,"Modérée","Faible")))</f>
        <v>Faible</v>
      </c>
    </row>
    <row r="1088" spans="1:13">
      <c r="A1088" t="s">
        <v>1098</v>
      </c>
      <c r="B1088" s="11">
        <v>94</v>
      </c>
      <c r="C1088" t="s">
        <v>116</v>
      </c>
      <c r="D1088" t="s">
        <v>797</v>
      </c>
      <c r="E1088" t="s">
        <v>971</v>
      </c>
      <c r="F1088" t="s">
        <v>92</v>
      </c>
      <c r="G1088" s="12">
        <v>30</v>
      </c>
      <c r="H1088" s="12">
        <v>197</v>
      </c>
      <c r="I1088" s="12">
        <v>17</v>
      </c>
      <c r="J1088" t="str">
        <f>VLOOKUP(B1088,Paramètres!$A$4:$C$11,3,FALSE)</f>
        <v>Petite couronne</v>
      </c>
      <c r="K1088" s="13">
        <f>IFERROR(H1088/G1088,"")</f>
        <v>6.5666666666666664</v>
      </c>
      <c r="L1088" s="14">
        <f>IFERROR(I1088/G1088,"")</f>
        <v>0.56666666666666665</v>
      </c>
      <c r="M1088" s="11" t="str">
        <f>IF(K1088&gt;=Paramètres!$F$6,"Très forte",IF(K1088&gt;=Paramètres!$F$5,"Forte",IF(K1088&gt;=Paramètres!$F$4,"Modérée","Faible")))</f>
        <v>Faible</v>
      </c>
    </row>
    <row r="1089" spans="1:13">
      <c r="A1089" t="s">
        <v>1147</v>
      </c>
      <c r="B1089" s="11">
        <v>91</v>
      </c>
      <c r="C1089" t="s">
        <v>105</v>
      </c>
      <c r="D1089" t="s">
        <v>797</v>
      </c>
      <c r="E1089" t="s">
        <v>822</v>
      </c>
      <c r="F1089" t="s">
        <v>92</v>
      </c>
      <c r="G1089" s="12">
        <v>36</v>
      </c>
      <c r="H1089" s="12">
        <v>235</v>
      </c>
      <c r="I1089" s="12">
        <v>32</v>
      </c>
      <c r="J1089" t="str">
        <f>VLOOKUP(B1089,Paramètres!$A$4:$C$11,3,FALSE)</f>
        <v>Grande couronne</v>
      </c>
      <c r="K1089" s="13">
        <f>IFERROR(H1089/G1089,"")</f>
        <v>6.5277777777777777</v>
      </c>
      <c r="L1089" s="14">
        <f>IFERROR(I1089/G1089,"")</f>
        <v>0.88888888888888884</v>
      </c>
      <c r="M1089" s="11" t="str">
        <f>IF(K1089&gt;=Paramètres!$F$6,"Très forte",IF(K1089&gt;=Paramètres!$F$5,"Forte",IF(K1089&gt;=Paramètres!$F$4,"Modérée","Faible")))</f>
        <v>Faible</v>
      </c>
    </row>
    <row r="1090" spans="1:13">
      <c r="A1090" t="s">
        <v>881</v>
      </c>
      <c r="B1090" s="11">
        <v>77</v>
      </c>
      <c r="C1090" t="s">
        <v>132</v>
      </c>
      <c r="D1090" t="s">
        <v>797</v>
      </c>
      <c r="E1090" t="s">
        <v>861</v>
      </c>
      <c r="F1090" t="s">
        <v>92</v>
      </c>
      <c r="G1090" s="12">
        <v>30</v>
      </c>
      <c r="H1090" s="12">
        <v>194</v>
      </c>
      <c r="I1090" s="12">
        <v>28</v>
      </c>
      <c r="J1090" t="str">
        <f>VLOOKUP(B1090,Paramètres!$A$4:$C$11,3,FALSE)</f>
        <v>Grande couronne</v>
      </c>
      <c r="K1090" s="13">
        <f>IFERROR(H1090/G1090,"")</f>
        <v>6.4666666666666668</v>
      </c>
      <c r="L1090" s="14">
        <f>IFERROR(I1090/G1090,"")</f>
        <v>0.93333333333333335</v>
      </c>
      <c r="M1090" s="11" t="str">
        <f>IF(K1090&gt;=Paramètres!$F$6,"Très forte",IF(K1090&gt;=Paramètres!$F$5,"Forte",IF(K1090&gt;=Paramètres!$F$4,"Modérée","Faible")))</f>
        <v>Faible</v>
      </c>
    </row>
    <row r="1091" spans="1:13">
      <c r="A1091" t="s">
        <v>915</v>
      </c>
      <c r="B1091" s="11">
        <v>91</v>
      </c>
      <c r="C1091" t="s">
        <v>105</v>
      </c>
      <c r="D1091" t="s">
        <v>797</v>
      </c>
      <c r="E1091" t="s">
        <v>861</v>
      </c>
      <c r="F1091" t="s">
        <v>92</v>
      </c>
      <c r="G1091" s="12">
        <v>29</v>
      </c>
      <c r="H1091" s="12">
        <v>185</v>
      </c>
      <c r="I1091" s="12">
        <v>27</v>
      </c>
      <c r="J1091" t="str">
        <f>VLOOKUP(B1091,Paramètres!$A$4:$C$11,3,FALSE)</f>
        <v>Grande couronne</v>
      </c>
      <c r="K1091" s="13">
        <f>IFERROR(H1091/G1091,"")</f>
        <v>6.3793103448275863</v>
      </c>
      <c r="L1091" s="14">
        <f>IFERROR(I1091/G1091,"")</f>
        <v>0.93103448275862066</v>
      </c>
      <c r="M1091" s="11" t="str">
        <f>IF(K1091&gt;=Paramètres!$F$6,"Très forte",IF(K1091&gt;=Paramètres!$F$5,"Forte",IF(K1091&gt;=Paramètres!$F$4,"Modérée","Faible")))</f>
        <v>Faible</v>
      </c>
    </row>
    <row r="1092" spans="1:13">
      <c r="A1092" t="s">
        <v>1102</v>
      </c>
      <c r="B1092" s="11">
        <v>94</v>
      </c>
      <c r="C1092" t="s">
        <v>116</v>
      </c>
      <c r="D1092" t="s">
        <v>797</v>
      </c>
      <c r="E1092" t="s">
        <v>1038</v>
      </c>
      <c r="F1092" t="s">
        <v>92</v>
      </c>
      <c r="G1092" s="12">
        <v>35</v>
      </c>
      <c r="H1092" s="12">
        <v>222</v>
      </c>
      <c r="I1092" s="12">
        <v>34</v>
      </c>
      <c r="J1092" t="str">
        <f>VLOOKUP(B1092,Paramètres!$A$4:$C$11,3,FALSE)</f>
        <v>Petite couronne</v>
      </c>
      <c r="K1092" s="13">
        <f>IFERROR(H1092/G1092,"")</f>
        <v>6.3428571428571425</v>
      </c>
      <c r="L1092" s="14">
        <f>IFERROR(I1092/G1092,"")</f>
        <v>0.97142857142857142</v>
      </c>
      <c r="M1092" s="11" t="str">
        <f>IF(K1092&gt;=Paramètres!$F$6,"Très forte",IF(K1092&gt;=Paramètres!$F$5,"Forte",IF(K1092&gt;=Paramètres!$F$4,"Modérée","Faible")))</f>
        <v>Faible</v>
      </c>
    </row>
    <row r="1093" spans="1:13">
      <c r="A1093" t="s">
        <v>1109</v>
      </c>
      <c r="B1093" s="11">
        <v>77</v>
      </c>
      <c r="C1093" t="s">
        <v>132</v>
      </c>
      <c r="D1093" t="s">
        <v>797</v>
      </c>
      <c r="E1093" t="s">
        <v>1120</v>
      </c>
      <c r="F1093" t="s">
        <v>92</v>
      </c>
      <c r="G1093" s="12">
        <v>17</v>
      </c>
      <c r="H1093" s="12">
        <v>107</v>
      </c>
      <c r="I1093" s="12">
        <v>11</v>
      </c>
      <c r="J1093" t="str">
        <f>VLOOKUP(B1093,Paramètres!$A$4:$C$11,3,FALSE)</f>
        <v>Grande couronne</v>
      </c>
      <c r="K1093" s="13">
        <f>IFERROR(H1093/G1093,"")</f>
        <v>6.2941176470588234</v>
      </c>
      <c r="L1093" s="14">
        <f>IFERROR(I1093/G1093,"")</f>
        <v>0.6470588235294118</v>
      </c>
      <c r="M1093" s="11" t="str">
        <f>IF(K1093&gt;=Paramètres!$F$6,"Très forte",IF(K1093&gt;=Paramètres!$F$5,"Forte",IF(K1093&gt;=Paramètres!$F$4,"Modérée","Faible")))</f>
        <v>Faible</v>
      </c>
    </row>
    <row r="1094" spans="1:13">
      <c r="A1094" t="s">
        <v>922</v>
      </c>
      <c r="B1094" s="11">
        <v>91</v>
      </c>
      <c r="C1094" t="s">
        <v>105</v>
      </c>
      <c r="D1094" t="s">
        <v>797</v>
      </c>
      <c r="E1094" t="s">
        <v>885</v>
      </c>
      <c r="F1094" t="s">
        <v>92</v>
      </c>
      <c r="G1094" s="12">
        <v>18</v>
      </c>
      <c r="H1094" s="12">
        <v>111</v>
      </c>
      <c r="I1094" s="12">
        <v>17</v>
      </c>
      <c r="J1094" t="str">
        <f>VLOOKUP(B1094,Paramètres!$A$4:$C$11,3,FALSE)</f>
        <v>Grande couronne</v>
      </c>
      <c r="K1094" s="13">
        <f>IFERROR(H1094/G1094,"")</f>
        <v>6.166666666666667</v>
      </c>
      <c r="L1094" s="14">
        <f>IFERROR(I1094/G1094,"")</f>
        <v>0.94444444444444442</v>
      </c>
      <c r="M1094" s="11" t="str">
        <f>IF(K1094&gt;=Paramètres!$F$6,"Très forte",IF(K1094&gt;=Paramètres!$F$5,"Forte",IF(K1094&gt;=Paramètres!$F$4,"Modérée","Faible")))</f>
        <v>Faible</v>
      </c>
    </row>
    <row r="1095" spans="1:13">
      <c r="A1095" t="s">
        <v>1215</v>
      </c>
      <c r="B1095" s="11">
        <v>95</v>
      </c>
      <c r="C1095" t="s">
        <v>90</v>
      </c>
      <c r="D1095" t="s">
        <v>797</v>
      </c>
      <c r="E1095" t="s">
        <v>798</v>
      </c>
      <c r="F1095" t="s">
        <v>92</v>
      </c>
      <c r="G1095" s="12">
        <v>30</v>
      </c>
      <c r="H1095" s="12">
        <v>182</v>
      </c>
      <c r="I1095" s="12">
        <v>24</v>
      </c>
      <c r="J1095" t="str">
        <f>VLOOKUP(B1095,Paramètres!$A$4:$C$11,3,FALSE)</f>
        <v>Grande couronne</v>
      </c>
      <c r="K1095" s="13">
        <f>IFERROR(H1095/G1095,"")</f>
        <v>6.0666666666666664</v>
      </c>
      <c r="L1095" s="14">
        <f>IFERROR(I1095/G1095,"")</f>
        <v>0.8</v>
      </c>
      <c r="M1095" s="11" t="str">
        <f>IF(K1095&gt;=Paramètres!$F$6,"Très forte",IF(K1095&gt;=Paramètres!$F$5,"Forte",IF(K1095&gt;=Paramètres!$F$4,"Modérée","Faible")))</f>
        <v>Faible</v>
      </c>
    </row>
    <row r="1096" spans="1:13">
      <c r="A1096" t="s">
        <v>889</v>
      </c>
      <c r="B1096" s="11">
        <v>77</v>
      </c>
      <c r="C1096" t="s">
        <v>132</v>
      </c>
      <c r="D1096" t="s">
        <v>797</v>
      </c>
      <c r="E1096" t="s">
        <v>872</v>
      </c>
      <c r="F1096" t="s">
        <v>92</v>
      </c>
      <c r="G1096" s="12">
        <v>24</v>
      </c>
      <c r="H1096" s="12">
        <v>145</v>
      </c>
      <c r="I1096" s="12">
        <v>10</v>
      </c>
      <c r="J1096" t="str">
        <f>VLOOKUP(B1096,Paramètres!$A$4:$C$11,3,FALSE)</f>
        <v>Grande couronne</v>
      </c>
      <c r="K1096" s="13">
        <f>IFERROR(H1096/G1096,"")</f>
        <v>6.041666666666667</v>
      </c>
      <c r="L1096" s="14">
        <f>IFERROR(I1096/G1096,"")</f>
        <v>0.41666666666666669</v>
      </c>
      <c r="M1096" s="11" t="str">
        <f>IF(K1096&gt;=Paramètres!$F$6,"Très forte",IF(K1096&gt;=Paramètres!$F$5,"Forte",IF(K1096&gt;=Paramètres!$F$4,"Modérée","Faible")))</f>
        <v>Faible</v>
      </c>
    </row>
    <row r="1097" spans="1:13">
      <c r="A1097" t="s">
        <v>1223</v>
      </c>
      <c r="B1097" s="11">
        <v>77</v>
      </c>
      <c r="C1097" t="s">
        <v>132</v>
      </c>
      <c r="D1097" t="s">
        <v>797</v>
      </c>
      <c r="E1097" t="s">
        <v>878</v>
      </c>
      <c r="F1097" t="s">
        <v>92</v>
      </c>
      <c r="G1097" s="12">
        <v>26</v>
      </c>
      <c r="H1097" s="12">
        <v>156</v>
      </c>
      <c r="I1097" s="12">
        <v>23</v>
      </c>
      <c r="J1097" t="str">
        <f>VLOOKUP(B1097,Paramètres!$A$4:$C$11,3,FALSE)</f>
        <v>Grande couronne</v>
      </c>
      <c r="K1097" s="13">
        <f>IFERROR(H1097/G1097,"")</f>
        <v>6</v>
      </c>
      <c r="L1097" s="14">
        <f>IFERROR(I1097/G1097,"")</f>
        <v>0.88461538461538458</v>
      </c>
      <c r="M1097" s="11" t="str">
        <f>IF(K1097&gt;=Paramètres!$F$6,"Très forte",IF(K1097&gt;=Paramètres!$F$5,"Forte",IF(K1097&gt;=Paramètres!$F$4,"Modérée","Faible")))</f>
        <v>Faible</v>
      </c>
    </row>
    <row r="1098" spans="1:13">
      <c r="A1098" t="s">
        <v>999</v>
      </c>
      <c r="B1098" s="11">
        <v>75</v>
      </c>
      <c r="C1098" t="s">
        <v>86</v>
      </c>
      <c r="D1098" t="s">
        <v>797</v>
      </c>
      <c r="E1098" t="s">
        <v>977</v>
      </c>
      <c r="F1098" t="s">
        <v>92</v>
      </c>
      <c r="G1098" s="12">
        <v>28</v>
      </c>
      <c r="H1098" s="12">
        <v>167</v>
      </c>
      <c r="I1098" s="12">
        <v>20</v>
      </c>
      <c r="J1098" t="str">
        <f>VLOOKUP(B1098,Paramètres!$A$4:$C$11,3,FALSE)</f>
        <v>Paris</v>
      </c>
      <c r="K1098" s="13">
        <f>IFERROR(H1098/G1098,"")</f>
        <v>5.9642857142857144</v>
      </c>
      <c r="L1098" s="14">
        <f>IFERROR(I1098/G1098,"")</f>
        <v>0.7142857142857143</v>
      </c>
      <c r="M1098" s="11" t="str">
        <f>IF(K1098&gt;=Paramètres!$F$6,"Très forte",IF(K1098&gt;=Paramètres!$F$5,"Forte",IF(K1098&gt;=Paramètres!$F$4,"Modérée","Faible")))</f>
        <v>Faible</v>
      </c>
    </row>
    <row r="1099" spans="1:13">
      <c r="A1099" t="s">
        <v>1232</v>
      </c>
      <c r="B1099" s="11">
        <v>75</v>
      </c>
      <c r="C1099" t="s">
        <v>86</v>
      </c>
      <c r="D1099" t="s">
        <v>797</v>
      </c>
      <c r="E1099" t="s">
        <v>1003</v>
      </c>
      <c r="F1099" t="s">
        <v>92</v>
      </c>
      <c r="G1099" s="12">
        <v>70</v>
      </c>
      <c r="H1099" s="12">
        <v>416</v>
      </c>
      <c r="I1099" s="12">
        <v>29</v>
      </c>
      <c r="J1099" t="str">
        <f>VLOOKUP(B1099,Paramètres!$A$4:$C$11,3,FALSE)</f>
        <v>Paris</v>
      </c>
      <c r="K1099" s="13">
        <f>IFERROR(H1099/G1099,"")</f>
        <v>5.9428571428571431</v>
      </c>
      <c r="L1099" s="14">
        <f>IFERROR(I1099/G1099,"")</f>
        <v>0.41428571428571431</v>
      </c>
      <c r="M1099" s="11" t="str">
        <f>IF(K1099&gt;=Paramètres!$F$6,"Très forte",IF(K1099&gt;=Paramètres!$F$5,"Forte",IF(K1099&gt;=Paramètres!$F$4,"Modérée","Faible")))</f>
        <v>Faible</v>
      </c>
    </row>
    <row r="1100" spans="1:13">
      <c r="A1100" t="s">
        <v>1196</v>
      </c>
      <c r="B1100" s="11">
        <v>95</v>
      </c>
      <c r="C1100" t="s">
        <v>90</v>
      </c>
      <c r="D1100" t="s">
        <v>797</v>
      </c>
      <c r="E1100" t="s">
        <v>991</v>
      </c>
      <c r="F1100" t="s">
        <v>92</v>
      </c>
      <c r="G1100" s="12">
        <v>32</v>
      </c>
      <c r="H1100" s="12">
        <v>190</v>
      </c>
      <c r="I1100" s="12">
        <v>12</v>
      </c>
      <c r="J1100" t="str">
        <f>VLOOKUP(B1100,Paramètres!$A$4:$C$11,3,FALSE)</f>
        <v>Grande couronne</v>
      </c>
      <c r="K1100" s="13">
        <f>IFERROR(H1100/G1100,"")</f>
        <v>5.9375</v>
      </c>
      <c r="L1100" s="14">
        <f>IFERROR(I1100/G1100,"")</f>
        <v>0.375</v>
      </c>
      <c r="M1100" s="11" t="str">
        <f>IF(K1100&gt;=Paramètres!$F$6,"Très forte",IF(K1100&gt;=Paramètres!$F$5,"Forte",IF(K1100&gt;=Paramètres!$F$4,"Modérée","Faible")))</f>
        <v>Faible</v>
      </c>
    </row>
    <row r="1101" spans="1:13">
      <c r="A1101" t="s">
        <v>881</v>
      </c>
      <c r="B1101" s="11">
        <v>77</v>
      </c>
      <c r="C1101" t="s">
        <v>132</v>
      </c>
      <c r="D1101" t="s">
        <v>797</v>
      </c>
      <c r="E1101" t="s">
        <v>920</v>
      </c>
      <c r="F1101" t="s">
        <v>92</v>
      </c>
      <c r="G1101" s="12">
        <v>30</v>
      </c>
      <c r="H1101" s="12">
        <v>177</v>
      </c>
      <c r="I1101" s="12">
        <v>24</v>
      </c>
      <c r="J1101" t="str">
        <f>VLOOKUP(B1101,Paramètres!$A$4:$C$11,3,FALSE)</f>
        <v>Grande couronne</v>
      </c>
      <c r="K1101" s="13">
        <f>IFERROR(H1101/G1101,"")</f>
        <v>5.9</v>
      </c>
      <c r="L1101" s="14">
        <f>IFERROR(I1101/G1101,"")</f>
        <v>0.8</v>
      </c>
      <c r="M1101" s="11" t="str">
        <f>IF(K1101&gt;=Paramètres!$F$6,"Très forte",IF(K1101&gt;=Paramètres!$F$5,"Forte",IF(K1101&gt;=Paramètres!$F$4,"Modérée","Faible")))</f>
        <v>Faible</v>
      </c>
    </row>
    <row r="1102" spans="1:13">
      <c r="A1102" t="s">
        <v>1056</v>
      </c>
      <c r="B1102" s="11">
        <v>78</v>
      </c>
      <c r="C1102" t="s">
        <v>135</v>
      </c>
      <c r="D1102" t="s">
        <v>797</v>
      </c>
      <c r="E1102" t="s">
        <v>885</v>
      </c>
      <c r="F1102" t="s">
        <v>92</v>
      </c>
      <c r="G1102" s="12">
        <v>30</v>
      </c>
      <c r="H1102" s="12">
        <v>176</v>
      </c>
      <c r="I1102" s="12">
        <v>10</v>
      </c>
      <c r="J1102" t="str">
        <f>VLOOKUP(B1102,Paramètres!$A$4:$C$11,3,FALSE)</f>
        <v>Grande couronne</v>
      </c>
      <c r="K1102" s="13">
        <f>IFERROR(H1102/G1102,"")</f>
        <v>5.8666666666666663</v>
      </c>
      <c r="L1102" s="14">
        <f>IFERROR(I1102/G1102,"")</f>
        <v>0.33333333333333331</v>
      </c>
      <c r="M1102" s="11" t="str">
        <f>IF(K1102&gt;=Paramètres!$F$6,"Très forte",IF(K1102&gt;=Paramètres!$F$5,"Forte",IF(K1102&gt;=Paramètres!$F$4,"Modérée","Faible")))</f>
        <v>Faible</v>
      </c>
    </row>
    <row r="1103" spans="1:13">
      <c r="A1103" t="s">
        <v>1206</v>
      </c>
      <c r="B1103" s="11">
        <v>77</v>
      </c>
      <c r="C1103" t="s">
        <v>132</v>
      </c>
      <c r="D1103" t="s">
        <v>797</v>
      </c>
      <c r="E1103" t="s">
        <v>798</v>
      </c>
      <c r="F1103" t="s">
        <v>92</v>
      </c>
      <c r="G1103" s="12">
        <v>33</v>
      </c>
      <c r="H1103" s="12">
        <v>193</v>
      </c>
      <c r="I1103" s="12">
        <v>13</v>
      </c>
      <c r="J1103" t="str">
        <f>VLOOKUP(B1103,Paramètres!$A$4:$C$11,3,FALSE)</f>
        <v>Grande couronne</v>
      </c>
      <c r="K1103" s="13">
        <f>IFERROR(H1103/G1103,"")</f>
        <v>5.8484848484848486</v>
      </c>
      <c r="L1103" s="14">
        <f>IFERROR(I1103/G1103,"")</f>
        <v>0.39393939393939392</v>
      </c>
      <c r="M1103" s="11" t="str">
        <f>IF(K1103&gt;=Paramètres!$F$6,"Très forte",IF(K1103&gt;=Paramètres!$F$5,"Forte",IF(K1103&gt;=Paramètres!$F$4,"Modérée","Faible")))</f>
        <v>Faible</v>
      </c>
    </row>
    <row r="1104" spans="1:13">
      <c r="A1104" t="s">
        <v>1063</v>
      </c>
      <c r="B1104" s="11">
        <v>78</v>
      </c>
      <c r="C1104" t="s">
        <v>135</v>
      </c>
      <c r="D1104" t="s">
        <v>797</v>
      </c>
      <c r="E1104" t="s">
        <v>798</v>
      </c>
      <c r="F1104" t="s">
        <v>92</v>
      </c>
      <c r="G1104" s="12">
        <v>40</v>
      </c>
      <c r="H1104" s="12">
        <v>233</v>
      </c>
      <c r="I1104" s="12">
        <v>25</v>
      </c>
      <c r="J1104" t="str">
        <f>VLOOKUP(B1104,Paramètres!$A$4:$C$11,3,FALSE)</f>
        <v>Grande couronne</v>
      </c>
      <c r="K1104" s="13">
        <f>IFERROR(H1104/G1104,"")</f>
        <v>5.8250000000000002</v>
      </c>
      <c r="L1104" s="14">
        <f>IFERROR(I1104/G1104,"")</f>
        <v>0.625</v>
      </c>
      <c r="M1104" s="11" t="str">
        <f>IF(K1104&gt;=Paramètres!$F$6,"Très forte",IF(K1104&gt;=Paramètres!$F$5,"Forte",IF(K1104&gt;=Paramètres!$F$4,"Modérée","Faible")))</f>
        <v>Faible</v>
      </c>
    </row>
    <row r="1105" spans="1:13">
      <c r="A1105" t="s">
        <v>1146</v>
      </c>
      <c r="B1105" s="11">
        <v>93</v>
      </c>
      <c r="C1105" t="s">
        <v>100</v>
      </c>
      <c r="D1105" t="s">
        <v>797</v>
      </c>
      <c r="E1105" t="s">
        <v>940</v>
      </c>
      <c r="F1105" t="s">
        <v>92</v>
      </c>
      <c r="G1105" s="12">
        <v>26</v>
      </c>
      <c r="H1105" s="12">
        <v>151</v>
      </c>
      <c r="I1105" s="12">
        <v>26</v>
      </c>
      <c r="J1105" t="str">
        <f>VLOOKUP(B1105,Paramètres!$A$4:$C$11,3,FALSE)</f>
        <v>Petite couronne</v>
      </c>
      <c r="K1105" s="13">
        <f>IFERROR(H1105/G1105,"")</f>
        <v>5.8076923076923075</v>
      </c>
      <c r="L1105" s="14">
        <f>IFERROR(I1105/G1105,"")</f>
        <v>1</v>
      </c>
      <c r="M1105" s="11" t="str">
        <f>IF(K1105&gt;=Paramètres!$F$6,"Très forte",IF(K1105&gt;=Paramètres!$F$5,"Forte",IF(K1105&gt;=Paramètres!$F$4,"Modérée","Faible")))</f>
        <v>Faible</v>
      </c>
    </row>
    <row r="1106" spans="1:13">
      <c r="A1106" t="s">
        <v>1056</v>
      </c>
      <c r="B1106" s="11">
        <v>78</v>
      </c>
      <c r="C1106" t="s">
        <v>135</v>
      </c>
      <c r="D1106" t="s">
        <v>797</v>
      </c>
      <c r="E1106" t="s">
        <v>798</v>
      </c>
      <c r="F1106" t="s">
        <v>92</v>
      </c>
      <c r="G1106" s="12">
        <v>30</v>
      </c>
      <c r="H1106" s="12">
        <v>172</v>
      </c>
      <c r="I1106" s="12">
        <v>11</v>
      </c>
      <c r="J1106" t="str">
        <f>VLOOKUP(B1106,Paramètres!$A$4:$C$11,3,FALSE)</f>
        <v>Grande couronne</v>
      </c>
      <c r="K1106" s="13">
        <f>IFERROR(H1106/G1106,"")</f>
        <v>5.7333333333333334</v>
      </c>
      <c r="L1106" s="14">
        <f>IFERROR(I1106/G1106,"")</f>
        <v>0.36666666666666664</v>
      </c>
      <c r="M1106" s="11" t="str">
        <f>IF(K1106&gt;=Paramètres!$F$6,"Très forte",IF(K1106&gt;=Paramètres!$F$5,"Forte",IF(K1106&gt;=Paramètres!$F$4,"Modérée","Faible")))</f>
        <v>Faible</v>
      </c>
    </row>
    <row r="1107" spans="1:13">
      <c r="A1107" t="s">
        <v>902</v>
      </c>
      <c r="B1107" s="11">
        <v>75</v>
      </c>
      <c r="C1107" t="s">
        <v>86</v>
      </c>
      <c r="D1107" t="s">
        <v>797</v>
      </c>
      <c r="E1107" t="s">
        <v>853</v>
      </c>
      <c r="F1107" t="s">
        <v>92</v>
      </c>
      <c r="G1107" s="12">
        <v>30</v>
      </c>
      <c r="H1107" s="12">
        <v>171</v>
      </c>
      <c r="I1107" s="12">
        <v>8</v>
      </c>
      <c r="J1107" t="str">
        <f>VLOOKUP(B1107,Paramètres!$A$4:$C$11,3,FALSE)</f>
        <v>Paris</v>
      </c>
      <c r="K1107" s="13">
        <f>IFERROR(H1107/G1107,"")</f>
        <v>5.7</v>
      </c>
      <c r="L1107" s="14">
        <f>IFERROR(I1107/G1107,"")</f>
        <v>0.26666666666666666</v>
      </c>
      <c r="M1107" s="11" t="str">
        <f>IF(K1107&gt;=Paramètres!$F$6,"Très forte",IF(K1107&gt;=Paramètres!$F$5,"Forte",IF(K1107&gt;=Paramètres!$F$4,"Modérée","Faible")))</f>
        <v>Faible</v>
      </c>
    </row>
    <row r="1108" spans="1:13">
      <c r="A1108" t="s">
        <v>1140</v>
      </c>
      <c r="B1108" s="11">
        <v>77</v>
      </c>
      <c r="C1108" t="s">
        <v>132</v>
      </c>
      <c r="D1108" t="s">
        <v>797</v>
      </c>
      <c r="E1108" t="s">
        <v>822</v>
      </c>
      <c r="F1108" t="s">
        <v>92</v>
      </c>
      <c r="G1108" s="12">
        <v>33</v>
      </c>
      <c r="H1108" s="12">
        <v>187</v>
      </c>
      <c r="I1108" s="12">
        <v>27</v>
      </c>
      <c r="J1108" t="str">
        <f>VLOOKUP(B1108,Paramètres!$A$4:$C$11,3,FALSE)</f>
        <v>Grande couronne</v>
      </c>
      <c r="K1108" s="13">
        <f>IFERROR(H1108/G1108,"")</f>
        <v>5.666666666666667</v>
      </c>
      <c r="L1108" s="14">
        <f>IFERROR(I1108/G1108,"")</f>
        <v>0.81818181818181823</v>
      </c>
      <c r="M1108" s="11" t="str">
        <f>IF(K1108&gt;=Paramètres!$F$6,"Très forte",IF(K1108&gt;=Paramètres!$F$5,"Forte",IF(K1108&gt;=Paramètres!$F$4,"Modérée","Faible")))</f>
        <v>Faible</v>
      </c>
    </row>
    <row r="1109" spans="1:13">
      <c r="A1109" t="s">
        <v>886</v>
      </c>
      <c r="B1109" s="11">
        <v>77</v>
      </c>
      <c r="C1109" t="s">
        <v>132</v>
      </c>
      <c r="D1109" t="s">
        <v>797</v>
      </c>
      <c r="E1109" t="s">
        <v>1035</v>
      </c>
      <c r="F1109" t="s">
        <v>92</v>
      </c>
      <c r="G1109" s="12">
        <v>24</v>
      </c>
      <c r="H1109" s="12">
        <v>133</v>
      </c>
      <c r="I1109" s="12">
        <v>23</v>
      </c>
      <c r="J1109" t="str">
        <f>VLOOKUP(B1109,Paramètres!$A$4:$C$11,3,FALSE)</f>
        <v>Grande couronne</v>
      </c>
      <c r="K1109" s="13">
        <f>IFERROR(H1109/G1109,"")</f>
        <v>5.541666666666667</v>
      </c>
      <c r="L1109" s="14">
        <f>IFERROR(I1109/G1109,"")</f>
        <v>0.95833333333333337</v>
      </c>
      <c r="M1109" s="11" t="str">
        <f>IF(K1109&gt;=Paramètres!$F$6,"Très forte",IF(K1109&gt;=Paramètres!$F$5,"Forte",IF(K1109&gt;=Paramètres!$F$4,"Modérée","Faible")))</f>
        <v>Faible</v>
      </c>
    </row>
    <row r="1110" spans="1:13">
      <c r="A1110" t="s">
        <v>1139</v>
      </c>
      <c r="B1110" s="11">
        <v>75</v>
      </c>
      <c r="C1110" t="s">
        <v>86</v>
      </c>
      <c r="D1110" t="s">
        <v>797</v>
      </c>
      <c r="E1110" t="s">
        <v>1003</v>
      </c>
      <c r="F1110" t="s">
        <v>92</v>
      </c>
      <c r="G1110" s="12">
        <v>74</v>
      </c>
      <c r="H1110" s="12">
        <v>406</v>
      </c>
      <c r="I1110" s="12">
        <v>78</v>
      </c>
      <c r="J1110" t="str">
        <f>VLOOKUP(B1110,Paramètres!$A$4:$C$11,3,FALSE)</f>
        <v>Paris</v>
      </c>
      <c r="K1110" s="13">
        <f>IFERROR(H1110/G1110,"")</f>
        <v>5.4864864864864868</v>
      </c>
      <c r="L1110" s="14">
        <f>IFERROR(I1110/G1110,"")</f>
        <v>1.0540540540540539</v>
      </c>
      <c r="M1110" s="11" t="str">
        <f>IF(K1110&gt;=Paramètres!$F$6,"Très forte",IF(K1110&gt;=Paramètres!$F$5,"Forte",IF(K1110&gt;=Paramètres!$F$4,"Modérée","Faible")))</f>
        <v>Faible</v>
      </c>
    </row>
    <row r="1111" spans="1:13">
      <c r="A1111" t="s">
        <v>1140</v>
      </c>
      <c r="B1111" s="11">
        <v>77</v>
      </c>
      <c r="C1111" t="s">
        <v>132</v>
      </c>
      <c r="D1111" t="s">
        <v>797</v>
      </c>
      <c r="E1111" t="s">
        <v>823</v>
      </c>
      <c r="F1111" t="s">
        <v>92</v>
      </c>
      <c r="G1111" s="12">
        <v>35</v>
      </c>
      <c r="H1111" s="12">
        <v>189</v>
      </c>
      <c r="I1111" s="12">
        <v>34</v>
      </c>
      <c r="J1111" t="str">
        <f>VLOOKUP(B1111,Paramètres!$A$4:$C$11,3,FALSE)</f>
        <v>Grande couronne</v>
      </c>
      <c r="K1111" s="13">
        <f>IFERROR(H1111/G1111,"")</f>
        <v>5.4</v>
      </c>
      <c r="L1111" s="14">
        <f>IFERROR(I1111/G1111,"")</f>
        <v>0.97142857142857142</v>
      </c>
      <c r="M1111" s="11" t="str">
        <f>IF(K1111&gt;=Paramètres!$F$6,"Très forte",IF(K1111&gt;=Paramètres!$F$5,"Forte",IF(K1111&gt;=Paramètres!$F$4,"Modérée","Faible")))</f>
        <v>Faible</v>
      </c>
    </row>
    <row r="1112" spans="1:13">
      <c r="A1112" t="s">
        <v>893</v>
      </c>
      <c r="B1112" s="11">
        <v>77</v>
      </c>
      <c r="C1112" t="s">
        <v>132</v>
      </c>
      <c r="D1112" t="s">
        <v>797</v>
      </c>
      <c r="E1112" t="s">
        <v>894</v>
      </c>
      <c r="F1112" t="s">
        <v>92</v>
      </c>
      <c r="G1112" s="12">
        <v>15</v>
      </c>
      <c r="H1112" s="12">
        <v>79</v>
      </c>
      <c r="I1112" s="12">
        <v>13</v>
      </c>
      <c r="J1112" t="str">
        <f>VLOOKUP(B1112,Paramètres!$A$4:$C$11,3,FALSE)</f>
        <v>Grande couronne</v>
      </c>
      <c r="K1112" s="13">
        <f>IFERROR(H1112/G1112,"")</f>
        <v>5.2666666666666666</v>
      </c>
      <c r="L1112" s="14">
        <f>IFERROR(I1112/G1112,"")</f>
        <v>0.8666666666666667</v>
      </c>
      <c r="M1112" s="11" t="str">
        <f>IF(K1112&gt;=Paramètres!$F$6,"Très forte",IF(K1112&gt;=Paramètres!$F$5,"Forte",IF(K1112&gt;=Paramètres!$F$4,"Modérée","Faible")))</f>
        <v>Faible</v>
      </c>
    </row>
    <row r="1113" spans="1:13">
      <c r="A1113" t="s">
        <v>1165</v>
      </c>
      <c r="B1113" s="11">
        <v>95</v>
      </c>
      <c r="C1113" t="s">
        <v>90</v>
      </c>
      <c r="D1113" t="s">
        <v>797</v>
      </c>
      <c r="E1113" t="s">
        <v>1159</v>
      </c>
      <c r="F1113" t="s">
        <v>92</v>
      </c>
      <c r="G1113" s="12">
        <v>30</v>
      </c>
      <c r="H1113" s="12">
        <v>155</v>
      </c>
      <c r="I1113" s="12">
        <v>15</v>
      </c>
      <c r="J1113" t="str">
        <f>VLOOKUP(B1113,Paramètres!$A$4:$C$11,3,FALSE)</f>
        <v>Grande couronne</v>
      </c>
      <c r="K1113" s="13">
        <f>IFERROR(H1113/G1113,"")</f>
        <v>5.166666666666667</v>
      </c>
      <c r="L1113" s="14">
        <f>IFERROR(I1113/G1113,"")</f>
        <v>0.5</v>
      </c>
      <c r="M1113" s="11" t="str">
        <f>IF(K1113&gt;=Paramètres!$F$6,"Très forte",IF(K1113&gt;=Paramètres!$F$5,"Forte",IF(K1113&gt;=Paramètres!$F$4,"Modérée","Faible")))</f>
        <v>Faible</v>
      </c>
    </row>
    <row r="1114" spans="1:13">
      <c r="A1114" t="s">
        <v>879</v>
      </c>
      <c r="B1114" s="11">
        <v>75</v>
      </c>
      <c r="C1114" t="s">
        <v>86</v>
      </c>
      <c r="D1114" t="s">
        <v>797</v>
      </c>
      <c r="E1114" t="s">
        <v>832</v>
      </c>
      <c r="F1114" t="s">
        <v>92</v>
      </c>
      <c r="G1114" s="12">
        <v>32</v>
      </c>
      <c r="H1114" s="12">
        <v>164</v>
      </c>
      <c r="I1114" s="12">
        <v>21</v>
      </c>
      <c r="J1114" t="str">
        <f>VLOOKUP(B1114,Paramètres!$A$4:$C$11,3,FALSE)</f>
        <v>Paris</v>
      </c>
      <c r="K1114" s="13">
        <f>IFERROR(H1114/G1114,"")</f>
        <v>5.125</v>
      </c>
      <c r="L1114" s="14">
        <f>IFERROR(I1114/G1114,"")</f>
        <v>0.65625</v>
      </c>
      <c r="M1114" s="11" t="str">
        <f>IF(K1114&gt;=Paramètres!$F$6,"Très forte",IF(K1114&gt;=Paramètres!$F$5,"Forte",IF(K1114&gt;=Paramètres!$F$4,"Modérée","Faible")))</f>
        <v>Faible</v>
      </c>
    </row>
    <row r="1115" spans="1:13">
      <c r="A1115" t="s">
        <v>1056</v>
      </c>
      <c r="B1115" s="11">
        <v>78</v>
      </c>
      <c r="C1115" t="s">
        <v>135</v>
      </c>
      <c r="D1115" t="s">
        <v>797</v>
      </c>
      <c r="E1115" t="s">
        <v>819</v>
      </c>
      <c r="F1115" t="s">
        <v>92</v>
      </c>
      <c r="G1115" s="12">
        <v>30</v>
      </c>
      <c r="H1115" s="12">
        <v>153</v>
      </c>
      <c r="I1115" s="12">
        <v>10</v>
      </c>
      <c r="J1115" t="str">
        <f>VLOOKUP(B1115,Paramètres!$A$4:$C$11,3,FALSE)</f>
        <v>Grande couronne</v>
      </c>
      <c r="K1115" s="13">
        <f>IFERROR(H1115/G1115,"")</f>
        <v>5.0999999999999996</v>
      </c>
      <c r="L1115" s="14">
        <f>IFERROR(I1115/G1115,"")</f>
        <v>0.33333333333333331</v>
      </c>
      <c r="M1115" s="11" t="str">
        <f>IF(K1115&gt;=Paramètres!$F$6,"Très forte",IF(K1115&gt;=Paramètres!$F$5,"Forte",IF(K1115&gt;=Paramètres!$F$4,"Modérée","Faible")))</f>
        <v>Faible</v>
      </c>
    </row>
    <row r="1116" spans="1:13">
      <c r="A1116" t="s">
        <v>1172</v>
      </c>
      <c r="B1116" s="11">
        <v>75</v>
      </c>
      <c r="C1116" t="s">
        <v>86</v>
      </c>
      <c r="D1116" t="s">
        <v>797</v>
      </c>
      <c r="E1116" t="s">
        <v>823</v>
      </c>
      <c r="F1116" t="s">
        <v>92</v>
      </c>
      <c r="G1116" s="12">
        <v>120</v>
      </c>
      <c r="H1116" s="12">
        <v>579</v>
      </c>
      <c r="I1116" s="12">
        <v>77</v>
      </c>
      <c r="J1116" t="str">
        <f>VLOOKUP(B1116,Paramètres!$A$4:$C$11,3,FALSE)</f>
        <v>Paris</v>
      </c>
      <c r="K1116" s="13">
        <f>IFERROR(H1116/G1116,"")</f>
        <v>4.8250000000000002</v>
      </c>
      <c r="L1116" s="14">
        <f>IFERROR(I1116/G1116,"")</f>
        <v>0.64166666666666672</v>
      </c>
      <c r="M1116" s="11" t="str">
        <f>IF(K1116&gt;=Paramètres!$F$6,"Très forte",IF(K1116&gt;=Paramètres!$F$5,"Forte",IF(K1116&gt;=Paramètres!$F$4,"Modérée","Faible")))</f>
        <v>Faible</v>
      </c>
    </row>
    <row r="1117" spans="1:13">
      <c r="A1117" t="s">
        <v>1048</v>
      </c>
      <c r="B1117" s="11">
        <v>77</v>
      </c>
      <c r="C1117" t="s">
        <v>132</v>
      </c>
      <c r="D1117" t="s">
        <v>797</v>
      </c>
      <c r="E1117" t="s">
        <v>825</v>
      </c>
      <c r="F1117" t="s">
        <v>92</v>
      </c>
      <c r="G1117" s="12">
        <v>35</v>
      </c>
      <c r="H1117" s="12">
        <v>168</v>
      </c>
      <c r="I1117" s="12">
        <v>31</v>
      </c>
      <c r="J1117" t="str">
        <f>VLOOKUP(B1117,Paramètres!$A$4:$C$11,3,FALSE)</f>
        <v>Grande couronne</v>
      </c>
      <c r="K1117" s="13">
        <f>IFERROR(H1117/G1117,"")</f>
        <v>4.8</v>
      </c>
      <c r="L1117" s="14">
        <f>IFERROR(I1117/G1117,"")</f>
        <v>0.88571428571428568</v>
      </c>
      <c r="M1117" s="11" t="str">
        <f>IF(K1117&gt;=Paramètres!$F$6,"Très forte",IF(K1117&gt;=Paramètres!$F$5,"Forte",IF(K1117&gt;=Paramètres!$F$4,"Modérée","Faible")))</f>
        <v>Faible</v>
      </c>
    </row>
    <row r="1118" spans="1:13">
      <c r="A1118" t="s">
        <v>1040</v>
      </c>
      <c r="B1118" s="11">
        <v>75</v>
      </c>
      <c r="C1118" t="s">
        <v>86</v>
      </c>
      <c r="D1118" t="s">
        <v>797</v>
      </c>
      <c r="E1118" t="s">
        <v>940</v>
      </c>
      <c r="F1118" t="s">
        <v>92</v>
      </c>
      <c r="G1118" s="12">
        <v>34</v>
      </c>
      <c r="H1118" s="12">
        <v>150</v>
      </c>
      <c r="I1118" s="12">
        <v>26</v>
      </c>
      <c r="J1118" t="str">
        <f>VLOOKUP(B1118,Paramètres!$A$4:$C$11,3,FALSE)</f>
        <v>Paris</v>
      </c>
      <c r="K1118" s="13">
        <f>IFERROR(H1118/G1118,"")</f>
        <v>4.4117647058823533</v>
      </c>
      <c r="L1118" s="14">
        <f>IFERROR(I1118/G1118,"")</f>
        <v>0.76470588235294112</v>
      </c>
      <c r="M1118" s="11" t="str">
        <f>IF(K1118&gt;=Paramètres!$F$6,"Très forte",IF(K1118&gt;=Paramètres!$F$5,"Forte",IF(K1118&gt;=Paramètres!$F$4,"Modérée","Faible")))</f>
        <v>Faible</v>
      </c>
    </row>
    <row r="1119" spans="1:13">
      <c r="A1119" t="s">
        <v>873</v>
      </c>
      <c r="B1119" s="11">
        <v>75</v>
      </c>
      <c r="C1119" t="s">
        <v>86</v>
      </c>
      <c r="D1119" t="s">
        <v>797</v>
      </c>
      <c r="E1119" t="s">
        <v>878</v>
      </c>
      <c r="F1119" t="s">
        <v>92</v>
      </c>
      <c r="G1119" s="12">
        <v>52</v>
      </c>
      <c r="H1119" s="12">
        <v>220</v>
      </c>
      <c r="I1119" s="12">
        <v>35</v>
      </c>
      <c r="J1119" t="str">
        <f>VLOOKUP(B1119,Paramètres!$A$4:$C$11,3,FALSE)</f>
        <v>Paris</v>
      </c>
      <c r="K1119" s="13">
        <f>IFERROR(H1119/G1119,"")</f>
        <v>4.2307692307692308</v>
      </c>
      <c r="L1119" s="14">
        <f>IFERROR(I1119/G1119,"")</f>
        <v>0.67307692307692313</v>
      </c>
      <c r="M1119" s="11" t="str">
        <f>IF(K1119&gt;=Paramètres!$F$6,"Très forte",IF(K1119&gt;=Paramètres!$F$5,"Forte",IF(K1119&gt;=Paramètres!$F$4,"Modérée","Faible")))</f>
        <v>Faible</v>
      </c>
    </row>
    <row r="1120" spans="1:13">
      <c r="A1120" t="s">
        <v>1055</v>
      </c>
      <c r="B1120" s="11">
        <v>78</v>
      </c>
      <c r="C1120" t="s">
        <v>135</v>
      </c>
      <c r="D1120" t="s">
        <v>797</v>
      </c>
      <c r="E1120" t="s">
        <v>878</v>
      </c>
      <c r="F1120" t="s">
        <v>92</v>
      </c>
      <c r="G1120" s="12">
        <v>60</v>
      </c>
      <c r="H1120" s="12">
        <v>241</v>
      </c>
      <c r="I1120" s="12">
        <v>57</v>
      </c>
      <c r="J1120" t="str">
        <f>VLOOKUP(B1120,Paramètres!$A$4:$C$11,3,FALSE)</f>
        <v>Grande couronne</v>
      </c>
      <c r="K1120" s="13">
        <f>IFERROR(H1120/G1120,"")</f>
        <v>4.0166666666666666</v>
      </c>
      <c r="L1120" s="14">
        <f>IFERROR(I1120/G1120,"")</f>
        <v>0.95</v>
      </c>
      <c r="M1120" s="11" t="str">
        <f>IF(K1120&gt;=Paramètres!$F$6,"Très forte",IF(K1120&gt;=Paramètres!$F$5,"Forte",IF(K1120&gt;=Paramètres!$F$4,"Modérée","Faible")))</f>
        <v>Faible</v>
      </c>
    </row>
    <row r="1121" spans="1:13">
      <c r="A1121" t="s">
        <v>1063</v>
      </c>
      <c r="B1121" s="11">
        <v>78</v>
      </c>
      <c r="C1121" t="s">
        <v>135</v>
      </c>
      <c r="D1121" t="s">
        <v>797</v>
      </c>
      <c r="E1121" t="s">
        <v>844</v>
      </c>
      <c r="F1121" t="s">
        <v>92</v>
      </c>
      <c r="G1121" s="12">
        <v>32</v>
      </c>
      <c r="H1121" s="12">
        <v>128</v>
      </c>
      <c r="I1121" s="12">
        <v>20</v>
      </c>
      <c r="J1121" t="str">
        <f>VLOOKUP(B1121,Paramètres!$A$4:$C$11,3,FALSE)</f>
        <v>Grande couronne</v>
      </c>
      <c r="K1121" s="13">
        <f>IFERROR(H1121/G1121,"")</f>
        <v>4</v>
      </c>
      <c r="L1121" s="14">
        <f>IFERROR(I1121/G1121,"")</f>
        <v>0.625</v>
      </c>
      <c r="M1121" s="11" t="str">
        <f>IF(K1121&gt;=Paramètres!$F$6,"Très forte",IF(K1121&gt;=Paramètres!$F$5,"Forte",IF(K1121&gt;=Paramètres!$F$4,"Modérée","Faible")))</f>
        <v>Faible</v>
      </c>
    </row>
    <row r="1122" spans="1:13">
      <c r="A1122" t="s">
        <v>1050</v>
      </c>
      <c r="B1122" s="11">
        <v>77</v>
      </c>
      <c r="C1122" t="s">
        <v>132</v>
      </c>
      <c r="D1122" t="s">
        <v>797</v>
      </c>
      <c r="E1122" t="s">
        <v>878</v>
      </c>
      <c r="F1122" t="s">
        <v>92</v>
      </c>
      <c r="G1122" s="12">
        <v>24</v>
      </c>
      <c r="H1122" s="12">
        <v>86</v>
      </c>
      <c r="I1122" s="12">
        <v>19</v>
      </c>
      <c r="J1122" t="str">
        <f>VLOOKUP(B1122,Paramètres!$A$4:$C$11,3,FALSE)</f>
        <v>Grande couronne</v>
      </c>
      <c r="K1122" s="13">
        <f>IFERROR(H1122/G1122,"")</f>
        <v>3.5833333333333335</v>
      </c>
      <c r="L1122" s="14">
        <f>IFERROR(I1122/G1122,"")</f>
        <v>0.79166666666666663</v>
      </c>
      <c r="M1122" s="11" t="str">
        <f>IF(K1122&gt;=Paramètres!$F$6,"Très forte",IF(K1122&gt;=Paramètres!$F$5,"Forte",IF(K1122&gt;=Paramètres!$F$4,"Modérée","Faible")))</f>
        <v>Faible</v>
      </c>
    </row>
    <row r="1123" spans="1:13">
      <c r="A1123" t="s">
        <v>1081</v>
      </c>
      <c r="B1123" s="11">
        <v>92</v>
      </c>
      <c r="C1123" t="s">
        <v>94</v>
      </c>
      <c r="D1123" t="s">
        <v>797</v>
      </c>
      <c r="E1123" t="s">
        <v>1019</v>
      </c>
      <c r="F1123" t="s">
        <v>92</v>
      </c>
      <c r="G1123" s="12">
        <v>45</v>
      </c>
      <c r="H1123" s="12">
        <v>151</v>
      </c>
      <c r="I1123" s="12">
        <v>37</v>
      </c>
      <c r="J1123" t="str">
        <f>VLOOKUP(B1123,Paramètres!$A$4:$C$11,3,FALSE)</f>
        <v>Petite couronne</v>
      </c>
      <c r="K1123" s="13">
        <f>IFERROR(H1123/G1123,"")</f>
        <v>3.3555555555555556</v>
      </c>
      <c r="L1123" s="14">
        <f>IFERROR(I1123/G1123,"")</f>
        <v>0.82222222222222219</v>
      </c>
      <c r="M1123" s="11" t="str">
        <f>IF(K1123&gt;=Paramètres!$F$6,"Très forte",IF(K1123&gt;=Paramètres!$F$5,"Forte",IF(K1123&gt;=Paramètres!$F$4,"Modérée","Faible")))</f>
        <v>Faible</v>
      </c>
    </row>
    <row r="1124" spans="1:13">
      <c r="A1124" t="s">
        <v>895</v>
      </c>
      <c r="B1124" s="11">
        <v>78</v>
      </c>
      <c r="C1124" t="s">
        <v>135</v>
      </c>
      <c r="D1124" t="s">
        <v>797</v>
      </c>
      <c r="E1124" t="s">
        <v>896</v>
      </c>
      <c r="F1124" t="s">
        <v>92</v>
      </c>
      <c r="G1124" s="12">
        <v>36</v>
      </c>
      <c r="H1124" s="12">
        <v>111</v>
      </c>
      <c r="I1124" s="12">
        <v>6</v>
      </c>
      <c r="J1124" t="str">
        <f>VLOOKUP(B1124,Paramètres!$A$4:$C$11,3,FALSE)</f>
        <v>Grande couronne</v>
      </c>
      <c r="K1124" s="13">
        <f>IFERROR(H1124/G1124,"")</f>
        <v>3.0833333333333335</v>
      </c>
      <c r="L1124" s="14">
        <f>IFERROR(I1124/G1124,"")</f>
        <v>0.16666666666666666</v>
      </c>
      <c r="M1124" s="11" t="str">
        <f>IF(K1124&gt;=Paramètres!$F$6,"Très forte",IF(K1124&gt;=Paramètres!$F$5,"Forte",IF(K1124&gt;=Paramètres!$F$4,"Modérée","Faible")))</f>
        <v>Faible</v>
      </c>
    </row>
    <row r="1125" spans="1:13">
      <c r="A1125" t="s">
        <v>922</v>
      </c>
      <c r="B1125" s="11">
        <v>91</v>
      </c>
      <c r="C1125" t="s">
        <v>105</v>
      </c>
      <c r="D1125" t="s">
        <v>797</v>
      </c>
      <c r="E1125" t="s">
        <v>923</v>
      </c>
      <c r="F1125" t="s">
        <v>92</v>
      </c>
      <c r="G1125" s="12">
        <v>96</v>
      </c>
      <c r="H1125" s="12">
        <v>284</v>
      </c>
      <c r="I1125" s="12">
        <v>52</v>
      </c>
      <c r="J1125" t="str">
        <f>VLOOKUP(B1125,Paramètres!$A$4:$C$11,3,FALSE)</f>
        <v>Grande couronne</v>
      </c>
      <c r="K1125" s="13">
        <f>IFERROR(H1125/G1125,"")</f>
        <v>2.9583333333333335</v>
      </c>
      <c r="L1125" s="14">
        <f>IFERROR(I1125/G1125,"")</f>
        <v>0.54166666666666663</v>
      </c>
      <c r="M1125" s="11" t="str">
        <f>IF(K1125&gt;=Paramètres!$F$6,"Très forte",IF(K1125&gt;=Paramètres!$F$5,"Forte",IF(K1125&gt;=Paramètres!$F$4,"Modérée","Faible")))</f>
        <v>Faible</v>
      </c>
    </row>
    <row r="1126" spans="1:13">
      <c r="A1126" t="s">
        <v>1112</v>
      </c>
      <c r="B1126" s="11">
        <v>78</v>
      </c>
      <c r="C1126" t="s">
        <v>135</v>
      </c>
      <c r="D1126" t="s">
        <v>797</v>
      </c>
      <c r="E1126" t="s">
        <v>1113</v>
      </c>
      <c r="F1126" t="s">
        <v>92</v>
      </c>
      <c r="G1126" s="12">
        <v>42</v>
      </c>
      <c r="H1126" s="12">
        <v>114</v>
      </c>
      <c r="I1126" s="12">
        <v>23</v>
      </c>
      <c r="J1126" t="str">
        <f>VLOOKUP(B1126,Paramètres!$A$4:$C$11,3,FALSE)</f>
        <v>Grande couronne</v>
      </c>
      <c r="K1126" s="13">
        <f>IFERROR(H1126/G1126,"")</f>
        <v>2.7142857142857144</v>
      </c>
      <c r="L1126" s="14">
        <f>IFERROR(I1126/G1126,"")</f>
        <v>0.54761904761904767</v>
      </c>
      <c r="M1126" s="11" t="str">
        <f>IF(K1126&gt;=Paramètres!$F$6,"Très forte",IF(K1126&gt;=Paramètres!$F$5,"Forte",IF(K1126&gt;=Paramètres!$F$4,"Modérée","Faible")))</f>
        <v>Faible</v>
      </c>
    </row>
    <row r="1127" spans="1:13">
      <c r="A1127" t="s">
        <v>880</v>
      </c>
      <c r="B1127" s="11">
        <v>77</v>
      </c>
      <c r="C1127" t="s">
        <v>132</v>
      </c>
      <c r="D1127" t="s">
        <v>797</v>
      </c>
      <c r="E1127" t="s">
        <v>838</v>
      </c>
      <c r="F1127" t="s">
        <v>92</v>
      </c>
      <c r="G1127" s="12">
        <v>24</v>
      </c>
      <c r="H1127" s="12">
        <v>64</v>
      </c>
      <c r="I1127" s="12">
        <v>11</v>
      </c>
      <c r="J1127" t="str">
        <f>VLOOKUP(B1127,Paramètres!$A$4:$C$11,3,FALSE)</f>
        <v>Grande couronne</v>
      </c>
      <c r="K1127" s="13">
        <f>IFERROR(H1127/G1127,"")</f>
        <v>2.6666666666666665</v>
      </c>
      <c r="L1127" s="14">
        <f>IFERROR(I1127/G1127,"")</f>
        <v>0.45833333333333331</v>
      </c>
      <c r="M1127" s="11" t="str">
        <f>IF(K1127&gt;=Paramètres!$F$6,"Très forte",IF(K1127&gt;=Paramètres!$F$5,"Forte",IF(K1127&gt;=Paramètres!$F$4,"Modérée","Faible")))</f>
        <v>Faible</v>
      </c>
    </row>
    <row r="1128" spans="1:13">
      <c r="A1128" t="s">
        <v>1081</v>
      </c>
      <c r="B1128" s="11">
        <v>92</v>
      </c>
      <c r="C1128" t="s">
        <v>94</v>
      </c>
      <c r="D1128" t="s">
        <v>797</v>
      </c>
      <c r="E1128" t="s">
        <v>853</v>
      </c>
      <c r="F1128" t="s">
        <v>92</v>
      </c>
      <c r="G1128" s="12">
        <v>45</v>
      </c>
      <c r="H1128" s="12">
        <v>116</v>
      </c>
      <c r="I1128" s="12">
        <v>34</v>
      </c>
      <c r="J1128" t="str">
        <f>VLOOKUP(B1128,Paramètres!$A$4:$C$11,3,FALSE)</f>
        <v>Petite couronne</v>
      </c>
      <c r="K1128" s="13">
        <f>IFERROR(H1128/G1128,"")</f>
        <v>2.5777777777777779</v>
      </c>
      <c r="L1128" s="14">
        <f>IFERROR(I1128/G1128,"")</f>
        <v>0.75555555555555554</v>
      </c>
      <c r="M1128" s="11" t="str">
        <f>IF(K1128&gt;=Paramètres!$F$6,"Très forte",IF(K1128&gt;=Paramètres!$F$5,"Forte",IF(K1128&gt;=Paramètres!$F$4,"Modérée","Faible")))</f>
        <v>Faible</v>
      </c>
    </row>
    <row r="1129" spans="1:13">
      <c r="A1129" t="s">
        <v>1147</v>
      </c>
      <c r="B1129" s="11">
        <v>91</v>
      </c>
      <c r="C1129" t="s">
        <v>105</v>
      </c>
      <c r="D1129" t="s">
        <v>797</v>
      </c>
      <c r="E1129" t="s">
        <v>878</v>
      </c>
      <c r="F1129" t="s">
        <v>92</v>
      </c>
      <c r="G1129" s="12">
        <v>36</v>
      </c>
      <c r="H1129" s="12">
        <v>59</v>
      </c>
      <c r="I1129" s="12">
        <v>20</v>
      </c>
      <c r="J1129" t="str">
        <f>VLOOKUP(B1129,Paramètres!$A$4:$C$11,3,FALSE)</f>
        <v>Grande couronne</v>
      </c>
      <c r="K1129" s="13">
        <f>IFERROR(H1129/G1129,"")</f>
        <v>1.6388888888888888</v>
      </c>
      <c r="L1129" s="14">
        <f>IFERROR(I1129/G1129,"")</f>
        <v>0.55555555555555558</v>
      </c>
      <c r="M1129" s="11" t="str">
        <f>IF(K1129&gt;=Paramètres!$F$6,"Très forte",IF(K1129&gt;=Paramètres!$F$5,"Forte",IF(K1129&gt;=Paramètres!$F$4,"Modérée","Faible")))</f>
        <v>Faible</v>
      </c>
    </row>
    <row r="1130" spans="1:13">
      <c r="A1130" t="s">
        <v>1112</v>
      </c>
      <c r="B1130" s="11">
        <v>78</v>
      </c>
      <c r="C1130" t="s">
        <v>135</v>
      </c>
      <c r="D1130" t="s">
        <v>797</v>
      </c>
      <c r="E1130" t="s">
        <v>1210</v>
      </c>
      <c r="F1130" t="s">
        <v>92</v>
      </c>
      <c r="G1130" s="12">
        <v>42</v>
      </c>
      <c r="H1130" s="12">
        <v>54</v>
      </c>
      <c r="I1130" s="12">
        <v>15</v>
      </c>
      <c r="J1130" t="str">
        <f>VLOOKUP(B1130,Paramètres!$A$4:$C$11,3,FALSE)</f>
        <v>Grande couronne</v>
      </c>
      <c r="K1130" s="13">
        <f>IFERROR(H1130/G1130,"")</f>
        <v>1.2857142857142858</v>
      </c>
      <c r="L1130" s="14">
        <f>IFERROR(I1130/G1130,"")</f>
        <v>0.35714285714285715</v>
      </c>
      <c r="M1130" s="11" t="str">
        <f>IF(K1130&gt;=Paramètres!$F$6,"Très forte",IF(K1130&gt;=Paramètres!$F$5,"Forte",IF(K1130&gt;=Paramètres!$F$4,"Modérée","Faible")))</f>
        <v>Faible</v>
      </c>
    </row>
    <row r="1131" spans="1:13">
      <c r="A1131" t="s">
        <v>93</v>
      </c>
      <c r="B1131" s="11">
        <v>92</v>
      </c>
      <c r="C1131" t="s">
        <v>94</v>
      </c>
      <c r="D1131" t="s">
        <v>95</v>
      </c>
      <c r="E1131" t="s">
        <v>263</v>
      </c>
      <c r="F1131" t="s">
        <v>92</v>
      </c>
      <c r="G1131" s="12">
        <v>50</v>
      </c>
      <c r="H1131" s="12">
        <v>6294</v>
      </c>
      <c r="I1131" s="12">
        <v>54</v>
      </c>
      <c r="J1131" t="str">
        <f>VLOOKUP(B1131,Paramètres!$A$4:$C$11,3,FALSE)</f>
        <v>Petite couronne</v>
      </c>
      <c r="K1131" s="13">
        <f>IFERROR(H1131/G1131,"")</f>
        <v>125.88</v>
      </c>
      <c r="L1131" s="14">
        <f>IFERROR(I1131/G1131,"")</f>
        <v>1.08</v>
      </c>
      <c r="M1131" s="11" t="str">
        <f>IF(K1131&gt;=Paramètres!$F$6,"Très forte",IF(K1131&gt;=Paramètres!$F$5,"Forte",IF(K1131&gt;=Paramètres!$F$4,"Modérée","Faible")))</f>
        <v>Très forte</v>
      </c>
    </row>
    <row r="1132" spans="1:13">
      <c r="A1132" t="s">
        <v>278</v>
      </c>
      <c r="B1132" s="11">
        <v>94</v>
      </c>
      <c r="C1132" t="s">
        <v>116</v>
      </c>
      <c r="D1132" t="s">
        <v>95</v>
      </c>
      <c r="E1132" t="s">
        <v>263</v>
      </c>
      <c r="F1132" t="s">
        <v>92</v>
      </c>
      <c r="G1132" s="12">
        <v>90</v>
      </c>
      <c r="H1132" s="12">
        <v>9291</v>
      </c>
      <c r="I1132" s="12">
        <v>102</v>
      </c>
      <c r="J1132" t="str">
        <f>VLOOKUP(B1132,Paramètres!$A$4:$C$11,3,FALSE)</f>
        <v>Petite couronne</v>
      </c>
      <c r="K1132" s="13">
        <f>IFERROR(H1132/G1132,"")</f>
        <v>103.23333333333333</v>
      </c>
      <c r="L1132" s="14">
        <f>IFERROR(I1132/G1132,"")</f>
        <v>1.1333333333333333</v>
      </c>
      <c r="M1132" s="11" t="str">
        <f>IF(K1132&gt;=Paramètres!$F$6,"Très forte",IF(K1132&gt;=Paramètres!$F$5,"Forte",IF(K1132&gt;=Paramètres!$F$4,"Modérée","Faible")))</f>
        <v>Très forte</v>
      </c>
    </row>
    <row r="1133" spans="1:13">
      <c r="A1133" t="s">
        <v>270</v>
      </c>
      <c r="B1133" s="11">
        <v>93</v>
      </c>
      <c r="C1133" t="s">
        <v>100</v>
      </c>
      <c r="D1133" t="s">
        <v>95</v>
      </c>
      <c r="E1133" t="s">
        <v>263</v>
      </c>
      <c r="F1133" t="s">
        <v>92</v>
      </c>
      <c r="G1133" s="12">
        <v>112</v>
      </c>
      <c r="H1133" s="12">
        <v>11402</v>
      </c>
      <c r="I1133" s="12">
        <v>111</v>
      </c>
      <c r="J1133" t="str">
        <f>VLOOKUP(B1133,Paramètres!$A$4:$C$11,3,FALSE)</f>
        <v>Petite couronne</v>
      </c>
      <c r="K1133" s="13">
        <f>IFERROR(H1133/G1133,"")</f>
        <v>101.80357142857143</v>
      </c>
      <c r="L1133" s="14">
        <f>IFERROR(I1133/G1133,"")</f>
        <v>0.9910714285714286</v>
      </c>
      <c r="M1133" s="11" t="str">
        <f>IF(K1133&gt;=Paramètres!$F$6,"Très forte",IF(K1133&gt;=Paramètres!$F$5,"Forte",IF(K1133&gt;=Paramètres!$F$4,"Modérée","Faible")))</f>
        <v>Très forte</v>
      </c>
    </row>
    <row r="1134" spans="1:13">
      <c r="A1134" t="s">
        <v>516</v>
      </c>
      <c r="B1134" s="11">
        <v>77</v>
      </c>
      <c r="C1134" t="s">
        <v>132</v>
      </c>
      <c r="D1134" t="s">
        <v>95</v>
      </c>
      <c r="E1134" t="s">
        <v>194</v>
      </c>
      <c r="F1134" t="s">
        <v>92</v>
      </c>
      <c r="G1134" s="12">
        <v>45</v>
      </c>
      <c r="H1134" s="12">
        <v>4558</v>
      </c>
      <c r="I1134" s="12">
        <v>45</v>
      </c>
      <c r="J1134" t="str">
        <f>VLOOKUP(B1134,Paramètres!$A$4:$C$11,3,FALSE)</f>
        <v>Grande couronne</v>
      </c>
      <c r="K1134" s="13">
        <f>IFERROR(H1134/G1134,"")</f>
        <v>101.28888888888889</v>
      </c>
      <c r="L1134" s="14">
        <f>IFERROR(I1134/G1134,"")</f>
        <v>1</v>
      </c>
      <c r="M1134" s="11" t="str">
        <f>IF(K1134&gt;=Paramètres!$F$6,"Très forte",IF(K1134&gt;=Paramètres!$F$5,"Forte",IF(K1134&gt;=Paramètres!$F$4,"Modérée","Faible")))</f>
        <v>Très forte</v>
      </c>
    </row>
    <row r="1135" spans="1:13">
      <c r="A1135" t="s">
        <v>193</v>
      </c>
      <c r="B1135" s="11">
        <v>75</v>
      </c>
      <c r="C1135" t="s">
        <v>86</v>
      </c>
      <c r="D1135" t="s">
        <v>95</v>
      </c>
      <c r="E1135" t="s">
        <v>691</v>
      </c>
      <c r="F1135" t="s">
        <v>92</v>
      </c>
      <c r="G1135" s="12">
        <v>28</v>
      </c>
      <c r="H1135" s="12">
        <v>2735</v>
      </c>
      <c r="I1135" s="12">
        <v>28</v>
      </c>
      <c r="J1135" t="str">
        <f>VLOOKUP(B1135,Paramètres!$A$4:$C$11,3,FALSE)</f>
        <v>Paris</v>
      </c>
      <c r="K1135" s="13">
        <f>IFERROR(H1135/G1135,"")</f>
        <v>97.678571428571431</v>
      </c>
      <c r="L1135" s="14">
        <f>IFERROR(I1135/G1135,"")</f>
        <v>1</v>
      </c>
      <c r="M1135" s="11" t="str">
        <f>IF(K1135&gt;=Paramètres!$F$6,"Très forte",IF(K1135&gt;=Paramètres!$F$5,"Forte",IF(K1135&gt;=Paramètres!$F$4,"Modérée","Faible")))</f>
        <v>Très forte</v>
      </c>
    </row>
    <row r="1136" spans="1:13">
      <c r="A1136" t="s">
        <v>267</v>
      </c>
      <c r="B1136" s="11">
        <v>93</v>
      </c>
      <c r="C1136" t="s">
        <v>100</v>
      </c>
      <c r="D1136" t="s">
        <v>95</v>
      </c>
      <c r="E1136" t="s">
        <v>263</v>
      </c>
      <c r="F1136" t="s">
        <v>92</v>
      </c>
      <c r="G1136" s="12">
        <v>60</v>
      </c>
      <c r="H1136" s="12">
        <v>5702</v>
      </c>
      <c r="I1136" s="12">
        <v>57</v>
      </c>
      <c r="J1136" t="str">
        <f>VLOOKUP(B1136,Paramètres!$A$4:$C$11,3,FALSE)</f>
        <v>Petite couronne</v>
      </c>
      <c r="K1136" s="13">
        <f>IFERROR(H1136/G1136,"")</f>
        <v>95.033333333333331</v>
      </c>
      <c r="L1136" s="14">
        <f>IFERROR(I1136/G1136,"")</f>
        <v>0.95</v>
      </c>
      <c r="M1136" s="11" t="str">
        <f>IF(K1136&gt;=Paramètres!$F$6,"Très forte",IF(K1136&gt;=Paramètres!$F$5,"Forte",IF(K1136&gt;=Paramètres!$F$4,"Modérée","Faible")))</f>
        <v>Très forte</v>
      </c>
    </row>
    <row r="1137" spans="1:13">
      <c r="A1137" t="s">
        <v>541</v>
      </c>
      <c r="B1137" s="11">
        <v>91</v>
      </c>
      <c r="C1137" t="s">
        <v>105</v>
      </c>
      <c r="D1137" t="s">
        <v>95</v>
      </c>
      <c r="E1137" t="s">
        <v>96</v>
      </c>
      <c r="F1137" t="s">
        <v>92</v>
      </c>
      <c r="G1137" s="12">
        <v>39</v>
      </c>
      <c r="H1137" s="12">
        <v>3376</v>
      </c>
      <c r="I1137" s="12">
        <v>38</v>
      </c>
      <c r="J1137" t="str">
        <f>VLOOKUP(B1137,Paramètres!$A$4:$C$11,3,FALSE)</f>
        <v>Grande couronne</v>
      </c>
      <c r="K1137" s="13">
        <f>IFERROR(H1137/G1137,"")</f>
        <v>86.564102564102569</v>
      </c>
      <c r="L1137" s="14">
        <f>IFERROR(I1137/G1137,"")</f>
        <v>0.97435897435897434</v>
      </c>
      <c r="M1137" s="11" t="str">
        <f>IF(K1137&gt;=Paramètres!$F$6,"Très forte",IF(K1137&gt;=Paramètres!$F$5,"Forte",IF(K1137&gt;=Paramètres!$F$4,"Modérée","Faible")))</f>
        <v>Très forte</v>
      </c>
    </row>
    <row r="1138" spans="1:13">
      <c r="A1138" t="s">
        <v>270</v>
      </c>
      <c r="B1138" s="11">
        <v>93</v>
      </c>
      <c r="C1138" t="s">
        <v>100</v>
      </c>
      <c r="D1138" t="s">
        <v>95</v>
      </c>
      <c r="E1138" t="s">
        <v>207</v>
      </c>
      <c r="F1138" t="s">
        <v>92</v>
      </c>
      <c r="G1138" s="12">
        <v>50</v>
      </c>
      <c r="H1138" s="12">
        <v>4230</v>
      </c>
      <c r="I1138" s="12">
        <v>52</v>
      </c>
      <c r="J1138" t="str">
        <f>VLOOKUP(B1138,Paramètres!$A$4:$C$11,3,FALSE)</f>
        <v>Petite couronne</v>
      </c>
      <c r="K1138" s="13">
        <f>IFERROR(H1138/G1138,"")</f>
        <v>84.6</v>
      </c>
      <c r="L1138" s="14">
        <f>IFERROR(I1138/G1138,"")</f>
        <v>1.04</v>
      </c>
      <c r="M1138" s="11" t="str">
        <f>IF(K1138&gt;=Paramètres!$F$6,"Très forte",IF(K1138&gt;=Paramètres!$F$5,"Forte",IF(K1138&gt;=Paramètres!$F$4,"Modérée","Faible")))</f>
        <v>Très forte</v>
      </c>
    </row>
    <row r="1139" spans="1:13">
      <c r="A1139" t="s">
        <v>93</v>
      </c>
      <c r="B1139" s="11">
        <v>92</v>
      </c>
      <c r="C1139" t="s">
        <v>94</v>
      </c>
      <c r="D1139" t="s">
        <v>95</v>
      </c>
      <c r="E1139" t="s">
        <v>96</v>
      </c>
      <c r="F1139" t="s">
        <v>92</v>
      </c>
      <c r="G1139" s="12">
        <v>84</v>
      </c>
      <c r="H1139" s="12">
        <v>7012</v>
      </c>
      <c r="I1139" s="12">
        <v>85</v>
      </c>
      <c r="J1139" t="str">
        <f>VLOOKUP(B1139,Paramètres!$A$4:$C$11,3,FALSE)</f>
        <v>Petite couronne</v>
      </c>
      <c r="K1139" s="13">
        <f>IFERROR(H1139/G1139,"")</f>
        <v>83.476190476190482</v>
      </c>
      <c r="L1139" s="14">
        <f>IFERROR(I1139/G1139,"")</f>
        <v>1.0119047619047619</v>
      </c>
      <c r="M1139" s="11" t="str">
        <f>IF(K1139&gt;=Paramètres!$F$6,"Très forte",IF(K1139&gt;=Paramètres!$F$5,"Forte",IF(K1139&gt;=Paramètres!$F$4,"Modérée","Faible")))</f>
        <v>Très forte</v>
      </c>
    </row>
    <row r="1140" spans="1:13">
      <c r="A1140" t="s">
        <v>270</v>
      </c>
      <c r="B1140" s="11">
        <v>93</v>
      </c>
      <c r="C1140" t="s">
        <v>100</v>
      </c>
      <c r="D1140" t="s">
        <v>95</v>
      </c>
      <c r="E1140" t="s">
        <v>282</v>
      </c>
      <c r="F1140" t="s">
        <v>92</v>
      </c>
      <c r="G1140" s="12">
        <v>28</v>
      </c>
      <c r="H1140" s="12">
        <v>2320</v>
      </c>
      <c r="I1140" s="12">
        <v>28</v>
      </c>
      <c r="J1140" t="str">
        <f>VLOOKUP(B1140,Paramètres!$A$4:$C$11,3,FALSE)</f>
        <v>Petite couronne</v>
      </c>
      <c r="K1140" s="13">
        <f>IFERROR(H1140/G1140,"")</f>
        <v>82.857142857142861</v>
      </c>
      <c r="L1140" s="14">
        <f>IFERROR(I1140/G1140,"")</f>
        <v>1</v>
      </c>
      <c r="M1140" s="11" t="str">
        <f>IF(K1140&gt;=Paramètres!$F$6,"Très forte",IF(K1140&gt;=Paramètres!$F$5,"Forte",IF(K1140&gt;=Paramètres!$F$4,"Modérée","Faible")))</f>
        <v>Très forte</v>
      </c>
    </row>
    <row r="1141" spans="1:13">
      <c r="A1141" t="s">
        <v>264</v>
      </c>
      <c r="B1141" s="11">
        <v>93</v>
      </c>
      <c r="C1141" t="s">
        <v>100</v>
      </c>
      <c r="D1141" t="s">
        <v>95</v>
      </c>
      <c r="E1141" t="s">
        <v>263</v>
      </c>
      <c r="F1141" t="s">
        <v>92</v>
      </c>
      <c r="G1141" s="12">
        <v>140</v>
      </c>
      <c r="H1141" s="12">
        <v>11529</v>
      </c>
      <c r="I1141" s="12">
        <v>139</v>
      </c>
      <c r="J1141" t="str">
        <f>VLOOKUP(B1141,Paramètres!$A$4:$C$11,3,FALSE)</f>
        <v>Petite couronne</v>
      </c>
      <c r="K1141" s="13">
        <f>IFERROR(H1141/G1141,"")</f>
        <v>82.35</v>
      </c>
      <c r="L1141" s="14">
        <f>IFERROR(I1141/G1141,"")</f>
        <v>0.99285714285714288</v>
      </c>
      <c r="M1141" s="11" t="str">
        <f>IF(K1141&gt;=Paramètres!$F$6,"Très forte",IF(K1141&gt;=Paramètres!$F$5,"Forte",IF(K1141&gt;=Paramètres!$F$4,"Modérée","Faible")))</f>
        <v>Très forte</v>
      </c>
    </row>
    <row r="1142" spans="1:13">
      <c r="A1142" t="s">
        <v>277</v>
      </c>
      <c r="B1142" s="11">
        <v>94</v>
      </c>
      <c r="C1142" t="s">
        <v>116</v>
      </c>
      <c r="D1142" t="s">
        <v>95</v>
      </c>
      <c r="E1142" t="s">
        <v>282</v>
      </c>
      <c r="F1142" t="s">
        <v>92</v>
      </c>
      <c r="G1142" s="12">
        <v>52</v>
      </c>
      <c r="H1142" s="12">
        <v>3938</v>
      </c>
      <c r="I1142" s="12">
        <v>52</v>
      </c>
      <c r="J1142" t="str">
        <f>VLOOKUP(B1142,Paramètres!$A$4:$C$11,3,FALSE)</f>
        <v>Petite couronne</v>
      </c>
      <c r="K1142" s="13">
        <f>IFERROR(H1142/G1142,"")</f>
        <v>75.730769230769226</v>
      </c>
      <c r="L1142" s="14">
        <f>IFERROR(I1142/G1142,"")</f>
        <v>1</v>
      </c>
      <c r="M1142" s="11" t="str">
        <f>IF(K1142&gt;=Paramètres!$F$6,"Très forte",IF(K1142&gt;=Paramètres!$F$5,"Forte",IF(K1142&gt;=Paramètres!$F$4,"Modérée","Faible")))</f>
        <v>Très forte</v>
      </c>
    </row>
    <row r="1143" spans="1:13">
      <c r="A1143" t="s">
        <v>278</v>
      </c>
      <c r="B1143" s="11">
        <v>94</v>
      </c>
      <c r="C1143" t="s">
        <v>116</v>
      </c>
      <c r="D1143" t="s">
        <v>95</v>
      </c>
      <c r="E1143" t="s">
        <v>194</v>
      </c>
      <c r="F1143" t="s">
        <v>92</v>
      </c>
      <c r="G1143" s="12">
        <v>90</v>
      </c>
      <c r="H1143" s="12">
        <v>6804</v>
      </c>
      <c r="I1143" s="12">
        <v>93</v>
      </c>
      <c r="J1143" t="str">
        <f>VLOOKUP(B1143,Paramètres!$A$4:$C$11,3,FALSE)</f>
        <v>Petite couronne</v>
      </c>
      <c r="K1143" s="13">
        <f>IFERROR(H1143/G1143,"")</f>
        <v>75.599999999999994</v>
      </c>
      <c r="L1143" s="14">
        <f>IFERROR(I1143/G1143,"")</f>
        <v>1.0333333333333334</v>
      </c>
      <c r="M1143" s="11" t="str">
        <f>IF(K1143&gt;=Paramètres!$F$6,"Très forte",IF(K1143&gt;=Paramètres!$F$5,"Forte",IF(K1143&gt;=Paramètres!$F$4,"Modérée","Faible")))</f>
        <v>Très forte</v>
      </c>
    </row>
    <row r="1144" spans="1:13">
      <c r="A1144" t="s">
        <v>193</v>
      </c>
      <c r="B1144" s="11">
        <v>75</v>
      </c>
      <c r="C1144" t="s">
        <v>86</v>
      </c>
      <c r="D1144" t="s">
        <v>95</v>
      </c>
      <c r="E1144" t="s">
        <v>263</v>
      </c>
      <c r="F1144" t="s">
        <v>92</v>
      </c>
      <c r="G1144" s="12">
        <v>168</v>
      </c>
      <c r="H1144" s="12">
        <v>11844</v>
      </c>
      <c r="I1144" s="12">
        <v>178</v>
      </c>
      <c r="J1144" t="str">
        <f>VLOOKUP(B1144,Paramètres!$A$4:$C$11,3,FALSE)</f>
        <v>Paris</v>
      </c>
      <c r="K1144" s="13">
        <f>IFERROR(H1144/G1144,"")</f>
        <v>70.5</v>
      </c>
      <c r="L1144" s="14">
        <f>IFERROR(I1144/G1144,"")</f>
        <v>1.0595238095238095</v>
      </c>
      <c r="M1144" s="11" t="str">
        <f>IF(K1144&gt;=Paramètres!$F$6,"Très forte",IF(K1144&gt;=Paramètres!$F$5,"Forte",IF(K1144&gt;=Paramètres!$F$4,"Modérée","Faible")))</f>
        <v>Très forte</v>
      </c>
    </row>
    <row r="1145" spans="1:13">
      <c r="A1145" t="s">
        <v>193</v>
      </c>
      <c r="B1145" s="11">
        <v>75</v>
      </c>
      <c r="C1145" t="s">
        <v>86</v>
      </c>
      <c r="D1145" t="s">
        <v>95</v>
      </c>
      <c r="E1145" t="s">
        <v>96</v>
      </c>
      <c r="F1145" t="s">
        <v>92</v>
      </c>
      <c r="G1145" s="12">
        <v>168</v>
      </c>
      <c r="H1145" s="12">
        <v>11678</v>
      </c>
      <c r="I1145" s="12">
        <v>172</v>
      </c>
      <c r="J1145" t="str">
        <f>VLOOKUP(B1145,Paramètres!$A$4:$C$11,3,FALSE)</f>
        <v>Paris</v>
      </c>
      <c r="K1145" s="13">
        <f>IFERROR(H1145/G1145,"")</f>
        <v>69.511904761904759</v>
      </c>
      <c r="L1145" s="14">
        <f>IFERROR(I1145/G1145,"")</f>
        <v>1.0238095238095237</v>
      </c>
      <c r="M1145" s="11" t="str">
        <f>IF(K1145&gt;=Paramètres!$F$6,"Très forte",IF(K1145&gt;=Paramètres!$F$5,"Forte",IF(K1145&gt;=Paramètres!$F$4,"Modérée","Faible")))</f>
        <v>Très forte</v>
      </c>
    </row>
    <row r="1146" spans="1:13">
      <c r="A1146" t="s">
        <v>261</v>
      </c>
      <c r="B1146" s="11">
        <v>93</v>
      </c>
      <c r="C1146" t="s">
        <v>100</v>
      </c>
      <c r="D1146" t="s">
        <v>95</v>
      </c>
      <c r="E1146" t="s">
        <v>263</v>
      </c>
      <c r="F1146" t="s">
        <v>92</v>
      </c>
      <c r="G1146" s="12">
        <v>170</v>
      </c>
      <c r="H1146" s="12">
        <v>11627</v>
      </c>
      <c r="I1146" s="12">
        <v>171</v>
      </c>
      <c r="J1146" t="str">
        <f>VLOOKUP(B1146,Paramètres!$A$4:$C$11,3,FALSE)</f>
        <v>Petite couronne</v>
      </c>
      <c r="K1146" s="13">
        <f>IFERROR(H1146/G1146,"")</f>
        <v>68.39411764705882</v>
      </c>
      <c r="L1146" s="14">
        <f>IFERROR(I1146/G1146,"")</f>
        <v>1.0058823529411764</v>
      </c>
      <c r="M1146" s="11" t="str">
        <f>IF(K1146&gt;=Paramètres!$F$6,"Très forte",IF(K1146&gt;=Paramètres!$F$5,"Forte",IF(K1146&gt;=Paramètres!$F$4,"Modérée","Faible")))</f>
        <v>Très forte</v>
      </c>
    </row>
    <row r="1147" spans="1:13">
      <c r="A1147" t="s">
        <v>287</v>
      </c>
      <c r="B1147" s="11">
        <v>95</v>
      </c>
      <c r="C1147" t="s">
        <v>90</v>
      </c>
      <c r="D1147" t="s">
        <v>95</v>
      </c>
      <c r="E1147" t="s">
        <v>96</v>
      </c>
      <c r="F1147" t="s">
        <v>92</v>
      </c>
      <c r="G1147" s="12">
        <v>90</v>
      </c>
      <c r="H1147" s="12">
        <v>6050</v>
      </c>
      <c r="I1147" s="12">
        <v>83</v>
      </c>
      <c r="J1147" t="str">
        <f>VLOOKUP(B1147,Paramètres!$A$4:$C$11,3,FALSE)</f>
        <v>Grande couronne</v>
      </c>
      <c r="K1147" s="13">
        <f>IFERROR(H1147/G1147,"")</f>
        <v>67.222222222222229</v>
      </c>
      <c r="L1147" s="14">
        <f>IFERROR(I1147/G1147,"")</f>
        <v>0.92222222222222228</v>
      </c>
      <c r="M1147" s="11" t="str">
        <f>IF(K1147&gt;=Paramètres!$F$6,"Très forte",IF(K1147&gt;=Paramètres!$F$5,"Forte",IF(K1147&gt;=Paramètres!$F$4,"Modérée","Faible")))</f>
        <v>Très forte</v>
      </c>
    </row>
    <row r="1148" spans="1:13">
      <c r="A1148" t="s">
        <v>160</v>
      </c>
      <c r="B1148" s="11">
        <v>93</v>
      </c>
      <c r="C1148" t="s">
        <v>100</v>
      </c>
      <c r="D1148" t="s">
        <v>95</v>
      </c>
      <c r="E1148" t="s">
        <v>553</v>
      </c>
      <c r="F1148" t="s">
        <v>92</v>
      </c>
      <c r="G1148" s="12">
        <v>76</v>
      </c>
      <c r="H1148" s="12">
        <v>4972</v>
      </c>
      <c r="I1148" s="12">
        <v>76</v>
      </c>
      <c r="J1148" t="str">
        <f>VLOOKUP(B1148,Paramètres!$A$4:$C$11,3,FALSE)</f>
        <v>Petite couronne</v>
      </c>
      <c r="K1148" s="13">
        <f>IFERROR(H1148/G1148,"")</f>
        <v>65.421052631578945</v>
      </c>
      <c r="L1148" s="14">
        <f>IFERROR(I1148/G1148,"")</f>
        <v>1</v>
      </c>
      <c r="M1148" s="11" t="str">
        <f>IF(K1148&gt;=Paramètres!$F$6,"Très forte",IF(K1148&gt;=Paramètres!$F$5,"Forte",IF(K1148&gt;=Paramètres!$F$4,"Modérée","Faible")))</f>
        <v>Très forte</v>
      </c>
    </row>
    <row r="1149" spans="1:13">
      <c r="A1149" t="s">
        <v>277</v>
      </c>
      <c r="B1149" s="11">
        <v>94</v>
      </c>
      <c r="C1149" t="s">
        <v>116</v>
      </c>
      <c r="D1149" t="s">
        <v>95</v>
      </c>
      <c r="E1149" t="s">
        <v>96</v>
      </c>
      <c r="F1149" t="s">
        <v>92</v>
      </c>
      <c r="G1149" s="12">
        <v>112</v>
      </c>
      <c r="H1149" s="12">
        <v>7101</v>
      </c>
      <c r="I1149" s="12">
        <v>118</v>
      </c>
      <c r="J1149" t="str">
        <f>VLOOKUP(B1149,Paramètres!$A$4:$C$11,3,FALSE)</f>
        <v>Petite couronne</v>
      </c>
      <c r="K1149" s="13">
        <f>IFERROR(H1149/G1149,"")</f>
        <v>63.401785714285715</v>
      </c>
      <c r="L1149" s="14">
        <f>IFERROR(I1149/G1149,"")</f>
        <v>1.0535714285714286</v>
      </c>
      <c r="M1149" s="11" t="str">
        <f>IF(K1149&gt;=Paramètres!$F$6,"Très forte",IF(K1149&gt;=Paramètres!$F$5,"Forte",IF(K1149&gt;=Paramètres!$F$4,"Modérée","Faible")))</f>
        <v>Très forte</v>
      </c>
    </row>
    <row r="1150" spans="1:13">
      <c r="A1150" t="s">
        <v>261</v>
      </c>
      <c r="B1150" s="11">
        <v>93</v>
      </c>
      <c r="C1150" t="s">
        <v>100</v>
      </c>
      <c r="D1150" t="s">
        <v>95</v>
      </c>
      <c r="E1150" t="s">
        <v>96</v>
      </c>
      <c r="F1150" t="s">
        <v>92</v>
      </c>
      <c r="G1150" s="12">
        <v>186</v>
      </c>
      <c r="H1150" s="12">
        <v>11372</v>
      </c>
      <c r="I1150" s="12">
        <v>186</v>
      </c>
      <c r="J1150" t="str">
        <f>VLOOKUP(B1150,Paramètres!$A$4:$C$11,3,FALSE)</f>
        <v>Petite couronne</v>
      </c>
      <c r="K1150" s="13">
        <f>IFERROR(H1150/G1150,"")</f>
        <v>61.13978494623656</v>
      </c>
      <c r="L1150" s="14">
        <f>IFERROR(I1150/G1150,"")</f>
        <v>1</v>
      </c>
      <c r="M1150" s="11" t="str">
        <f>IF(K1150&gt;=Paramètres!$F$6,"Très forte",IF(K1150&gt;=Paramètres!$F$5,"Forte",IF(K1150&gt;=Paramètres!$F$4,"Modérée","Faible")))</f>
        <v>Très forte</v>
      </c>
    </row>
    <row r="1151" spans="1:13">
      <c r="A1151" t="s">
        <v>264</v>
      </c>
      <c r="B1151" s="11">
        <v>93</v>
      </c>
      <c r="C1151" t="s">
        <v>100</v>
      </c>
      <c r="D1151" t="s">
        <v>95</v>
      </c>
      <c r="E1151" t="s">
        <v>194</v>
      </c>
      <c r="F1151" t="s">
        <v>92</v>
      </c>
      <c r="G1151" s="12">
        <v>104</v>
      </c>
      <c r="H1151" s="12">
        <v>6353</v>
      </c>
      <c r="I1151" s="12">
        <v>104</v>
      </c>
      <c r="J1151" t="str">
        <f>VLOOKUP(B1151,Paramètres!$A$4:$C$11,3,FALSE)</f>
        <v>Petite couronne</v>
      </c>
      <c r="K1151" s="13">
        <f>IFERROR(H1151/G1151,"")</f>
        <v>61.08653846153846</v>
      </c>
      <c r="L1151" s="14">
        <f>IFERROR(I1151/G1151,"")</f>
        <v>1</v>
      </c>
      <c r="M1151" s="11" t="str">
        <f>IF(K1151&gt;=Paramètres!$F$6,"Très forte",IF(K1151&gt;=Paramètres!$F$5,"Forte",IF(K1151&gt;=Paramètres!$F$4,"Modérée","Faible")))</f>
        <v>Très forte</v>
      </c>
    </row>
    <row r="1152" spans="1:13">
      <c r="A1152" t="s">
        <v>160</v>
      </c>
      <c r="B1152" s="11">
        <v>93</v>
      </c>
      <c r="C1152" t="s">
        <v>100</v>
      </c>
      <c r="D1152" t="s">
        <v>95</v>
      </c>
      <c r="E1152" t="s">
        <v>194</v>
      </c>
      <c r="F1152" t="s">
        <v>92</v>
      </c>
      <c r="G1152" s="12">
        <v>88</v>
      </c>
      <c r="H1152" s="12">
        <v>5019</v>
      </c>
      <c r="I1152" s="12">
        <v>86</v>
      </c>
      <c r="J1152" t="str">
        <f>VLOOKUP(B1152,Paramètres!$A$4:$C$11,3,FALSE)</f>
        <v>Petite couronne</v>
      </c>
      <c r="K1152" s="13">
        <f>IFERROR(H1152/G1152,"")</f>
        <v>57.034090909090907</v>
      </c>
      <c r="L1152" s="14">
        <f>IFERROR(I1152/G1152,"")</f>
        <v>0.97727272727272729</v>
      </c>
      <c r="M1152" s="11" t="str">
        <f>IF(K1152&gt;=Paramètres!$F$6,"Très forte",IF(K1152&gt;=Paramètres!$F$5,"Forte",IF(K1152&gt;=Paramètres!$F$4,"Modérée","Faible")))</f>
        <v>Très forte</v>
      </c>
    </row>
    <row r="1153" spans="1:13">
      <c r="A1153" t="s">
        <v>516</v>
      </c>
      <c r="B1153" s="11">
        <v>77</v>
      </c>
      <c r="C1153" t="s">
        <v>132</v>
      </c>
      <c r="D1153" t="s">
        <v>95</v>
      </c>
      <c r="E1153" t="s">
        <v>207</v>
      </c>
      <c r="F1153" t="s">
        <v>92</v>
      </c>
      <c r="G1153" s="12">
        <v>52</v>
      </c>
      <c r="H1153" s="12">
        <v>2891</v>
      </c>
      <c r="I1153" s="12">
        <v>55</v>
      </c>
      <c r="J1153" t="str">
        <f>VLOOKUP(B1153,Paramètres!$A$4:$C$11,3,FALSE)</f>
        <v>Grande couronne</v>
      </c>
      <c r="K1153" s="13">
        <f>IFERROR(H1153/G1153,"")</f>
        <v>55.596153846153847</v>
      </c>
      <c r="L1153" s="14">
        <f>IFERROR(I1153/G1153,"")</f>
        <v>1.0576923076923077</v>
      </c>
      <c r="M1153" s="11" t="str">
        <f>IF(K1153&gt;=Paramètres!$F$6,"Très forte",IF(K1153&gt;=Paramètres!$F$5,"Forte",IF(K1153&gt;=Paramètres!$F$4,"Modérée","Faible")))</f>
        <v>Très forte</v>
      </c>
    </row>
    <row r="1154" spans="1:13">
      <c r="A1154" t="s">
        <v>193</v>
      </c>
      <c r="B1154" s="11">
        <v>75</v>
      </c>
      <c r="C1154" t="s">
        <v>86</v>
      </c>
      <c r="D1154" t="s">
        <v>95</v>
      </c>
      <c r="E1154" t="s">
        <v>515</v>
      </c>
      <c r="F1154" t="s">
        <v>92</v>
      </c>
      <c r="G1154" s="12">
        <v>56</v>
      </c>
      <c r="H1154" s="12">
        <v>3112</v>
      </c>
      <c r="I1154" s="12">
        <v>56</v>
      </c>
      <c r="J1154" t="str">
        <f>VLOOKUP(B1154,Paramètres!$A$4:$C$11,3,FALSE)</f>
        <v>Paris</v>
      </c>
      <c r="K1154" s="13">
        <f>IFERROR(H1154/G1154,"")</f>
        <v>55.571428571428569</v>
      </c>
      <c r="L1154" s="14">
        <f>IFERROR(I1154/G1154,"")</f>
        <v>1</v>
      </c>
      <c r="M1154" s="11" t="str">
        <f>IF(K1154&gt;=Paramètres!$F$6,"Très forte",IF(K1154&gt;=Paramètres!$F$5,"Forte",IF(K1154&gt;=Paramètres!$F$4,"Modérée","Faible")))</f>
        <v>Très forte</v>
      </c>
    </row>
    <row r="1155" spans="1:13">
      <c r="A1155" t="s">
        <v>549</v>
      </c>
      <c r="B1155" s="11">
        <v>92</v>
      </c>
      <c r="C1155" t="s">
        <v>94</v>
      </c>
      <c r="D1155" t="s">
        <v>95</v>
      </c>
      <c r="E1155" t="s">
        <v>96</v>
      </c>
      <c r="F1155" t="s">
        <v>92</v>
      </c>
      <c r="G1155" s="12">
        <v>265</v>
      </c>
      <c r="H1155" s="12">
        <v>14574</v>
      </c>
      <c r="I1155" s="12">
        <v>261</v>
      </c>
      <c r="J1155" t="str">
        <f>VLOOKUP(B1155,Paramètres!$A$4:$C$11,3,FALSE)</f>
        <v>Petite couronne</v>
      </c>
      <c r="K1155" s="13">
        <f>IFERROR(H1155/G1155,"")</f>
        <v>54.996226415094341</v>
      </c>
      <c r="L1155" s="14">
        <f>IFERROR(I1155/G1155,"")</f>
        <v>0.98490566037735849</v>
      </c>
      <c r="M1155" s="11" t="str">
        <f>IF(K1155&gt;=Paramètres!$F$6,"Très forte",IF(K1155&gt;=Paramètres!$F$5,"Forte",IF(K1155&gt;=Paramètres!$F$4,"Modérée","Faible")))</f>
        <v>Très forte</v>
      </c>
    </row>
    <row r="1156" spans="1:13">
      <c r="A1156" t="s">
        <v>277</v>
      </c>
      <c r="B1156" s="11">
        <v>94</v>
      </c>
      <c r="C1156" t="s">
        <v>116</v>
      </c>
      <c r="D1156" t="s">
        <v>95</v>
      </c>
      <c r="E1156" t="s">
        <v>635</v>
      </c>
      <c r="F1156" t="s">
        <v>92</v>
      </c>
      <c r="G1156" s="12">
        <v>26</v>
      </c>
      <c r="H1156" s="12">
        <v>1385</v>
      </c>
      <c r="I1156" s="12">
        <v>24</v>
      </c>
      <c r="J1156" t="str">
        <f>VLOOKUP(B1156,Paramètres!$A$4:$C$11,3,FALSE)</f>
        <v>Petite couronne</v>
      </c>
      <c r="K1156" s="13">
        <f>IFERROR(H1156/G1156,"")</f>
        <v>53.269230769230766</v>
      </c>
      <c r="L1156" s="14">
        <f>IFERROR(I1156/G1156,"")</f>
        <v>0.92307692307692313</v>
      </c>
      <c r="M1156" s="11" t="str">
        <f>IF(K1156&gt;=Paramètres!$F$6,"Très forte",IF(K1156&gt;=Paramètres!$F$5,"Forte",IF(K1156&gt;=Paramètres!$F$4,"Modérée","Faible")))</f>
        <v>Très forte</v>
      </c>
    </row>
    <row r="1157" spans="1:13">
      <c r="A1157" t="s">
        <v>206</v>
      </c>
      <c r="B1157" s="11">
        <v>78</v>
      </c>
      <c r="C1157" t="s">
        <v>135</v>
      </c>
      <c r="D1157" t="s">
        <v>95</v>
      </c>
      <c r="E1157" t="s">
        <v>194</v>
      </c>
      <c r="F1157" t="s">
        <v>92</v>
      </c>
      <c r="G1157" s="12">
        <v>76</v>
      </c>
      <c r="H1157" s="12">
        <v>4045</v>
      </c>
      <c r="I1157" s="12">
        <v>71</v>
      </c>
      <c r="J1157" t="str">
        <f>VLOOKUP(B1157,Paramètres!$A$4:$C$11,3,FALSE)</f>
        <v>Grande couronne</v>
      </c>
      <c r="K1157" s="13">
        <f>IFERROR(H1157/G1157,"")</f>
        <v>53.223684210526315</v>
      </c>
      <c r="L1157" s="14">
        <f>IFERROR(I1157/G1157,"")</f>
        <v>0.93421052631578949</v>
      </c>
      <c r="M1157" s="11" t="str">
        <f>IF(K1157&gt;=Paramètres!$F$6,"Très forte",IF(K1157&gt;=Paramètres!$F$5,"Forte",IF(K1157&gt;=Paramètres!$F$4,"Modérée","Faible")))</f>
        <v>Très forte</v>
      </c>
    </row>
    <row r="1158" spans="1:13">
      <c r="A1158" t="s">
        <v>251</v>
      </c>
      <c r="B1158" s="11">
        <v>91</v>
      </c>
      <c r="C1158" t="s">
        <v>105</v>
      </c>
      <c r="D1158" t="s">
        <v>95</v>
      </c>
      <c r="E1158" t="s">
        <v>96</v>
      </c>
      <c r="F1158" t="s">
        <v>92</v>
      </c>
      <c r="G1158" s="12">
        <v>108</v>
      </c>
      <c r="H1158" s="12">
        <v>5599</v>
      </c>
      <c r="I1158" s="12">
        <v>107</v>
      </c>
      <c r="J1158" t="str">
        <f>VLOOKUP(B1158,Paramètres!$A$4:$C$11,3,FALSE)</f>
        <v>Grande couronne</v>
      </c>
      <c r="K1158" s="13">
        <f>IFERROR(H1158/G1158,"")</f>
        <v>51.842592592592595</v>
      </c>
      <c r="L1158" s="14">
        <f>IFERROR(I1158/G1158,"")</f>
        <v>0.9907407407407407</v>
      </c>
      <c r="M1158" s="11" t="str">
        <f>IF(K1158&gt;=Paramètres!$F$6,"Très forte",IF(K1158&gt;=Paramètres!$F$5,"Forte",IF(K1158&gt;=Paramètres!$F$4,"Modérée","Faible")))</f>
        <v>Très forte</v>
      </c>
    </row>
    <row r="1159" spans="1:13">
      <c r="A1159" t="s">
        <v>264</v>
      </c>
      <c r="B1159" s="11">
        <v>93</v>
      </c>
      <c r="C1159" t="s">
        <v>100</v>
      </c>
      <c r="D1159" t="s">
        <v>95</v>
      </c>
      <c r="E1159" t="s">
        <v>395</v>
      </c>
      <c r="F1159" t="s">
        <v>92</v>
      </c>
      <c r="G1159" s="12">
        <v>74</v>
      </c>
      <c r="H1159" s="12">
        <v>3746</v>
      </c>
      <c r="I1159" s="12">
        <v>73</v>
      </c>
      <c r="J1159" t="str">
        <f>VLOOKUP(B1159,Paramètres!$A$4:$C$11,3,FALSE)</f>
        <v>Petite couronne</v>
      </c>
      <c r="K1159" s="13">
        <f>IFERROR(H1159/G1159,"")</f>
        <v>50.621621621621621</v>
      </c>
      <c r="L1159" s="14">
        <f>IFERROR(I1159/G1159,"")</f>
        <v>0.98648648648648651</v>
      </c>
      <c r="M1159" s="11" t="str">
        <f>IF(K1159&gt;=Paramètres!$F$6,"Très forte",IF(K1159&gt;=Paramètres!$F$5,"Forte",IF(K1159&gt;=Paramètres!$F$4,"Modérée","Faible")))</f>
        <v>Très forte</v>
      </c>
    </row>
    <row r="1160" spans="1:13">
      <c r="A1160" t="s">
        <v>206</v>
      </c>
      <c r="B1160" s="11">
        <v>78</v>
      </c>
      <c r="C1160" t="s">
        <v>135</v>
      </c>
      <c r="D1160" t="s">
        <v>95</v>
      </c>
      <c r="E1160" t="s">
        <v>395</v>
      </c>
      <c r="F1160" t="s">
        <v>92</v>
      </c>
      <c r="G1160" s="12">
        <v>38</v>
      </c>
      <c r="H1160" s="12">
        <v>1906</v>
      </c>
      <c r="I1160" s="12">
        <v>39</v>
      </c>
      <c r="J1160" t="str">
        <f>VLOOKUP(B1160,Paramètres!$A$4:$C$11,3,FALSE)</f>
        <v>Grande couronne</v>
      </c>
      <c r="K1160" s="13">
        <f>IFERROR(H1160/G1160,"")</f>
        <v>50.157894736842103</v>
      </c>
      <c r="L1160" s="14">
        <f>IFERROR(I1160/G1160,"")</f>
        <v>1.0263157894736843</v>
      </c>
      <c r="M1160" s="11" t="str">
        <f>IF(K1160&gt;=Paramètres!$F$6,"Très forte",IF(K1160&gt;=Paramètres!$F$5,"Forte",IF(K1160&gt;=Paramètres!$F$4,"Modérée","Faible")))</f>
        <v>Très forte</v>
      </c>
    </row>
    <row r="1161" spans="1:13">
      <c r="A1161" t="s">
        <v>549</v>
      </c>
      <c r="B1161" s="11">
        <v>92</v>
      </c>
      <c r="C1161" t="s">
        <v>94</v>
      </c>
      <c r="D1161" t="s">
        <v>95</v>
      </c>
      <c r="E1161" t="s">
        <v>263</v>
      </c>
      <c r="F1161" t="s">
        <v>92</v>
      </c>
      <c r="G1161" s="12">
        <v>270</v>
      </c>
      <c r="H1161" s="12">
        <v>12989</v>
      </c>
      <c r="I1161" s="12">
        <v>266</v>
      </c>
      <c r="J1161" t="str">
        <f>VLOOKUP(B1161,Paramètres!$A$4:$C$11,3,FALSE)</f>
        <v>Petite couronne</v>
      </c>
      <c r="K1161" s="13">
        <f>IFERROR(H1161/G1161,"")</f>
        <v>48.107407407407408</v>
      </c>
      <c r="L1161" s="14">
        <f>IFERROR(I1161/G1161,"")</f>
        <v>0.98518518518518516</v>
      </c>
      <c r="M1161" s="11" t="str">
        <f>IF(K1161&gt;=Paramètres!$F$6,"Très forte",IF(K1161&gt;=Paramètres!$F$5,"Forte",IF(K1161&gt;=Paramètres!$F$4,"Modérée","Faible")))</f>
        <v>Très forte</v>
      </c>
    </row>
    <row r="1162" spans="1:13">
      <c r="A1162" t="s">
        <v>264</v>
      </c>
      <c r="B1162" s="11">
        <v>93</v>
      </c>
      <c r="C1162" t="s">
        <v>100</v>
      </c>
      <c r="D1162" t="s">
        <v>95</v>
      </c>
      <c r="E1162" t="s">
        <v>199</v>
      </c>
      <c r="F1162" t="s">
        <v>92</v>
      </c>
      <c r="G1162" s="12">
        <v>100</v>
      </c>
      <c r="H1162" s="12">
        <v>4797</v>
      </c>
      <c r="I1162" s="12">
        <v>98</v>
      </c>
      <c r="J1162" t="str">
        <f>VLOOKUP(B1162,Paramètres!$A$4:$C$11,3,FALSE)</f>
        <v>Petite couronne</v>
      </c>
      <c r="K1162" s="13">
        <f>IFERROR(H1162/G1162,"")</f>
        <v>47.97</v>
      </c>
      <c r="L1162" s="14">
        <f>IFERROR(I1162/G1162,"")</f>
        <v>0.98</v>
      </c>
      <c r="M1162" s="11" t="str">
        <f>IF(K1162&gt;=Paramètres!$F$6,"Très forte",IF(K1162&gt;=Paramètres!$F$5,"Forte",IF(K1162&gt;=Paramètres!$F$4,"Modérée","Faible")))</f>
        <v>Très forte</v>
      </c>
    </row>
    <row r="1163" spans="1:13">
      <c r="A1163" t="s">
        <v>264</v>
      </c>
      <c r="B1163" s="11">
        <v>93</v>
      </c>
      <c r="C1163" t="s">
        <v>100</v>
      </c>
      <c r="D1163" t="s">
        <v>95</v>
      </c>
      <c r="E1163" t="s">
        <v>550</v>
      </c>
      <c r="F1163" t="s">
        <v>92</v>
      </c>
      <c r="G1163" s="12">
        <v>150</v>
      </c>
      <c r="H1163" s="12">
        <v>7131</v>
      </c>
      <c r="I1163" s="12">
        <v>152</v>
      </c>
      <c r="J1163" t="str">
        <f>VLOOKUP(B1163,Paramètres!$A$4:$C$11,3,FALSE)</f>
        <v>Petite couronne</v>
      </c>
      <c r="K1163" s="13">
        <f>IFERROR(H1163/G1163,"")</f>
        <v>47.54</v>
      </c>
      <c r="L1163" s="14">
        <f>IFERROR(I1163/G1163,"")</f>
        <v>1.0133333333333334</v>
      </c>
      <c r="M1163" s="11" t="str">
        <f>IF(K1163&gt;=Paramètres!$F$6,"Très forte",IF(K1163&gt;=Paramètres!$F$5,"Forte",IF(K1163&gt;=Paramètres!$F$4,"Modérée","Faible")))</f>
        <v>Très forte</v>
      </c>
    </row>
    <row r="1164" spans="1:13">
      <c r="A1164" t="s">
        <v>281</v>
      </c>
      <c r="B1164" s="11">
        <v>95</v>
      </c>
      <c r="C1164" t="s">
        <v>90</v>
      </c>
      <c r="D1164" t="s">
        <v>95</v>
      </c>
      <c r="E1164" t="s">
        <v>96</v>
      </c>
      <c r="F1164" t="s">
        <v>92</v>
      </c>
      <c r="G1164" s="12">
        <v>120</v>
      </c>
      <c r="H1164" s="12">
        <v>5679</v>
      </c>
      <c r="I1164" s="12">
        <v>110</v>
      </c>
      <c r="J1164" t="str">
        <f>VLOOKUP(B1164,Paramètres!$A$4:$C$11,3,FALSE)</f>
        <v>Grande couronne</v>
      </c>
      <c r="K1164" s="13">
        <f>IFERROR(H1164/G1164,"")</f>
        <v>47.325000000000003</v>
      </c>
      <c r="L1164" s="14">
        <f>IFERROR(I1164/G1164,"")</f>
        <v>0.91666666666666663</v>
      </c>
      <c r="M1164" s="11" t="str">
        <f>IF(K1164&gt;=Paramètres!$F$6,"Très forte",IF(K1164&gt;=Paramètres!$F$5,"Forte",IF(K1164&gt;=Paramètres!$F$4,"Modérée","Faible")))</f>
        <v>Très forte</v>
      </c>
    </row>
    <row r="1165" spans="1:13">
      <c r="A1165" t="s">
        <v>193</v>
      </c>
      <c r="B1165" s="11">
        <v>75</v>
      </c>
      <c r="C1165" t="s">
        <v>86</v>
      </c>
      <c r="D1165" t="s">
        <v>95</v>
      </c>
      <c r="E1165" t="s">
        <v>194</v>
      </c>
      <c r="F1165" t="s">
        <v>92</v>
      </c>
      <c r="G1165" s="12">
        <v>168</v>
      </c>
      <c r="H1165" s="12">
        <v>7778</v>
      </c>
      <c r="I1165" s="12">
        <v>166</v>
      </c>
      <c r="J1165" t="str">
        <f>VLOOKUP(B1165,Paramètres!$A$4:$C$11,3,FALSE)</f>
        <v>Paris</v>
      </c>
      <c r="K1165" s="13">
        <f>IFERROR(H1165/G1165,"")</f>
        <v>46.297619047619051</v>
      </c>
      <c r="L1165" s="14">
        <f>IFERROR(I1165/G1165,"")</f>
        <v>0.98809523809523814</v>
      </c>
      <c r="M1165" s="11" t="str">
        <f>IF(K1165&gt;=Paramètres!$F$6,"Très forte",IF(K1165&gt;=Paramètres!$F$5,"Forte",IF(K1165&gt;=Paramètres!$F$4,"Modérée","Faible")))</f>
        <v>Très forte</v>
      </c>
    </row>
    <row r="1166" spans="1:13">
      <c r="A1166" t="s">
        <v>197</v>
      </c>
      <c r="B1166" s="11">
        <v>77</v>
      </c>
      <c r="C1166" t="s">
        <v>132</v>
      </c>
      <c r="D1166" t="s">
        <v>95</v>
      </c>
      <c r="E1166" t="s">
        <v>96</v>
      </c>
      <c r="F1166" t="s">
        <v>92</v>
      </c>
      <c r="G1166" s="12">
        <v>27</v>
      </c>
      <c r="H1166" s="12">
        <v>1213</v>
      </c>
      <c r="I1166" s="12">
        <v>26</v>
      </c>
      <c r="J1166" t="str">
        <f>VLOOKUP(B1166,Paramètres!$A$4:$C$11,3,FALSE)</f>
        <v>Grande couronne</v>
      </c>
      <c r="K1166" s="13">
        <f>IFERROR(H1166/G1166,"")</f>
        <v>44.925925925925924</v>
      </c>
      <c r="L1166" s="14">
        <f>IFERROR(I1166/G1166,"")</f>
        <v>0.96296296296296291</v>
      </c>
      <c r="M1166" s="11" t="str">
        <f>IF(K1166&gt;=Paramètres!$F$6,"Très forte",IF(K1166&gt;=Paramètres!$F$5,"Forte",IF(K1166&gt;=Paramètres!$F$4,"Modérée","Faible")))</f>
        <v>Très forte</v>
      </c>
    </row>
    <row r="1167" spans="1:13">
      <c r="A1167" t="s">
        <v>198</v>
      </c>
      <c r="B1167" s="11">
        <v>77</v>
      </c>
      <c r="C1167" t="s">
        <v>132</v>
      </c>
      <c r="D1167" t="s">
        <v>95</v>
      </c>
      <c r="E1167" t="s">
        <v>263</v>
      </c>
      <c r="F1167" t="s">
        <v>92</v>
      </c>
      <c r="G1167" s="12">
        <v>110</v>
      </c>
      <c r="H1167" s="12">
        <v>4901</v>
      </c>
      <c r="I1167" s="12">
        <v>110</v>
      </c>
      <c r="J1167" t="str">
        <f>VLOOKUP(B1167,Paramètres!$A$4:$C$11,3,FALSE)</f>
        <v>Grande couronne</v>
      </c>
      <c r="K1167" s="13">
        <f>IFERROR(H1167/G1167,"")</f>
        <v>44.554545454545455</v>
      </c>
      <c r="L1167" s="14">
        <f>IFERROR(I1167/G1167,"")</f>
        <v>1</v>
      </c>
      <c r="M1167" s="11" t="str">
        <f>IF(K1167&gt;=Paramètres!$F$6,"Très forte",IF(K1167&gt;=Paramètres!$F$5,"Forte",IF(K1167&gt;=Paramètres!$F$4,"Modérée","Faible")))</f>
        <v>Très forte</v>
      </c>
    </row>
    <row r="1168" spans="1:13">
      <c r="A1168" t="s">
        <v>278</v>
      </c>
      <c r="B1168" s="11">
        <v>94</v>
      </c>
      <c r="C1168" t="s">
        <v>116</v>
      </c>
      <c r="D1168" t="s">
        <v>95</v>
      </c>
      <c r="E1168" t="s">
        <v>395</v>
      </c>
      <c r="F1168" t="s">
        <v>92</v>
      </c>
      <c r="G1168" s="12">
        <v>78</v>
      </c>
      <c r="H1168" s="12">
        <v>3333</v>
      </c>
      <c r="I1168" s="12">
        <v>79</v>
      </c>
      <c r="J1168" t="str">
        <f>VLOOKUP(B1168,Paramètres!$A$4:$C$11,3,FALSE)</f>
        <v>Petite couronne</v>
      </c>
      <c r="K1168" s="13">
        <f>IFERROR(H1168/G1168,"")</f>
        <v>42.730769230769234</v>
      </c>
      <c r="L1168" s="14">
        <f>IFERROR(I1168/G1168,"")</f>
        <v>1.0128205128205128</v>
      </c>
      <c r="M1168" s="11" t="str">
        <f>IF(K1168&gt;=Paramètres!$F$6,"Très forte",IF(K1168&gt;=Paramètres!$F$5,"Forte",IF(K1168&gt;=Paramètres!$F$4,"Modérée","Faible")))</f>
        <v>Très forte</v>
      </c>
    </row>
    <row r="1169" spans="1:13">
      <c r="A1169" t="s">
        <v>287</v>
      </c>
      <c r="B1169" s="11">
        <v>95</v>
      </c>
      <c r="C1169" t="s">
        <v>90</v>
      </c>
      <c r="D1169" t="s">
        <v>95</v>
      </c>
      <c r="E1169" t="s">
        <v>207</v>
      </c>
      <c r="F1169" t="s">
        <v>92</v>
      </c>
      <c r="G1169" s="12">
        <v>56</v>
      </c>
      <c r="H1169" s="12">
        <v>2387</v>
      </c>
      <c r="I1169" s="12">
        <v>55</v>
      </c>
      <c r="J1169" t="str">
        <f>VLOOKUP(B1169,Paramètres!$A$4:$C$11,3,FALSE)</f>
        <v>Grande couronne</v>
      </c>
      <c r="K1169" s="13">
        <f>IFERROR(H1169/G1169,"")</f>
        <v>42.625</v>
      </c>
      <c r="L1169" s="14">
        <f>IFERROR(I1169/G1169,"")</f>
        <v>0.9821428571428571</v>
      </c>
      <c r="M1169" s="11" t="str">
        <f>IF(K1169&gt;=Paramètres!$F$6,"Très forte",IF(K1169&gt;=Paramètres!$F$5,"Forte",IF(K1169&gt;=Paramètres!$F$4,"Modérée","Faible")))</f>
        <v>Très forte</v>
      </c>
    </row>
    <row r="1170" spans="1:13">
      <c r="A1170" t="s">
        <v>272</v>
      </c>
      <c r="B1170" s="11">
        <v>94</v>
      </c>
      <c r="C1170" t="s">
        <v>116</v>
      </c>
      <c r="D1170" t="s">
        <v>95</v>
      </c>
      <c r="E1170" t="s">
        <v>424</v>
      </c>
      <c r="F1170" t="s">
        <v>92</v>
      </c>
      <c r="G1170" s="12">
        <v>110</v>
      </c>
      <c r="H1170" s="12">
        <v>4656</v>
      </c>
      <c r="I1170" s="12">
        <v>117</v>
      </c>
      <c r="J1170" t="str">
        <f>VLOOKUP(B1170,Paramètres!$A$4:$C$11,3,FALSE)</f>
        <v>Petite couronne</v>
      </c>
      <c r="K1170" s="13">
        <f>IFERROR(H1170/G1170,"")</f>
        <v>42.327272727272728</v>
      </c>
      <c r="L1170" s="14">
        <f>IFERROR(I1170/G1170,"")</f>
        <v>1.0636363636363637</v>
      </c>
      <c r="M1170" s="11" t="str">
        <f>IF(K1170&gt;=Paramètres!$F$6,"Très forte",IF(K1170&gt;=Paramètres!$F$5,"Forte",IF(K1170&gt;=Paramètres!$F$4,"Modérée","Faible")))</f>
        <v>Très forte</v>
      </c>
    </row>
    <row r="1171" spans="1:13">
      <c r="A1171" t="s">
        <v>198</v>
      </c>
      <c r="B1171" s="11">
        <v>77</v>
      </c>
      <c r="C1171" t="s">
        <v>132</v>
      </c>
      <c r="D1171" t="s">
        <v>95</v>
      </c>
      <c r="E1171" t="s">
        <v>280</v>
      </c>
      <c r="F1171" t="s">
        <v>92</v>
      </c>
      <c r="G1171" s="12">
        <v>56</v>
      </c>
      <c r="H1171" s="12">
        <v>2293</v>
      </c>
      <c r="I1171" s="12">
        <v>55</v>
      </c>
      <c r="J1171" t="str">
        <f>VLOOKUP(B1171,Paramètres!$A$4:$C$11,3,FALSE)</f>
        <v>Grande couronne</v>
      </c>
      <c r="K1171" s="13">
        <f>IFERROR(H1171/G1171,"")</f>
        <v>40.946428571428569</v>
      </c>
      <c r="L1171" s="14">
        <f>IFERROR(I1171/G1171,"")</f>
        <v>0.9821428571428571</v>
      </c>
      <c r="M1171" s="11" t="str">
        <f>IF(K1171&gt;=Paramètres!$F$6,"Très forte",IF(K1171&gt;=Paramètres!$F$5,"Forte",IF(K1171&gt;=Paramètres!$F$4,"Modérée","Faible")))</f>
        <v>Très forte</v>
      </c>
    </row>
    <row r="1172" spans="1:13">
      <c r="A1172" t="s">
        <v>264</v>
      </c>
      <c r="B1172" s="11">
        <v>93</v>
      </c>
      <c r="C1172" t="s">
        <v>100</v>
      </c>
      <c r="D1172" t="s">
        <v>95</v>
      </c>
      <c r="E1172" t="s">
        <v>663</v>
      </c>
      <c r="F1172" t="s">
        <v>92</v>
      </c>
      <c r="G1172" s="12">
        <v>56</v>
      </c>
      <c r="H1172" s="12">
        <v>2218</v>
      </c>
      <c r="I1172" s="12">
        <v>63</v>
      </c>
      <c r="J1172" t="str">
        <f>VLOOKUP(B1172,Paramètres!$A$4:$C$11,3,FALSE)</f>
        <v>Petite couronne</v>
      </c>
      <c r="K1172" s="13">
        <f>IFERROR(H1172/G1172,"")</f>
        <v>39.607142857142854</v>
      </c>
      <c r="L1172" s="14">
        <f>IFERROR(I1172/G1172,"")</f>
        <v>1.125</v>
      </c>
      <c r="M1172" s="11" t="str">
        <f>IF(K1172&gt;=Paramètres!$F$6,"Très forte",IF(K1172&gt;=Paramètres!$F$5,"Forte",IF(K1172&gt;=Paramètres!$F$4,"Modérée","Faible")))</f>
        <v>Forte</v>
      </c>
    </row>
    <row r="1173" spans="1:13">
      <c r="A1173" t="s">
        <v>516</v>
      </c>
      <c r="B1173" s="11">
        <v>77</v>
      </c>
      <c r="C1173" t="s">
        <v>132</v>
      </c>
      <c r="D1173" t="s">
        <v>95</v>
      </c>
      <c r="E1173" t="s">
        <v>280</v>
      </c>
      <c r="F1173" t="s">
        <v>92</v>
      </c>
      <c r="G1173" s="12">
        <v>96</v>
      </c>
      <c r="H1173" s="12">
        <v>3711</v>
      </c>
      <c r="I1173" s="12">
        <v>95</v>
      </c>
      <c r="J1173" t="str">
        <f>VLOOKUP(B1173,Paramètres!$A$4:$C$11,3,FALSE)</f>
        <v>Grande couronne</v>
      </c>
      <c r="K1173" s="13">
        <f>IFERROR(H1173/G1173,"")</f>
        <v>38.65625</v>
      </c>
      <c r="L1173" s="14">
        <f>IFERROR(I1173/G1173,"")</f>
        <v>0.98958333333333337</v>
      </c>
      <c r="M1173" s="11" t="str">
        <f>IF(K1173&gt;=Paramètres!$F$6,"Très forte",IF(K1173&gt;=Paramètres!$F$5,"Forte",IF(K1173&gt;=Paramètres!$F$4,"Modérée","Faible")))</f>
        <v>Forte</v>
      </c>
    </row>
    <row r="1174" spans="1:13">
      <c r="A1174" t="s">
        <v>277</v>
      </c>
      <c r="B1174" s="11">
        <v>94</v>
      </c>
      <c r="C1174" t="s">
        <v>116</v>
      </c>
      <c r="D1174" t="s">
        <v>95</v>
      </c>
      <c r="E1174" t="s">
        <v>558</v>
      </c>
      <c r="F1174" t="s">
        <v>92</v>
      </c>
      <c r="G1174" s="12">
        <v>26</v>
      </c>
      <c r="H1174" s="12">
        <v>1001</v>
      </c>
      <c r="I1174" s="12">
        <v>24</v>
      </c>
      <c r="J1174" t="str">
        <f>VLOOKUP(B1174,Paramètres!$A$4:$C$11,3,FALSE)</f>
        <v>Petite couronne</v>
      </c>
      <c r="K1174" s="13">
        <f>IFERROR(H1174/G1174,"")</f>
        <v>38.5</v>
      </c>
      <c r="L1174" s="14">
        <f>IFERROR(I1174/G1174,"")</f>
        <v>0.92307692307692313</v>
      </c>
      <c r="M1174" s="11" t="str">
        <f>IF(K1174&gt;=Paramètres!$F$6,"Très forte",IF(K1174&gt;=Paramètres!$F$5,"Forte",IF(K1174&gt;=Paramètres!$F$4,"Modérée","Faible")))</f>
        <v>Forte</v>
      </c>
    </row>
    <row r="1175" spans="1:13">
      <c r="A1175" t="s">
        <v>281</v>
      </c>
      <c r="B1175" s="11">
        <v>95</v>
      </c>
      <c r="C1175" t="s">
        <v>90</v>
      </c>
      <c r="D1175" t="s">
        <v>95</v>
      </c>
      <c r="E1175" t="s">
        <v>282</v>
      </c>
      <c r="F1175" t="s">
        <v>92</v>
      </c>
      <c r="G1175" s="12">
        <v>54</v>
      </c>
      <c r="H1175" s="12">
        <v>2039</v>
      </c>
      <c r="I1175" s="12">
        <v>56</v>
      </c>
      <c r="J1175" t="str">
        <f>VLOOKUP(B1175,Paramètres!$A$4:$C$11,3,FALSE)</f>
        <v>Grande couronne</v>
      </c>
      <c r="K1175" s="13">
        <f>IFERROR(H1175/G1175,"")</f>
        <v>37.75925925925926</v>
      </c>
      <c r="L1175" s="14">
        <f>IFERROR(I1175/G1175,"")</f>
        <v>1.037037037037037</v>
      </c>
      <c r="M1175" s="11" t="str">
        <f>IF(K1175&gt;=Paramètres!$F$6,"Très forte",IF(K1175&gt;=Paramètres!$F$5,"Forte",IF(K1175&gt;=Paramètres!$F$4,"Modérée","Faible")))</f>
        <v>Forte</v>
      </c>
    </row>
    <row r="1176" spans="1:13">
      <c r="A1176" t="s">
        <v>160</v>
      </c>
      <c r="B1176" s="11">
        <v>93</v>
      </c>
      <c r="C1176" t="s">
        <v>100</v>
      </c>
      <c r="D1176" t="s">
        <v>95</v>
      </c>
      <c r="E1176" t="s">
        <v>515</v>
      </c>
      <c r="F1176" t="s">
        <v>92</v>
      </c>
      <c r="G1176" s="12">
        <v>45</v>
      </c>
      <c r="H1176" s="12">
        <v>1683</v>
      </c>
      <c r="I1176" s="12">
        <v>45</v>
      </c>
      <c r="J1176" t="str">
        <f>VLOOKUP(B1176,Paramètres!$A$4:$C$11,3,FALSE)</f>
        <v>Petite couronne</v>
      </c>
      <c r="K1176" s="13">
        <f>IFERROR(H1176/G1176,"")</f>
        <v>37.4</v>
      </c>
      <c r="L1176" s="14">
        <f>IFERROR(I1176/G1176,"")</f>
        <v>1</v>
      </c>
      <c r="M1176" s="11" t="str">
        <f>IF(K1176&gt;=Paramètres!$F$6,"Très forte",IF(K1176&gt;=Paramètres!$F$5,"Forte",IF(K1176&gt;=Paramètres!$F$4,"Modérée","Faible")))</f>
        <v>Forte</v>
      </c>
    </row>
    <row r="1177" spans="1:13">
      <c r="A1177" t="s">
        <v>628</v>
      </c>
      <c r="B1177" s="11">
        <v>91</v>
      </c>
      <c r="C1177" t="s">
        <v>105</v>
      </c>
      <c r="D1177" t="s">
        <v>95</v>
      </c>
      <c r="E1177" t="s">
        <v>263</v>
      </c>
      <c r="F1177" t="s">
        <v>92</v>
      </c>
      <c r="G1177" s="12">
        <v>96</v>
      </c>
      <c r="H1177" s="12">
        <v>3583</v>
      </c>
      <c r="I1177" s="12">
        <v>103</v>
      </c>
      <c r="J1177" t="str">
        <f>VLOOKUP(B1177,Paramètres!$A$4:$C$11,3,FALSE)</f>
        <v>Grande couronne</v>
      </c>
      <c r="K1177" s="13">
        <f>IFERROR(H1177/G1177,"")</f>
        <v>37.322916666666664</v>
      </c>
      <c r="L1177" s="14">
        <f>IFERROR(I1177/G1177,"")</f>
        <v>1.0729166666666667</v>
      </c>
      <c r="M1177" s="11" t="str">
        <f>IF(K1177&gt;=Paramètres!$F$6,"Très forte",IF(K1177&gt;=Paramètres!$F$5,"Forte",IF(K1177&gt;=Paramètres!$F$4,"Modérée","Faible")))</f>
        <v>Forte</v>
      </c>
    </row>
    <row r="1178" spans="1:13">
      <c r="A1178" t="s">
        <v>267</v>
      </c>
      <c r="B1178" s="11">
        <v>93</v>
      </c>
      <c r="C1178" t="s">
        <v>100</v>
      </c>
      <c r="D1178" t="s">
        <v>95</v>
      </c>
      <c r="E1178" t="s">
        <v>268</v>
      </c>
      <c r="F1178" t="s">
        <v>92</v>
      </c>
      <c r="G1178" s="12">
        <v>56</v>
      </c>
      <c r="H1178" s="12">
        <v>2066</v>
      </c>
      <c r="I1178" s="12">
        <v>56</v>
      </c>
      <c r="J1178" t="str">
        <f>VLOOKUP(B1178,Paramètres!$A$4:$C$11,3,FALSE)</f>
        <v>Petite couronne</v>
      </c>
      <c r="K1178" s="13">
        <f>IFERROR(H1178/G1178,"")</f>
        <v>36.892857142857146</v>
      </c>
      <c r="L1178" s="14">
        <f>IFERROR(I1178/G1178,"")</f>
        <v>1</v>
      </c>
      <c r="M1178" s="11" t="str">
        <f>IF(K1178&gt;=Paramètres!$F$6,"Très forte",IF(K1178&gt;=Paramètres!$F$5,"Forte",IF(K1178&gt;=Paramètres!$F$4,"Modérée","Faible")))</f>
        <v>Forte</v>
      </c>
    </row>
    <row r="1179" spans="1:13">
      <c r="A1179" t="s">
        <v>198</v>
      </c>
      <c r="B1179" s="11">
        <v>77</v>
      </c>
      <c r="C1179" t="s">
        <v>132</v>
      </c>
      <c r="D1179" t="s">
        <v>95</v>
      </c>
      <c r="E1179" t="s">
        <v>635</v>
      </c>
      <c r="F1179" t="s">
        <v>92</v>
      </c>
      <c r="G1179" s="12">
        <v>26</v>
      </c>
      <c r="H1179" s="12">
        <v>959</v>
      </c>
      <c r="I1179" s="12">
        <v>26</v>
      </c>
      <c r="J1179" t="str">
        <f>VLOOKUP(B1179,Paramètres!$A$4:$C$11,3,FALSE)</f>
        <v>Grande couronne</v>
      </c>
      <c r="K1179" s="13">
        <f>IFERROR(H1179/G1179,"")</f>
        <v>36.884615384615387</v>
      </c>
      <c r="L1179" s="14">
        <f>IFERROR(I1179/G1179,"")</f>
        <v>1</v>
      </c>
      <c r="M1179" s="11" t="str">
        <f>IF(K1179&gt;=Paramètres!$F$6,"Très forte",IF(K1179&gt;=Paramètres!$F$5,"Forte",IF(K1179&gt;=Paramètres!$F$4,"Modérée","Faible")))</f>
        <v>Forte</v>
      </c>
    </row>
    <row r="1180" spans="1:13">
      <c r="A1180" t="s">
        <v>206</v>
      </c>
      <c r="B1180" s="11">
        <v>78</v>
      </c>
      <c r="C1180" t="s">
        <v>135</v>
      </c>
      <c r="D1180" t="s">
        <v>95</v>
      </c>
      <c r="E1180" t="s">
        <v>207</v>
      </c>
      <c r="F1180" t="s">
        <v>92</v>
      </c>
      <c r="G1180" s="12">
        <v>54</v>
      </c>
      <c r="H1180" s="12">
        <v>1945</v>
      </c>
      <c r="I1180" s="12">
        <v>54</v>
      </c>
      <c r="J1180" t="str">
        <f>VLOOKUP(B1180,Paramètres!$A$4:$C$11,3,FALSE)</f>
        <v>Grande couronne</v>
      </c>
      <c r="K1180" s="13">
        <f>IFERROR(H1180/G1180,"")</f>
        <v>36.018518518518519</v>
      </c>
      <c r="L1180" s="14">
        <f>IFERROR(I1180/G1180,"")</f>
        <v>1</v>
      </c>
      <c r="M1180" s="11" t="str">
        <f>IF(K1180&gt;=Paramètres!$F$6,"Très forte",IF(K1180&gt;=Paramètres!$F$5,"Forte",IF(K1180&gt;=Paramètres!$F$4,"Modérée","Faible")))</f>
        <v>Forte</v>
      </c>
    </row>
    <row r="1181" spans="1:13">
      <c r="A1181" t="s">
        <v>193</v>
      </c>
      <c r="B1181" s="11">
        <v>75</v>
      </c>
      <c r="C1181" t="s">
        <v>86</v>
      </c>
      <c r="D1181" t="s">
        <v>95</v>
      </c>
      <c r="E1181" t="s">
        <v>429</v>
      </c>
      <c r="F1181" t="s">
        <v>92</v>
      </c>
      <c r="G1181" s="12">
        <v>28</v>
      </c>
      <c r="H1181" s="12">
        <v>971</v>
      </c>
      <c r="I1181" s="12">
        <v>28</v>
      </c>
      <c r="J1181" t="str">
        <f>VLOOKUP(B1181,Paramètres!$A$4:$C$11,3,FALSE)</f>
        <v>Paris</v>
      </c>
      <c r="K1181" s="13">
        <f>IFERROR(H1181/G1181,"")</f>
        <v>34.678571428571431</v>
      </c>
      <c r="L1181" s="14">
        <f>IFERROR(I1181/G1181,"")</f>
        <v>1</v>
      </c>
      <c r="M1181" s="11" t="str">
        <f>IF(K1181&gt;=Paramètres!$F$6,"Très forte",IF(K1181&gt;=Paramètres!$F$5,"Forte",IF(K1181&gt;=Paramètres!$F$4,"Modérée","Faible")))</f>
        <v>Forte</v>
      </c>
    </row>
    <row r="1182" spans="1:13">
      <c r="A1182" t="s">
        <v>198</v>
      </c>
      <c r="B1182" s="11">
        <v>77</v>
      </c>
      <c r="C1182" t="s">
        <v>132</v>
      </c>
      <c r="D1182" t="s">
        <v>95</v>
      </c>
      <c r="E1182" t="s">
        <v>96</v>
      </c>
      <c r="F1182" t="s">
        <v>92</v>
      </c>
      <c r="G1182" s="12">
        <v>105</v>
      </c>
      <c r="H1182" s="12">
        <v>3560</v>
      </c>
      <c r="I1182" s="12">
        <v>104</v>
      </c>
      <c r="J1182" t="str">
        <f>VLOOKUP(B1182,Paramètres!$A$4:$C$11,3,FALSE)</f>
        <v>Grande couronne</v>
      </c>
      <c r="K1182" s="13">
        <f>IFERROR(H1182/G1182,"")</f>
        <v>33.904761904761905</v>
      </c>
      <c r="L1182" s="14">
        <f>IFERROR(I1182/G1182,"")</f>
        <v>0.99047619047619051</v>
      </c>
      <c r="M1182" s="11" t="str">
        <f>IF(K1182&gt;=Paramètres!$F$6,"Très forte",IF(K1182&gt;=Paramètres!$F$5,"Forte",IF(K1182&gt;=Paramètres!$F$4,"Modérée","Faible")))</f>
        <v>Forte</v>
      </c>
    </row>
    <row r="1183" spans="1:13">
      <c r="A1183" t="s">
        <v>279</v>
      </c>
      <c r="B1183" s="11">
        <v>95</v>
      </c>
      <c r="C1183" t="s">
        <v>90</v>
      </c>
      <c r="D1183" t="s">
        <v>95</v>
      </c>
      <c r="E1183" t="s">
        <v>280</v>
      </c>
      <c r="F1183" t="s">
        <v>92</v>
      </c>
      <c r="G1183" s="12">
        <v>105</v>
      </c>
      <c r="H1183" s="12">
        <v>3537</v>
      </c>
      <c r="I1183" s="12">
        <v>108</v>
      </c>
      <c r="J1183" t="str">
        <f>VLOOKUP(B1183,Paramètres!$A$4:$C$11,3,FALSE)</f>
        <v>Grande couronne</v>
      </c>
      <c r="K1183" s="13">
        <f>IFERROR(H1183/G1183,"")</f>
        <v>33.685714285714283</v>
      </c>
      <c r="L1183" s="14">
        <f>IFERROR(I1183/G1183,"")</f>
        <v>1.0285714285714285</v>
      </c>
      <c r="M1183" s="11" t="str">
        <f>IF(K1183&gt;=Paramètres!$F$6,"Très forte",IF(K1183&gt;=Paramètres!$F$5,"Forte",IF(K1183&gt;=Paramètres!$F$4,"Modérée","Faible")))</f>
        <v>Forte</v>
      </c>
    </row>
    <row r="1184" spans="1:13">
      <c r="A1184" t="s">
        <v>261</v>
      </c>
      <c r="B1184" s="11">
        <v>93</v>
      </c>
      <c r="C1184" t="s">
        <v>100</v>
      </c>
      <c r="D1184" t="s">
        <v>95</v>
      </c>
      <c r="E1184" t="s">
        <v>424</v>
      </c>
      <c r="F1184" t="s">
        <v>92</v>
      </c>
      <c r="G1184" s="12">
        <v>96</v>
      </c>
      <c r="H1184" s="12">
        <v>3161</v>
      </c>
      <c r="I1184" s="12">
        <v>87</v>
      </c>
      <c r="J1184" t="str">
        <f>VLOOKUP(B1184,Paramètres!$A$4:$C$11,3,FALSE)</f>
        <v>Petite couronne</v>
      </c>
      <c r="K1184" s="13">
        <f>IFERROR(H1184/G1184,"")</f>
        <v>32.927083333333336</v>
      </c>
      <c r="L1184" s="14">
        <f>IFERROR(I1184/G1184,"")</f>
        <v>0.90625</v>
      </c>
      <c r="M1184" s="11" t="str">
        <f>IF(K1184&gt;=Paramètres!$F$6,"Très forte",IF(K1184&gt;=Paramètres!$F$5,"Forte",IF(K1184&gt;=Paramètres!$F$4,"Modérée","Faible")))</f>
        <v>Forte</v>
      </c>
    </row>
    <row r="1185" spans="1:13">
      <c r="A1185" t="s">
        <v>251</v>
      </c>
      <c r="B1185" s="11">
        <v>91</v>
      </c>
      <c r="C1185" t="s">
        <v>105</v>
      </c>
      <c r="D1185" t="s">
        <v>95</v>
      </c>
      <c r="E1185" t="s">
        <v>424</v>
      </c>
      <c r="F1185" t="s">
        <v>92</v>
      </c>
      <c r="G1185" s="12">
        <v>66</v>
      </c>
      <c r="H1185" s="12">
        <v>2117</v>
      </c>
      <c r="I1185" s="12">
        <v>61</v>
      </c>
      <c r="J1185" t="str">
        <f>VLOOKUP(B1185,Paramètres!$A$4:$C$11,3,FALSE)</f>
        <v>Grande couronne</v>
      </c>
      <c r="K1185" s="13">
        <f>IFERROR(H1185/G1185,"")</f>
        <v>32.075757575757578</v>
      </c>
      <c r="L1185" s="14">
        <f>IFERROR(I1185/G1185,"")</f>
        <v>0.9242424242424242</v>
      </c>
      <c r="M1185" s="11" t="str">
        <f>IF(K1185&gt;=Paramètres!$F$6,"Très forte",IF(K1185&gt;=Paramètres!$F$5,"Forte",IF(K1185&gt;=Paramètres!$F$4,"Modérée","Faible")))</f>
        <v>Forte</v>
      </c>
    </row>
    <row r="1186" spans="1:13">
      <c r="A1186" t="s">
        <v>287</v>
      </c>
      <c r="B1186" s="11">
        <v>95</v>
      </c>
      <c r="C1186" t="s">
        <v>90</v>
      </c>
      <c r="D1186" t="s">
        <v>95</v>
      </c>
      <c r="E1186" t="s">
        <v>199</v>
      </c>
      <c r="F1186" t="s">
        <v>92</v>
      </c>
      <c r="G1186" s="12">
        <v>72</v>
      </c>
      <c r="H1186" s="12">
        <v>2291</v>
      </c>
      <c r="I1186" s="12">
        <v>70</v>
      </c>
      <c r="J1186" t="str">
        <f>VLOOKUP(B1186,Paramètres!$A$4:$C$11,3,FALSE)</f>
        <v>Grande couronne</v>
      </c>
      <c r="K1186" s="13">
        <f>IFERROR(H1186/G1186,"")</f>
        <v>31.819444444444443</v>
      </c>
      <c r="L1186" s="14">
        <f>IFERROR(I1186/G1186,"")</f>
        <v>0.97222222222222221</v>
      </c>
      <c r="M1186" s="11" t="str">
        <f>IF(K1186&gt;=Paramètres!$F$6,"Très forte",IF(K1186&gt;=Paramètres!$F$5,"Forte",IF(K1186&gt;=Paramètres!$F$4,"Modérée","Faible")))</f>
        <v>Forte</v>
      </c>
    </row>
    <row r="1187" spans="1:13">
      <c r="A1187" t="s">
        <v>542</v>
      </c>
      <c r="B1187" s="11">
        <v>92</v>
      </c>
      <c r="C1187" t="s">
        <v>94</v>
      </c>
      <c r="D1187" t="s">
        <v>95</v>
      </c>
      <c r="E1187" t="s">
        <v>424</v>
      </c>
      <c r="F1187" t="s">
        <v>92</v>
      </c>
      <c r="G1187" s="12">
        <v>80</v>
      </c>
      <c r="H1187" s="12">
        <v>2535</v>
      </c>
      <c r="I1187" s="12">
        <v>80</v>
      </c>
      <c r="J1187" t="str">
        <f>VLOOKUP(B1187,Paramètres!$A$4:$C$11,3,FALSE)</f>
        <v>Petite couronne</v>
      </c>
      <c r="K1187" s="13">
        <f>IFERROR(H1187/G1187,"")</f>
        <v>31.6875</v>
      </c>
      <c r="L1187" s="14">
        <f>IFERROR(I1187/G1187,"")</f>
        <v>1</v>
      </c>
      <c r="M1187" s="11" t="str">
        <f>IF(K1187&gt;=Paramètres!$F$6,"Très forte",IF(K1187&gt;=Paramètres!$F$5,"Forte",IF(K1187&gt;=Paramètres!$F$4,"Modérée","Faible")))</f>
        <v>Forte</v>
      </c>
    </row>
    <row r="1188" spans="1:13">
      <c r="A1188" t="s">
        <v>193</v>
      </c>
      <c r="B1188" s="11">
        <v>75</v>
      </c>
      <c r="C1188" t="s">
        <v>86</v>
      </c>
      <c r="D1188" t="s">
        <v>95</v>
      </c>
      <c r="E1188" t="s">
        <v>663</v>
      </c>
      <c r="F1188" t="s">
        <v>92</v>
      </c>
      <c r="G1188" s="12">
        <v>92</v>
      </c>
      <c r="H1188" s="12">
        <v>2881</v>
      </c>
      <c r="I1188" s="12">
        <v>91</v>
      </c>
      <c r="J1188" t="str">
        <f>VLOOKUP(B1188,Paramètres!$A$4:$C$11,3,FALSE)</f>
        <v>Paris</v>
      </c>
      <c r="K1188" s="13">
        <f>IFERROR(H1188/G1188,"")</f>
        <v>31.315217391304348</v>
      </c>
      <c r="L1188" s="14">
        <f>IFERROR(I1188/G1188,"")</f>
        <v>0.98913043478260865</v>
      </c>
      <c r="M1188" s="11" t="str">
        <f>IF(K1188&gt;=Paramètres!$F$6,"Très forte",IF(K1188&gt;=Paramètres!$F$5,"Forte",IF(K1188&gt;=Paramètres!$F$4,"Modérée","Faible")))</f>
        <v>Forte</v>
      </c>
    </row>
    <row r="1189" spans="1:13">
      <c r="A1189" t="s">
        <v>251</v>
      </c>
      <c r="B1189" s="11">
        <v>91</v>
      </c>
      <c r="C1189" t="s">
        <v>105</v>
      </c>
      <c r="D1189" t="s">
        <v>95</v>
      </c>
      <c r="E1189" t="s">
        <v>268</v>
      </c>
      <c r="F1189" t="s">
        <v>92</v>
      </c>
      <c r="G1189" s="12">
        <v>40</v>
      </c>
      <c r="H1189" s="12">
        <v>1246</v>
      </c>
      <c r="I1189" s="12">
        <v>44</v>
      </c>
      <c r="J1189" t="str">
        <f>VLOOKUP(B1189,Paramètres!$A$4:$C$11,3,FALSE)</f>
        <v>Grande couronne</v>
      </c>
      <c r="K1189" s="13">
        <f>IFERROR(H1189/G1189,"")</f>
        <v>31.15</v>
      </c>
      <c r="L1189" s="14">
        <f>IFERROR(I1189/G1189,"")</f>
        <v>1.1000000000000001</v>
      </c>
      <c r="M1189" s="11" t="str">
        <f>IF(K1189&gt;=Paramètres!$F$6,"Très forte",IF(K1189&gt;=Paramètres!$F$5,"Forte",IF(K1189&gt;=Paramètres!$F$4,"Modérée","Faible")))</f>
        <v>Forte</v>
      </c>
    </row>
    <row r="1190" spans="1:13">
      <c r="A1190" t="s">
        <v>193</v>
      </c>
      <c r="B1190" s="11">
        <v>75</v>
      </c>
      <c r="C1190" t="s">
        <v>86</v>
      </c>
      <c r="D1190" t="s">
        <v>95</v>
      </c>
      <c r="E1190" t="s">
        <v>196</v>
      </c>
      <c r="F1190" t="s">
        <v>92</v>
      </c>
      <c r="G1190" s="12">
        <v>56</v>
      </c>
      <c r="H1190" s="12">
        <v>1660</v>
      </c>
      <c r="I1190" s="12">
        <v>54</v>
      </c>
      <c r="J1190" t="str">
        <f>VLOOKUP(B1190,Paramètres!$A$4:$C$11,3,FALSE)</f>
        <v>Paris</v>
      </c>
      <c r="K1190" s="13">
        <f>IFERROR(H1190/G1190,"")</f>
        <v>29.642857142857142</v>
      </c>
      <c r="L1190" s="14">
        <f>IFERROR(I1190/G1190,"")</f>
        <v>0.9642857142857143</v>
      </c>
      <c r="M1190" s="11" t="str">
        <f>IF(K1190&gt;=Paramètres!$F$6,"Très forte",IF(K1190&gt;=Paramètres!$F$5,"Forte",IF(K1190&gt;=Paramètres!$F$4,"Modérée","Faible")))</f>
        <v>Forte</v>
      </c>
    </row>
    <row r="1191" spans="1:13">
      <c r="A1191" t="s">
        <v>261</v>
      </c>
      <c r="B1191" s="11">
        <v>93</v>
      </c>
      <c r="C1191" t="s">
        <v>100</v>
      </c>
      <c r="D1191" t="s">
        <v>95</v>
      </c>
      <c r="E1191" t="s">
        <v>248</v>
      </c>
      <c r="F1191" t="s">
        <v>92</v>
      </c>
      <c r="G1191" s="12">
        <v>52</v>
      </c>
      <c r="H1191" s="12">
        <v>1503</v>
      </c>
      <c r="I1191" s="12">
        <v>51</v>
      </c>
      <c r="J1191" t="str">
        <f>VLOOKUP(B1191,Paramètres!$A$4:$C$11,3,FALSE)</f>
        <v>Petite couronne</v>
      </c>
      <c r="K1191" s="13">
        <f>IFERROR(H1191/G1191,"")</f>
        <v>28.903846153846153</v>
      </c>
      <c r="L1191" s="14">
        <f>IFERROR(I1191/G1191,"")</f>
        <v>0.98076923076923073</v>
      </c>
      <c r="M1191" s="11" t="str">
        <f>IF(K1191&gt;=Paramètres!$F$6,"Très forte",IF(K1191&gt;=Paramètres!$F$5,"Forte",IF(K1191&gt;=Paramètres!$F$4,"Modérée","Faible")))</f>
        <v>Forte</v>
      </c>
    </row>
    <row r="1192" spans="1:13">
      <c r="A1192" t="s">
        <v>287</v>
      </c>
      <c r="B1192" s="11">
        <v>95</v>
      </c>
      <c r="C1192" t="s">
        <v>90</v>
      </c>
      <c r="D1192" t="s">
        <v>95</v>
      </c>
      <c r="E1192" t="s">
        <v>589</v>
      </c>
      <c r="F1192" t="s">
        <v>92</v>
      </c>
      <c r="G1192" s="12">
        <v>14</v>
      </c>
      <c r="H1192" s="12">
        <v>402</v>
      </c>
      <c r="I1192" s="12">
        <v>15</v>
      </c>
      <c r="J1192" t="str">
        <f>VLOOKUP(B1192,Paramètres!$A$4:$C$11,3,FALSE)</f>
        <v>Grande couronne</v>
      </c>
      <c r="K1192" s="13">
        <f>IFERROR(H1192/G1192,"")</f>
        <v>28.714285714285715</v>
      </c>
      <c r="L1192" s="14">
        <f>IFERROR(I1192/G1192,"")</f>
        <v>1.0714285714285714</v>
      </c>
      <c r="M1192" s="11" t="str">
        <f>IF(K1192&gt;=Paramètres!$F$6,"Très forte",IF(K1192&gt;=Paramètres!$F$5,"Forte",IF(K1192&gt;=Paramètres!$F$4,"Modérée","Faible")))</f>
        <v>Forte</v>
      </c>
    </row>
    <row r="1193" spans="1:13">
      <c r="A1193" t="s">
        <v>249</v>
      </c>
      <c r="B1193" s="11">
        <v>91</v>
      </c>
      <c r="C1193" t="s">
        <v>105</v>
      </c>
      <c r="D1193" t="s">
        <v>95</v>
      </c>
      <c r="E1193" t="s">
        <v>194</v>
      </c>
      <c r="F1193" t="s">
        <v>92</v>
      </c>
      <c r="G1193" s="12">
        <v>176</v>
      </c>
      <c r="H1193" s="12">
        <v>5029</v>
      </c>
      <c r="I1193" s="12">
        <v>171</v>
      </c>
      <c r="J1193" t="str">
        <f>VLOOKUP(B1193,Paramètres!$A$4:$C$11,3,FALSE)</f>
        <v>Grande couronne</v>
      </c>
      <c r="K1193" s="13">
        <f>IFERROR(H1193/G1193,"")</f>
        <v>28.573863636363637</v>
      </c>
      <c r="L1193" s="14">
        <f>IFERROR(I1193/G1193,"")</f>
        <v>0.97159090909090906</v>
      </c>
      <c r="M1193" s="11" t="str">
        <f>IF(K1193&gt;=Paramètres!$F$6,"Très forte",IF(K1193&gt;=Paramètres!$F$5,"Forte",IF(K1193&gt;=Paramètres!$F$4,"Modérée","Faible")))</f>
        <v>Forte</v>
      </c>
    </row>
    <row r="1194" spans="1:13">
      <c r="A1194" t="s">
        <v>391</v>
      </c>
      <c r="B1194" s="11">
        <v>77</v>
      </c>
      <c r="C1194" t="s">
        <v>132</v>
      </c>
      <c r="D1194" t="s">
        <v>95</v>
      </c>
      <c r="E1194" t="s">
        <v>96</v>
      </c>
      <c r="F1194" t="s">
        <v>92</v>
      </c>
      <c r="G1194" s="12">
        <v>84</v>
      </c>
      <c r="H1194" s="12">
        <v>2367</v>
      </c>
      <c r="I1194" s="12">
        <v>78</v>
      </c>
      <c r="J1194" t="str">
        <f>VLOOKUP(B1194,Paramètres!$A$4:$C$11,3,FALSE)</f>
        <v>Grande couronne</v>
      </c>
      <c r="K1194" s="13">
        <f>IFERROR(H1194/G1194,"")</f>
        <v>28.178571428571427</v>
      </c>
      <c r="L1194" s="14">
        <f>IFERROR(I1194/G1194,"")</f>
        <v>0.9285714285714286</v>
      </c>
      <c r="M1194" s="11" t="str">
        <f>IF(K1194&gt;=Paramètres!$F$6,"Très forte",IF(K1194&gt;=Paramètres!$F$5,"Forte",IF(K1194&gt;=Paramètres!$F$4,"Modérée","Faible")))</f>
        <v>Forte</v>
      </c>
    </row>
    <row r="1195" spans="1:13">
      <c r="A1195" t="s">
        <v>278</v>
      </c>
      <c r="B1195" s="11">
        <v>94</v>
      </c>
      <c r="C1195" t="s">
        <v>116</v>
      </c>
      <c r="D1195" t="s">
        <v>95</v>
      </c>
      <c r="E1195" t="s">
        <v>250</v>
      </c>
      <c r="F1195" t="s">
        <v>92</v>
      </c>
      <c r="G1195" s="12">
        <v>78</v>
      </c>
      <c r="H1195" s="12">
        <v>2179</v>
      </c>
      <c r="I1195" s="12">
        <v>73</v>
      </c>
      <c r="J1195" t="str">
        <f>VLOOKUP(B1195,Paramètres!$A$4:$C$11,3,FALSE)</f>
        <v>Petite couronne</v>
      </c>
      <c r="K1195" s="13">
        <f>IFERROR(H1195/G1195,"")</f>
        <v>27.935897435897434</v>
      </c>
      <c r="L1195" s="14">
        <f>IFERROR(I1195/G1195,"")</f>
        <v>0.9358974358974359</v>
      </c>
      <c r="M1195" s="11" t="str">
        <f>IF(K1195&gt;=Paramètres!$F$6,"Très forte",IF(K1195&gt;=Paramètres!$F$5,"Forte",IF(K1195&gt;=Paramètres!$F$4,"Modérée","Faible")))</f>
        <v>Forte</v>
      </c>
    </row>
    <row r="1196" spans="1:13">
      <c r="A1196" t="s">
        <v>542</v>
      </c>
      <c r="B1196" s="11">
        <v>92</v>
      </c>
      <c r="C1196" t="s">
        <v>94</v>
      </c>
      <c r="D1196" t="s">
        <v>95</v>
      </c>
      <c r="E1196" t="s">
        <v>199</v>
      </c>
      <c r="F1196" t="s">
        <v>92</v>
      </c>
      <c r="G1196" s="12">
        <v>83</v>
      </c>
      <c r="H1196" s="12">
        <v>2281</v>
      </c>
      <c r="I1196" s="12">
        <v>81</v>
      </c>
      <c r="J1196" t="str">
        <f>VLOOKUP(B1196,Paramètres!$A$4:$C$11,3,FALSE)</f>
        <v>Petite couronne</v>
      </c>
      <c r="K1196" s="13">
        <f>IFERROR(H1196/G1196,"")</f>
        <v>27.481927710843372</v>
      </c>
      <c r="L1196" s="14">
        <f>IFERROR(I1196/G1196,"")</f>
        <v>0.97590361445783136</v>
      </c>
      <c r="M1196" s="11" t="str">
        <f>IF(K1196&gt;=Paramètres!$F$6,"Très forte",IF(K1196&gt;=Paramètres!$F$5,"Forte",IF(K1196&gt;=Paramètres!$F$4,"Modérée","Faible")))</f>
        <v>Forte</v>
      </c>
    </row>
    <row r="1197" spans="1:13">
      <c r="A1197" t="s">
        <v>277</v>
      </c>
      <c r="B1197" s="11">
        <v>94</v>
      </c>
      <c r="C1197" t="s">
        <v>116</v>
      </c>
      <c r="D1197" t="s">
        <v>95</v>
      </c>
      <c r="E1197" t="s">
        <v>199</v>
      </c>
      <c r="F1197" t="s">
        <v>92</v>
      </c>
      <c r="G1197" s="12">
        <v>78</v>
      </c>
      <c r="H1197" s="12">
        <v>2131</v>
      </c>
      <c r="I1197" s="12">
        <v>77</v>
      </c>
      <c r="J1197" t="str">
        <f>VLOOKUP(B1197,Paramètres!$A$4:$C$11,3,FALSE)</f>
        <v>Petite couronne</v>
      </c>
      <c r="K1197" s="13">
        <f>IFERROR(H1197/G1197,"")</f>
        <v>27.320512820512821</v>
      </c>
      <c r="L1197" s="14">
        <f>IFERROR(I1197/G1197,"")</f>
        <v>0.98717948717948723</v>
      </c>
      <c r="M1197" s="11" t="str">
        <f>IF(K1197&gt;=Paramètres!$F$6,"Très forte",IF(K1197&gt;=Paramètres!$F$5,"Forte",IF(K1197&gt;=Paramètres!$F$4,"Modérée","Faible")))</f>
        <v>Forte</v>
      </c>
    </row>
    <row r="1198" spans="1:13">
      <c r="A1198" t="s">
        <v>270</v>
      </c>
      <c r="B1198" s="11">
        <v>93</v>
      </c>
      <c r="C1198" t="s">
        <v>100</v>
      </c>
      <c r="D1198" t="s">
        <v>95</v>
      </c>
      <c r="E1198" t="s">
        <v>196</v>
      </c>
      <c r="F1198" t="s">
        <v>92</v>
      </c>
      <c r="G1198" s="12">
        <v>30</v>
      </c>
      <c r="H1198" s="12">
        <v>799</v>
      </c>
      <c r="I1198" s="12">
        <v>29</v>
      </c>
      <c r="J1198" t="str">
        <f>VLOOKUP(B1198,Paramètres!$A$4:$C$11,3,FALSE)</f>
        <v>Petite couronne</v>
      </c>
      <c r="K1198" s="13">
        <f>IFERROR(H1198/G1198,"")</f>
        <v>26.633333333333333</v>
      </c>
      <c r="L1198" s="14">
        <f>IFERROR(I1198/G1198,"")</f>
        <v>0.96666666666666667</v>
      </c>
      <c r="M1198" s="11" t="str">
        <f>IF(K1198&gt;=Paramètres!$F$6,"Très forte",IF(K1198&gt;=Paramètres!$F$5,"Forte",IF(K1198&gt;=Paramètres!$F$4,"Modérée","Faible")))</f>
        <v>Forte</v>
      </c>
    </row>
    <row r="1199" spans="1:13">
      <c r="A1199" t="s">
        <v>206</v>
      </c>
      <c r="B1199" s="11">
        <v>78</v>
      </c>
      <c r="C1199" t="s">
        <v>135</v>
      </c>
      <c r="D1199" t="s">
        <v>95</v>
      </c>
      <c r="E1199" t="s">
        <v>199</v>
      </c>
      <c r="F1199" t="s">
        <v>92</v>
      </c>
      <c r="G1199" s="12">
        <v>58</v>
      </c>
      <c r="H1199" s="12">
        <v>1541</v>
      </c>
      <c r="I1199" s="12">
        <v>51</v>
      </c>
      <c r="J1199" t="str">
        <f>VLOOKUP(B1199,Paramètres!$A$4:$C$11,3,FALSE)</f>
        <v>Grande couronne</v>
      </c>
      <c r="K1199" s="13">
        <f>IFERROR(H1199/G1199,"")</f>
        <v>26.568965517241381</v>
      </c>
      <c r="L1199" s="14">
        <f>IFERROR(I1199/G1199,"")</f>
        <v>0.87931034482758619</v>
      </c>
      <c r="M1199" s="11" t="str">
        <f>IF(K1199&gt;=Paramètres!$F$6,"Très forte",IF(K1199&gt;=Paramètres!$F$5,"Forte",IF(K1199&gt;=Paramètres!$F$4,"Modérée","Faible")))</f>
        <v>Forte</v>
      </c>
    </row>
    <row r="1200" spans="1:13">
      <c r="A1200" t="s">
        <v>160</v>
      </c>
      <c r="B1200" s="11">
        <v>93</v>
      </c>
      <c r="C1200" t="s">
        <v>100</v>
      </c>
      <c r="D1200" t="s">
        <v>95</v>
      </c>
      <c r="E1200" t="s">
        <v>161</v>
      </c>
      <c r="F1200" t="s">
        <v>92</v>
      </c>
      <c r="G1200" s="12">
        <v>14</v>
      </c>
      <c r="H1200" s="12">
        <v>353</v>
      </c>
      <c r="I1200" s="12">
        <v>9</v>
      </c>
      <c r="J1200" t="str">
        <f>VLOOKUP(B1200,Paramètres!$A$4:$C$11,3,FALSE)</f>
        <v>Petite couronne</v>
      </c>
      <c r="K1200" s="13">
        <f>IFERROR(H1200/G1200,"")</f>
        <v>25.214285714285715</v>
      </c>
      <c r="L1200" s="14">
        <f>IFERROR(I1200/G1200,"")</f>
        <v>0.6428571428571429</v>
      </c>
      <c r="M1200" s="11" t="str">
        <f>IF(K1200&gt;=Paramètres!$F$6,"Très forte",IF(K1200&gt;=Paramètres!$F$5,"Forte",IF(K1200&gt;=Paramètres!$F$4,"Modérée","Faible")))</f>
        <v>Forte</v>
      </c>
    </row>
    <row r="1201" spans="1:13">
      <c r="A1201" t="s">
        <v>267</v>
      </c>
      <c r="B1201" s="11">
        <v>93</v>
      </c>
      <c r="C1201" t="s">
        <v>100</v>
      </c>
      <c r="D1201" t="s">
        <v>95</v>
      </c>
      <c r="E1201" t="s">
        <v>248</v>
      </c>
      <c r="F1201" t="s">
        <v>92</v>
      </c>
      <c r="G1201" s="12">
        <v>45</v>
      </c>
      <c r="H1201" s="12">
        <v>1110</v>
      </c>
      <c r="I1201" s="12">
        <v>44</v>
      </c>
      <c r="J1201" t="str">
        <f>VLOOKUP(B1201,Paramètres!$A$4:$C$11,3,FALSE)</f>
        <v>Petite couronne</v>
      </c>
      <c r="K1201" s="13">
        <f>IFERROR(H1201/G1201,"")</f>
        <v>24.666666666666668</v>
      </c>
      <c r="L1201" s="14">
        <f>IFERROR(I1201/G1201,"")</f>
        <v>0.97777777777777775</v>
      </c>
      <c r="M1201" s="11" t="str">
        <f>IF(K1201&gt;=Paramètres!$F$6,"Très forte",IF(K1201&gt;=Paramètres!$F$5,"Forte",IF(K1201&gt;=Paramètres!$F$4,"Modérée","Faible")))</f>
        <v>Forte</v>
      </c>
    </row>
    <row r="1202" spans="1:13">
      <c r="A1202" t="s">
        <v>420</v>
      </c>
      <c r="B1202" s="11">
        <v>78</v>
      </c>
      <c r="C1202" t="s">
        <v>135</v>
      </c>
      <c r="D1202" t="s">
        <v>95</v>
      </c>
      <c r="E1202" t="s">
        <v>553</v>
      </c>
      <c r="F1202" t="s">
        <v>92</v>
      </c>
      <c r="G1202" s="12">
        <v>56</v>
      </c>
      <c r="H1202" s="12">
        <v>1361</v>
      </c>
      <c r="I1202" s="12">
        <v>55</v>
      </c>
      <c r="J1202" t="str">
        <f>VLOOKUP(B1202,Paramètres!$A$4:$C$11,3,FALSE)</f>
        <v>Grande couronne</v>
      </c>
      <c r="K1202" s="13">
        <f>IFERROR(H1202/G1202,"")</f>
        <v>24.303571428571427</v>
      </c>
      <c r="L1202" s="14">
        <f>IFERROR(I1202/G1202,"")</f>
        <v>0.9821428571428571</v>
      </c>
      <c r="M1202" s="11" t="str">
        <f>IF(K1202&gt;=Paramètres!$F$6,"Très forte",IF(K1202&gt;=Paramètres!$F$5,"Forte",IF(K1202&gt;=Paramètres!$F$4,"Modérée","Faible")))</f>
        <v>Forte</v>
      </c>
    </row>
    <row r="1203" spans="1:13">
      <c r="A1203" t="s">
        <v>198</v>
      </c>
      <c r="B1203" s="11">
        <v>77</v>
      </c>
      <c r="C1203" t="s">
        <v>132</v>
      </c>
      <c r="D1203" t="s">
        <v>95</v>
      </c>
      <c r="E1203" t="s">
        <v>207</v>
      </c>
      <c r="F1203" t="s">
        <v>92</v>
      </c>
      <c r="G1203" s="12">
        <v>104</v>
      </c>
      <c r="H1203" s="12">
        <v>2512</v>
      </c>
      <c r="I1203" s="12">
        <v>102</v>
      </c>
      <c r="J1203" t="str">
        <f>VLOOKUP(B1203,Paramètres!$A$4:$C$11,3,FALSE)</f>
        <v>Grande couronne</v>
      </c>
      <c r="K1203" s="13">
        <f>IFERROR(H1203/G1203,"")</f>
        <v>24.153846153846153</v>
      </c>
      <c r="L1203" s="14">
        <f>IFERROR(I1203/G1203,"")</f>
        <v>0.98076923076923073</v>
      </c>
      <c r="M1203" s="11" t="str">
        <f>IF(K1203&gt;=Paramètres!$F$6,"Très forte",IF(K1203&gt;=Paramètres!$F$5,"Forte",IF(K1203&gt;=Paramètres!$F$4,"Modérée","Faible")))</f>
        <v>Forte</v>
      </c>
    </row>
    <row r="1204" spans="1:13">
      <c r="A1204" t="s">
        <v>247</v>
      </c>
      <c r="B1204" s="11">
        <v>78</v>
      </c>
      <c r="C1204" t="s">
        <v>135</v>
      </c>
      <c r="D1204" t="s">
        <v>95</v>
      </c>
      <c r="E1204" t="s">
        <v>263</v>
      </c>
      <c r="F1204" t="s">
        <v>92</v>
      </c>
      <c r="G1204" s="12">
        <v>40</v>
      </c>
      <c r="H1204" s="12">
        <v>962</v>
      </c>
      <c r="I1204" s="12">
        <v>39</v>
      </c>
      <c r="J1204" t="str">
        <f>VLOOKUP(B1204,Paramètres!$A$4:$C$11,3,FALSE)</f>
        <v>Grande couronne</v>
      </c>
      <c r="K1204" s="13">
        <f>IFERROR(H1204/G1204,"")</f>
        <v>24.05</v>
      </c>
      <c r="L1204" s="14">
        <f>IFERROR(I1204/G1204,"")</f>
        <v>0.97499999999999998</v>
      </c>
      <c r="M1204" s="11" t="str">
        <f>IF(K1204&gt;=Paramètres!$F$6,"Très forte",IF(K1204&gt;=Paramètres!$F$5,"Forte",IF(K1204&gt;=Paramètres!$F$4,"Modérée","Faible")))</f>
        <v>Forte</v>
      </c>
    </row>
    <row r="1205" spans="1:13">
      <c r="A1205" t="s">
        <v>270</v>
      </c>
      <c r="B1205" s="11">
        <v>93</v>
      </c>
      <c r="C1205" t="s">
        <v>100</v>
      </c>
      <c r="D1205" t="s">
        <v>95</v>
      </c>
      <c r="E1205" t="s">
        <v>195</v>
      </c>
      <c r="F1205" t="s">
        <v>92</v>
      </c>
      <c r="G1205" s="12">
        <v>30</v>
      </c>
      <c r="H1205" s="12">
        <v>718</v>
      </c>
      <c r="I1205" s="12">
        <v>30</v>
      </c>
      <c r="J1205" t="str">
        <f>VLOOKUP(B1205,Paramètres!$A$4:$C$11,3,FALSE)</f>
        <v>Petite couronne</v>
      </c>
      <c r="K1205" s="13">
        <f>IFERROR(H1205/G1205,"")</f>
        <v>23.933333333333334</v>
      </c>
      <c r="L1205" s="14">
        <f>IFERROR(I1205/G1205,"")</f>
        <v>1</v>
      </c>
      <c r="M1205" s="11" t="str">
        <f>IF(K1205&gt;=Paramètres!$F$6,"Très forte",IF(K1205&gt;=Paramètres!$F$5,"Forte",IF(K1205&gt;=Paramètres!$F$4,"Modérée","Faible")))</f>
        <v>Forte</v>
      </c>
    </row>
    <row r="1206" spans="1:13">
      <c r="A1206" t="s">
        <v>261</v>
      </c>
      <c r="B1206" s="11">
        <v>93</v>
      </c>
      <c r="C1206" t="s">
        <v>100</v>
      </c>
      <c r="D1206" t="s">
        <v>95</v>
      </c>
      <c r="E1206" t="s">
        <v>262</v>
      </c>
      <c r="F1206" t="s">
        <v>92</v>
      </c>
      <c r="G1206" s="12">
        <v>48</v>
      </c>
      <c r="H1206" s="12">
        <v>1118</v>
      </c>
      <c r="I1206" s="12">
        <v>48</v>
      </c>
      <c r="J1206" t="str">
        <f>VLOOKUP(B1206,Paramètres!$A$4:$C$11,3,FALSE)</f>
        <v>Petite couronne</v>
      </c>
      <c r="K1206" s="13">
        <f>IFERROR(H1206/G1206,"")</f>
        <v>23.291666666666668</v>
      </c>
      <c r="L1206" s="14">
        <f>IFERROR(I1206/G1206,"")</f>
        <v>1</v>
      </c>
      <c r="M1206" s="11" t="str">
        <f>IF(K1206&gt;=Paramètres!$F$6,"Très forte",IF(K1206&gt;=Paramètres!$F$5,"Forte",IF(K1206&gt;=Paramètres!$F$4,"Modérée","Faible")))</f>
        <v>Forte</v>
      </c>
    </row>
    <row r="1207" spans="1:13">
      <c r="A1207" t="s">
        <v>391</v>
      </c>
      <c r="B1207" s="11">
        <v>77</v>
      </c>
      <c r="C1207" t="s">
        <v>132</v>
      </c>
      <c r="D1207" t="s">
        <v>95</v>
      </c>
      <c r="E1207" t="s">
        <v>263</v>
      </c>
      <c r="F1207" t="s">
        <v>92</v>
      </c>
      <c r="G1207" s="12">
        <v>135</v>
      </c>
      <c r="H1207" s="12">
        <v>2998</v>
      </c>
      <c r="I1207" s="12">
        <v>137</v>
      </c>
      <c r="J1207" t="str">
        <f>VLOOKUP(B1207,Paramètres!$A$4:$C$11,3,FALSE)</f>
        <v>Grande couronne</v>
      </c>
      <c r="K1207" s="13">
        <f>IFERROR(H1207/G1207,"")</f>
        <v>22.207407407407409</v>
      </c>
      <c r="L1207" s="14">
        <f>IFERROR(I1207/G1207,"")</f>
        <v>1.0148148148148148</v>
      </c>
      <c r="M1207" s="11" t="str">
        <f>IF(K1207&gt;=Paramètres!$F$6,"Très forte",IF(K1207&gt;=Paramètres!$F$5,"Forte",IF(K1207&gt;=Paramètres!$F$4,"Modérée","Faible")))</f>
        <v>Forte</v>
      </c>
    </row>
    <row r="1208" spans="1:13">
      <c r="A1208" t="s">
        <v>281</v>
      </c>
      <c r="B1208" s="11">
        <v>95</v>
      </c>
      <c r="C1208" t="s">
        <v>90</v>
      </c>
      <c r="D1208" t="s">
        <v>95</v>
      </c>
      <c r="E1208" t="s">
        <v>702</v>
      </c>
      <c r="F1208" t="s">
        <v>92</v>
      </c>
      <c r="G1208" s="12">
        <v>27</v>
      </c>
      <c r="H1208" s="12">
        <v>584</v>
      </c>
      <c r="I1208" s="12">
        <v>25</v>
      </c>
      <c r="J1208" t="str">
        <f>VLOOKUP(B1208,Paramètres!$A$4:$C$11,3,FALSE)</f>
        <v>Grande couronne</v>
      </c>
      <c r="K1208" s="13">
        <f>IFERROR(H1208/G1208,"")</f>
        <v>21.62962962962963</v>
      </c>
      <c r="L1208" s="14">
        <f>IFERROR(I1208/G1208,"")</f>
        <v>0.92592592592592593</v>
      </c>
      <c r="M1208" s="11" t="str">
        <f>IF(K1208&gt;=Paramètres!$F$6,"Très forte",IF(K1208&gt;=Paramètres!$F$5,"Forte",IF(K1208&gt;=Paramètres!$F$4,"Modérée","Faible")))</f>
        <v>Forte</v>
      </c>
    </row>
    <row r="1209" spans="1:13">
      <c r="A1209" t="s">
        <v>160</v>
      </c>
      <c r="B1209" s="11">
        <v>93</v>
      </c>
      <c r="C1209" t="s">
        <v>100</v>
      </c>
      <c r="D1209" t="s">
        <v>95</v>
      </c>
      <c r="E1209" t="s">
        <v>269</v>
      </c>
      <c r="F1209" t="s">
        <v>92</v>
      </c>
      <c r="G1209" s="12">
        <v>52</v>
      </c>
      <c r="H1209" s="12">
        <v>1118</v>
      </c>
      <c r="I1209" s="12">
        <v>66</v>
      </c>
      <c r="J1209" t="str">
        <f>VLOOKUP(B1209,Paramètres!$A$4:$C$11,3,FALSE)</f>
        <v>Petite couronne</v>
      </c>
      <c r="K1209" s="13">
        <f>IFERROR(H1209/G1209,"")</f>
        <v>21.5</v>
      </c>
      <c r="L1209" s="14">
        <f>IFERROR(I1209/G1209,"")</f>
        <v>1.2692307692307692</v>
      </c>
      <c r="M1209" s="11" t="str">
        <f>IF(K1209&gt;=Paramètres!$F$6,"Très forte",IF(K1209&gt;=Paramètres!$F$5,"Forte",IF(K1209&gt;=Paramètres!$F$4,"Modérée","Faible")))</f>
        <v>Forte</v>
      </c>
    </row>
    <row r="1210" spans="1:13">
      <c r="A1210" t="s">
        <v>279</v>
      </c>
      <c r="B1210" s="11">
        <v>95</v>
      </c>
      <c r="C1210" t="s">
        <v>90</v>
      </c>
      <c r="D1210" t="s">
        <v>95</v>
      </c>
      <c r="E1210" t="s">
        <v>199</v>
      </c>
      <c r="F1210" t="s">
        <v>92</v>
      </c>
      <c r="G1210" s="12">
        <v>100</v>
      </c>
      <c r="H1210" s="12">
        <v>2139</v>
      </c>
      <c r="I1210" s="12">
        <v>96</v>
      </c>
      <c r="J1210" t="str">
        <f>VLOOKUP(B1210,Paramètres!$A$4:$C$11,3,FALSE)</f>
        <v>Grande couronne</v>
      </c>
      <c r="K1210" s="13">
        <f>IFERROR(H1210/G1210,"")</f>
        <v>21.39</v>
      </c>
      <c r="L1210" s="14">
        <f>IFERROR(I1210/G1210,"")</f>
        <v>0.96</v>
      </c>
      <c r="M1210" s="11" t="str">
        <f>IF(K1210&gt;=Paramètres!$F$6,"Très forte",IF(K1210&gt;=Paramètres!$F$5,"Forte",IF(K1210&gt;=Paramètres!$F$4,"Modérée","Faible")))</f>
        <v>Forte</v>
      </c>
    </row>
    <row r="1211" spans="1:13">
      <c r="A1211" t="s">
        <v>560</v>
      </c>
      <c r="B1211" s="11">
        <v>95</v>
      </c>
      <c r="C1211" t="s">
        <v>90</v>
      </c>
      <c r="D1211" t="s">
        <v>95</v>
      </c>
      <c r="E1211" t="s">
        <v>268</v>
      </c>
      <c r="F1211" t="s">
        <v>92</v>
      </c>
      <c r="G1211" s="12">
        <v>56</v>
      </c>
      <c r="H1211" s="12">
        <v>1171</v>
      </c>
      <c r="I1211" s="12">
        <v>64</v>
      </c>
      <c r="J1211" t="str">
        <f>VLOOKUP(B1211,Paramètres!$A$4:$C$11,3,FALSE)</f>
        <v>Grande couronne</v>
      </c>
      <c r="K1211" s="13">
        <f>IFERROR(H1211/G1211,"")</f>
        <v>20.910714285714285</v>
      </c>
      <c r="L1211" s="14">
        <f>IFERROR(I1211/G1211,"")</f>
        <v>1.1428571428571428</v>
      </c>
      <c r="M1211" s="11" t="str">
        <f>IF(K1211&gt;=Paramètres!$F$6,"Très forte",IF(K1211&gt;=Paramètres!$F$5,"Forte",IF(K1211&gt;=Paramètres!$F$4,"Modérée","Faible")))</f>
        <v>Forte</v>
      </c>
    </row>
    <row r="1212" spans="1:13">
      <c r="A1212" t="s">
        <v>287</v>
      </c>
      <c r="B1212" s="11">
        <v>95</v>
      </c>
      <c r="C1212" t="s">
        <v>90</v>
      </c>
      <c r="D1212" t="s">
        <v>95</v>
      </c>
      <c r="E1212" t="s">
        <v>493</v>
      </c>
      <c r="F1212" t="s">
        <v>92</v>
      </c>
      <c r="G1212" s="12">
        <v>30</v>
      </c>
      <c r="H1212" s="12">
        <v>618</v>
      </c>
      <c r="I1212" s="12">
        <v>32</v>
      </c>
      <c r="J1212" t="str">
        <f>VLOOKUP(B1212,Paramètres!$A$4:$C$11,3,FALSE)</f>
        <v>Grande couronne</v>
      </c>
      <c r="K1212" s="13">
        <f>IFERROR(H1212/G1212,"")</f>
        <v>20.6</v>
      </c>
      <c r="L1212" s="14">
        <f>IFERROR(I1212/G1212,"")</f>
        <v>1.0666666666666667</v>
      </c>
      <c r="M1212" s="11" t="str">
        <f>IF(K1212&gt;=Paramètres!$F$6,"Très forte",IF(K1212&gt;=Paramètres!$F$5,"Forte",IF(K1212&gt;=Paramètres!$F$4,"Modérée","Faible")))</f>
        <v>Forte</v>
      </c>
    </row>
    <row r="1213" spans="1:13">
      <c r="A1213" t="s">
        <v>420</v>
      </c>
      <c r="B1213" s="11">
        <v>78</v>
      </c>
      <c r="C1213" t="s">
        <v>135</v>
      </c>
      <c r="D1213" t="s">
        <v>95</v>
      </c>
      <c r="E1213" t="s">
        <v>96</v>
      </c>
      <c r="F1213" t="s">
        <v>92</v>
      </c>
      <c r="G1213" s="12">
        <v>84</v>
      </c>
      <c r="H1213" s="12">
        <v>1685</v>
      </c>
      <c r="I1213" s="12">
        <v>84</v>
      </c>
      <c r="J1213" t="str">
        <f>VLOOKUP(B1213,Paramètres!$A$4:$C$11,3,FALSE)</f>
        <v>Grande couronne</v>
      </c>
      <c r="K1213" s="13">
        <f>IFERROR(H1213/G1213,"")</f>
        <v>20.05952380952381</v>
      </c>
      <c r="L1213" s="14">
        <f>IFERROR(I1213/G1213,"")</f>
        <v>1</v>
      </c>
      <c r="M1213" s="11" t="str">
        <f>IF(K1213&gt;=Paramètres!$F$6,"Très forte",IF(K1213&gt;=Paramètres!$F$5,"Forte",IF(K1213&gt;=Paramètres!$F$4,"Modérée","Faible")))</f>
        <v>Forte</v>
      </c>
    </row>
    <row r="1214" spans="1:13">
      <c r="A1214" t="s">
        <v>792</v>
      </c>
      <c r="B1214" s="11">
        <v>75</v>
      </c>
      <c r="C1214" t="s">
        <v>86</v>
      </c>
      <c r="D1214" t="s">
        <v>95</v>
      </c>
      <c r="E1214" t="s">
        <v>262</v>
      </c>
      <c r="F1214" t="s">
        <v>92</v>
      </c>
      <c r="G1214" s="12">
        <v>94</v>
      </c>
      <c r="H1214" s="12">
        <v>1823</v>
      </c>
      <c r="I1214" s="12">
        <v>92</v>
      </c>
      <c r="J1214" t="str">
        <f>VLOOKUP(B1214,Paramètres!$A$4:$C$11,3,FALSE)</f>
        <v>Paris</v>
      </c>
      <c r="K1214" s="13">
        <f>IFERROR(H1214/G1214,"")</f>
        <v>19.393617021276597</v>
      </c>
      <c r="L1214" s="14">
        <f>IFERROR(I1214/G1214,"")</f>
        <v>0.97872340425531912</v>
      </c>
      <c r="M1214" s="11" t="str">
        <f>IF(K1214&gt;=Paramètres!$F$6,"Très forte",IF(K1214&gt;=Paramètres!$F$5,"Forte",IF(K1214&gt;=Paramètres!$F$4,"Modérée","Faible")))</f>
        <v>Modérée</v>
      </c>
    </row>
    <row r="1215" spans="1:13">
      <c r="A1215" t="s">
        <v>247</v>
      </c>
      <c r="B1215" s="11">
        <v>78</v>
      </c>
      <c r="C1215" t="s">
        <v>135</v>
      </c>
      <c r="D1215" t="s">
        <v>95</v>
      </c>
      <c r="E1215" t="s">
        <v>96</v>
      </c>
      <c r="F1215" t="s">
        <v>92</v>
      </c>
      <c r="G1215" s="12">
        <v>54</v>
      </c>
      <c r="H1215" s="12">
        <v>1045</v>
      </c>
      <c r="I1215" s="12">
        <v>53</v>
      </c>
      <c r="J1215" t="str">
        <f>VLOOKUP(B1215,Paramètres!$A$4:$C$11,3,FALSE)</f>
        <v>Grande couronne</v>
      </c>
      <c r="K1215" s="13">
        <f>IFERROR(H1215/G1215,"")</f>
        <v>19.351851851851851</v>
      </c>
      <c r="L1215" s="14">
        <f>IFERROR(I1215/G1215,"")</f>
        <v>0.98148148148148151</v>
      </c>
      <c r="M1215" s="11" t="str">
        <f>IF(K1215&gt;=Paramètres!$F$6,"Très forte",IF(K1215&gt;=Paramètres!$F$5,"Forte",IF(K1215&gt;=Paramètres!$F$4,"Modérée","Faible")))</f>
        <v>Modérée</v>
      </c>
    </row>
    <row r="1216" spans="1:13">
      <c r="A1216" t="s">
        <v>272</v>
      </c>
      <c r="B1216" s="11">
        <v>94</v>
      </c>
      <c r="C1216" t="s">
        <v>116</v>
      </c>
      <c r="D1216" t="s">
        <v>95</v>
      </c>
      <c r="E1216" t="s">
        <v>199</v>
      </c>
      <c r="F1216" t="s">
        <v>92</v>
      </c>
      <c r="G1216" s="12">
        <v>190</v>
      </c>
      <c r="H1216" s="12">
        <v>3297</v>
      </c>
      <c r="I1216" s="12">
        <v>195</v>
      </c>
      <c r="J1216" t="str">
        <f>VLOOKUP(B1216,Paramètres!$A$4:$C$11,3,FALSE)</f>
        <v>Petite couronne</v>
      </c>
      <c r="K1216" s="13">
        <f>IFERROR(H1216/G1216,"")</f>
        <v>17.352631578947367</v>
      </c>
      <c r="L1216" s="14">
        <f>IFERROR(I1216/G1216,"")</f>
        <v>1.0263157894736843</v>
      </c>
      <c r="M1216" s="11" t="str">
        <f>IF(K1216&gt;=Paramètres!$F$6,"Très forte",IF(K1216&gt;=Paramètres!$F$5,"Forte",IF(K1216&gt;=Paramètres!$F$4,"Modérée","Faible")))</f>
        <v>Modérée</v>
      </c>
    </row>
    <row r="1217" spans="1:13">
      <c r="A1217" t="s">
        <v>198</v>
      </c>
      <c r="B1217" s="11">
        <v>77</v>
      </c>
      <c r="C1217" t="s">
        <v>132</v>
      </c>
      <c r="D1217" t="s">
        <v>95</v>
      </c>
      <c r="E1217" t="s">
        <v>702</v>
      </c>
      <c r="F1217" t="s">
        <v>92</v>
      </c>
      <c r="G1217" s="12">
        <v>54</v>
      </c>
      <c r="H1217" s="12">
        <v>919</v>
      </c>
      <c r="I1217" s="12">
        <v>52</v>
      </c>
      <c r="J1217" t="str">
        <f>VLOOKUP(B1217,Paramètres!$A$4:$C$11,3,FALSE)</f>
        <v>Grande couronne</v>
      </c>
      <c r="K1217" s="13">
        <f>IFERROR(H1217/G1217,"")</f>
        <v>17.018518518518519</v>
      </c>
      <c r="L1217" s="14">
        <f>IFERROR(I1217/G1217,"")</f>
        <v>0.96296296296296291</v>
      </c>
      <c r="M1217" s="11" t="str">
        <f>IF(K1217&gt;=Paramètres!$F$6,"Très forte",IF(K1217&gt;=Paramètres!$F$5,"Forte",IF(K1217&gt;=Paramètres!$F$4,"Modérée","Faible")))</f>
        <v>Modérée</v>
      </c>
    </row>
    <row r="1218" spans="1:13">
      <c r="A1218" t="s">
        <v>197</v>
      </c>
      <c r="B1218" s="11">
        <v>77</v>
      </c>
      <c r="C1218" t="s">
        <v>132</v>
      </c>
      <c r="D1218" t="s">
        <v>95</v>
      </c>
      <c r="E1218" t="s">
        <v>263</v>
      </c>
      <c r="F1218" t="s">
        <v>92</v>
      </c>
      <c r="G1218" s="12">
        <v>115</v>
      </c>
      <c r="H1218" s="12">
        <v>1940</v>
      </c>
      <c r="I1218" s="12">
        <v>113</v>
      </c>
      <c r="J1218" t="str">
        <f>VLOOKUP(B1218,Paramètres!$A$4:$C$11,3,FALSE)</f>
        <v>Grande couronne</v>
      </c>
      <c r="K1218" s="13">
        <f>IFERROR(H1218/G1218,"")</f>
        <v>16.869565217391305</v>
      </c>
      <c r="L1218" s="14">
        <f>IFERROR(I1218/G1218,"")</f>
        <v>0.9826086956521739</v>
      </c>
      <c r="M1218" s="11" t="str">
        <f>IF(K1218&gt;=Paramètres!$F$6,"Très forte",IF(K1218&gt;=Paramètres!$F$5,"Forte",IF(K1218&gt;=Paramètres!$F$4,"Modérée","Faible")))</f>
        <v>Modérée</v>
      </c>
    </row>
    <row r="1219" spans="1:13">
      <c r="A1219" t="s">
        <v>391</v>
      </c>
      <c r="B1219" s="11">
        <v>77</v>
      </c>
      <c r="C1219" t="s">
        <v>132</v>
      </c>
      <c r="D1219" t="s">
        <v>95</v>
      </c>
      <c r="E1219" t="s">
        <v>207</v>
      </c>
      <c r="F1219" t="s">
        <v>92</v>
      </c>
      <c r="G1219" s="12">
        <v>80</v>
      </c>
      <c r="H1219" s="12">
        <v>1345</v>
      </c>
      <c r="I1219" s="12">
        <v>68</v>
      </c>
      <c r="J1219" t="str">
        <f>VLOOKUP(B1219,Paramètres!$A$4:$C$11,3,FALSE)</f>
        <v>Grande couronne</v>
      </c>
      <c r="K1219" s="13">
        <f>IFERROR(H1219/G1219,"")</f>
        <v>16.8125</v>
      </c>
      <c r="L1219" s="14">
        <f>IFERROR(I1219/G1219,"")</f>
        <v>0.85</v>
      </c>
      <c r="M1219" s="11" t="str">
        <f>IF(K1219&gt;=Paramètres!$F$6,"Très forte",IF(K1219&gt;=Paramètres!$F$5,"Forte",IF(K1219&gt;=Paramètres!$F$4,"Modérée","Faible")))</f>
        <v>Modérée</v>
      </c>
    </row>
    <row r="1220" spans="1:13">
      <c r="A1220" t="s">
        <v>251</v>
      </c>
      <c r="B1220" s="11">
        <v>91</v>
      </c>
      <c r="C1220" t="s">
        <v>105</v>
      </c>
      <c r="D1220" t="s">
        <v>95</v>
      </c>
      <c r="E1220" t="s">
        <v>199</v>
      </c>
      <c r="F1220" t="s">
        <v>92</v>
      </c>
      <c r="G1220" s="12">
        <v>72</v>
      </c>
      <c r="H1220" s="12">
        <v>1185</v>
      </c>
      <c r="I1220" s="12">
        <v>77</v>
      </c>
      <c r="J1220" t="str">
        <f>VLOOKUP(B1220,Paramètres!$A$4:$C$11,3,FALSE)</f>
        <v>Grande couronne</v>
      </c>
      <c r="K1220" s="13">
        <f>IFERROR(H1220/G1220,"")</f>
        <v>16.458333333333332</v>
      </c>
      <c r="L1220" s="14">
        <f>IFERROR(I1220/G1220,"")</f>
        <v>1.0694444444444444</v>
      </c>
      <c r="M1220" s="11" t="str">
        <f>IF(K1220&gt;=Paramètres!$F$6,"Très forte",IF(K1220&gt;=Paramètres!$F$5,"Forte",IF(K1220&gt;=Paramètres!$F$4,"Modérée","Faible")))</f>
        <v>Modérée</v>
      </c>
    </row>
    <row r="1221" spans="1:13">
      <c r="A1221" t="s">
        <v>251</v>
      </c>
      <c r="B1221" s="11">
        <v>91</v>
      </c>
      <c r="C1221" t="s">
        <v>105</v>
      </c>
      <c r="D1221" t="s">
        <v>95</v>
      </c>
      <c r="E1221" t="s">
        <v>252</v>
      </c>
      <c r="F1221" t="s">
        <v>92</v>
      </c>
      <c r="G1221" s="12">
        <v>42</v>
      </c>
      <c r="H1221" s="12">
        <v>688</v>
      </c>
      <c r="I1221" s="12">
        <v>38</v>
      </c>
      <c r="J1221" t="str">
        <f>VLOOKUP(B1221,Paramètres!$A$4:$C$11,3,FALSE)</f>
        <v>Grande couronne</v>
      </c>
      <c r="K1221" s="13">
        <f>IFERROR(H1221/G1221,"")</f>
        <v>16.38095238095238</v>
      </c>
      <c r="L1221" s="14">
        <f>IFERROR(I1221/G1221,"")</f>
        <v>0.90476190476190477</v>
      </c>
      <c r="M1221" s="11" t="str">
        <f>IF(K1221&gt;=Paramètres!$F$6,"Très forte",IF(K1221&gt;=Paramètres!$F$5,"Forte",IF(K1221&gt;=Paramètres!$F$4,"Modérée","Faible")))</f>
        <v>Modérée</v>
      </c>
    </row>
    <row r="1222" spans="1:13">
      <c r="A1222" t="s">
        <v>197</v>
      </c>
      <c r="B1222" s="11">
        <v>77</v>
      </c>
      <c r="C1222" t="s">
        <v>132</v>
      </c>
      <c r="D1222" t="s">
        <v>95</v>
      </c>
      <c r="E1222" t="s">
        <v>194</v>
      </c>
      <c r="F1222" t="s">
        <v>92</v>
      </c>
      <c r="G1222" s="12">
        <v>108</v>
      </c>
      <c r="H1222" s="12">
        <v>1763</v>
      </c>
      <c r="I1222" s="12">
        <v>106</v>
      </c>
      <c r="J1222" t="str">
        <f>VLOOKUP(B1222,Paramètres!$A$4:$C$11,3,FALSE)</f>
        <v>Grande couronne</v>
      </c>
      <c r="K1222" s="13">
        <f>IFERROR(H1222/G1222,"")</f>
        <v>16.324074074074073</v>
      </c>
      <c r="L1222" s="14">
        <f>IFERROR(I1222/G1222,"")</f>
        <v>0.98148148148148151</v>
      </c>
      <c r="M1222" s="11" t="str">
        <f>IF(K1222&gt;=Paramètres!$F$6,"Très forte",IF(K1222&gt;=Paramètres!$F$5,"Forte",IF(K1222&gt;=Paramètres!$F$4,"Modérée","Faible")))</f>
        <v>Modérée</v>
      </c>
    </row>
    <row r="1223" spans="1:13">
      <c r="A1223" t="s">
        <v>193</v>
      </c>
      <c r="B1223" s="11">
        <v>75</v>
      </c>
      <c r="C1223" t="s">
        <v>86</v>
      </c>
      <c r="D1223" t="s">
        <v>95</v>
      </c>
      <c r="E1223" t="s">
        <v>195</v>
      </c>
      <c r="F1223" t="s">
        <v>92</v>
      </c>
      <c r="G1223" s="12">
        <v>56</v>
      </c>
      <c r="H1223" s="12">
        <v>893</v>
      </c>
      <c r="I1223" s="12">
        <v>54</v>
      </c>
      <c r="J1223" t="str">
        <f>VLOOKUP(B1223,Paramètres!$A$4:$C$11,3,FALSE)</f>
        <v>Paris</v>
      </c>
      <c r="K1223" s="13">
        <f>IFERROR(H1223/G1223,"")</f>
        <v>15.946428571428571</v>
      </c>
      <c r="L1223" s="14">
        <f>IFERROR(I1223/G1223,"")</f>
        <v>0.9642857142857143</v>
      </c>
      <c r="M1223" s="11" t="str">
        <f>IF(K1223&gt;=Paramètres!$F$6,"Très forte",IF(K1223&gt;=Paramètres!$F$5,"Forte",IF(K1223&gt;=Paramètres!$F$4,"Modérée","Faible")))</f>
        <v>Modérée</v>
      </c>
    </row>
    <row r="1224" spans="1:13">
      <c r="A1224" t="s">
        <v>277</v>
      </c>
      <c r="B1224" s="11">
        <v>94</v>
      </c>
      <c r="C1224" t="s">
        <v>116</v>
      </c>
      <c r="D1224" t="s">
        <v>95</v>
      </c>
      <c r="E1224" t="s">
        <v>262</v>
      </c>
      <c r="F1224" t="s">
        <v>92</v>
      </c>
      <c r="G1224" s="12">
        <v>78</v>
      </c>
      <c r="H1224" s="12">
        <v>1236</v>
      </c>
      <c r="I1224" s="12">
        <v>88</v>
      </c>
      <c r="J1224" t="str">
        <f>VLOOKUP(B1224,Paramètres!$A$4:$C$11,3,FALSE)</f>
        <v>Petite couronne</v>
      </c>
      <c r="K1224" s="13">
        <f>IFERROR(H1224/G1224,"")</f>
        <v>15.846153846153847</v>
      </c>
      <c r="L1224" s="14">
        <f>IFERROR(I1224/G1224,"")</f>
        <v>1.1282051282051282</v>
      </c>
      <c r="M1224" s="11" t="str">
        <f>IF(K1224&gt;=Paramètres!$F$6,"Très forte",IF(K1224&gt;=Paramètres!$F$5,"Forte",IF(K1224&gt;=Paramètres!$F$4,"Modérée","Faible")))</f>
        <v>Modérée</v>
      </c>
    </row>
    <row r="1225" spans="1:13">
      <c r="A1225" t="s">
        <v>428</v>
      </c>
      <c r="B1225" s="11">
        <v>92</v>
      </c>
      <c r="C1225" t="s">
        <v>94</v>
      </c>
      <c r="D1225" t="s">
        <v>95</v>
      </c>
      <c r="E1225" t="s">
        <v>429</v>
      </c>
      <c r="F1225" t="s">
        <v>92</v>
      </c>
      <c r="G1225" s="12">
        <v>51</v>
      </c>
      <c r="H1225" s="12">
        <v>771</v>
      </c>
      <c r="I1225" s="12">
        <v>53</v>
      </c>
      <c r="J1225" t="str">
        <f>VLOOKUP(B1225,Paramètres!$A$4:$C$11,3,FALSE)</f>
        <v>Petite couronne</v>
      </c>
      <c r="K1225" s="13">
        <f>IFERROR(H1225/G1225,"")</f>
        <v>15.117647058823529</v>
      </c>
      <c r="L1225" s="14">
        <f>IFERROR(I1225/G1225,"")</f>
        <v>1.0392156862745099</v>
      </c>
      <c r="M1225" s="11" t="str">
        <f>IF(K1225&gt;=Paramètres!$F$6,"Très forte",IF(K1225&gt;=Paramètres!$F$5,"Forte",IF(K1225&gt;=Paramètres!$F$4,"Modérée","Faible")))</f>
        <v>Modérée</v>
      </c>
    </row>
    <row r="1226" spans="1:13">
      <c r="A1226" t="s">
        <v>270</v>
      </c>
      <c r="B1226" s="11">
        <v>93</v>
      </c>
      <c r="C1226" t="s">
        <v>100</v>
      </c>
      <c r="D1226" t="s">
        <v>95</v>
      </c>
      <c r="E1226" t="s">
        <v>431</v>
      </c>
      <c r="F1226" t="s">
        <v>92</v>
      </c>
      <c r="G1226" s="12">
        <v>30</v>
      </c>
      <c r="H1226" s="12">
        <v>439</v>
      </c>
      <c r="I1226" s="12">
        <v>30</v>
      </c>
      <c r="J1226" t="str">
        <f>VLOOKUP(B1226,Paramètres!$A$4:$C$11,3,FALSE)</f>
        <v>Petite couronne</v>
      </c>
      <c r="K1226" s="13">
        <f>IFERROR(H1226/G1226,"")</f>
        <v>14.633333333333333</v>
      </c>
      <c r="L1226" s="14">
        <f>IFERROR(I1226/G1226,"")</f>
        <v>1</v>
      </c>
      <c r="M1226" s="11" t="str">
        <f>IF(K1226&gt;=Paramètres!$F$6,"Très forte",IF(K1226&gt;=Paramètres!$F$5,"Forte",IF(K1226&gt;=Paramètres!$F$4,"Modérée","Faible")))</f>
        <v>Modérée</v>
      </c>
    </row>
    <row r="1227" spans="1:13">
      <c r="A1227" t="s">
        <v>261</v>
      </c>
      <c r="B1227" s="11">
        <v>93</v>
      </c>
      <c r="C1227" t="s">
        <v>100</v>
      </c>
      <c r="D1227" t="s">
        <v>95</v>
      </c>
      <c r="E1227" t="s">
        <v>633</v>
      </c>
      <c r="F1227" t="s">
        <v>92</v>
      </c>
      <c r="G1227" s="12">
        <v>75</v>
      </c>
      <c r="H1227" s="12">
        <v>1093</v>
      </c>
      <c r="I1227" s="12">
        <v>83</v>
      </c>
      <c r="J1227" t="str">
        <f>VLOOKUP(B1227,Paramètres!$A$4:$C$11,3,FALSE)</f>
        <v>Petite couronne</v>
      </c>
      <c r="K1227" s="13">
        <f>IFERROR(H1227/G1227,"")</f>
        <v>14.573333333333334</v>
      </c>
      <c r="L1227" s="14">
        <f>IFERROR(I1227/G1227,"")</f>
        <v>1.1066666666666667</v>
      </c>
      <c r="M1227" s="11" t="str">
        <f>IF(K1227&gt;=Paramètres!$F$6,"Très forte",IF(K1227&gt;=Paramètres!$F$5,"Forte",IF(K1227&gt;=Paramètres!$F$4,"Modérée","Faible")))</f>
        <v>Modérée</v>
      </c>
    </row>
    <row r="1228" spans="1:13">
      <c r="A1228" t="s">
        <v>251</v>
      </c>
      <c r="B1228" s="11">
        <v>91</v>
      </c>
      <c r="C1228" t="s">
        <v>105</v>
      </c>
      <c r="D1228" t="s">
        <v>95</v>
      </c>
      <c r="E1228" t="s">
        <v>269</v>
      </c>
      <c r="F1228" t="s">
        <v>92</v>
      </c>
      <c r="G1228" s="12">
        <v>48</v>
      </c>
      <c r="H1228" s="12">
        <v>674</v>
      </c>
      <c r="I1228" s="12">
        <v>52</v>
      </c>
      <c r="J1228" t="str">
        <f>VLOOKUP(B1228,Paramètres!$A$4:$C$11,3,FALSE)</f>
        <v>Grande couronne</v>
      </c>
      <c r="K1228" s="13">
        <f>IFERROR(H1228/G1228,"")</f>
        <v>14.041666666666666</v>
      </c>
      <c r="L1228" s="14">
        <f>IFERROR(I1228/G1228,"")</f>
        <v>1.0833333333333333</v>
      </c>
      <c r="M1228" s="11" t="str">
        <f>IF(K1228&gt;=Paramètres!$F$6,"Très forte",IF(K1228&gt;=Paramètres!$F$5,"Forte",IF(K1228&gt;=Paramètres!$F$4,"Modérée","Faible")))</f>
        <v>Modérée</v>
      </c>
    </row>
    <row r="1229" spans="1:13">
      <c r="A1229" t="s">
        <v>420</v>
      </c>
      <c r="B1229" s="11">
        <v>78</v>
      </c>
      <c r="C1229" t="s">
        <v>135</v>
      </c>
      <c r="D1229" t="s">
        <v>95</v>
      </c>
      <c r="E1229" t="s">
        <v>538</v>
      </c>
      <c r="F1229" t="s">
        <v>92</v>
      </c>
      <c r="G1229" s="12">
        <v>26</v>
      </c>
      <c r="H1229" s="12">
        <v>363</v>
      </c>
      <c r="I1229" s="12">
        <v>26</v>
      </c>
      <c r="J1229" t="str">
        <f>VLOOKUP(B1229,Paramètres!$A$4:$C$11,3,FALSE)</f>
        <v>Grande couronne</v>
      </c>
      <c r="K1229" s="13">
        <f>IFERROR(H1229/G1229,"")</f>
        <v>13.961538461538462</v>
      </c>
      <c r="L1229" s="14">
        <f>IFERROR(I1229/G1229,"")</f>
        <v>1</v>
      </c>
      <c r="M1229" s="11" t="str">
        <f>IF(K1229&gt;=Paramètres!$F$6,"Très forte",IF(K1229&gt;=Paramètres!$F$5,"Forte",IF(K1229&gt;=Paramètres!$F$4,"Modérée","Faible")))</f>
        <v>Modérée</v>
      </c>
    </row>
    <row r="1230" spans="1:13">
      <c r="A1230" t="s">
        <v>198</v>
      </c>
      <c r="B1230" s="11">
        <v>77</v>
      </c>
      <c r="C1230" t="s">
        <v>132</v>
      </c>
      <c r="D1230" t="s">
        <v>95</v>
      </c>
      <c r="E1230" t="s">
        <v>248</v>
      </c>
      <c r="F1230" t="s">
        <v>92</v>
      </c>
      <c r="G1230" s="12">
        <v>84</v>
      </c>
      <c r="H1230" s="12">
        <v>1150</v>
      </c>
      <c r="I1230" s="12">
        <v>72</v>
      </c>
      <c r="J1230" t="str">
        <f>VLOOKUP(B1230,Paramètres!$A$4:$C$11,3,FALSE)</f>
        <v>Grande couronne</v>
      </c>
      <c r="K1230" s="13">
        <f>IFERROR(H1230/G1230,"")</f>
        <v>13.69047619047619</v>
      </c>
      <c r="L1230" s="14">
        <f>IFERROR(I1230/G1230,"")</f>
        <v>0.8571428571428571</v>
      </c>
      <c r="M1230" s="11" t="str">
        <f>IF(K1230&gt;=Paramètres!$F$6,"Très forte",IF(K1230&gt;=Paramètres!$F$5,"Forte",IF(K1230&gt;=Paramètres!$F$4,"Modérée","Faible")))</f>
        <v>Modérée</v>
      </c>
    </row>
    <row r="1231" spans="1:13">
      <c r="A1231" t="s">
        <v>560</v>
      </c>
      <c r="B1231" s="11">
        <v>95</v>
      </c>
      <c r="C1231" t="s">
        <v>90</v>
      </c>
      <c r="D1231" t="s">
        <v>95</v>
      </c>
      <c r="E1231" t="s">
        <v>269</v>
      </c>
      <c r="F1231" t="s">
        <v>92</v>
      </c>
      <c r="G1231" s="12">
        <v>52</v>
      </c>
      <c r="H1231" s="12">
        <v>687</v>
      </c>
      <c r="I1231" s="12">
        <v>56</v>
      </c>
      <c r="J1231" t="str">
        <f>VLOOKUP(B1231,Paramètres!$A$4:$C$11,3,FALSE)</f>
        <v>Grande couronne</v>
      </c>
      <c r="K1231" s="13">
        <f>IFERROR(H1231/G1231,"")</f>
        <v>13.211538461538462</v>
      </c>
      <c r="L1231" s="14">
        <f>IFERROR(I1231/G1231,"")</f>
        <v>1.0769230769230769</v>
      </c>
      <c r="M1231" s="11" t="str">
        <f>IF(K1231&gt;=Paramètres!$F$6,"Très forte",IF(K1231&gt;=Paramètres!$F$5,"Forte",IF(K1231&gt;=Paramètres!$F$4,"Modérée","Faible")))</f>
        <v>Modérée</v>
      </c>
    </row>
    <row r="1232" spans="1:13">
      <c r="A1232" t="s">
        <v>542</v>
      </c>
      <c r="B1232" s="11">
        <v>92</v>
      </c>
      <c r="C1232" t="s">
        <v>94</v>
      </c>
      <c r="D1232" t="s">
        <v>95</v>
      </c>
      <c r="E1232" t="s">
        <v>493</v>
      </c>
      <c r="F1232" t="s">
        <v>92</v>
      </c>
      <c r="G1232" s="12">
        <v>86</v>
      </c>
      <c r="H1232" s="12">
        <v>1126</v>
      </c>
      <c r="I1232" s="12">
        <v>82</v>
      </c>
      <c r="J1232" t="str">
        <f>VLOOKUP(B1232,Paramètres!$A$4:$C$11,3,FALSE)</f>
        <v>Petite couronne</v>
      </c>
      <c r="K1232" s="13">
        <f>IFERROR(H1232/G1232,"")</f>
        <v>13.093023255813954</v>
      </c>
      <c r="L1232" s="14">
        <f>IFERROR(I1232/G1232,"")</f>
        <v>0.95348837209302328</v>
      </c>
      <c r="M1232" s="11" t="str">
        <f>IF(K1232&gt;=Paramètres!$F$6,"Très forte",IF(K1232&gt;=Paramètres!$F$5,"Forte",IF(K1232&gt;=Paramètres!$F$4,"Modérée","Faible")))</f>
        <v>Modérée</v>
      </c>
    </row>
    <row r="1233" spans="1:13">
      <c r="A1233" t="s">
        <v>516</v>
      </c>
      <c r="B1233" s="11">
        <v>77</v>
      </c>
      <c r="C1233" t="s">
        <v>132</v>
      </c>
      <c r="D1233" t="s">
        <v>95</v>
      </c>
      <c r="E1233" t="s">
        <v>493</v>
      </c>
      <c r="F1233" t="s">
        <v>92</v>
      </c>
      <c r="G1233" s="12">
        <v>78</v>
      </c>
      <c r="H1233" s="12">
        <v>984</v>
      </c>
      <c r="I1233" s="12">
        <v>88</v>
      </c>
      <c r="J1233" t="str">
        <f>VLOOKUP(B1233,Paramètres!$A$4:$C$11,3,FALSE)</f>
        <v>Grande couronne</v>
      </c>
      <c r="K1233" s="13">
        <f>IFERROR(H1233/G1233,"")</f>
        <v>12.615384615384615</v>
      </c>
      <c r="L1233" s="14">
        <f>IFERROR(I1233/G1233,"")</f>
        <v>1.1282051282051282</v>
      </c>
      <c r="M1233" s="11" t="str">
        <f>IF(K1233&gt;=Paramètres!$F$6,"Très forte",IF(K1233&gt;=Paramètres!$F$5,"Forte",IF(K1233&gt;=Paramètres!$F$4,"Modérée","Faible")))</f>
        <v>Modérée</v>
      </c>
    </row>
    <row r="1234" spans="1:13">
      <c r="A1234" t="s">
        <v>249</v>
      </c>
      <c r="B1234" s="11">
        <v>91</v>
      </c>
      <c r="C1234" t="s">
        <v>105</v>
      </c>
      <c r="D1234" t="s">
        <v>95</v>
      </c>
      <c r="E1234" t="s">
        <v>250</v>
      </c>
      <c r="F1234" t="s">
        <v>92</v>
      </c>
      <c r="G1234" s="12">
        <v>125</v>
      </c>
      <c r="H1234" s="12">
        <v>1566</v>
      </c>
      <c r="I1234" s="12">
        <v>120</v>
      </c>
      <c r="J1234" t="str">
        <f>VLOOKUP(B1234,Paramètres!$A$4:$C$11,3,FALSE)</f>
        <v>Grande couronne</v>
      </c>
      <c r="K1234" s="13">
        <f>IFERROR(H1234/G1234,"")</f>
        <v>12.528</v>
      </c>
      <c r="L1234" s="14">
        <f>IFERROR(I1234/G1234,"")</f>
        <v>0.96</v>
      </c>
      <c r="M1234" s="11" t="str">
        <f>IF(K1234&gt;=Paramètres!$F$6,"Très forte",IF(K1234&gt;=Paramètres!$F$5,"Forte",IF(K1234&gt;=Paramètres!$F$4,"Modérée","Faible")))</f>
        <v>Modérée</v>
      </c>
    </row>
    <row r="1235" spans="1:13">
      <c r="A1235" t="s">
        <v>249</v>
      </c>
      <c r="B1235" s="11">
        <v>91</v>
      </c>
      <c r="C1235" t="s">
        <v>105</v>
      </c>
      <c r="D1235" t="s">
        <v>95</v>
      </c>
      <c r="E1235" t="s">
        <v>262</v>
      </c>
      <c r="F1235" t="s">
        <v>92</v>
      </c>
      <c r="G1235" s="12">
        <v>150</v>
      </c>
      <c r="H1235" s="12">
        <v>1812</v>
      </c>
      <c r="I1235" s="12">
        <v>138</v>
      </c>
      <c r="J1235" t="str">
        <f>VLOOKUP(B1235,Paramètres!$A$4:$C$11,3,FALSE)</f>
        <v>Grande couronne</v>
      </c>
      <c r="K1235" s="13">
        <f>IFERROR(H1235/G1235,"")</f>
        <v>12.08</v>
      </c>
      <c r="L1235" s="14">
        <f>IFERROR(I1235/G1235,"")</f>
        <v>0.92</v>
      </c>
      <c r="M1235" s="11" t="str">
        <f>IF(K1235&gt;=Paramètres!$F$6,"Très forte",IF(K1235&gt;=Paramètres!$F$5,"Forte",IF(K1235&gt;=Paramètres!$F$4,"Modérée","Faible")))</f>
        <v>Modérée</v>
      </c>
    </row>
    <row r="1236" spans="1:13">
      <c r="A1236" t="s">
        <v>247</v>
      </c>
      <c r="B1236" s="11">
        <v>78</v>
      </c>
      <c r="C1236" t="s">
        <v>135</v>
      </c>
      <c r="D1236" t="s">
        <v>95</v>
      </c>
      <c r="E1236" t="s">
        <v>424</v>
      </c>
      <c r="F1236" t="s">
        <v>92</v>
      </c>
      <c r="G1236" s="12">
        <v>52</v>
      </c>
      <c r="H1236" s="12">
        <v>620</v>
      </c>
      <c r="I1236" s="12">
        <v>53</v>
      </c>
      <c r="J1236" t="str">
        <f>VLOOKUP(B1236,Paramètres!$A$4:$C$11,3,FALSE)</f>
        <v>Grande couronne</v>
      </c>
      <c r="K1236" s="13">
        <f>IFERROR(H1236/G1236,"")</f>
        <v>11.923076923076923</v>
      </c>
      <c r="L1236" s="14">
        <f>IFERROR(I1236/G1236,"")</f>
        <v>1.0192307692307692</v>
      </c>
      <c r="M1236" s="11" t="str">
        <f>IF(K1236&gt;=Paramètres!$F$6,"Très forte",IF(K1236&gt;=Paramètres!$F$5,"Forte",IF(K1236&gt;=Paramètres!$F$4,"Modérée","Faible")))</f>
        <v>Modérée</v>
      </c>
    </row>
    <row r="1237" spans="1:13">
      <c r="A1237" t="s">
        <v>198</v>
      </c>
      <c r="B1237" s="11">
        <v>77</v>
      </c>
      <c r="C1237" t="s">
        <v>132</v>
      </c>
      <c r="D1237" t="s">
        <v>95</v>
      </c>
      <c r="E1237" t="s">
        <v>195</v>
      </c>
      <c r="F1237" t="s">
        <v>92</v>
      </c>
      <c r="G1237" s="12">
        <v>50</v>
      </c>
      <c r="H1237" s="12">
        <v>588</v>
      </c>
      <c r="I1237" s="12">
        <v>50</v>
      </c>
      <c r="J1237" t="str">
        <f>VLOOKUP(B1237,Paramètres!$A$4:$C$11,3,FALSE)</f>
        <v>Grande couronne</v>
      </c>
      <c r="K1237" s="13">
        <f>IFERROR(H1237/G1237,"")</f>
        <v>11.76</v>
      </c>
      <c r="L1237" s="14">
        <f>IFERROR(I1237/G1237,"")</f>
        <v>1</v>
      </c>
      <c r="M1237" s="11" t="str">
        <f>IF(K1237&gt;=Paramètres!$F$6,"Très forte",IF(K1237&gt;=Paramètres!$F$5,"Forte",IF(K1237&gt;=Paramètres!$F$4,"Modérée","Faible")))</f>
        <v>Modérée</v>
      </c>
    </row>
    <row r="1238" spans="1:13">
      <c r="A1238" t="s">
        <v>628</v>
      </c>
      <c r="B1238" s="11">
        <v>91</v>
      </c>
      <c r="C1238" t="s">
        <v>105</v>
      </c>
      <c r="D1238" t="s">
        <v>95</v>
      </c>
      <c r="E1238" t="s">
        <v>493</v>
      </c>
      <c r="F1238" t="s">
        <v>92</v>
      </c>
      <c r="G1238" s="12">
        <v>54</v>
      </c>
      <c r="H1238" s="12">
        <v>629</v>
      </c>
      <c r="I1238" s="12">
        <v>50</v>
      </c>
      <c r="J1238" t="str">
        <f>VLOOKUP(B1238,Paramètres!$A$4:$C$11,3,FALSE)</f>
        <v>Grande couronne</v>
      </c>
      <c r="K1238" s="13">
        <f>IFERROR(H1238/G1238,"")</f>
        <v>11.648148148148149</v>
      </c>
      <c r="L1238" s="14">
        <f>IFERROR(I1238/G1238,"")</f>
        <v>0.92592592592592593</v>
      </c>
      <c r="M1238" s="11" t="str">
        <f>IF(K1238&gt;=Paramètres!$F$6,"Très forte",IF(K1238&gt;=Paramètres!$F$5,"Forte",IF(K1238&gt;=Paramètres!$F$4,"Modérée","Faible")))</f>
        <v>Modérée</v>
      </c>
    </row>
    <row r="1239" spans="1:13">
      <c r="A1239" t="s">
        <v>198</v>
      </c>
      <c r="B1239" s="11">
        <v>77</v>
      </c>
      <c r="C1239" t="s">
        <v>132</v>
      </c>
      <c r="D1239" t="s">
        <v>95</v>
      </c>
      <c r="E1239" t="s">
        <v>199</v>
      </c>
      <c r="F1239" t="s">
        <v>92</v>
      </c>
      <c r="G1239" s="12">
        <v>84</v>
      </c>
      <c r="H1239" s="12">
        <v>977</v>
      </c>
      <c r="I1239" s="12">
        <v>83</v>
      </c>
      <c r="J1239" t="str">
        <f>VLOOKUP(B1239,Paramètres!$A$4:$C$11,3,FALSE)</f>
        <v>Grande couronne</v>
      </c>
      <c r="K1239" s="13">
        <f>IFERROR(H1239/G1239,"")</f>
        <v>11.630952380952381</v>
      </c>
      <c r="L1239" s="14">
        <f>IFERROR(I1239/G1239,"")</f>
        <v>0.98809523809523814</v>
      </c>
      <c r="M1239" s="11" t="str">
        <f>IF(K1239&gt;=Paramètres!$F$6,"Très forte",IF(K1239&gt;=Paramètres!$F$5,"Forte",IF(K1239&gt;=Paramètres!$F$4,"Modérée","Faible")))</f>
        <v>Modérée</v>
      </c>
    </row>
    <row r="1240" spans="1:13">
      <c r="A1240" t="s">
        <v>271</v>
      </c>
      <c r="B1240" s="11">
        <v>93</v>
      </c>
      <c r="C1240" t="s">
        <v>100</v>
      </c>
      <c r="D1240" t="s">
        <v>95</v>
      </c>
      <c r="E1240" t="s">
        <v>252</v>
      </c>
      <c r="F1240" t="s">
        <v>92</v>
      </c>
      <c r="G1240" s="12">
        <v>42</v>
      </c>
      <c r="H1240" s="12">
        <v>480</v>
      </c>
      <c r="I1240" s="12">
        <v>43</v>
      </c>
      <c r="J1240" t="str">
        <f>VLOOKUP(B1240,Paramètres!$A$4:$C$11,3,FALSE)</f>
        <v>Petite couronne</v>
      </c>
      <c r="K1240" s="13">
        <f>IFERROR(H1240/G1240,"")</f>
        <v>11.428571428571429</v>
      </c>
      <c r="L1240" s="14">
        <f>IFERROR(I1240/G1240,"")</f>
        <v>1.0238095238095237</v>
      </c>
      <c r="M1240" s="11" t="str">
        <f>IF(K1240&gt;=Paramètres!$F$6,"Très forte",IF(K1240&gt;=Paramètres!$F$5,"Forte",IF(K1240&gt;=Paramètres!$F$4,"Modérée","Faible")))</f>
        <v>Modérée</v>
      </c>
    </row>
    <row r="1241" spans="1:13">
      <c r="A1241" t="s">
        <v>560</v>
      </c>
      <c r="B1241" s="11">
        <v>95</v>
      </c>
      <c r="C1241" t="s">
        <v>90</v>
      </c>
      <c r="D1241" t="s">
        <v>95</v>
      </c>
      <c r="E1241" t="s">
        <v>655</v>
      </c>
      <c r="F1241" t="s">
        <v>92</v>
      </c>
      <c r="G1241" s="12">
        <v>15</v>
      </c>
      <c r="H1241" s="12">
        <v>154</v>
      </c>
      <c r="I1241" s="12">
        <v>18</v>
      </c>
      <c r="J1241" t="str">
        <f>VLOOKUP(B1241,Paramètres!$A$4:$C$11,3,FALSE)</f>
        <v>Grande couronne</v>
      </c>
      <c r="K1241" s="13">
        <f>IFERROR(H1241/G1241,"")</f>
        <v>10.266666666666667</v>
      </c>
      <c r="L1241" s="14">
        <f>IFERROR(I1241/G1241,"")</f>
        <v>1.2</v>
      </c>
      <c r="M1241" s="11" t="str">
        <f>IF(K1241&gt;=Paramètres!$F$6,"Très forte",IF(K1241&gt;=Paramètres!$F$5,"Forte",IF(K1241&gt;=Paramètres!$F$4,"Modérée","Faible")))</f>
        <v>Modérée</v>
      </c>
    </row>
    <row r="1242" spans="1:13">
      <c r="A1242" t="s">
        <v>198</v>
      </c>
      <c r="B1242" s="11">
        <v>77</v>
      </c>
      <c r="C1242" t="s">
        <v>132</v>
      </c>
      <c r="D1242" t="s">
        <v>95</v>
      </c>
      <c r="E1242" t="s">
        <v>431</v>
      </c>
      <c r="F1242" t="s">
        <v>92</v>
      </c>
      <c r="G1242" s="12">
        <v>24</v>
      </c>
      <c r="H1242" s="12">
        <v>207</v>
      </c>
      <c r="I1242" s="12">
        <v>25</v>
      </c>
      <c r="J1242" t="str">
        <f>VLOOKUP(B1242,Paramètres!$A$4:$C$11,3,FALSE)</f>
        <v>Grande couronne</v>
      </c>
      <c r="K1242" s="13">
        <f>IFERROR(H1242/G1242,"")</f>
        <v>8.625</v>
      </c>
      <c r="L1242" s="14">
        <f>IFERROR(I1242/G1242,"")</f>
        <v>1.0416666666666667</v>
      </c>
      <c r="M1242" s="11" t="str">
        <f>IF(K1242&gt;=Paramètres!$F$6,"Très forte",IF(K1242&gt;=Paramètres!$F$5,"Forte",IF(K1242&gt;=Paramètres!$F$4,"Modérée","Faible")))</f>
        <v>Faible</v>
      </c>
    </row>
    <row r="1243" spans="1:13">
      <c r="A1243" t="s">
        <v>247</v>
      </c>
      <c r="B1243" s="11">
        <v>78</v>
      </c>
      <c r="C1243" t="s">
        <v>135</v>
      </c>
      <c r="D1243" t="s">
        <v>95</v>
      </c>
      <c r="E1243" t="s">
        <v>248</v>
      </c>
      <c r="F1243" t="s">
        <v>92</v>
      </c>
      <c r="G1243" s="12">
        <v>40</v>
      </c>
      <c r="H1243" s="12">
        <v>334</v>
      </c>
      <c r="I1243" s="12">
        <v>38</v>
      </c>
      <c r="J1243" t="str">
        <f>VLOOKUP(B1243,Paramètres!$A$4:$C$11,3,FALSE)</f>
        <v>Grande couronne</v>
      </c>
      <c r="K1243" s="13">
        <f>IFERROR(H1243/G1243,"")</f>
        <v>8.35</v>
      </c>
      <c r="L1243" s="14">
        <f>IFERROR(I1243/G1243,"")</f>
        <v>0.95</v>
      </c>
      <c r="M1243" s="11" t="str">
        <f>IF(K1243&gt;=Paramètres!$F$6,"Très forte",IF(K1243&gt;=Paramètres!$F$5,"Forte",IF(K1243&gt;=Paramètres!$F$4,"Modérée","Faible")))</f>
        <v>Faible</v>
      </c>
    </row>
    <row r="1244" spans="1:13">
      <c r="A1244" t="s">
        <v>1127</v>
      </c>
      <c r="B1244" s="11">
        <v>75</v>
      </c>
      <c r="C1244" t="s">
        <v>86</v>
      </c>
      <c r="D1244" t="s">
        <v>801</v>
      </c>
      <c r="E1244" t="s">
        <v>802</v>
      </c>
      <c r="F1244" t="s">
        <v>92</v>
      </c>
      <c r="G1244" s="12">
        <v>24</v>
      </c>
      <c r="H1244" s="12">
        <v>3889</v>
      </c>
      <c r="I1244" s="12">
        <v>25</v>
      </c>
      <c r="J1244" t="str">
        <f>VLOOKUP(B1244,Paramètres!$A$4:$C$11,3,FALSE)</f>
        <v>Paris</v>
      </c>
      <c r="K1244" s="13">
        <f>IFERROR(H1244/G1244,"")</f>
        <v>162.04166666666666</v>
      </c>
      <c r="L1244" s="14">
        <f>IFERROR(I1244/G1244,"")</f>
        <v>1.0416666666666667</v>
      </c>
      <c r="M1244" s="11" t="str">
        <f>IF(K1244&gt;=Paramètres!$F$6,"Très forte",IF(K1244&gt;=Paramètres!$F$5,"Forte",IF(K1244&gt;=Paramètres!$F$4,"Modérée","Faible")))</f>
        <v>Très forte</v>
      </c>
    </row>
    <row r="1245" spans="1:13">
      <c r="A1245" t="s">
        <v>794</v>
      </c>
      <c r="B1245" s="11">
        <v>75</v>
      </c>
      <c r="C1245" t="s">
        <v>86</v>
      </c>
      <c r="D1245" t="s">
        <v>801</v>
      </c>
      <c r="E1245" t="s">
        <v>802</v>
      </c>
      <c r="F1245" t="s">
        <v>92</v>
      </c>
      <c r="G1245" s="12">
        <v>21</v>
      </c>
      <c r="H1245" s="12">
        <v>3158</v>
      </c>
      <c r="I1245" s="12">
        <v>21</v>
      </c>
      <c r="J1245" t="str">
        <f>VLOOKUP(B1245,Paramètres!$A$4:$C$11,3,FALSE)</f>
        <v>Paris</v>
      </c>
      <c r="K1245" s="13">
        <f>IFERROR(H1245/G1245,"")</f>
        <v>150.38095238095238</v>
      </c>
      <c r="L1245" s="14">
        <f>IFERROR(I1245/G1245,"")</f>
        <v>1</v>
      </c>
      <c r="M1245" s="11" t="str">
        <f>IF(K1245&gt;=Paramètres!$F$6,"Très forte",IF(K1245&gt;=Paramètres!$F$5,"Forte",IF(K1245&gt;=Paramètres!$F$4,"Modérée","Faible")))</f>
        <v>Très forte</v>
      </c>
    </row>
    <row r="1246" spans="1:13">
      <c r="A1246" t="s">
        <v>794</v>
      </c>
      <c r="B1246" s="11">
        <v>75</v>
      </c>
      <c r="C1246" t="s">
        <v>86</v>
      </c>
      <c r="D1246" t="s">
        <v>801</v>
      </c>
      <c r="E1246" t="s">
        <v>802</v>
      </c>
      <c r="F1246" t="s">
        <v>92</v>
      </c>
      <c r="G1246" s="12">
        <v>27</v>
      </c>
      <c r="H1246" s="12">
        <v>3990</v>
      </c>
      <c r="I1246" s="12">
        <v>28</v>
      </c>
      <c r="J1246" t="str">
        <f>VLOOKUP(B1246,Paramètres!$A$4:$C$11,3,FALSE)</f>
        <v>Paris</v>
      </c>
      <c r="K1246" s="13">
        <f>IFERROR(H1246/G1246,"")</f>
        <v>147.77777777777777</v>
      </c>
      <c r="L1246" s="14">
        <f>IFERROR(I1246/G1246,"")</f>
        <v>1.037037037037037</v>
      </c>
      <c r="M1246" s="11" t="str">
        <f>IF(K1246&gt;=Paramètres!$F$6,"Très forte",IF(K1246&gt;=Paramètres!$F$5,"Forte",IF(K1246&gt;=Paramètres!$F$4,"Modérée","Faible")))</f>
        <v>Très forte</v>
      </c>
    </row>
    <row r="1247" spans="1:13">
      <c r="A1247" t="s">
        <v>794</v>
      </c>
      <c r="B1247" s="11">
        <v>75</v>
      </c>
      <c r="C1247" t="s">
        <v>86</v>
      </c>
      <c r="D1247" t="s">
        <v>801</v>
      </c>
      <c r="E1247" t="s">
        <v>802</v>
      </c>
      <c r="F1247" t="s">
        <v>92</v>
      </c>
      <c r="G1247" s="12">
        <v>21</v>
      </c>
      <c r="H1247" s="12">
        <v>3074</v>
      </c>
      <c r="I1247" s="12">
        <v>20</v>
      </c>
      <c r="J1247" t="str">
        <f>VLOOKUP(B1247,Paramètres!$A$4:$C$11,3,FALSE)</f>
        <v>Paris</v>
      </c>
      <c r="K1247" s="13">
        <f>IFERROR(H1247/G1247,"")</f>
        <v>146.38095238095238</v>
      </c>
      <c r="L1247" s="14">
        <f>IFERROR(I1247/G1247,"")</f>
        <v>0.95238095238095233</v>
      </c>
      <c r="M1247" s="11" t="str">
        <f>IF(K1247&gt;=Paramètres!$F$6,"Très forte",IF(K1247&gt;=Paramètres!$F$5,"Forte",IF(K1247&gt;=Paramètres!$F$4,"Modérée","Faible")))</f>
        <v>Très forte</v>
      </c>
    </row>
    <row r="1248" spans="1:13">
      <c r="A1248" t="s">
        <v>811</v>
      </c>
      <c r="B1248" s="11">
        <v>78</v>
      </c>
      <c r="C1248" t="s">
        <v>135</v>
      </c>
      <c r="D1248" t="s">
        <v>801</v>
      </c>
      <c r="E1248" t="s">
        <v>802</v>
      </c>
      <c r="F1248" t="s">
        <v>92</v>
      </c>
      <c r="G1248" s="12">
        <v>24</v>
      </c>
      <c r="H1248" s="12">
        <v>3358</v>
      </c>
      <c r="I1248" s="12">
        <v>24</v>
      </c>
      <c r="J1248" t="str">
        <f>VLOOKUP(B1248,Paramètres!$A$4:$C$11,3,FALSE)</f>
        <v>Grande couronne</v>
      </c>
      <c r="K1248" s="13">
        <f>IFERROR(H1248/G1248,"")</f>
        <v>139.91666666666666</v>
      </c>
      <c r="L1248" s="14">
        <f>IFERROR(I1248/G1248,"")</f>
        <v>1</v>
      </c>
      <c r="M1248" s="11" t="str">
        <f>IF(K1248&gt;=Paramètres!$F$6,"Très forte",IF(K1248&gt;=Paramètres!$F$5,"Forte",IF(K1248&gt;=Paramètres!$F$4,"Modérée","Faible")))</f>
        <v>Très forte</v>
      </c>
    </row>
    <row r="1249" spans="1:13">
      <c r="A1249" t="s">
        <v>1127</v>
      </c>
      <c r="B1249" s="11">
        <v>75</v>
      </c>
      <c r="C1249" t="s">
        <v>86</v>
      </c>
      <c r="D1249" t="s">
        <v>801</v>
      </c>
      <c r="E1249" t="s">
        <v>802</v>
      </c>
      <c r="F1249" t="s">
        <v>92</v>
      </c>
      <c r="G1249" s="12">
        <v>24</v>
      </c>
      <c r="H1249" s="12">
        <v>2927</v>
      </c>
      <c r="I1249" s="12">
        <v>26</v>
      </c>
      <c r="J1249" t="str">
        <f>VLOOKUP(B1249,Paramètres!$A$4:$C$11,3,FALSE)</f>
        <v>Paris</v>
      </c>
      <c r="K1249" s="13">
        <f>IFERROR(H1249/G1249,"")</f>
        <v>121.95833333333333</v>
      </c>
      <c r="L1249" s="14">
        <f>IFERROR(I1249/G1249,"")</f>
        <v>1.0833333333333333</v>
      </c>
      <c r="M1249" s="11" t="str">
        <f>IF(K1249&gt;=Paramètres!$F$6,"Très forte",IF(K1249&gt;=Paramètres!$F$5,"Forte",IF(K1249&gt;=Paramètres!$F$4,"Modérée","Faible")))</f>
        <v>Très forte</v>
      </c>
    </row>
    <row r="1250" spans="1:13">
      <c r="A1250" t="s">
        <v>804</v>
      </c>
      <c r="B1250" s="11">
        <v>75</v>
      </c>
      <c r="C1250" t="s">
        <v>86</v>
      </c>
      <c r="D1250" t="s">
        <v>801</v>
      </c>
      <c r="E1250" t="s">
        <v>802</v>
      </c>
      <c r="F1250" t="s">
        <v>92</v>
      </c>
      <c r="G1250" s="12">
        <v>48</v>
      </c>
      <c r="H1250" s="12">
        <v>5794</v>
      </c>
      <c r="I1250" s="12">
        <v>47</v>
      </c>
      <c r="J1250" t="str">
        <f>VLOOKUP(B1250,Paramètres!$A$4:$C$11,3,FALSE)</f>
        <v>Paris</v>
      </c>
      <c r="K1250" s="13">
        <f>IFERROR(H1250/G1250,"")</f>
        <v>120.70833333333333</v>
      </c>
      <c r="L1250" s="14">
        <f>IFERROR(I1250/G1250,"")</f>
        <v>0.97916666666666663</v>
      </c>
      <c r="M1250" s="11" t="str">
        <f>IF(K1250&gt;=Paramètres!$F$6,"Très forte",IF(K1250&gt;=Paramètres!$F$5,"Forte",IF(K1250&gt;=Paramètres!$F$4,"Modérée","Faible")))</f>
        <v>Très forte</v>
      </c>
    </row>
    <row r="1251" spans="1:13">
      <c r="A1251" t="s">
        <v>794</v>
      </c>
      <c r="B1251" s="11">
        <v>75</v>
      </c>
      <c r="C1251" t="s">
        <v>86</v>
      </c>
      <c r="D1251" t="s">
        <v>801</v>
      </c>
      <c r="E1251" t="s">
        <v>834</v>
      </c>
      <c r="F1251" t="s">
        <v>92</v>
      </c>
      <c r="G1251" s="12">
        <v>48</v>
      </c>
      <c r="H1251" s="12">
        <v>5501</v>
      </c>
      <c r="I1251" s="12">
        <v>47</v>
      </c>
      <c r="J1251" t="str">
        <f>VLOOKUP(B1251,Paramètres!$A$4:$C$11,3,FALSE)</f>
        <v>Paris</v>
      </c>
      <c r="K1251" s="13">
        <f>IFERROR(H1251/G1251,"")</f>
        <v>114.60416666666667</v>
      </c>
      <c r="L1251" s="14">
        <f>IFERROR(I1251/G1251,"")</f>
        <v>0.97916666666666663</v>
      </c>
      <c r="M1251" s="11" t="str">
        <f>IF(K1251&gt;=Paramètres!$F$6,"Très forte",IF(K1251&gt;=Paramètres!$F$5,"Forte",IF(K1251&gt;=Paramètres!$F$4,"Modérée","Faible")))</f>
        <v>Très forte</v>
      </c>
    </row>
    <row r="1252" spans="1:13">
      <c r="A1252" t="s">
        <v>811</v>
      </c>
      <c r="B1252" s="11">
        <v>78</v>
      </c>
      <c r="C1252" t="s">
        <v>135</v>
      </c>
      <c r="D1252" t="s">
        <v>801</v>
      </c>
      <c r="E1252" t="s">
        <v>802</v>
      </c>
      <c r="F1252" t="s">
        <v>92</v>
      </c>
      <c r="G1252" s="12">
        <v>24</v>
      </c>
      <c r="H1252" s="12">
        <v>2744</v>
      </c>
      <c r="I1252" s="12">
        <v>24</v>
      </c>
      <c r="J1252" t="str">
        <f>VLOOKUP(B1252,Paramètres!$A$4:$C$11,3,FALSE)</f>
        <v>Grande couronne</v>
      </c>
      <c r="K1252" s="13">
        <f>IFERROR(H1252/G1252,"")</f>
        <v>114.33333333333333</v>
      </c>
      <c r="L1252" s="14">
        <f>IFERROR(I1252/G1252,"")</f>
        <v>1</v>
      </c>
      <c r="M1252" s="11" t="str">
        <f>IF(K1252&gt;=Paramètres!$F$6,"Très forte",IF(K1252&gt;=Paramètres!$F$5,"Forte",IF(K1252&gt;=Paramètres!$F$4,"Modérée","Faible")))</f>
        <v>Très forte</v>
      </c>
    </row>
    <row r="1253" spans="1:13">
      <c r="A1253" t="s">
        <v>1127</v>
      </c>
      <c r="B1253" s="11">
        <v>75</v>
      </c>
      <c r="C1253" t="s">
        <v>86</v>
      </c>
      <c r="D1253" t="s">
        <v>801</v>
      </c>
      <c r="E1253" t="s">
        <v>802</v>
      </c>
      <c r="F1253" t="s">
        <v>92</v>
      </c>
      <c r="G1253" s="12">
        <v>24</v>
      </c>
      <c r="H1253" s="12">
        <v>2684</v>
      </c>
      <c r="I1253" s="12">
        <v>25</v>
      </c>
      <c r="J1253" t="str">
        <f>VLOOKUP(B1253,Paramètres!$A$4:$C$11,3,FALSE)</f>
        <v>Paris</v>
      </c>
      <c r="K1253" s="13">
        <f>IFERROR(H1253/G1253,"")</f>
        <v>111.83333333333333</v>
      </c>
      <c r="L1253" s="14">
        <f>IFERROR(I1253/G1253,"")</f>
        <v>1.0416666666666667</v>
      </c>
      <c r="M1253" s="11" t="str">
        <f>IF(K1253&gt;=Paramètres!$F$6,"Très forte",IF(K1253&gt;=Paramètres!$F$5,"Forte",IF(K1253&gt;=Paramètres!$F$4,"Modérée","Faible")))</f>
        <v>Très forte</v>
      </c>
    </row>
    <row r="1254" spans="1:13">
      <c r="A1254" t="s">
        <v>811</v>
      </c>
      <c r="B1254" s="11">
        <v>78</v>
      </c>
      <c r="C1254" t="s">
        <v>135</v>
      </c>
      <c r="D1254" t="s">
        <v>801</v>
      </c>
      <c r="E1254" t="s">
        <v>802</v>
      </c>
      <c r="F1254" t="s">
        <v>92</v>
      </c>
      <c r="G1254" s="12">
        <v>24</v>
      </c>
      <c r="H1254" s="12">
        <v>2667</v>
      </c>
      <c r="I1254" s="12">
        <v>24</v>
      </c>
      <c r="J1254" t="str">
        <f>VLOOKUP(B1254,Paramètres!$A$4:$C$11,3,FALSE)</f>
        <v>Grande couronne</v>
      </c>
      <c r="K1254" s="13">
        <f>IFERROR(H1254/G1254,"")</f>
        <v>111.125</v>
      </c>
      <c r="L1254" s="14">
        <f>IFERROR(I1254/G1254,"")</f>
        <v>1</v>
      </c>
      <c r="M1254" s="11" t="str">
        <f>IF(K1254&gt;=Paramètres!$F$6,"Très forte",IF(K1254&gt;=Paramètres!$F$5,"Forte",IF(K1254&gt;=Paramètres!$F$4,"Modérée","Faible")))</f>
        <v>Très forte</v>
      </c>
    </row>
    <row r="1255" spans="1:13">
      <c r="A1255" t="s">
        <v>800</v>
      </c>
      <c r="B1255" s="11">
        <v>78</v>
      </c>
      <c r="C1255" t="s">
        <v>135</v>
      </c>
      <c r="D1255" t="s">
        <v>801</v>
      </c>
      <c r="E1255" t="s">
        <v>802</v>
      </c>
      <c r="F1255" t="s">
        <v>92</v>
      </c>
      <c r="G1255" s="12">
        <v>19</v>
      </c>
      <c r="H1255" s="12">
        <v>2067</v>
      </c>
      <c r="I1255" s="12">
        <v>15</v>
      </c>
      <c r="J1255" t="str">
        <f>VLOOKUP(B1255,Paramètres!$A$4:$C$11,3,FALSE)</f>
        <v>Grande couronne</v>
      </c>
      <c r="K1255" s="13">
        <f>IFERROR(H1255/G1255,"")</f>
        <v>108.78947368421052</v>
      </c>
      <c r="L1255" s="14">
        <f>IFERROR(I1255/G1255,"")</f>
        <v>0.78947368421052633</v>
      </c>
      <c r="M1255" s="11" t="str">
        <f>IF(K1255&gt;=Paramètres!$F$6,"Très forte",IF(K1255&gt;=Paramètres!$F$5,"Forte",IF(K1255&gt;=Paramètres!$F$4,"Modérée","Faible")))</f>
        <v>Très forte</v>
      </c>
    </row>
    <row r="1256" spans="1:13">
      <c r="A1256" t="s">
        <v>812</v>
      </c>
      <c r="B1256" s="11">
        <v>75</v>
      </c>
      <c r="C1256" t="s">
        <v>86</v>
      </c>
      <c r="D1256" t="s">
        <v>801</v>
      </c>
      <c r="E1256" t="s">
        <v>802</v>
      </c>
      <c r="F1256" t="s">
        <v>92</v>
      </c>
      <c r="G1256" s="12">
        <v>23</v>
      </c>
      <c r="H1256" s="12">
        <v>2462</v>
      </c>
      <c r="I1256" s="12">
        <v>23</v>
      </c>
      <c r="J1256" t="str">
        <f>VLOOKUP(B1256,Paramètres!$A$4:$C$11,3,FALSE)</f>
        <v>Paris</v>
      </c>
      <c r="K1256" s="13">
        <f>IFERROR(H1256/G1256,"")</f>
        <v>107.04347826086956</v>
      </c>
      <c r="L1256" s="14">
        <f>IFERROR(I1256/G1256,"")</f>
        <v>1</v>
      </c>
      <c r="M1256" s="11" t="str">
        <f>IF(K1256&gt;=Paramètres!$F$6,"Très forte",IF(K1256&gt;=Paramètres!$F$5,"Forte",IF(K1256&gt;=Paramètres!$F$4,"Modérée","Faible")))</f>
        <v>Très forte</v>
      </c>
    </row>
    <row r="1257" spans="1:13">
      <c r="A1257" t="s">
        <v>800</v>
      </c>
      <c r="B1257" s="11">
        <v>78</v>
      </c>
      <c r="C1257" t="s">
        <v>135</v>
      </c>
      <c r="D1257" t="s">
        <v>801</v>
      </c>
      <c r="E1257" t="s">
        <v>802</v>
      </c>
      <c r="F1257" t="s">
        <v>92</v>
      </c>
      <c r="G1257" s="12">
        <v>22</v>
      </c>
      <c r="H1257" s="12">
        <v>2341</v>
      </c>
      <c r="I1257" s="12">
        <v>23</v>
      </c>
      <c r="J1257" t="str">
        <f>VLOOKUP(B1257,Paramètres!$A$4:$C$11,3,FALSE)</f>
        <v>Grande couronne</v>
      </c>
      <c r="K1257" s="13">
        <f>IFERROR(H1257/G1257,"")</f>
        <v>106.40909090909091</v>
      </c>
      <c r="L1257" s="14">
        <f>IFERROR(I1257/G1257,"")</f>
        <v>1.0454545454545454</v>
      </c>
      <c r="M1257" s="11" t="str">
        <f>IF(K1257&gt;=Paramètres!$F$6,"Très forte",IF(K1257&gt;=Paramètres!$F$5,"Forte",IF(K1257&gt;=Paramètres!$F$4,"Modérée","Faible")))</f>
        <v>Très forte</v>
      </c>
    </row>
    <row r="1258" spans="1:13">
      <c r="A1258" t="s">
        <v>812</v>
      </c>
      <c r="B1258" s="11">
        <v>75</v>
      </c>
      <c r="C1258" t="s">
        <v>86</v>
      </c>
      <c r="D1258" t="s">
        <v>801</v>
      </c>
      <c r="E1258" t="s">
        <v>802</v>
      </c>
      <c r="F1258" t="s">
        <v>92</v>
      </c>
      <c r="G1258" s="12">
        <v>16</v>
      </c>
      <c r="H1258" s="12">
        <v>1686</v>
      </c>
      <c r="I1258" s="12">
        <v>16</v>
      </c>
      <c r="J1258" t="str">
        <f>VLOOKUP(B1258,Paramètres!$A$4:$C$11,3,FALSE)</f>
        <v>Paris</v>
      </c>
      <c r="K1258" s="13">
        <f>IFERROR(H1258/G1258,"")</f>
        <v>105.375</v>
      </c>
      <c r="L1258" s="14">
        <f>IFERROR(I1258/G1258,"")</f>
        <v>1</v>
      </c>
      <c r="M1258" s="11" t="str">
        <f>IF(K1258&gt;=Paramètres!$F$6,"Très forte",IF(K1258&gt;=Paramètres!$F$5,"Forte",IF(K1258&gt;=Paramètres!$F$4,"Modérée","Faible")))</f>
        <v>Très forte</v>
      </c>
    </row>
    <row r="1259" spans="1:13">
      <c r="A1259" t="s">
        <v>810</v>
      </c>
      <c r="B1259" s="11">
        <v>75</v>
      </c>
      <c r="C1259" t="s">
        <v>86</v>
      </c>
      <c r="D1259" t="s">
        <v>801</v>
      </c>
      <c r="E1259" t="s">
        <v>802</v>
      </c>
      <c r="F1259" t="s">
        <v>92</v>
      </c>
      <c r="G1259" s="12">
        <v>48</v>
      </c>
      <c r="H1259" s="12">
        <v>5030</v>
      </c>
      <c r="I1259" s="12">
        <v>47</v>
      </c>
      <c r="J1259" t="str">
        <f>VLOOKUP(B1259,Paramètres!$A$4:$C$11,3,FALSE)</f>
        <v>Paris</v>
      </c>
      <c r="K1259" s="13">
        <f>IFERROR(H1259/G1259,"")</f>
        <v>104.79166666666667</v>
      </c>
      <c r="L1259" s="14">
        <f>IFERROR(I1259/G1259,"")</f>
        <v>0.97916666666666663</v>
      </c>
      <c r="M1259" s="11" t="str">
        <f>IF(K1259&gt;=Paramètres!$F$6,"Très forte",IF(K1259&gt;=Paramètres!$F$5,"Forte",IF(K1259&gt;=Paramètres!$F$4,"Modérée","Faible")))</f>
        <v>Très forte</v>
      </c>
    </row>
    <row r="1260" spans="1:13">
      <c r="A1260" t="s">
        <v>850</v>
      </c>
      <c r="B1260" s="11">
        <v>75</v>
      </c>
      <c r="C1260" t="s">
        <v>86</v>
      </c>
      <c r="D1260" t="s">
        <v>801</v>
      </c>
      <c r="E1260" t="s">
        <v>827</v>
      </c>
      <c r="F1260" t="s">
        <v>92</v>
      </c>
      <c r="G1260" s="12">
        <v>48</v>
      </c>
      <c r="H1260" s="12">
        <v>4879</v>
      </c>
      <c r="I1260" s="12">
        <v>47</v>
      </c>
      <c r="J1260" t="str">
        <f>VLOOKUP(B1260,Paramètres!$A$4:$C$11,3,FALSE)</f>
        <v>Paris</v>
      </c>
      <c r="K1260" s="13">
        <f>IFERROR(H1260/G1260,"")</f>
        <v>101.64583333333333</v>
      </c>
      <c r="L1260" s="14">
        <f>IFERROR(I1260/G1260,"")</f>
        <v>0.97916666666666663</v>
      </c>
      <c r="M1260" s="11" t="str">
        <f>IF(K1260&gt;=Paramètres!$F$6,"Très forte",IF(K1260&gt;=Paramètres!$F$5,"Forte",IF(K1260&gt;=Paramètres!$F$4,"Modérée","Faible")))</f>
        <v>Très forte</v>
      </c>
    </row>
    <row r="1261" spans="1:13">
      <c r="A1261" t="s">
        <v>813</v>
      </c>
      <c r="B1261" s="11">
        <v>92</v>
      </c>
      <c r="C1261" t="s">
        <v>94</v>
      </c>
      <c r="D1261" t="s">
        <v>801</v>
      </c>
      <c r="E1261" t="s">
        <v>802</v>
      </c>
      <c r="F1261" t="s">
        <v>92</v>
      </c>
      <c r="G1261" s="12">
        <v>23</v>
      </c>
      <c r="H1261" s="12">
        <v>2283</v>
      </c>
      <c r="I1261" s="12">
        <v>23</v>
      </c>
      <c r="J1261" t="str">
        <f>VLOOKUP(B1261,Paramètres!$A$4:$C$11,3,FALSE)</f>
        <v>Petite couronne</v>
      </c>
      <c r="K1261" s="13">
        <f>IFERROR(H1261/G1261,"")</f>
        <v>99.260869565217391</v>
      </c>
      <c r="L1261" s="14">
        <f>IFERROR(I1261/G1261,"")</f>
        <v>1</v>
      </c>
      <c r="M1261" s="11" t="str">
        <f>IF(K1261&gt;=Paramètres!$F$6,"Très forte",IF(K1261&gt;=Paramètres!$F$5,"Forte",IF(K1261&gt;=Paramètres!$F$4,"Modérée","Faible")))</f>
        <v>Très forte</v>
      </c>
    </row>
    <row r="1262" spans="1:13">
      <c r="A1262" t="s">
        <v>794</v>
      </c>
      <c r="B1262" s="11">
        <v>75</v>
      </c>
      <c r="C1262" t="s">
        <v>86</v>
      </c>
      <c r="D1262" t="s">
        <v>801</v>
      </c>
      <c r="E1262" t="s">
        <v>802</v>
      </c>
      <c r="F1262" t="s">
        <v>92</v>
      </c>
      <c r="G1262" s="12">
        <v>27</v>
      </c>
      <c r="H1262" s="12">
        <v>2635</v>
      </c>
      <c r="I1262" s="12">
        <v>27</v>
      </c>
      <c r="J1262" t="str">
        <f>VLOOKUP(B1262,Paramètres!$A$4:$C$11,3,FALSE)</f>
        <v>Paris</v>
      </c>
      <c r="K1262" s="13">
        <f>IFERROR(H1262/G1262,"")</f>
        <v>97.592592592592595</v>
      </c>
      <c r="L1262" s="14">
        <f>IFERROR(I1262/G1262,"")</f>
        <v>1</v>
      </c>
      <c r="M1262" s="11" t="str">
        <f>IF(K1262&gt;=Paramètres!$F$6,"Très forte",IF(K1262&gt;=Paramètres!$F$5,"Forte",IF(K1262&gt;=Paramètres!$F$4,"Modérée","Faible")))</f>
        <v>Très forte</v>
      </c>
    </row>
    <row r="1263" spans="1:13">
      <c r="A1263" t="s">
        <v>811</v>
      </c>
      <c r="B1263" s="11">
        <v>78</v>
      </c>
      <c r="C1263" t="s">
        <v>135</v>
      </c>
      <c r="D1263" t="s">
        <v>801</v>
      </c>
      <c r="E1263" t="s">
        <v>802</v>
      </c>
      <c r="F1263" t="s">
        <v>92</v>
      </c>
      <c r="G1263" s="12">
        <v>24</v>
      </c>
      <c r="H1263" s="12">
        <v>2335</v>
      </c>
      <c r="I1263" s="12">
        <v>24</v>
      </c>
      <c r="J1263" t="str">
        <f>VLOOKUP(B1263,Paramètres!$A$4:$C$11,3,FALSE)</f>
        <v>Grande couronne</v>
      </c>
      <c r="K1263" s="13">
        <f>IFERROR(H1263/G1263,"")</f>
        <v>97.291666666666671</v>
      </c>
      <c r="L1263" s="14">
        <f>IFERROR(I1263/G1263,"")</f>
        <v>1</v>
      </c>
      <c r="M1263" s="11" t="str">
        <f>IF(K1263&gt;=Paramètres!$F$6,"Très forte",IF(K1263&gt;=Paramètres!$F$5,"Forte",IF(K1263&gt;=Paramètres!$F$4,"Modérée","Faible")))</f>
        <v>Très forte</v>
      </c>
    </row>
    <row r="1264" spans="1:13">
      <c r="A1264" t="s">
        <v>811</v>
      </c>
      <c r="B1264" s="11">
        <v>78</v>
      </c>
      <c r="C1264" t="s">
        <v>135</v>
      </c>
      <c r="D1264" t="s">
        <v>801</v>
      </c>
      <c r="E1264" t="s">
        <v>827</v>
      </c>
      <c r="F1264" t="s">
        <v>92</v>
      </c>
      <c r="G1264" s="12">
        <v>48</v>
      </c>
      <c r="H1264" s="12">
        <v>4458</v>
      </c>
      <c r="I1264" s="12">
        <v>48</v>
      </c>
      <c r="J1264" t="str">
        <f>VLOOKUP(B1264,Paramètres!$A$4:$C$11,3,FALSE)</f>
        <v>Grande couronne</v>
      </c>
      <c r="K1264" s="13">
        <f>IFERROR(H1264/G1264,"")</f>
        <v>92.875</v>
      </c>
      <c r="L1264" s="14">
        <f>IFERROR(I1264/G1264,"")</f>
        <v>1</v>
      </c>
      <c r="M1264" s="11" t="str">
        <f>IF(K1264&gt;=Paramètres!$F$6,"Très forte",IF(K1264&gt;=Paramètres!$F$5,"Forte",IF(K1264&gt;=Paramètres!$F$4,"Modérée","Faible")))</f>
        <v>Très forte</v>
      </c>
    </row>
    <row r="1265" spans="1:13">
      <c r="A1265" t="s">
        <v>804</v>
      </c>
      <c r="B1265" s="11">
        <v>75</v>
      </c>
      <c r="C1265" t="s">
        <v>86</v>
      </c>
      <c r="D1265" t="s">
        <v>801</v>
      </c>
      <c r="E1265" t="s">
        <v>802</v>
      </c>
      <c r="F1265" t="s">
        <v>92</v>
      </c>
      <c r="G1265" s="12">
        <v>48</v>
      </c>
      <c r="H1265" s="12">
        <v>4452</v>
      </c>
      <c r="I1265" s="12">
        <v>47</v>
      </c>
      <c r="J1265" t="str">
        <f>VLOOKUP(B1265,Paramètres!$A$4:$C$11,3,FALSE)</f>
        <v>Paris</v>
      </c>
      <c r="K1265" s="13">
        <f>IFERROR(H1265/G1265,"")</f>
        <v>92.75</v>
      </c>
      <c r="L1265" s="14">
        <f>IFERROR(I1265/G1265,"")</f>
        <v>0.97916666666666663</v>
      </c>
      <c r="M1265" s="11" t="str">
        <f>IF(K1265&gt;=Paramètres!$F$6,"Très forte",IF(K1265&gt;=Paramètres!$F$5,"Forte",IF(K1265&gt;=Paramètres!$F$4,"Modérée","Faible")))</f>
        <v>Très forte</v>
      </c>
    </row>
    <row r="1266" spans="1:13">
      <c r="A1266" t="s">
        <v>1094</v>
      </c>
      <c r="B1266" s="11">
        <v>75</v>
      </c>
      <c r="C1266" t="s">
        <v>86</v>
      </c>
      <c r="D1266" t="s">
        <v>801</v>
      </c>
      <c r="E1266" t="s">
        <v>834</v>
      </c>
      <c r="F1266" t="s">
        <v>92</v>
      </c>
      <c r="G1266" s="12">
        <v>48</v>
      </c>
      <c r="H1266" s="12">
        <v>4370</v>
      </c>
      <c r="I1266" s="12">
        <v>47</v>
      </c>
      <c r="J1266" t="str">
        <f>VLOOKUP(B1266,Paramètres!$A$4:$C$11,3,FALSE)</f>
        <v>Paris</v>
      </c>
      <c r="K1266" s="13">
        <f>IFERROR(H1266/G1266,"")</f>
        <v>91.041666666666671</v>
      </c>
      <c r="L1266" s="14">
        <f>IFERROR(I1266/G1266,"")</f>
        <v>0.97916666666666663</v>
      </c>
      <c r="M1266" s="11" t="str">
        <f>IF(K1266&gt;=Paramètres!$F$6,"Très forte",IF(K1266&gt;=Paramètres!$F$5,"Forte",IF(K1266&gt;=Paramètres!$F$4,"Modérée","Faible")))</f>
        <v>Très forte</v>
      </c>
    </row>
    <row r="1267" spans="1:13">
      <c r="A1267" t="s">
        <v>812</v>
      </c>
      <c r="B1267" s="11">
        <v>75</v>
      </c>
      <c r="C1267" t="s">
        <v>86</v>
      </c>
      <c r="D1267" t="s">
        <v>801</v>
      </c>
      <c r="E1267" t="s">
        <v>802</v>
      </c>
      <c r="F1267" t="s">
        <v>92</v>
      </c>
      <c r="G1267" s="12">
        <v>23</v>
      </c>
      <c r="H1267" s="12">
        <v>2073</v>
      </c>
      <c r="I1267" s="12">
        <v>23</v>
      </c>
      <c r="J1267" t="str">
        <f>VLOOKUP(B1267,Paramètres!$A$4:$C$11,3,FALSE)</f>
        <v>Paris</v>
      </c>
      <c r="K1267" s="13">
        <f>IFERROR(H1267/G1267,"")</f>
        <v>90.130434782608702</v>
      </c>
      <c r="L1267" s="14">
        <f>IFERROR(I1267/G1267,"")</f>
        <v>1</v>
      </c>
      <c r="M1267" s="11" t="str">
        <f>IF(K1267&gt;=Paramètres!$F$6,"Très forte",IF(K1267&gt;=Paramètres!$F$5,"Forte",IF(K1267&gt;=Paramètres!$F$4,"Modérée","Faible")))</f>
        <v>Très forte</v>
      </c>
    </row>
    <row r="1268" spans="1:13">
      <c r="A1268" t="s">
        <v>1127</v>
      </c>
      <c r="B1268" s="11">
        <v>75</v>
      </c>
      <c r="C1268" t="s">
        <v>86</v>
      </c>
      <c r="D1268" t="s">
        <v>801</v>
      </c>
      <c r="E1268" t="s">
        <v>802</v>
      </c>
      <c r="F1268" t="s">
        <v>92</v>
      </c>
      <c r="G1268" s="12">
        <v>24</v>
      </c>
      <c r="H1268" s="12">
        <v>2103</v>
      </c>
      <c r="I1268" s="12">
        <v>26</v>
      </c>
      <c r="J1268" t="str">
        <f>VLOOKUP(B1268,Paramètres!$A$4:$C$11,3,FALSE)</f>
        <v>Paris</v>
      </c>
      <c r="K1268" s="13">
        <f>IFERROR(H1268/G1268,"")</f>
        <v>87.625</v>
      </c>
      <c r="L1268" s="14">
        <f>IFERROR(I1268/G1268,"")</f>
        <v>1.0833333333333333</v>
      </c>
      <c r="M1268" s="11" t="str">
        <f>IF(K1268&gt;=Paramètres!$F$6,"Très forte",IF(K1268&gt;=Paramètres!$F$5,"Forte",IF(K1268&gt;=Paramètres!$F$4,"Modérée","Faible")))</f>
        <v>Très forte</v>
      </c>
    </row>
    <row r="1269" spans="1:13">
      <c r="A1269" t="s">
        <v>1025</v>
      </c>
      <c r="B1269" s="11">
        <v>75</v>
      </c>
      <c r="C1269" t="s">
        <v>86</v>
      </c>
      <c r="D1269" t="s">
        <v>801</v>
      </c>
      <c r="E1269" t="s">
        <v>834</v>
      </c>
      <c r="F1269" t="s">
        <v>92</v>
      </c>
      <c r="G1269" s="12">
        <v>48</v>
      </c>
      <c r="H1269" s="12">
        <v>4110</v>
      </c>
      <c r="I1269" s="12">
        <v>44</v>
      </c>
      <c r="J1269" t="str">
        <f>VLOOKUP(B1269,Paramètres!$A$4:$C$11,3,FALSE)</f>
        <v>Paris</v>
      </c>
      <c r="K1269" s="13">
        <f>IFERROR(H1269/G1269,"")</f>
        <v>85.625</v>
      </c>
      <c r="L1269" s="14">
        <f>IFERROR(I1269/G1269,"")</f>
        <v>0.91666666666666663</v>
      </c>
      <c r="M1269" s="11" t="str">
        <f>IF(K1269&gt;=Paramètres!$F$6,"Très forte",IF(K1269&gt;=Paramètres!$F$5,"Forte",IF(K1269&gt;=Paramètres!$F$4,"Modérée","Faible")))</f>
        <v>Très forte</v>
      </c>
    </row>
    <row r="1270" spans="1:13">
      <c r="A1270" t="s">
        <v>800</v>
      </c>
      <c r="B1270" s="11">
        <v>78</v>
      </c>
      <c r="C1270" t="s">
        <v>135</v>
      </c>
      <c r="D1270" t="s">
        <v>801</v>
      </c>
      <c r="E1270" t="s">
        <v>802</v>
      </c>
      <c r="F1270" t="s">
        <v>92</v>
      </c>
      <c r="G1270" s="12">
        <v>23</v>
      </c>
      <c r="H1270" s="12">
        <v>1957</v>
      </c>
      <c r="I1270" s="12">
        <v>23</v>
      </c>
      <c r="J1270" t="str">
        <f>VLOOKUP(B1270,Paramètres!$A$4:$C$11,3,FALSE)</f>
        <v>Grande couronne</v>
      </c>
      <c r="K1270" s="13">
        <f>IFERROR(H1270/G1270,"")</f>
        <v>85.086956521739125</v>
      </c>
      <c r="L1270" s="14">
        <f>IFERROR(I1270/G1270,"")</f>
        <v>1</v>
      </c>
      <c r="M1270" s="11" t="str">
        <f>IF(K1270&gt;=Paramètres!$F$6,"Très forte",IF(K1270&gt;=Paramètres!$F$5,"Forte",IF(K1270&gt;=Paramètres!$F$4,"Modérée","Faible")))</f>
        <v>Très forte</v>
      </c>
    </row>
    <row r="1271" spans="1:13">
      <c r="A1271" t="s">
        <v>794</v>
      </c>
      <c r="B1271" s="11">
        <v>75</v>
      </c>
      <c r="C1271" t="s">
        <v>86</v>
      </c>
      <c r="D1271" t="s">
        <v>801</v>
      </c>
      <c r="E1271" t="s">
        <v>827</v>
      </c>
      <c r="F1271" t="s">
        <v>92</v>
      </c>
      <c r="G1271" s="12">
        <v>96</v>
      </c>
      <c r="H1271" s="12">
        <v>8117</v>
      </c>
      <c r="I1271" s="12">
        <v>96</v>
      </c>
      <c r="J1271" t="str">
        <f>VLOOKUP(B1271,Paramètres!$A$4:$C$11,3,FALSE)</f>
        <v>Paris</v>
      </c>
      <c r="K1271" s="13">
        <f>IFERROR(H1271/G1271,"")</f>
        <v>84.552083333333329</v>
      </c>
      <c r="L1271" s="14">
        <f>IFERROR(I1271/G1271,"")</f>
        <v>1</v>
      </c>
      <c r="M1271" s="11" t="str">
        <f>IF(K1271&gt;=Paramètres!$F$6,"Très forte",IF(K1271&gt;=Paramètres!$F$5,"Forte",IF(K1271&gt;=Paramètres!$F$4,"Modérée","Faible")))</f>
        <v>Très forte</v>
      </c>
    </row>
    <row r="1272" spans="1:13">
      <c r="A1272" t="s">
        <v>803</v>
      </c>
      <c r="B1272" s="11">
        <v>94</v>
      </c>
      <c r="C1272" t="s">
        <v>116</v>
      </c>
      <c r="D1272" t="s">
        <v>801</v>
      </c>
      <c r="E1272" t="s">
        <v>802</v>
      </c>
      <c r="F1272" t="s">
        <v>92</v>
      </c>
      <c r="G1272" s="12">
        <v>24</v>
      </c>
      <c r="H1272" s="12">
        <v>1921</v>
      </c>
      <c r="I1272" s="12">
        <v>22</v>
      </c>
      <c r="J1272" t="str">
        <f>VLOOKUP(B1272,Paramètres!$A$4:$C$11,3,FALSE)</f>
        <v>Petite couronne</v>
      </c>
      <c r="K1272" s="13">
        <f>IFERROR(H1272/G1272,"")</f>
        <v>80.041666666666671</v>
      </c>
      <c r="L1272" s="14">
        <f>IFERROR(I1272/G1272,"")</f>
        <v>0.91666666666666663</v>
      </c>
      <c r="M1272" s="11" t="str">
        <f>IF(K1272&gt;=Paramètres!$F$6,"Très forte",IF(K1272&gt;=Paramètres!$F$5,"Forte",IF(K1272&gt;=Paramètres!$F$4,"Modérée","Faible")))</f>
        <v>Très forte</v>
      </c>
    </row>
    <row r="1273" spans="1:13">
      <c r="A1273" t="s">
        <v>1023</v>
      </c>
      <c r="B1273" s="11">
        <v>75</v>
      </c>
      <c r="C1273" t="s">
        <v>86</v>
      </c>
      <c r="D1273" t="s">
        <v>801</v>
      </c>
      <c r="E1273" t="s">
        <v>834</v>
      </c>
      <c r="F1273" t="s">
        <v>92</v>
      </c>
      <c r="G1273" s="12">
        <v>48</v>
      </c>
      <c r="H1273" s="12">
        <v>3837</v>
      </c>
      <c r="I1273" s="12">
        <v>48</v>
      </c>
      <c r="J1273" t="str">
        <f>VLOOKUP(B1273,Paramètres!$A$4:$C$11,3,FALSE)</f>
        <v>Paris</v>
      </c>
      <c r="K1273" s="13">
        <f>IFERROR(H1273/G1273,"")</f>
        <v>79.9375</v>
      </c>
      <c r="L1273" s="14">
        <f>IFERROR(I1273/G1273,"")</f>
        <v>1</v>
      </c>
      <c r="M1273" s="11" t="str">
        <f>IF(K1273&gt;=Paramètres!$F$6,"Très forte",IF(K1273&gt;=Paramètres!$F$5,"Forte",IF(K1273&gt;=Paramètres!$F$4,"Modérée","Faible")))</f>
        <v>Très forte</v>
      </c>
    </row>
    <row r="1274" spans="1:13">
      <c r="A1274" t="s">
        <v>804</v>
      </c>
      <c r="B1274" s="11">
        <v>75</v>
      </c>
      <c r="C1274" t="s">
        <v>86</v>
      </c>
      <c r="D1274" t="s">
        <v>801</v>
      </c>
      <c r="E1274" t="s">
        <v>802</v>
      </c>
      <c r="F1274" t="s">
        <v>92</v>
      </c>
      <c r="G1274" s="12">
        <v>48</v>
      </c>
      <c r="H1274" s="12">
        <v>3807</v>
      </c>
      <c r="I1274" s="12">
        <v>48</v>
      </c>
      <c r="J1274" t="str">
        <f>VLOOKUP(B1274,Paramètres!$A$4:$C$11,3,FALSE)</f>
        <v>Paris</v>
      </c>
      <c r="K1274" s="13">
        <f>IFERROR(H1274/G1274,"")</f>
        <v>79.3125</v>
      </c>
      <c r="L1274" s="14">
        <f>IFERROR(I1274/G1274,"")</f>
        <v>1</v>
      </c>
      <c r="M1274" s="11" t="str">
        <f>IF(K1274&gt;=Paramètres!$F$6,"Très forte",IF(K1274&gt;=Paramètres!$F$5,"Forte",IF(K1274&gt;=Paramètres!$F$4,"Modérée","Faible")))</f>
        <v>Très forte</v>
      </c>
    </row>
    <row r="1275" spans="1:13">
      <c r="A1275" t="s">
        <v>1094</v>
      </c>
      <c r="B1275" s="11">
        <v>75</v>
      </c>
      <c r="C1275" t="s">
        <v>86</v>
      </c>
      <c r="D1275" t="s">
        <v>801</v>
      </c>
      <c r="E1275" t="s">
        <v>827</v>
      </c>
      <c r="F1275" t="s">
        <v>92</v>
      </c>
      <c r="G1275" s="12">
        <v>96</v>
      </c>
      <c r="H1275" s="12">
        <v>7581</v>
      </c>
      <c r="I1275" s="12">
        <v>94</v>
      </c>
      <c r="J1275" t="str">
        <f>VLOOKUP(B1275,Paramètres!$A$4:$C$11,3,FALSE)</f>
        <v>Paris</v>
      </c>
      <c r="K1275" s="13">
        <f>IFERROR(H1275/G1275,"")</f>
        <v>78.96875</v>
      </c>
      <c r="L1275" s="14">
        <f>IFERROR(I1275/G1275,"")</f>
        <v>0.97916666666666663</v>
      </c>
      <c r="M1275" s="11" t="str">
        <f>IF(K1275&gt;=Paramètres!$F$6,"Très forte",IF(K1275&gt;=Paramètres!$F$5,"Forte",IF(K1275&gt;=Paramètres!$F$4,"Modérée","Faible")))</f>
        <v>Très forte</v>
      </c>
    </row>
    <row r="1276" spans="1:13">
      <c r="A1276" t="s">
        <v>850</v>
      </c>
      <c r="B1276" s="11">
        <v>75</v>
      </c>
      <c r="C1276" t="s">
        <v>86</v>
      </c>
      <c r="D1276" t="s">
        <v>801</v>
      </c>
      <c r="E1276" t="s">
        <v>834</v>
      </c>
      <c r="F1276" t="s">
        <v>92</v>
      </c>
      <c r="G1276" s="12">
        <v>48</v>
      </c>
      <c r="H1276" s="12">
        <v>3754</v>
      </c>
      <c r="I1276" s="12">
        <v>47</v>
      </c>
      <c r="J1276" t="str">
        <f>VLOOKUP(B1276,Paramètres!$A$4:$C$11,3,FALSE)</f>
        <v>Paris</v>
      </c>
      <c r="K1276" s="13">
        <f>IFERROR(H1276/G1276,"")</f>
        <v>78.208333333333329</v>
      </c>
      <c r="L1276" s="14">
        <f>IFERROR(I1276/G1276,"")</f>
        <v>0.97916666666666663</v>
      </c>
      <c r="M1276" s="11" t="str">
        <f>IF(K1276&gt;=Paramètres!$F$6,"Très forte",IF(K1276&gt;=Paramètres!$F$5,"Forte",IF(K1276&gt;=Paramètres!$F$4,"Modérée","Faible")))</f>
        <v>Très forte</v>
      </c>
    </row>
    <row r="1277" spans="1:13">
      <c r="A1277" t="s">
        <v>1072</v>
      </c>
      <c r="B1277" s="11">
        <v>92</v>
      </c>
      <c r="C1277" t="s">
        <v>94</v>
      </c>
      <c r="D1277" t="s">
        <v>801</v>
      </c>
      <c r="E1277" t="s">
        <v>827</v>
      </c>
      <c r="F1277" t="s">
        <v>92</v>
      </c>
      <c r="G1277" s="12">
        <v>48</v>
      </c>
      <c r="H1277" s="12">
        <v>3736</v>
      </c>
      <c r="I1277" s="12">
        <v>46</v>
      </c>
      <c r="J1277" t="str">
        <f>VLOOKUP(B1277,Paramètres!$A$4:$C$11,3,FALSE)</f>
        <v>Petite couronne</v>
      </c>
      <c r="K1277" s="13">
        <f>IFERROR(H1277/G1277,"")</f>
        <v>77.833333333333329</v>
      </c>
      <c r="L1277" s="14">
        <f>IFERROR(I1277/G1277,"")</f>
        <v>0.95833333333333337</v>
      </c>
      <c r="M1277" s="11" t="str">
        <f>IF(K1277&gt;=Paramètres!$F$6,"Très forte",IF(K1277&gt;=Paramètres!$F$5,"Forte",IF(K1277&gt;=Paramètres!$F$4,"Modérée","Faible")))</f>
        <v>Très forte</v>
      </c>
    </row>
    <row r="1278" spans="1:13">
      <c r="A1278" t="s">
        <v>813</v>
      </c>
      <c r="B1278" s="11">
        <v>92</v>
      </c>
      <c r="C1278" t="s">
        <v>94</v>
      </c>
      <c r="D1278" t="s">
        <v>801</v>
      </c>
      <c r="E1278" t="s">
        <v>802</v>
      </c>
      <c r="F1278" t="s">
        <v>92</v>
      </c>
      <c r="G1278" s="12">
        <v>25</v>
      </c>
      <c r="H1278" s="12">
        <v>1935</v>
      </c>
      <c r="I1278" s="12">
        <v>27</v>
      </c>
      <c r="J1278" t="str">
        <f>VLOOKUP(B1278,Paramètres!$A$4:$C$11,3,FALSE)</f>
        <v>Petite couronne</v>
      </c>
      <c r="K1278" s="13">
        <f>IFERROR(H1278/G1278,"")</f>
        <v>77.400000000000006</v>
      </c>
      <c r="L1278" s="14">
        <f>IFERROR(I1278/G1278,"")</f>
        <v>1.08</v>
      </c>
      <c r="M1278" s="11" t="str">
        <f>IF(K1278&gt;=Paramètres!$F$6,"Très forte",IF(K1278&gt;=Paramètres!$F$5,"Forte",IF(K1278&gt;=Paramètres!$F$4,"Modérée","Faible")))</f>
        <v>Très forte</v>
      </c>
    </row>
    <row r="1279" spans="1:13">
      <c r="A1279" t="s">
        <v>810</v>
      </c>
      <c r="B1279" s="11">
        <v>75</v>
      </c>
      <c r="C1279" t="s">
        <v>86</v>
      </c>
      <c r="D1279" t="s">
        <v>801</v>
      </c>
      <c r="E1279" t="s">
        <v>802</v>
      </c>
      <c r="F1279" t="s">
        <v>92</v>
      </c>
      <c r="G1279" s="12">
        <v>48</v>
      </c>
      <c r="H1279" s="12">
        <v>3712</v>
      </c>
      <c r="I1279" s="12">
        <v>49</v>
      </c>
      <c r="J1279" t="str">
        <f>VLOOKUP(B1279,Paramètres!$A$4:$C$11,3,FALSE)</f>
        <v>Paris</v>
      </c>
      <c r="K1279" s="13">
        <f>IFERROR(H1279/G1279,"")</f>
        <v>77.333333333333329</v>
      </c>
      <c r="L1279" s="14">
        <f>IFERROR(I1279/G1279,"")</f>
        <v>1.0208333333333333</v>
      </c>
      <c r="M1279" s="11" t="str">
        <f>IF(K1279&gt;=Paramètres!$F$6,"Très forte",IF(K1279&gt;=Paramètres!$F$5,"Forte",IF(K1279&gt;=Paramètres!$F$4,"Modérée","Faible")))</f>
        <v>Très forte</v>
      </c>
    </row>
    <row r="1280" spans="1:13">
      <c r="A1280" t="s">
        <v>826</v>
      </c>
      <c r="B1280" s="11">
        <v>75</v>
      </c>
      <c r="C1280" t="s">
        <v>86</v>
      </c>
      <c r="D1280" t="s">
        <v>801</v>
      </c>
      <c r="E1280" t="s">
        <v>1017</v>
      </c>
      <c r="F1280" t="s">
        <v>92</v>
      </c>
      <c r="G1280" s="12">
        <v>48</v>
      </c>
      <c r="H1280" s="12">
        <v>3584</v>
      </c>
      <c r="I1280" s="12">
        <v>48</v>
      </c>
      <c r="J1280" t="str">
        <f>VLOOKUP(B1280,Paramètres!$A$4:$C$11,3,FALSE)</f>
        <v>Paris</v>
      </c>
      <c r="K1280" s="13">
        <f>IFERROR(H1280/G1280,"")</f>
        <v>74.666666666666671</v>
      </c>
      <c r="L1280" s="14">
        <f>IFERROR(I1280/G1280,"")</f>
        <v>1</v>
      </c>
      <c r="M1280" s="11" t="str">
        <f>IF(K1280&gt;=Paramètres!$F$6,"Très forte",IF(K1280&gt;=Paramètres!$F$5,"Forte",IF(K1280&gt;=Paramètres!$F$4,"Modérée","Faible")))</f>
        <v>Très forte</v>
      </c>
    </row>
    <row r="1281" spans="1:13">
      <c r="A1281" t="s">
        <v>833</v>
      </c>
      <c r="B1281" s="11">
        <v>75</v>
      </c>
      <c r="C1281" t="s">
        <v>86</v>
      </c>
      <c r="D1281" t="s">
        <v>801</v>
      </c>
      <c r="E1281" t="s">
        <v>827</v>
      </c>
      <c r="F1281" t="s">
        <v>92</v>
      </c>
      <c r="G1281" s="12">
        <v>48</v>
      </c>
      <c r="H1281" s="12">
        <v>3563</v>
      </c>
      <c r="I1281" s="12">
        <v>46</v>
      </c>
      <c r="J1281" t="str">
        <f>VLOOKUP(B1281,Paramètres!$A$4:$C$11,3,FALSE)</f>
        <v>Paris</v>
      </c>
      <c r="K1281" s="13">
        <f>IFERROR(H1281/G1281,"")</f>
        <v>74.229166666666671</v>
      </c>
      <c r="L1281" s="14">
        <f>IFERROR(I1281/G1281,"")</f>
        <v>0.95833333333333337</v>
      </c>
      <c r="M1281" s="11" t="str">
        <f>IF(K1281&gt;=Paramètres!$F$6,"Très forte",IF(K1281&gt;=Paramètres!$F$5,"Forte",IF(K1281&gt;=Paramètres!$F$4,"Modérée","Faible")))</f>
        <v>Très forte</v>
      </c>
    </row>
    <row r="1282" spans="1:13">
      <c r="A1282" t="s">
        <v>804</v>
      </c>
      <c r="B1282" s="11">
        <v>75</v>
      </c>
      <c r="C1282" t="s">
        <v>86</v>
      </c>
      <c r="D1282" t="s">
        <v>801</v>
      </c>
      <c r="E1282" t="s">
        <v>1017</v>
      </c>
      <c r="F1282" t="s">
        <v>92</v>
      </c>
      <c r="G1282" s="12">
        <v>48</v>
      </c>
      <c r="H1282" s="12">
        <v>3389</v>
      </c>
      <c r="I1282" s="12">
        <v>48</v>
      </c>
      <c r="J1282" t="str">
        <f>VLOOKUP(B1282,Paramètres!$A$4:$C$11,3,FALSE)</f>
        <v>Paris</v>
      </c>
      <c r="K1282" s="13">
        <f>IFERROR(H1282/G1282,"")</f>
        <v>70.604166666666671</v>
      </c>
      <c r="L1282" s="14">
        <f>IFERROR(I1282/G1282,"")</f>
        <v>1</v>
      </c>
      <c r="M1282" s="11" t="str">
        <f>IF(K1282&gt;=Paramètres!$F$6,"Très forte",IF(K1282&gt;=Paramètres!$F$5,"Forte",IF(K1282&gt;=Paramètres!$F$4,"Modérée","Faible")))</f>
        <v>Très forte</v>
      </c>
    </row>
    <row r="1283" spans="1:13">
      <c r="A1283" t="s">
        <v>810</v>
      </c>
      <c r="B1283" s="11">
        <v>75</v>
      </c>
      <c r="C1283" t="s">
        <v>86</v>
      </c>
      <c r="D1283" t="s">
        <v>801</v>
      </c>
      <c r="E1283" t="s">
        <v>802</v>
      </c>
      <c r="F1283" t="s">
        <v>92</v>
      </c>
      <c r="G1283" s="12">
        <v>48</v>
      </c>
      <c r="H1283" s="12">
        <v>3352</v>
      </c>
      <c r="I1283" s="12">
        <v>48</v>
      </c>
      <c r="J1283" t="str">
        <f>VLOOKUP(B1283,Paramètres!$A$4:$C$11,3,FALSE)</f>
        <v>Paris</v>
      </c>
      <c r="K1283" s="13">
        <f>IFERROR(H1283/G1283,"")</f>
        <v>69.833333333333329</v>
      </c>
      <c r="L1283" s="14">
        <f>IFERROR(I1283/G1283,"")</f>
        <v>1</v>
      </c>
      <c r="M1283" s="11" t="str">
        <f>IF(K1283&gt;=Paramètres!$F$6,"Très forte",IF(K1283&gt;=Paramètres!$F$5,"Forte",IF(K1283&gt;=Paramètres!$F$4,"Modérée","Faible")))</f>
        <v>Très forte</v>
      </c>
    </row>
    <row r="1284" spans="1:13">
      <c r="A1284" t="s">
        <v>840</v>
      </c>
      <c r="B1284" s="11">
        <v>75</v>
      </c>
      <c r="C1284" t="s">
        <v>86</v>
      </c>
      <c r="D1284" t="s">
        <v>801</v>
      </c>
      <c r="E1284" t="s">
        <v>827</v>
      </c>
      <c r="F1284" t="s">
        <v>92</v>
      </c>
      <c r="G1284" s="12">
        <v>48</v>
      </c>
      <c r="H1284" s="12">
        <v>3274</v>
      </c>
      <c r="I1284" s="12">
        <v>43</v>
      </c>
      <c r="J1284" t="str">
        <f>VLOOKUP(B1284,Paramètres!$A$4:$C$11,3,FALSE)</f>
        <v>Paris</v>
      </c>
      <c r="K1284" s="13">
        <f>IFERROR(H1284/G1284,"")</f>
        <v>68.208333333333329</v>
      </c>
      <c r="L1284" s="14">
        <f>IFERROR(I1284/G1284,"")</f>
        <v>0.89583333333333337</v>
      </c>
      <c r="M1284" s="11" t="str">
        <f>IF(K1284&gt;=Paramètres!$F$6,"Très forte",IF(K1284&gt;=Paramètres!$F$5,"Forte",IF(K1284&gt;=Paramètres!$F$4,"Modérée","Faible")))</f>
        <v>Très forte</v>
      </c>
    </row>
    <row r="1285" spans="1:13">
      <c r="A1285" t="s">
        <v>1203</v>
      </c>
      <c r="B1285" s="11">
        <v>75</v>
      </c>
      <c r="C1285" t="s">
        <v>86</v>
      </c>
      <c r="D1285" t="s">
        <v>801</v>
      </c>
      <c r="E1285" t="s">
        <v>1011</v>
      </c>
      <c r="F1285" t="s">
        <v>92</v>
      </c>
      <c r="G1285" s="12">
        <v>48</v>
      </c>
      <c r="H1285" s="12">
        <v>3247</v>
      </c>
      <c r="I1285" s="12">
        <v>47</v>
      </c>
      <c r="J1285" t="str">
        <f>VLOOKUP(B1285,Paramètres!$A$4:$C$11,3,FALSE)</f>
        <v>Paris</v>
      </c>
      <c r="K1285" s="13">
        <f>IFERROR(H1285/G1285,"")</f>
        <v>67.645833333333329</v>
      </c>
      <c r="L1285" s="14">
        <f>IFERROR(I1285/G1285,"")</f>
        <v>0.97916666666666663</v>
      </c>
      <c r="M1285" s="11" t="str">
        <f>IF(K1285&gt;=Paramètres!$F$6,"Très forte",IF(K1285&gt;=Paramètres!$F$5,"Forte",IF(K1285&gt;=Paramètres!$F$4,"Modérée","Faible")))</f>
        <v>Très forte</v>
      </c>
    </row>
    <row r="1286" spans="1:13">
      <c r="A1286" t="s">
        <v>1024</v>
      </c>
      <c r="B1286" s="11">
        <v>75</v>
      </c>
      <c r="C1286" t="s">
        <v>86</v>
      </c>
      <c r="D1286" t="s">
        <v>801</v>
      </c>
      <c r="E1286" t="s">
        <v>1017</v>
      </c>
      <c r="F1286" t="s">
        <v>92</v>
      </c>
      <c r="G1286" s="12">
        <v>48</v>
      </c>
      <c r="H1286" s="12">
        <v>3189</v>
      </c>
      <c r="I1286" s="12">
        <v>48</v>
      </c>
      <c r="J1286" t="str">
        <f>VLOOKUP(B1286,Paramètres!$A$4:$C$11,3,FALSE)</f>
        <v>Paris</v>
      </c>
      <c r="K1286" s="13">
        <f>IFERROR(H1286/G1286,"")</f>
        <v>66.4375</v>
      </c>
      <c r="L1286" s="14">
        <f>IFERROR(I1286/G1286,"")</f>
        <v>1</v>
      </c>
      <c r="M1286" s="11" t="str">
        <f>IF(K1286&gt;=Paramètres!$F$6,"Très forte",IF(K1286&gt;=Paramètres!$F$5,"Forte",IF(K1286&gt;=Paramètres!$F$4,"Modérée","Faible")))</f>
        <v>Très forte</v>
      </c>
    </row>
    <row r="1287" spans="1:13">
      <c r="A1287" t="s">
        <v>804</v>
      </c>
      <c r="B1287" s="11">
        <v>75</v>
      </c>
      <c r="C1287" t="s">
        <v>86</v>
      </c>
      <c r="D1287" t="s">
        <v>801</v>
      </c>
      <c r="E1287" t="s">
        <v>827</v>
      </c>
      <c r="F1287" t="s">
        <v>92</v>
      </c>
      <c r="G1287" s="12">
        <v>142</v>
      </c>
      <c r="H1287" s="12">
        <v>9367</v>
      </c>
      <c r="I1287" s="12">
        <v>140</v>
      </c>
      <c r="J1287" t="str">
        <f>VLOOKUP(B1287,Paramètres!$A$4:$C$11,3,FALSE)</f>
        <v>Paris</v>
      </c>
      <c r="K1287" s="13">
        <f>IFERROR(H1287/G1287,"")</f>
        <v>65.964788732394368</v>
      </c>
      <c r="L1287" s="14">
        <f>IFERROR(I1287/G1287,"")</f>
        <v>0.9859154929577465</v>
      </c>
      <c r="M1287" s="11" t="str">
        <f>IF(K1287&gt;=Paramètres!$F$6,"Très forte",IF(K1287&gt;=Paramètres!$F$5,"Forte",IF(K1287&gt;=Paramètres!$F$4,"Modérée","Faible")))</f>
        <v>Très forte</v>
      </c>
    </row>
    <row r="1288" spans="1:13">
      <c r="A1288" t="s">
        <v>813</v>
      </c>
      <c r="B1288" s="11">
        <v>92</v>
      </c>
      <c r="C1288" t="s">
        <v>94</v>
      </c>
      <c r="D1288" t="s">
        <v>801</v>
      </c>
      <c r="E1288" t="s">
        <v>802</v>
      </c>
      <c r="F1288" t="s">
        <v>92</v>
      </c>
      <c r="G1288" s="12">
        <v>25</v>
      </c>
      <c r="H1288" s="12">
        <v>1638</v>
      </c>
      <c r="I1288" s="12">
        <v>25</v>
      </c>
      <c r="J1288" t="str">
        <f>VLOOKUP(B1288,Paramètres!$A$4:$C$11,3,FALSE)</f>
        <v>Petite couronne</v>
      </c>
      <c r="K1288" s="13">
        <f>IFERROR(H1288/G1288,"")</f>
        <v>65.52</v>
      </c>
      <c r="L1288" s="14">
        <f>IFERROR(I1288/G1288,"")</f>
        <v>1</v>
      </c>
      <c r="M1288" s="11" t="str">
        <f>IF(K1288&gt;=Paramètres!$F$6,"Très forte",IF(K1288&gt;=Paramètres!$F$5,"Forte",IF(K1288&gt;=Paramètres!$F$4,"Modérée","Faible")))</f>
        <v>Très forte</v>
      </c>
    </row>
    <row r="1289" spans="1:13">
      <c r="A1289" t="s">
        <v>804</v>
      </c>
      <c r="B1289" s="11">
        <v>75</v>
      </c>
      <c r="C1289" t="s">
        <v>86</v>
      </c>
      <c r="D1289" t="s">
        <v>801</v>
      </c>
      <c r="E1289" t="s">
        <v>869</v>
      </c>
      <c r="F1289" t="s">
        <v>92</v>
      </c>
      <c r="G1289" s="12">
        <v>48</v>
      </c>
      <c r="H1289" s="12">
        <v>3095</v>
      </c>
      <c r="I1289" s="12">
        <v>48</v>
      </c>
      <c r="J1289" t="str">
        <f>VLOOKUP(B1289,Paramètres!$A$4:$C$11,3,FALSE)</f>
        <v>Paris</v>
      </c>
      <c r="K1289" s="13">
        <f>IFERROR(H1289/G1289,"")</f>
        <v>64.479166666666671</v>
      </c>
      <c r="L1289" s="14">
        <f>IFERROR(I1289/G1289,"")</f>
        <v>1</v>
      </c>
      <c r="M1289" s="11" t="str">
        <f>IF(K1289&gt;=Paramètres!$F$6,"Très forte",IF(K1289&gt;=Paramètres!$F$5,"Forte",IF(K1289&gt;=Paramètres!$F$4,"Modérée","Faible")))</f>
        <v>Très forte</v>
      </c>
    </row>
    <row r="1290" spans="1:13">
      <c r="A1290" t="s">
        <v>813</v>
      </c>
      <c r="B1290" s="11">
        <v>92</v>
      </c>
      <c r="C1290" t="s">
        <v>94</v>
      </c>
      <c r="D1290" t="s">
        <v>801</v>
      </c>
      <c r="E1290" t="s">
        <v>802</v>
      </c>
      <c r="F1290" t="s">
        <v>92</v>
      </c>
      <c r="G1290" s="12">
        <v>23</v>
      </c>
      <c r="H1290" s="12">
        <v>1459</v>
      </c>
      <c r="I1290" s="12">
        <v>21</v>
      </c>
      <c r="J1290" t="str">
        <f>VLOOKUP(B1290,Paramètres!$A$4:$C$11,3,FALSE)</f>
        <v>Petite couronne</v>
      </c>
      <c r="K1290" s="13">
        <f>IFERROR(H1290/G1290,"")</f>
        <v>63.434782608695649</v>
      </c>
      <c r="L1290" s="14">
        <f>IFERROR(I1290/G1290,"")</f>
        <v>0.91304347826086951</v>
      </c>
      <c r="M1290" s="11" t="str">
        <f>IF(K1290&gt;=Paramètres!$F$6,"Très forte",IF(K1290&gt;=Paramètres!$F$5,"Forte",IF(K1290&gt;=Paramètres!$F$4,"Modérée","Faible")))</f>
        <v>Très forte</v>
      </c>
    </row>
    <row r="1291" spans="1:13">
      <c r="A1291" t="s">
        <v>820</v>
      </c>
      <c r="B1291" s="11">
        <v>75</v>
      </c>
      <c r="C1291" t="s">
        <v>86</v>
      </c>
      <c r="D1291" t="s">
        <v>801</v>
      </c>
      <c r="E1291" t="s">
        <v>1021</v>
      </c>
      <c r="F1291" t="s">
        <v>92</v>
      </c>
      <c r="G1291" s="12">
        <v>48</v>
      </c>
      <c r="H1291" s="12">
        <v>3027</v>
      </c>
      <c r="I1291" s="12">
        <v>47</v>
      </c>
      <c r="J1291" t="str">
        <f>VLOOKUP(B1291,Paramètres!$A$4:$C$11,3,FALSE)</f>
        <v>Paris</v>
      </c>
      <c r="K1291" s="13">
        <f>IFERROR(H1291/G1291,"")</f>
        <v>63.0625</v>
      </c>
      <c r="L1291" s="14">
        <f>IFERROR(I1291/G1291,"")</f>
        <v>0.97916666666666663</v>
      </c>
      <c r="M1291" s="11" t="str">
        <f>IF(K1291&gt;=Paramètres!$F$6,"Très forte",IF(K1291&gt;=Paramètres!$F$5,"Forte",IF(K1291&gt;=Paramètres!$F$4,"Modérée","Faible")))</f>
        <v>Très forte</v>
      </c>
    </row>
    <row r="1292" spans="1:13">
      <c r="A1292" t="s">
        <v>826</v>
      </c>
      <c r="B1292" s="11">
        <v>75</v>
      </c>
      <c r="C1292" t="s">
        <v>86</v>
      </c>
      <c r="D1292" t="s">
        <v>801</v>
      </c>
      <c r="E1292" t="s">
        <v>834</v>
      </c>
      <c r="F1292" t="s">
        <v>92</v>
      </c>
      <c r="G1292" s="12">
        <v>96</v>
      </c>
      <c r="H1292" s="12">
        <v>6033</v>
      </c>
      <c r="I1292" s="12">
        <v>95</v>
      </c>
      <c r="J1292" t="str">
        <f>VLOOKUP(B1292,Paramètres!$A$4:$C$11,3,FALSE)</f>
        <v>Paris</v>
      </c>
      <c r="K1292" s="13">
        <f>IFERROR(H1292/G1292,"")</f>
        <v>62.84375</v>
      </c>
      <c r="L1292" s="14">
        <f>IFERROR(I1292/G1292,"")</f>
        <v>0.98958333333333337</v>
      </c>
      <c r="M1292" s="11" t="str">
        <f>IF(K1292&gt;=Paramètres!$F$6,"Très forte",IF(K1292&gt;=Paramètres!$F$5,"Forte",IF(K1292&gt;=Paramètres!$F$4,"Modérée","Faible")))</f>
        <v>Très forte</v>
      </c>
    </row>
    <row r="1293" spans="1:13">
      <c r="A1293" t="s">
        <v>794</v>
      </c>
      <c r="B1293" s="11">
        <v>75</v>
      </c>
      <c r="C1293" t="s">
        <v>86</v>
      </c>
      <c r="D1293" t="s">
        <v>801</v>
      </c>
      <c r="E1293" t="s">
        <v>869</v>
      </c>
      <c r="F1293" t="s">
        <v>92</v>
      </c>
      <c r="G1293" s="12">
        <v>48</v>
      </c>
      <c r="H1293" s="12">
        <v>2957</v>
      </c>
      <c r="I1293" s="12">
        <v>47</v>
      </c>
      <c r="J1293" t="str">
        <f>VLOOKUP(B1293,Paramètres!$A$4:$C$11,3,FALSE)</f>
        <v>Paris</v>
      </c>
      <c r="K1293" s="13">
        <f>IFERROR(H1293/G1293,"")</f>
        <v>61.604166666666664</v>
      </c>
      <c r="L1293" s="14">
        <f>IFERROR(I1293/G1293,"")</f>
        <v>0.97916666666666663</v>
      </c>
      <c r="M1293" s="11" t="str">
        <f>IF(K1293&gt;=Paramètres!$F$6,"Très forte",IF(K1293&gt;=Paramètres!$F$5,"Forte",IF(K1293&gt;=Paramètres!$F$4,"Modérée","Faible")))</f>
        <v>Très forte</v>
      </c>
    </row>
    <row r="1294" spans="1:13">
      <c r="A1294" t="s">
        <v>828</v>
      </c>
      <c r="B1294" s="11">
        <v>75</v>
      </c>
      <c r="C1294" t="s">
        <v>86</v>
      </c>
      <c r="D1294" t="s">
        <v>801</v>
      </c>
      <c r="E1294" t="s">
        <v>834</v>
      </c>
      <c r="F1294" t="s">
        <v>92</v>
      </c>
      <c r="G1294" s="12">
        <v>96</v>
      </c>
      <c r="H1294" s="12">
        <v>5783</v>
      </c>
      <c r="I1294" s="12">
        <v>95</v>
      </c>
      <c r="J1294" t="str">
        <f>VLOOKUP(B1294,Paramètres!$A$4:$C$11,3,FALSE)</f>
        <v>Paris</v>
      </c>
      <c r="K1294" s="13">
        <f>IFERROR(H1294/G1294,"")</f>
        <v>60.239583333333336</v>
      </c>
      <c r="L1294" s="14">
        <f>IFERROR(I1294/G1294,"")</f>
        <v>0.98958333333333337</v>
      </c>
      <c r="M1294" s="11" t="str">
        <f>IF(K1294&gt;=Paramètres!$F$6,"Très forte",IF(K1294&gt;=Paramètres!$F$5,"Forte",IF(K1294&gt;=Paramètres!$F$4,"Modérée","Faible")))</f>
        <v>Très forte</v>
      </c>
    </row>
    <row r="1295" spans="1:13">
      <c r="A1295" t="s">
        <v>841</v>
      </c>
      <c r="B1295" s="11">
        <v>75</v>
      </c>
      <c r="C1295" t="s">
        <v>86</v>
      </c>
      <c r="D1295" t="s">
        <v>801</v>
      </c>
      <c r="E1295" t="s">
        <v>827</v>
      </c>
      <c r="F1295" t="s">
        <v>92</v>
      </c>
      <c r="G1295" s="12">
        <v>48</v>
      </c>
      <c r="H1295" s="12">
        <v>2864</v>
      </c>
      <c r="I1295" s="12">
        <v>48</v>
      </c>
      <c r="J1295" t="str">
        <f>VLOOKUP(B1295,Paramètres!$A$4:$C$11,3,FALSE)</f>
        <v>Paris</v>
      </c>
      <c r="K1295" s="13">
        <f>IFERROR(H1295/G1295,"")</f>
        <v>59.666666666666664</v>
      </c>
      <c r="L1295" s="14">
        <f>IFERROR(I1295/G1295,"")</f>
        <v>1</v>
      </c>
      <c r="M1295" s="11" t="str">
        <f>IF(K1295&gt;=Paramètres!$F$6,"Très forte",IF(K1295&gt;=Paramètres!$F$5,"Forte",IF(K1295&gt;=Paramètres!$F$4,"Modérée","Faible")))</f>
        <v>Très forte</v>
      </c>
    </row>
    <row r="1296" spans="1:13">
      <c r="A1296" t="s">
        <v>856</v>
      </c>
      <c r="B1296" s="11">
        <v>75</v>
      </c>
      <c r="C1296" t="s">
        <v>86</v>
      </c>
      <c r="D1296" t="s">
        <v>801</v>
      </c>
      <c r="E1296" t="s">
        <v>1021</v>
      </c>
      <c r="F1296" t="s">
        <v>92</v>
      </c>
      <c r="G1296" s="12">
        <v>48</v>
      </c>
      <c r="H1296" s="12">
        <v>2856</v>
      </c>
      <c r="I1296" s="12">
        <v>50</v>
      </c>
      <c r="J1296" t="str">
        <f>VLOOKUP(B1296,Paramètres!$A$4:$C$11,3,FALSE)</f>
        <v>Paris</v>
      </c>
      <c r="K1296" s="13">
        <f>IFERROR(H1296/G1296,"")</f>
        <v>59.5</v>
      </c>
      <c r="L1296" s="14">
        <f>IFERROR(I1296/G1296,"")</f>
        <v>1.0416666666666667</v>
      </c>
      <c r="M1296" s="11" t="str">
        <f>IF(K1296&gt;=Paramètres!$F$6,"Très forte",IF(K1296&gt;=Paramètres!$F$5,"Forte",IF(K1296&gt;=Paramètres!$F$4,"Modérée","Faible")))</f>
        <v>Très forte</v>
      </c>
    </row>
    <row r="1297" spans="1:13">
      <c r="A1297" t="s">
        <v>1128</v>
      </c>
      <c r="B1297" s="11">
        <v>75</v>
      </c>
      <c r="C1297" t="s">
        <v>86</v>
      </c>
      <c r="D1297" t="s">
        <v>801</v>
      </c>
      <c r="E1297" t="s">
        <v>802</v>
      </c>
      <c r="F1297" t="s">
        <v>92</v>
      </c>
      <c r="G1297" s="12">
        <v>40</v>
      </c>
      <c r="H1297" s="12">
        <v>2365</v>
      </c>
      <c r="I1297" s="12">
        <v>40</v>
      </c>
      <c r="J1297" t="str">
        <f>VLOOKUP(B1297,Paramètres!$A$4:$C$11,3,FALSE)</f>
        <v>Paris</v>
      </c>
      <c r="K1297" s="13">
        <f>IFERROR(H1297/G1297,"")</f>
        <v>59.125</v>
      </c>
      <c r="L1297" s="14">
        <f>IFERROR(I1297/G1297,"")</f>
        <v>1</v>
      </c>
      <c r="M1297" s="11" t="str">
        <f>IF(K1297&gt;=Paramètres!$F$6,"Très forte",IF(K1297&gt;=Paramètres!$F$5,"Forte",IF(K1297&gt;=Paramètres!$F$4,"Modérée","Faible")))</f>
        <v>Très forte</v>
      </c>
    </row>
    <row r="1298" spans="1:13">
      <c r="A1298" t="s">
        <v>1025</v>
      </c>
      <c r="B1298" s="11">
        <v>75</v>
      </c>
      <c r="C1298" t="s">
        <v>86</v>
      </c>
      <c r="D1298" t="s">
        <v>801</v>
      </c>
      <c r="E1298" t="s">
        <v>830</v>
      </c>
      <c r="F1298" t="s">
        <v>92</v>
      </c>
      <c r="G1298" s="12">
        <v>48</v>
      </c>
      <c r="H1298" s="12">
        <v>2815</v>
      </c>
      <c r="I1298" s="12">
        <v>47</v>
      </c>
      <c r="J1298" t="str">
        <f>VLOOKUP(B1298,Paramètres!$A$4:$C$11,3,FALSE)</f>
        <v>Paris</v>
      </c>
      <c r="K1298" s="13">
        <f>IFERROR(H1298/G1298,"")</f>
        <v>58.645833333333336</v>
      </c>
      <c r="L1298" s="14">
        <f>IFERROR(I1298/G1298,"")</f>
        <v>0.97916666666666663</v>
      </c>
      <c r="M1298" s="11" t="str">
        <f>IF(K1298&gt;=Paramètres!$F$6,"Très forte",IF(K1298&gt;=Paramètres!$F$5,"Forte",IF(K1298&gt;=Paramètres!$F$4,"Modérée","Faible")))</f>
        <v>Très forte</v>
      </c>
    </row>
    <row r="1299" spans="1:13">
      <c r="A1299" t="s">
        <v>1023</v>
      </c>
      <c r="B1299" s="11">
        <v>75</v>
      </c>
      <c r="C1299" t="s">
        <v>86</v>
      </c>
      <c r="D1299" t="s">
        <v>801</v>
      </c>
      <c r="E1299" t="s">
        <v>827</v>
      </c>
      <c r="F1299" t="s">
        <v>92</v>
      </c>
      <c r="G1299" s="12">
        <v>96</v>
      </c>
      <c r="H1299" s="12">
        <v>5603</v>
      </c>
      <c r="I1299" s="12">
        <v>94</v>
      </c>
      <c r="J1299" t="str">
        <f>VLOOKUP(B1299,Paramètres!$A$4:$C$11,3,FALSE)</f>
        <v>Paris</v>
      </c>
      <c r="K1299" s="13">
        <f>IFERROR(H1299/G1299,"")</f>
        <v>58.364583333333336</v>
      </c>
      <c r="L1299" s="14">
        <f>IFERROR(I1299/G1299,"")</f>
        <v>0.97916666666666663</v>
      </c>
      <c r="M1299" s="11" t="str">
        <f>IF(K1299&gt;=Paramètres!$F$6,"Très forte",IF(K1299&gt;=Paramètres!$F$5,"Forte",IF(K1299&gt;=Paramètres!$F$4,"Modérée","Faible")))</f>
        <v>Très forte</v>
      </c>
    </row>
    <row r="1300" spans="1:13">
      <c r="A1300" t="s">
        <v>1027</v>
      </c>
      <c r="B1300" s="11">
        <v>75</v>
      </c>
      <c r="C1300" t="s">
        <v>86</v>
      </c>
      <c r="D1300" t="s">
        <v>801</v>
      </c>
      <c r="E1300" t="s">
        <v>869</v>
      </c>
      <c r="F1300" t="s">
        <v>92</v>
      </c>
      <c r="G1300" s="12">
        <v>48</v>
      </c>
      <c r="H1300" s="12">
        <v>2800</v>
      </c>
      <c r="I1300" s="12">
        <v>50</v>
      </c>
      <c r="J1300" t="str">
        <f>VLOOKUP(B1300,Paramètres!$A$4:$C$11,3,FALSE)</f>
        <v>Paris</v>
      </c>
      <c r="K1300" s="13">
        <f>IFERROR(H1300/G1300,"")</f>
        <v>58.333333333333336</v>
      </c>
      <c r="L1300" s="14">
        <f>IFERROR(I1300/G1300,"")</f>
        <v>1.0416666666666667</v>
      </c>
      <c r="M1300" s="11" t="str">
        <f>IF(K1300&gt;=Paramètres!$F$6,"Très forte",IF(K1300&gt;=Paramètres!$F$5,"Forte",IF(K1300&gt;=Paramètres!$F$4,"Modérée","Faible")))</f>
        <v>Très forte</v>
      </c>
    </row>
    <row r="1301" spans="1:13">
      <c r="A1301" t="s">
        <v>1015</v>
      </c>
      <c r="B1301" s="11">
        <v>92</v>
      </c>
      <c r="C1301" t="s">
        <v>94</v>
      </c>
      <c r="D1301" t="s">
        <v>801</v>
      </c>
      <c r="E1301" t="s">
        <v>802</v>
      </c>
      <c r="F1301" t="s">
        <v>92</v>
      </c>
      <c r="G1301" s="12">
        <v>24</v>
      </c>
      <c r="H1301" s="12">
        <v>1399</v>
      </c>
      <c r="I1301" s="12">
        <v>17</v>
      </c>
      <c r="J1301" t="str">
        <f>VLOOKUP(B1301,Paramètres!$A$4:$C$11,3,FALSE)</f>
        <v>Petite couronne</v>
      </c>
      <c r="K1301" s="13">
        <f>IFERROR(H1301/G1301,"")</f>
        <v>58.291666666666664</v>
      </c>
      <c r="L1301" s="14">
        <f>IFERROR(I1301/G1301,"")</f>
        <v>0.70833333333333337</v>
      </c>
      <c r="M1301" s="11" t="str">
        <f>IF(K1301&gt;=Paramètres!$F$6,"Très forte",IF(K1301&gt;=Paramètres!$F$5,"Forte",IF(K1301&gt;=Paramètres!$F$4,"Modérée","Faible")))</f>
        <v>Très forte</v>
      </c>
    </row>
    <row r="1302" spans="1:13">
      <c r="A1302" t="s">
        <v>1072</v>
      </c>
      <c r="B1302" s="11">
        <v>92</v>
      </c>
      <c r="C1302" t="s">
        <v>94</v>
      </c>
      <c r="D1302" t="s">
        <v>801</v>
      </c>
      <c r="E1302" t="s">
        <v>869</v>
      </c>
      <c r="F1302" t="s">
        <v>92</v>
      </c>
      <c r="G1302" s="12">
        <v>48</v>
      </c>
      <c r="H1302" s="12">
        <v>2785</v>
      </c>
      <c r="I1302" s="12">
        <v>48</v>
      </c>
      <c r="J1302" t="str">
        <f>VLOOKUP(B1302,Paramètres!$A$4:$C$11,3,FALSE)</f>
        <v>Petite couronne</v>
      </c>
      <c r="K1302" s="13">
        <f>IFERROR(H1302/G1302,"")</f>
        <v>58.020833333333336</v>
      </c>
      <c r="L1302" s="14">
        <f>IFERROR(I1302/G1302,"")</f>
        <v>1</v>
      </c>
      <c r="M1302" s="11" t="str">
        <f>IF(K1302&gt;=Paramètres!$F$6,"Très forte",IF(K1302&gt;=Paramètres!$F$5,"Forte",IF(K1302&gt;=Paramètres!$F$4,"Modérée","Faible")))</f>
        <v>Très forte</v>
      </c>
    </row>
    <row r="1303" spans="1:13">
      <c r="A1303" t="s">
        <v>1025</v>
      </c>
      <c r="B1303" s="11">
        <v>75</v>
      </c>
      <c r="C1303" t="s">
        <v>86</v>
      </c>
      <c r="D1303" t="s">
        <v>801</v>
      </c>
      <c r="E1303" t="s">
        <v>827</v>
      </c>
      <c r="F1303" t="s">
        <v>92</v>
      </c>
      <c r="G1303" s="12">
        <v>96</v>
      </c>
      <c r="H1303" s="12">
        <v>5539</v>
      </c>
      <c r="I1303" s="12">
        <v>94</v>
      </c>
      <c r="J1303" t="str">
        <f>VLOOKUP(B1303,Paramètres!$A$4:$C$11,3,FALSE)</f>
        <v>Paris</v>
      </c>
      <c r="K1303" s="13">
        <f>IFERROR(H1303/G1303,"")</f>
        <v>57.697916666666664</v>
      </c>
      <c r="L1303" s="14">
        <f>IFERROR(I1303/G1303,"")</f>
        <v>0.97916666666666663</v>
      </c>
      <c r="M1303" s="11" t="str">
        <f>IF(K1303&gt;=Paramètres!$F$6,"Très forte",IF(K1303&gt;=Paramètres!$F$5,"Forte",IF(K1303&gt;=Paramètres!$F$4,"Modérée","Faible")))</f>
        <v>Très forte</v>
      </c>
    </row>
    <row r="1304" spans="1:13">
      <c r="A1304" t="s">
        <v>826</v>
      </c>
      <c r="B1304" s="11">
        <v>75</v>
      </c>
      <c r="C1304" t="s">
        <v>86</v>
      </c>
      <c r="D1304" t="s">
        <v>801</v>
      </c>
      <c r="E1304" t="s">
        <v>827</v>
      </c>
      <c r="F1304" t="s">
        <v>92</v>
      </c>
      <c r="G1304" s="12">
        <v>144</v>
      </c>
      <c r="H1304" s="12">
        <v>8275</v>
      </c>
      <c r="I1304" s="12">
        <v>144</v>
      </c>
      <c r="J1304" t="str">
        <f>VLOOKUP(B1304,Paramètres!$A$4:$C$11,3,FALSE)</f>
        <v>Paris</v>
      </c>
      <c r="K1304" s="13">
        <f>IFERROR(H1304/G1304,"")</f>
        <v>57.465277777777779</v>
      </c>
      <c r="L1304" s="14">
        <f>IFERROR(I1304/G1304,"")</f>
        <v>1</v>
      </c>
      <c r="M1304" s="11" t="str">
        <f>IF(K1304&gt;=Paramètres!$F$6,"Très forte",IF(K1304&gt;=Paramètres!$F$5,"Forte",IF(K1304&gt;=Paramètres!$F$4,"Modérée","Faible")))</f>
        <v>Très forte</v>
      </c>
    </row>
    <row r="1305" spans="1:13">
      <c r="A1305" t="s">
        <v>803</v>
      </c>
      <c r="B1305" s="11">
        <v>94</v>
      </c>
      <c r="C1305" t="s">
        <v>116</v>
      </c>
      <c r="D1305" t="s">
        <v>801</v>
      </c>
      <c r="E1305" t="s">
        <v>802</v>
      </c>
      <c r="F1305" t="s">
        <v>92</v>
      </c>
      <c r="G1305" s="12">
        <v>24</v>
      </c>
      <c r="H1305" s="12">
        <v>1367</v>
      </c>
      <c r="I1305" s="12">
        <v>24</v>
      </c>
      <c r="J1305" t="str">
        <f>VLOOKUP(B1305,Paramètres!$A$4:$C$11,3,FALSE)</f>
        <v>Petite couronne</v>
      </c>
      <c r="K1305" s="13">
        <f>IFERROR(H1305/G1305,"")</f>
        <v>56.958333333333336</v>
      </c>
      <c r="L1305" s="14">
        <f>IFERROR(I1305/G1305,"")</f>
        <v>1</v>
      </c>
      <c r="M1305" s="11" t="str">
        <f>IF(K1305&gt;=Paramètres!$F$6,"Très forte",IF(K1305&gt;=Paramètres!$F$5,"Forte",IF(K1305&gt;=Paramètres!$F$4,"Modérée","Faible")))</f>
        <v>Très forte</v>
      </c>
    </row>
    <row r="1306" spans="1:13">
      <c r="A1306" t="s">
        <v>794</v>
      </c>
      <c r="B1306" s="11">
        <v>75</v>
      </c>
      <c r="C1306" t="s">
        <v>86</v>
      </c>
      <c r="D1306" t="s">
        <v>801</v>
      </c>
      <c r="E1306" t="s">
        <v>830</v>
      </c>
      <c r="F1306" t="s">
        <v>92</v>
      </c>
      <c r="G1306" s="12">
        <v>48</v>
      </c>
      <c r="H1306" s="12">
        <v>2717</v>
      </c>
      <c r="I1306" s="12">
        <v>45</v>
      </c>
      <c r="J1306" t="str">
        <f>VLOOKUP(B1306,Paramètres!$A$4:$C$11,3,FALSE)</f>
        <v>Paris</v>
      </c>
      <c r="K1306" s="13">
        <f>IFERROR(H1306/G1306,"")</f>
        <v>56.604166666666664</v>
      </c>
      <c r="L1306" s="14">
        <f>IFERROR(I1306/G1306,"")</f>
        <v>0.9375</v>
      </c>
      <c r="M1306" s="11" t="str">
        <f>IF(K1306&gt;=Paramètres!$F$6,"Très forte",IF(K1306&gt;=Paramètres!$F$5,"Forte",IF(K1306&gt;=Paramètres!$F$4,"Modérée","Faible")))</f>
        <v>Très forte</v>
      </c>
    </row>
    <row r="1307" spans="1:13">
      <c r="A1307" t="s">
        <v>810</v>
      </c>
      <c r="B1307" s="11">
        <v>75</v>
      </c>
      <c r="C1307" t="s">
        <v>86</v>
      </c>
      <c r="D1307" t="s">
        <v>801</v>
      </c>
      <c r="E1307" t="s">
        <v>802</v>
      </c>
      <c r="F1307" t="s">
        <v>92</v>
      </c>
      <c r="G1307" s="12">
        <v>48</v>
      </c>
      <c r="H1307" s="12">
        <v>2651</v>
      </c>
      <c r="I1307" s="12">
        <v>47</v>
      </c>
      <c r="J1307" t="str">
        <f>VLOOKUP(B1307,Paramètres!$A$4:$C$11,3,FALSE)</f>
        <v>Paris</v>
      </c>
      <c r="K1307" s="13">
        <f>IFERROR(H1307/G1307,"")</f>
        <v>55.229166666666664</v>
      </c>
      <c r="L1307" s="14">
        <f>IFERROR(I1307/G1307,"")</f>
        <v>0.97916666666666663</v>
      </c>
      <c r="M1307" s="11" t="str">
        <f>IF(K1307&gt;=Paramètres!$F$6,"Très forte",IF(K1307&gt;=Paramètres!$F$5,"Forte",IF(K1307&gt;=Paramètres!$F$4,"Modérée","Faible")))</f>
        <v>Très forte</v>
      </c>
    </row>
    <row r="1308" spans="1:13">
      <c r="A1308" t="s">
        <v>828</v>
      </c>
      <c r="B1308" s="11">
        <v>75</v>
      </c>
      <c r="C1308" t="s">
        <v>86</v>
      </c>
      <c r="D1308" t="s">
        <v>801</v>
      </c>
      <c r="E1308" t="s">
        <v>827</v>
      </c>
      <c r="F1308" t="s">
        <v>92</v>
      </c>
      <c r="G1308" s="12">
        <v>144</v>
      </c>
      <c r="H1308" s="12">
        <v>7840</v>
      </c>
      <c r="I1308" s="12">
        <v>141</v>
      </c>
      <c r="J1308" t="str">
        <f>VLOOKUP(B1308,Paramètres!$A$4:$C$11,3,FALSE)</f>
        <v>Paris</v>
      </c>
      <c r="K1308" s="13">
        <f>IFERROR(H1308/G1308,"")</f>
        <v>54.444444444444443</v>
      </c>
      <c r="L1308" s="14">
        <f>IFERROR(I1308/G1308,"")</f>
        <v>0.97916666666666663</v>
      </c>
      <c r="M1308" s="11" t="str">
        <f>IF(K1308&gt;=Paramètres!$F$6,"Très forte",IF(K1308&gt;=Paramètres!$F$5,"Forte",IF(K1308&gt;=Paramètres!$F$4,"Modérée","Faible")))</f>
        <v>Très forte</v>
      </c>
    </row>
    <row r="1309" spans="1:13">
      <c r="A1309" t="s">
        <v>803</v>
      </c>
      <c r="B1309" s="11">
        <v>94</v>
      </c>
      <c r="C1309" t="s">
        <v>116</v>
      </c>
      <c r="D1309" t="s">
        <v>801</v>
      </c>
      <c r="E1309" t="s">
        <v>802</v>
      </c>
      <c r="F1309" t="s">
        <v>92</v>
      </c>
      <c r="G1309" s="12">
        <v>24</v>
      </c>
      <c r="H1309" s="12">
        <v>1281</v>
      </c>
      <c r="I1309" s="12">
        <v>24</v>
      </c>
      <c r="J1309" t="str">
        <f>VLOOKUP(B1309,Paramètres!$A$4:$C$11,3,FALSE)</f>
        <v>Petite couronne</v>
      </c>
      <c r="K1309" s="13">
        <f>IFERROR(H1309/G1309,"")</f>
        <v>53.375</v>
      </c>
      <c r="L1309" s="14">
        <f>IFERROR(I1309/G1309,"")</f>
        <v>1</v>
      </c>
      <c r="M1309" s="11" t="str">
        <f>IF(K1309&gt;=Paramètres!$F$6,"Très forte",IF(K1309&gt;=Paramètres!$F$5,"Forte",IF(K1309&gt;=Paramètres!$F$4,"Modérée","Faible")))</f>
        <v>Très forte</v>
      </c>
    </row>
    <row r="1310" spans="1:13">
      <c r="A1310" t="s">
        <v>1137</v>
      </c>
      <c r="B1310" s="11">
        <v>75</v>
      </c>
      <c r="C1310" t="s">
        <v>86</v>
      </c>
      <c r="D1310" t="s">
        <v>801</v>
      </c>
      <c r="E1310" t="s">
        <v>830</v>
      </c>
      <c r="F1310" t="s">
        <v>92</v>
      </c>
      <c r="G1310" s="12">
        <v>48</v>
      </c>
      <c r="H1310" s="12">
        <v>2561</v>
      </c>
      <c r="I1310" s="12">
        <v>45</v>
      </c>
      <c r="J1310" t="str">
        <f>VLOOKUP(B1310,Paramètres!$A$4:$C$11,3,FALSE)</f>
        <v>Paris</v>
      </c>
      <c r="K1310" s="13">
        <f>IFERROR(H1310/G1310,"")</f>
        <v>53.354166666666664</v>
      </c>
      <c r="L1310" s="14">
        <f>IFERROR(I1310/G1310,"")</f>
        <v>0.9375</v>
      </c>
      <c r="M1310" s="11" t="str">
        <f>IF(K1310&gt;=Paramètres!$F$6,"Très forte",IF(K1310&gt;=Paramètres!$F$5,"Forte",IF(K1310&gt;=Paramètres!$F$4,"Modérée","Faible")))</f>
        <v>Très forte</v>
      </c>
    </row>
    <row r="1311" spans="1:13">
      <c r="A1311" t="s">
        <v>1073</v>
      </c>
      <c r="B1311" s="11">
        <v>92</v>
      </c>
      <c r="C1311" t="s">
        <v>94</v>
      </c>
      <c r="D1311" t="s">
        <v>801</v>
      </c>
      <c r="E1311" t="s">
        <v>827</v>
      </c>
      <c r="F1311" t="s">
        <v>92</v>
      </c>
      <c r="G1311" s="12">
        <v>48</v>
      </c>
      <c r="H1311" s="12">
        <v>2558</v>
      </c>
      <c r="I1311" s="12">
        <v>47</v>
      </c>
      <c r="J1311" t="str">
        <f>VLOOKUP(B1311,Paramètres!$A$4:$C$11,3,FALSE)</f>
        <v>Petite couronne</v>
      </c>
      <c r="K1311" s="13">
        <f>IFERROR(H1311/G1311,"")</f>
        <v>53.291666666666664</v>
      </c>
      <c r="L1311" s="14">
        <f>IFERROR(I1311/G1311,"")</f>
        <v>0.97916666666666663</v>
      </c>
      <c r="M1311" s="11" t="str">
        <f>IF(K1311&gt;=Paramètres!$F$6,"Très forte",IF(K1311&gt;=Paramètres!$F$5,"Forte",IF(K1311&gt;=Paramètres!$F$4,"Modérée","Faible")))</f>
        <v>Très forte</v>
      </c>
    </row>
    <row r="1312" spans="1:13">
      <c r="A1312" t="s">
        <v>1029</v>
      </c>
      <c r="B1312" s="11">
        <v>75</v>
      </c>
      <c r="C1312" t="s">
        <v>86</v>
      </c>
      <c r="D1312" t="s">
        <v>801</v>
      </c>
      <c r="E1312" t="s">
        <v>1216</v>
      </c>
      <c r="F1312" t="s">
        <v>92</v>
      </c>
      <c r="G1312" s="12">
        <v>10</v>
      </c>
      <c r="H1312" s="12">
        <v>528</v>
      </c>
      <c r="I1312" s="12">
        <v>12</v>
      </c>
      <c r="J1312" t="str">
        <f>VLOOKUP(B1312,Paramètres!$A$4:$C$11,3,FALSE)</f>
        <v>Paris</v>
      </c>
      <c r="K1312" s="13">
        <f>IFERROR(H1312/G1312,"")</f>
        <v>52.8</v>
      </c>
      <c r="L1312" s="14">
        <f>IFERROR(I1312/G1312,"")</f>
        <v>1.2</v>
      </c>
      <c r="M1312" s="11" t="str">
        <f>IF(K1312&gt;=Paramètres!$F$6,"Très forte",IF(K1312&gt;=Paramètres!$F$5,"Forte",IF(K1312&gt;=Paramètres!$F$4,"Modérée","Faible")))</f>
        <v>Très forte</v>
      </c>
    </row>
    <row r="1313" spans="1:13">
      <c r="A1313" t="s">
        <v>804</v>
      </c>
      <c r="B1313" s="11">
        <v>75</v>
      </c>
      <c r="C1313" t="s">
        <v>86</v>
      </c>
      <c r="D1313" t="s">
        <v>801</v>
      </c>
      <c r="E1313" t="s">
        <v>834</v>
      </c>
      <c r="F1313" t="s">
        <v>92</v>
      </c>
      <c r="G1313" s="12">
        <v>144</v>
      </c>
      <c r="H1313" s="12">
        <v>7585</v>
      </c>
      <c r="I1313" s="12">
        <v>143</v>
      </c>
      <c r="J1313" t="str">
        <f>VLOOKUP(B1313,Paramètres!$A$4:$C$11,3,FALSE)</f>
        <v>Paris</v>
      </c>
      <c r="K1313" s="13">
        <f>IFERROR(H1313/G1313,"")</f>
        <v>52.673611111111114</v>
      </c>
      <c r="L1313" s="14">
        <f>IFERROR(I1313/G1313,"")</f>
        <v>0.99305555555555558</v>
      </c>
      <c r="M1313" s="11" t="str">
        <f>IF(K1313&gt;=Paramètres!$F$6,"Très forte",IF(K1313&gt;=Paramètres!$F$5,"Forte",IF(K1313&gt;=Paramètres!$F$4,"Modérée","Faible")))</f>
        <v>Très forte</v>
      </c>
    </row>
    <row r="1314" spans="1:13">
      <c r="A1314" t="s">
        <v>1201</v>
      </c>
      <c r="B1314" s="11">
        <v>75</v>
      </c>
      <c r="C1314" t="s">
        <v>86</v>
      </c>
      <c r="D1314" t="s">
        <v>801</v>
      </c>
      <c r="E1314" t="s">
        <v>834</v>
      </c>
      <c r="F1314" t="s">
        <v>92</v>
      </c>
      <c r="G1314" s="12">
        <v>48</v>
      </c>
      <c r="H1314" s="12">
        <v>2515</v>
      </c>
      <c r="I1314" s="12">
        <v>47</v>
      </c>
      <c r="J1314" t="str">
        <f>VLOOKUP(B1314,Paramètres!$A$4:$C$11,3,FALSE)</f>
        <v>Paris</v>
      </c>
      <c r="K1314" s="13">
        <f>IFERROR(H1314/G1314,"")</f>
        <v>52.395833333333336</v>
      </c>
      <c r="L1314" s="14">
        <f>IFERROR(I1314/G1314,"")</f>
        <v>0.97916666666666663</v>
      </c>
      <c r="M1314" s="11" t="str">
        <f>IF(K1314&gt;=Paramètres!$F$6,"Très forte",IF(K1314&gt;=Paramètres!$F$5,"Forte",IF(K1314&gt;=Paramètres!$F$4,"Modérée","Faible")))</f>
        <v>Très forte</v>
      </c>
    </row>
    <row r="1315" spans="1:13">
      <c r="A1315" t="s">
        <v>1024</v>
      </c>
      <c r="B1315" s="11">
        <v>75</v>
      </c>
      <c r="C1315" t="s">
        <v>86</v>
      </c>
      <c r="D1315" t="s">
        <v>801</v>
      </c>
      <c r="E1315" t="s">
        <v>827</v>
      </c>
      <c r="F1315" t="s">
        <v>92</v>
      </c>
      <c r="G1315" s="12">
        <v>192</v>
      </c>
      <c r="H1315" s="12">
        <v>10025</v>
      </c>
      <c r="I1315" s="12">
        <v>189</v>
      </c>
      <c r="J1315" t="str">
        <f>VLOOKUP(B1315,Paramètres!$A$4:$C$11,3,FALSE)</f>
        <v>Paris</v>
      </c>
      <c r="K1315" s="13">
        <f>IFERROR(H1315/G1315,"")</f>
        <v>52.213541666666664</v>
      </c>
      <c r="L1315" s="14">
        <f>IFERROR(I1315/G1315,"")</f>
        <v>0.984375</v>
      </c>
      <c r="M1315" s="11" t="str">
        <f>IF(K1315&gt;=Paramètres!$F$6,"Très forte",IF(K1315&gt;=Paramètres!$F$5,"Forte",IF(K1315&gt;=Paramètres!$F$4,"Modérée","Faible")))</f>
        <v>Très forte</v>
      </c>
    </row>
    <row r="1316" spans="1:13">
      <c r="A1316" t="s">
        <v>1012</v>
      </c>
      <c r="B1316" s="11">
        <v>75</v>
      </c>
      <c r="C1316" t="s">
        <v>86</v>
      </c>
      <c r="D1316" t="s">
        <v>801</v>
      </c>
      <c r="E1316" t="s">
        <v>802</v>
      </c>
      <c r="F1316" t="s">
        <v>92</v>
      </c>
      <c r="G1316" s="12">
        <v>40</v>
      </c>
      <c r="H1316" s="12">
        <v>2068</v>
      </c>
      <c r="I1316" s="12">
        <v>39</v>
      </c>
      <c r="J1316" t="str">
        <f>VLOOKUP(B1316,Paramètres!$A$4:$C$11,3,FALSE)</f>
        <v>Paris</v>
      </c>
      <c r="K1316" s="13">
        <f>IFERROR(H1316/G1316,"")</f>
        <v>51.7</v>
      </c>
      <c r="L1316" s="14">
        <f>IFERROR(I1316/G1316,"")</f>
        <v>0.97499999999999998</v>
      </c>
      <c r="M1316" s="11" t="str">
        <f>IF(K1316&gt;=Paramètres!$F$6,"Très forte",IF(K1316&gt;=Paramètres!$F$5,"Forte",IF(K1316&gt;=Paramètres!$F$4,"Modérée","Faible")))</f>
        <v>Très forte</v>
      </c>
    </row>
    <row r="1317" spans="1:13">
      <c r="A1317" t="s">
        <v>840</v>
      </c>
      <c r="B1317" s="11">
        <v>75</v>
      </c>
      <c r="C1317" t="s">
        <v>86</v>
      </c>
      <c r="D1317" t="s">
        <v>801</v>
      </c>
      <c r="E1317" t="s">
        <v>1017</v>
      </c>
      <c r="F1317" t="s">
        <v>92</v>
      </c>
      <c r="G1317" s="12">
        <v>48</v>
      </c>
      <c r="H1317" s="12">
        <v>2442</v>
      </c>
      <c r="I1317" s="12">
        <v>48</v>
      </c>
      <c r="J1317" t="str">
        <f>VLOOKUP(B1317,Paramètres!$A$4:$C$11,3,FALSE)</f>
        <v>Paris</v>
      </c>
      <c r="K1317" s="13">
        <f>IFERROR(H1317/G1317,"")</f>
        <v>50.875</v>
      </c>
      <c r="L1317" s="14">
        <f>IFERROR(I1317/G1317,"")</f>
        <v>1</v>
      </c>
      <c r="M1317" s="11" t="str">
        <f>IF(K1317&gt;=Paramètres!$F$6,"Très forte",IF(K1317&gt;=Paramètres!$F$5,"Forte",IF(K1317&gt;=Paramètres!$F$4,"Modérée","Faible")))</f>
        <v>Très forte</v>
      </c>
    </row>
    <row r="1318" spans="1:13">
      <c r="A1318" t="s">
        <v>811</v>
      </c>
      <c r="B1318" s="11">
        <v>78</v>
      </c>
      <c r="C1318" t="s">
        <v>135</v>
      </c>
      <c r="D1318" t="s">
        <v>801</v>
      </c>
      <c r="E1318" t="s">
        <v>1017</v>
      </c>
      <c r="F1318" t="s">
        <v>92</v>
      </c>
      <c r="G1318" s="12">
        <v>48</v>
      </c>
      <c r="H1318" s="12">
        <v>2375</v>
      </c>
      <c r="I1318" s="12">
        <v>48</v>
      </c>
      <c r="J1318" t="str">
        <f>VLOOKUP(B1318,Paramètres!$A$4:$C$11,3,FALSE)</f>
        <v>Grande couronne</v>
      </c>
      <c r="K1318" s="13">
        <f>IFERROR(H1318/G1318,"")</f>
        <v>49.479166666666664</v>
      </c>
      <c r="L1318" s="14">
        <f>IFERROR(I1318/G1318,"")</f>
        <v>1</v>
      </c>
      <c r="M1318" s="11" t="str">
        <f>IF(K1318&gt;=Paramètres!$F$6,"Très forte",IF(K1318&gt;=Paramètres!$F$5,"Forte",IF(K1318&gt;=Paramètres!$F$4,"Modérée","Faible")))</f>
        <v>Très forte</v>
      </c>
    </row>
    <row r="1319" spans="1:13">
      <c r="A1319" t="s">
        <v>812</v>
      </c>
      <c r="B1319" s="11">
        <v>75</v>
      </c>
      <c r="C1319" t="s">
        <v>86</v>
      </c>
      <c r="D1319" t="s">
        <v>801</v>
      </c>
      <c r="E1319" t="s">
        <v>802</v>
      </c>
      <c r="F1319" t="s">
        <v>92</v>
      </c>
      <c r="G1319" s="12">
        <v>65</v>
      </c>
      <c r="H1319" s="12">
        <v>3173</v>
      </c>
      <c r="I1319" s="12">
        <v>66</v>
      </c>
      <c r="J1319" t="str">
        <f>VLOOKUP(B1319,Paramètres!$A$4:$C$11,3,FALSE)</f>
        <v>Paris</v>
      </c>
      <c r="K1319" s="13">
        <f>IFERROR(H1319/G1319,"")</f>
        <v>48.815384615384616</v>
      </c>
      <c r="L1319" s="14">
        <f>IFERROR(I1319/G1319,"")</f>
        <v>1.0153846153846153</v>
      </c>
      <c r="M1319" s="11" t="str">
        <f>IF(K1319&gt;=Paramètres!$F$6,"Très forte",IF(K1319&gt;=Paramètres!$F$5,"Forte",IF(K1319&gt;=Paramètres!$F$4,"Modérée","Faible")))</f>
        <v>Très forte</v>
      </c>
    </row>
    <row r="1320" spans="1:13">
      <c r="A1320" t="s">
        <v>810</v>
      </c>
      <c r="B1320" s="11">
        <v>75</v>
      </c>
      <c r="C1320" t="s">
        <v>86</v>
      </c>
      <c r="D1320" t="s">
        <v>801</v>
      </c>
      <c r="E1320" t="s">
        <v>834</v>
      </c>
      <c r="F1320" t="s">
        <v>92</v>
      </c>
      <c r="G1320" s="12">
        <v>48</v>
      </c>
      <c r="H1320" s="12">
        <v>2342</v>
      </c>
      <c r="I1320" s="12">
        <v>46</v>
      </c>
      <c r="J1320" t="str">
        <f>VLOOKUP(B1320,Paramètres!$A$4:$C$11,3,FALSE)</f>
        <v>Paris</v>
      </c>
      <c r="K1320" s="13">
        <f>IFERROR(H1320/G1320,"")</f>
        <v>48.791666666666664</v>
      </c>
      <c r="L1320" s="14">
        <f>IFERROR(I1320/G1320,"")</f>
        <v>0.95833333333333337</v>
      </c>
      <c r="M1320" s="11" t="str">
        <f>IF(K1320&gt;=Paramètres!$F$6,"Très forte",IF(K1320&gt;=Paramètres!$F$5,"Forte",IF(K1320&gt;=Paramètres!$F$4,"Modérée","Faible")))</f>
        <v>Très forte</v>
      </c>
    </row>
    <row r="1321" spans="1:13">
      <c r="A1321" t="s">
        <v>828</v>
      </c>
      <c r="B1321" s="11">
        <v>75</v>
      </c>
      <c r="C1321" t="s">
        <v>86</v>
      </c>
      <c r="D1321" t="s">
        <v>801</v>
      </c>
      <c r="E1321" t="s">
        <v>829</v>
      </c>
      <c r="F1321" t="s">
        <v>92</v>
      </c>
      <c r="G1321" s="12">
        <v>45</v>
      </c>
      <c r="H1321" s="12">
        <v>2167</v>
      </c>
      <c r="I1321" s="12">
        <v>44</v>
      </c>
      <c r="J1321" t="str">
        <f>VLOOKUP(B1321,Paramètres!$A$4:$C$11,3,FALSE)</f>
        <v>Paris</v>
      </c>
      <c r="K1321" s="13">
        <f>IFERROR(H1321/G1321,"")</f>
        <v>48.155555555555559</v>
      </c>
      <c r="L1321" s="14">
        <f>IFERROR(I1321/G1321,"")</f>
        <v>0.97777777777777775</v>
      </c>
      <c r="M1321" s="11" t="str">
        <f>IF(K1321&gt;=Paramètres!$F$6,"Très forte",IF(K1321&gt;=Paramètres!$F$5,"Forte",IF(K1321&gt;=Paramètres!$F$4,"Modérée","Faible")))</f>
        <v>Très forte</v>
      </c>
    </row>
    <row r="1322" spans="1:13">
      <c r="A1322" t="s">
        <v>841</v>
      </c>
      <c r="B1322" s="11">
        <v>75</v>
      </c>
      <c r="C1322" t="s">
        <v>86</v>
      </c>
      <c r="D1322" t="s">
        <v>801</v>
      </c>
      <c r="E1322" t="s">
        <v>830</v>
      </c>
      <c r="F1322" t="s">
        <v>92</v>
      </c>
      <c r="G1322" s="12">
        <v>48</v>
      </c>
      <c r="H1322" s="12">
        <v>2296</v>
      </c>
      <c r="I1322" s="12">
        <v>47</v>
      </c>
      <c r="J1322" t="str">
        <f>VLOOKUP(B1322,Paramètres!$A$4:$C$11,3,FALSE)</f>
        <v>Paris</v>
      </c>
      <c r="K1322" s="13">
        <f>IFERROR(H1322/G1322,"")</f>
        <v>47.833333333333336</v>
      </c>
      <c r="L1322" s="14">
        <f>IFERROR(I1322/G1322,"")</f>
        <v>0.97916666666666663</v>
      </c>
      <c r="M1322" s="11" t="str">
        <f>IF(K1322&gt;=Paramètres!$F$6,"Très forte",IF(K1322&gt;=Paramètres!$F$5,"Forte",IF(K1322&gt;=Paramètres!$F$4,"Modérée","Faible")))</f>
        <v>Très forte</v>
      </c>
    </row>
    <row r="1323" spans="1:13">
      <c r="A1323" t="s">
        <v>1136</v>
      </c>
      <c r="B1323" s="11">
        <v>75</v>
      </c>
      <c r="C1323" t="s">
        <v>86</v>
      </c>
      <c r="D1323" t="s">
        <v>801</v>
      </c>
      <c r="E1323" t="s">
        <v>1017</v>
      </c>
      <c r="F1323" t="s">
        <v>92</v>
      </c>
      <c r="G1323" s="12">
        <v>48</v>
      </c>
      <c r="H1323" s="12">
        <v>2291</v>
      </c>
      <c r="I1323" s="12">
        <v>47</v>
      </c>
      <c r="J1323" t="str">
        <f>VLOOKUP(B1323,Paramètres!$A$4:$C$11,3,FALSE)</f>
        <v>Paris</v>
      </c>
      <c r="K1323" s="13">
        <f>IFERROR(H1323/G1323,"")</f>
        <v>47.729166666666664</v>
      </c>
      <c r="L1323" s="14">
        <f>IFERROR(I1323/G1323,"")</f>
        <v>0.97916666666666663</v>
      </c>
      <c r="M1323" s="11" t="str">
        <f>IF(K1323&gt;=Paramètres!$F$6,"Très forte",IF(K1323&gt;=Paramètres!$F$5,"Forte",IF(K1323&gt;=Paramètres!$F$4,"Modérée","Faible")))</f>
        <v>Très forte</v>
      </c>
    </row>
    <row r="1324" spans="1:13">
      <c r="A1324" t="s">
        <v>804</v>
      </c>
      <c r="B1324" s="11">
        <v>75</v>
      </c>
      <c r="C1324" t="s">
        <v>86</v>
      </c>
      <c r="D1324" t="s">
        <v>801</v>
      </c>
      <c r="E1324" t="s">
        <v>855</v>
      </c>
      <c r="F1324" t="s">
        <v>92</v>
      </c>
      <c r="G1324" s="12">
        <v>48</v>
      </c>
      <c r="H1324" s="12">
        <v>2287</v>
      </c>
      <c r="I1324" s="12">
        <v>48</v>
      </c>
      <c r="J1324" t="str">
        <f>VLOOKUP(B1324,Paramètres!$A$4:$C$11,3,FALSE)</f>
        <v>Paris</v>
      </c>
      <c r="K1324" s="13">
        <f>IFERROR(H1324/G1324,"")</f>
        <v>47.645833333333336</v>
      </c>
      <c r="L1324" s="14">
        <f>IFERROR(I1324/G1324,"")</f>
        <v>1</v>
      </c>
      <c r="M1324" s="11" t="str">
        <f>IF(K1324&gt;=Paramètres!$F$6,"Très forte",IF(K1324&gt;=Paramètres!$F$5,"Forte",IF(K1324&gt;=Paramètres!$F$4,"Modérée","Faible")))</f>
        <v>Très forte</v>
      </c>
    </row>
    <row r="1325" spans="1:13">
      <c r="A1325" t="s">
        <v>1024</v>
      </c>
      <c r="B1325" s="11">
        <v>75</v>
      </c>
      <c r="C1325" t="s">
        <v>86</v>
      </c>
      <c r="D1325" t="s">
        <v>801</v>
      </c>
      <c r="E1325" t="s">
        <v>817</v>
      </c>
      <c r="F1325" t="s">
        <v>92</v>
      </c>
      <c r="G1325" s="12">
        <v>48</v>
      </c>
      <c r="H1325" s="12">
        <v>2240</v>
      </c>
      <c r="I1325" s="12">
        <v>49</v>
      </c>
      <c r="J1325" t="str">
        <f>VLOOKUP(B1325,Paramètres!$A$4:$C$11,3,FALSE)</f>
        <v>Paris</v>
      </c>
      <c r="K1325" s="13">
        <f>IFERROR(H1325/G1325,"")</f>
        <v>46.666666666666664</v>
      </c>
      <c r="L1325" s="14">
        <f>IFERROR(I1325/G1325,"")</f>
        <v>1.0208333333333333</v>
      </c>
      <c r="M1325" s="11" t="str">
        <f>IF(K1325&gt;=Paramètres!$F$6,"Très forte",IF(K1325&gt;=Paramètres!$F$5,"Forte",IF(K1325&gt;=Paramètres!$F$4,"Modérée","Faible")))</f>
        <v>Très forte</v>
      </c>
    </row>
    <row r="1326" spans="1:13">
      <c r="A1326" t="s">
        <v>892</v>
      </c>
      <c r="B1326" s="11">
        <v>91</v>
      </c>
      <c r="C1326" t="s">
        <v>105</v>
      </c>
      <c r="D1326" t="s">
        <v>801</v>
      </c>
      <c r="E1326" t="s">
        <v>834</v>
      </c>
      <c r="F1326" t="s">
        <v>92</v>
      </c>
      <c r="G1326" s="12">
        <v>48</v>
      </c>
      <c r="H1326" s="12">
        <v>2226</v>
      </c>
      <c r="I1326" s="12">
        <v>48</v>
      </c>
      <c r="J1326" t="str">
        <f>VLOOKUP(B1326,Paramètres!$A$4:$C$11,3,FALSE)</f>
        <v>Grande couronne</v>
      </c>
      <c r="K1326" s="13">
        <f>IFERROR(H1326/G1326,"")</f>
        <v>46.375</v>
      </c>
      <c r="L1326" s="14">
        <f>IFERROR(I1326/G1326,"")</f>
        <v>1</v>
      </c>
      <c r="M1326" s="11" t="str">
        <f>IF(K1326&gt;=Paramètres!$F$6,"Très forte",IF(K1326&gt;=Paramètres!$F$5,"Forte",IF(K1326&gt;=Paramètres!$F$4,"Modérée","Faible")))</f>
        <v>Très forte</v>
      </c>
    </row>
    <row r="1327" spans="1:13">
      <c r="A1327" t="s">
        <v>1128</v>
      </c>
      <c r="B1327" s="11">
        <v>75</v>
      </c>
      <c r="C1327" t="s">
        <v>86</v>
      </c>
      <c r="D1327" t="s">
        <v>801</v>
      </c>
      <c r="E1327" t="s">
        <v>802</v>
      </c>
      <c r="F1327" t="s">
        <v>92</v>
      </c>
      <c r="G1327" s="12">
        <v>40</v>
      </c>
      <c r="H1327" s="12">
        <v>1855</v>
      </c>
      <c r="I1327" s="12">
        <v>39</v>
      </c>
      <c r="J1327" t="str">
        <f>VLOOKUP(B1327,Paramètres!$A$4:$C$11,3,FALSE)</f>
        <v>Paris</v>
      </c>
      <c r="K1327" s="13">
        <f>IFERROR(H1327/G1327,"")</f>
        <v>46.375</v>
      </c>
      <c r="L1327" s="14">
        <f>IFERROR(I1327/G1327,"")</f>
        <v>0.97499999999999998</v>
      </c>
      <c r="M1327" s="11" t="str">
        <f>IF(K1327&gt;=Paramètres!$F$6,"Très forte",IF(K1327&gt;=Paramètres!$F$5,"Forte",IF(K1327&gt;=Paramètres!$F$4,"Modérée","Faible")))</f>
        <v>Très forte</v>
      </c>
    </row>
    <row r="1328" spans="1:13">
      <c r="A1328" t="s">
        <v>1077</v>
      </c>
      <c r="B1328" s="11">
        <v>92</v>
      </c>
      <c r="C1328" t="s">
        <v>94</v>
      </c>
      <c r="D1328" t="s">
        <v>801</v>
      </c>
      <c r="E1328" t="s">
        <v>827</v>
      </c>
      <c r="F1328" t="s">
        <v>92</v>
      </c>
      <c r="G1328" s="12">
        <v>46</v>
      </c>
      <c r="H1328" s="12">
        <v>2115</v>
      </c>
      <c r="I1328" s="12">
        <v>46</v>
      </c>
      <c r="J1328" t="str">
        <f>VLOOKUP(B1328,Paramètres!$A$4:$C$11,3,FALSE)</f>
        <v>Petite couronne</v>
      </c>
      <c r="K1328" s="13">
        <f>IFERROR(H1328/G1328,"")</f>
        <v>45.978260869565219</v>
      </c>
      <c r="L1328" s="14">
        <f>IFERROR(I1328/G1328,"")</f>
        <v>1</v>
      </c>
      <c r="M1328" s="11" t="str">
        <f>IF(K1328&gt;=Paramètres!$F$6,"Très forte",IF(K1328&gt;=Paramètres!$F$5,"Forte",IF(K1328&gt;=Paramètres!$F$4,"Modérée","Faible")))</f>
        <v>Très forte</v>
      </c>
    </row>
    <row r="1329" spans="1:13">
      <c r="A1329" t="s">
        <v>870</v>
      </c>
      <c r="B1329" s="11">
        <v>75</v>
      </c>
      <c r="C1329" t="s">
        <v>86</v>
      </c>
      <c r="D1329" t="s">
        <v>801</v>
      </c>
      <c r="E1329" t="s">
        <v>827</v>
      </c>
      <c r="F1329" t="s">
        <v>92</v>
      </c>
      <c r="G1329" s="12">
        <v>48</v>
      </c>
      <c r="H1329" s="12">
        <v>2206</v>
      </c>
      <c r="I1329" s="12">
        <v>49</v>
      </c>
      <c r="J1329" t="str">
        <f>VLOOKUP(B1329,Paramètres!$A$4:$C$11,3,FALSE)</f>
        <v>Paris</v>
      </c>
      <c r="K1329" s="13">
        <f>IFERROR(H1329/G1329,"")</f>
        <v>45.958333333333336</v>
      </c>
      <c r="L1329" s="14">
        <f>IFERROR(I1329/G1329,"")</f>
        <v>1.0208333333333333</v>
      </c>
      <c r="M1329" s="11" t="str">
        <f>IF(K1329&gt;=Paramètres!$F$6,"Très forte",IF(K1329&gt;=Paramètres!$F$5,"Forte",IF(K1329&gt;=Paramètres!$F$4,"Modérée","Faible")))</f>
        <v>Très forte</v>
      </c>
    </row>
    <row r="1330" spans="1:13">
      <c r="A1330" t="s">
        <v>820</v>
      </c>
      <c r="B1330" s="11">
        <v>75</v>
      </c>
      <c r="C1330" t="s">
        <v>86</v>
      </c>
      <c r="D1330" t="s">
        <v>801</v>
      </c>
      <c r="E1330" t="s">
        <v>821</v>
      </c>
      <c r="F1330" t="s">
        <v>92</v>
      </c>
      <c r="G1330" s="12">
        <v>48</v>
      </c>
      <c r="H1330" s="12">
        <v>2154</v>
      </c>
      <c r="I1330" s="12">
        <v>55</v>
      </c>
      <c r="J1330" t="str">
        <f>VLOOKUP(B1330,Paramètres!$A$4:$C$11,3,FALSE)</f>
        <v>Paris</v>
      </c>
      <c r="K1330" s="13">
        <f>IFERROR(H1330/G1330,"")</f>
        <v>44.875</v>
      </c>
      <c r="L1330" s="14">
        <f>IFERROR(I1330/G1330,"")</f>
        <v>1.1458333333333333</v>
      </c>
      <c r="M1330" s="11" t="str">
        <f>IF(K1330&gt;=Paramètres!$F$6,"Très forte",IF(K1330&gt;=Paramètres!$F$5,"Forte",IF(K1330&gt;=Paramètres!$F$4,"Modérée","Faible")))</f>
        <v>Très forte</v>
      </c>
    </row>
    <row r="1331" spans="1:13">
      <c r="A1331" t="s">
        <v>1137</v>
      </c>
      <c r="B1331" s="11">
        <v>75</v>
      </c>
      <c r="C1331" t="s">
        <v>86</v>
      </c>
      <c r="D1331" t="s">
        <v>801</v>
      </c>
      <c r="E1331" t="s">
        <v>829</v>
      </c>
      <c r="F1331" t="s">
        <v>92</v>
      </c>
      <c r="G1331" s="12">
        <v>45</v>
      </c>
      <c r="H1331" s="12">
        <v>2001</v>
      </c>
      <c r="I1331" s="12">
        <v>44</v>
      </c>
      <c r="J1331" t="str">
        <f>VLOOKUP(B1331,Paramètres!$A$4:$C$11,3,FALSE)</f>
        <v>Paris</v>
      </c>
      <c r="K1331" s="13">
        <f>IFERROR(H1331/G1331,"")</f>
        <v>44.466666666666669</v>
      </c>
      <c r="L1331" s="14">
        <f>IFERROR(I1331/G1331,"")</f>
        <v>0.97777777777777775</v>
      </c>
      <c r="M1331" s="11" t="str">
        <f>IF(K1331&gt;=Paramètres!$F$6,"Très forte",IF(K1331&gt;=Paramètres!$F$5,"Forte",IF(K1331&gt;=Paramètres!$F$4,"Modérée","Faible")))</f>
        <v>Très forte</v>
      </c>
    </row>
    <row r="1332" spans="1:13">
      <c r="A1332" t="s">
        <v>826</v>
      </c>
      <c r="B1332" s="11">
        <v>75</v>
      </c>
      <c r="C1332" t="s">
        <v>86</v>
      </c>
      <c r="D1332" t="s">
        <v>801</v>
      </c>
      <c r="E1332" t="s">
        <v>817</v>
      </c>
      <c r="F1332" t="s">
        <v>92</v>
      </c>
      <c r="G1332" s="12">
        <v>48</v>
      </c>
      <c r="H1332" s="12">
        <v>2131</v>
      </c>
      <c r="I1332" s="12">
        <v>48</v>
      </c>
      <c r="J1332" t="str">
        <f>VLOOKUP(B1332,Paramètres!$A$4:$C$11,3,FALSE)</f>
        <v>Paris</v>
      </c>
      <c r="K1332" s="13">
        <f>IFERROR(H1332/G1332,"")</f>
        <v>44.395833333333336</v>
      </c>
      <c r="L1332" s="14">
        <f>IFERROR(I1332/G1332,"")</f>
        <v>1</v>
      </c>
      <c r="M1332" s="11" t="str">
        <f>IF(K1332&gt;=Paramètres!$F$6,"Très forte",IF(K1332&gt;=Paramètres!$F$5,"Forte",IF(K1332&gt;=Paramètres!$F$4,"Modérée","Faible")))</f>
        <v>Très forte</v>
      </c>
    </row>
    <row r="1333" spans="1:13">
      <c r="A1333" t="s">
        <v>930</v>
      </c>
      <c r="B1333" s="11">
        <v>92</v>
      </c>
      <c r="C1333" t="s">
        <v>94</v>
      </c>
      <c r="D1333" t="s">
        <v>801</v>
      </c>
      <c r="E1333" t="s">
        <v>830</v>
      </c>
      <c r="F1333" t="s">
        <v>92</v>
      </c>
      <c r="G1333" s="12">
        <v>38</v>
      </c>
      <c r="H1333" s="12">
        <v>1683</v>
      </c>
      <c r="I1333" s="12">
        <v>30</v>
      </c>
      <c r="J1333" t="str">
        <f>VLOOKUP(B1333,Paramètres!$A$4:$C$11,3,FALSE)</f>
        <v>Petite couronne</v>
      </c>
      <c r="K1333" s="13">
        <f>IFERROR(H1333/G1333,"")</f>
        <v>44.289473684210527</v>
      </c>
      <c r="L1333" s="14">
        <f>IFERROR(I1333/G1333,"")</f>
        <v>0.78947368421052633</v>
      </c>
      <c r="M1333" s="11" t="str">
        <f>IF(K1333&gt;=Paramètres!$F$6,"Très forte",IF(K1333&gt;=Paramètres!$F$5,"Forte",IF(K1333&gt;=Paramètres!$F$4,"Modérée","Faible")))</f>
        <v>Très forte</v>
      </c>
    </row>
    <row r="1334" spans="1:13">
      <c r="A1334" t="s">
        <v>840</v>
      </c>
      <c r="B1334" s="11">
        <v>75</v>
      </c>
      <c r="C1334" t="s">
        <v>86</v>
      </c>
      <c r="D1334" t="s">
        <v>801</v>
      </c>
      <c r="E1334" t="s">
        <v>834</v>
      </c>
      <c r="F1334" t="s">
        <v>92</v>
      </c>
      <c r="G1334" s="12">
        <v>48</v>
      </c>
      <c r="H1334" s="12">
        <v>2118</v>
      </c>
      <c r="I1334" s="12">
        <v>47</v>
      </c>
      <c r="J1334" t="str">
        <f>VLOOKUP(B1334,Paramètres!$A$4:$C$11,3,FALSE)</f>
        <v>Paris</v>
      </c>
      <c r="K1334" s="13">
        <f>IFERROR(H1334/G1334,"")</f>
        <v>44.125</v>
      </c>
      <c r="L1334" s="14">
        <f>IFERROR(I1334/G1334,"")</f>
        <v>0.97916666666666663</v>
      </c>
      <c r="M1334" s="11" t="str">
        <f>IF(K1334&gt;=Paramètres!$F$6,"Très forte",IF(K1334&gt;=Paramètres!$F$5,"Forte",IF(K1334&gt;=Paramètres!$F$4,"Modérée","Faible")))</f>
        <v>Très forte</v>
      </c>
    </row>
    <row r="1335" spans="1:13">
      <c r="A1335" t="s">
        <v>856</v>
      </c>
      <c r="B1335" s="11">
        <v>75</v>
      </c>
      <c r="C1335" t="s">
        <v>86</v>
      </c>
      <c r="D1335" t="s">
        <v>801</v>
      </c>
      <c r="E1335" t="s">
        <v>821</v>
      </c>
      <c r="F1335" t="s">
        <v>92</v>
      </c>
      <c r="G1335" s="12">
        <v>48</v>
      </c>
      <c r="H1335" s="12">
        <v>2117</v>
      </c>
      <c r="I1335" s="12">
        <v>59</v>
      </c>
      <c r="J1335" t="str">
        <f>VLOOKUP(B1335,Paramètres!$A$4:$C$11,3,FALSE)</f>
        <v>Paris</v>
      </c>
      <c r="K1335" s="13">
        <f>IFERROR(H1335/G1335,"")</f>
        <v>44.104166666666664</v>
      </c>
      <c r="L1335" s="14">
        <f>IFERROR(I1335/G1335,"")</f>
        <v>1.2291666666666667</v>
      </c>
      <c r="M1335" s="11" t="str">
        <f>IF(K1335&gt;=Paramètres!$F$6,"Très forte",IF(K1335&gt;=Paramètres!$F$5,"Forte",IF(K1335&gt;=Paramètres!$F$4,"Modérée","Faible")))</f>
        <v>Très forte</v>
      </c>
    </row>
    <row r="1336" spans="1:13">
      <c r="A1336" t="s">
        <v>910</v>
      </c>
      <c r="B1336" s="11">
        <v>92</v>
      </c>
      <c r="C1336" t="s">
        <v>94</v>
      </c>
      <c r="D1336" t="s">
        <v>801</v>
      </c>
      <c r="E1336" t="s">
        <v>1021</v>
      </c>
      <c r="F1336" t="s">
        <v>92</v>
      </c>
      <c r="G1336" s="12">
        <v>48</v>
      </c>
      <c r="H1336" s="12">
        <v>2114</v>
      </c>
      <c r="I1336" s="12">
        <v>50</v>
      </c>
      <c r="J1336" t="str">
        <f>VLOOKUP(B1336,Paramètres!$A$4:$C$11,3,FALSE)</f>
        <v>Petite couronne</v>
      </c>
      <c r="K1336" s="13">
        <f>IFERROR(H1336/G1336,"")</f>
        <v>44.041666666666664</v>
      </c>
      <c r="L1336" s="14">
        <f>IFERROR(I1336/G1336,"")</f>
        <v>1.0416666666666667</v>
      </c>
      <c r="M1336" s="11" t="str">
        <f>IF(K1336&gt;=Paramètres!$F$6,"Très forte",IF(K1336&gt;=Paramètres!$F$5,"Forte",IF(K1336&gt;=Paramètres!$F$4,"Modérée","Faible")))</f>
        <v>Très forte</v>
      </c>
    </row>
    <row r="1337" spans="1:13">
      <c r="A1337" t="s">
        <v>870</v>
      </c>
      <c r="B1337" s="11">
        <v>75</v>
      </c>
      <c r="C1337" t="s">
        <v>86</v>
      </c>
      <c r="D1337" t="s">
        <v>801</v>
      </c>
      <c r="E1337" t="s">
        <v>834</v>
      </c>
      <c r="F1337" t="s">
        <v>92</v>
      </c>
      <c r="G1337" s="12">
        <v>48</v>
      </c>
      <c r="H1337" s="12">
        <v>2109</v>
      </c>
      <c r="I1337" s="12">
        <v>51</v>
      </c>
      <c r="J1337" t="str">
        <f>VLOOKUP(B1337,Paramètres!$A$4:$C$11,3,FALSE)</f>
        <v>Paris</v>
      </c>
      <c r="K1337" s="13">
        <f>IFERROR(H1337/G1337,"")</f>
        <v>43.9375</v>
      </c>
      <c r="L1337" s="14">
        <f>IFERROR(I1337/G1337,"")</f>
        <v>1.0625</v>
      </c>
      <c r="M1337" s="11" t="str">
        <f>IF(K1337&gt;=Paramètres!$F$6,"Très forte",IF(K1337&gt;=Paramètres!$F$5,"Forte",IF(K1337&gt;=Paramètres!$F$4,"Modérée","Faible")))</f>
        <v>Très forte</v>
      </c>
    </row>
    <row r="1338" spans="1:13">
      <c r="A1338" t="s">
        <v>1084</v>
      </c>
      <c r="B1338" s="11">
        <v>93</v>
      </c>
      <c r="C1338" t="s">
        <v>100</v>
      </c>
      <c r="D1338" t="s">
        <v>801</v>
      </c>
      <c r="E1338" t="s">
        <v>827</v>
      </c>
      <c r="F1338" t="s">
        <v>92</v>
      </c>
      <c r="G1338" s="12">
        <v>24</v>
      </c>
      <c r="H1338" s="12">
        <v>1053</v>
      </c>
      <c r="I1338" s="12">
        <v>24</v>
      </c>
      <c r="J1338" t="str">
        <f>VLOOKUP(B1338,Paramètres!$A$4:$C$11,3,FALSE)</f>
        <v>Petite couronne</v>
      </c>
      <c r="K1338" s="13">
        <f>IFERROR(H1338/G1338,"")</f>
        <v>43.875</v>
      </c>
      <c r="L1338" s="14">
        <f>IFERROR(I1338/G1338,"")</f>
        <v>1</v>
      </c>
      <c r="M1338" s="11" t="str">
        <f>IF(K1338&gt;=Paramètres!$F$6,"Très forte",IF(K1338&gt;=Paramètres!$F$5,"Forte",IF(K1338&gt;=Paramètres!$F$4,"Modérée","Faible")))</f>
        <v>Très forte</v>
      </c>
    </row>
    <row r="1339" spans="1:13">
      <c r="A1339" t="s">
        <v>1077</v>
      </c>
      <c r="B1339" s="11">
        <v>92</v>
      </c>
      <c r="C1339" t="s">
        <v>94</v>
      </c>
      <c r="D1339" t="s">
        <v>801</v>
      </c>
      <c r="E1339" t="s">
        <v>834</v>
      </c>
      <c r="F1339" t="s">
        <v>92</v>
      </c>
      <c r="G1339" s="12">
        <v>46</v>
      </c>
      <c r="H1339" s="12">
        <v>1997</v>
      </c>
      <c r="I1339" s="12">
        <v>48</v>
      </c>
      <c r="J1339" t="str">
        <f>VLOOKUP(B1339,Paramètres!$A$4:$C$11,3,FALSE)</f>
        <v>Petite couronne</v>
      </c>
      <c r="K1339" s="13">
        <f>IFERROR(H1339/G1339,"")</f>
        <v>43.413043478260867</v>
      </c>
      <c r="L1339" s="14">
        <f>IFERROR(I1339/G1339,"")</f>
        <v>1.0434782608695652</v>
      </c>
      <c r="M1339" s="11" t="str">
        <f>IF(K1339&gt;=Paramètres!$F$6,"Très forte",IF(K1339&gt;=Paramètres!$F$5,"Forte",IF(K1339&gt;=Paramètres!$F$4,"Modérée","Faible")))</f>
        <v>Très forte</v>
      </c>
    </row>
    <row r="1340" spans="1:13">
      <c r="A1340" t="s">
        <v>856</v>
      </c>
      <c r="B1340" s="11">
        <v>75</v>
      </c>
      <c r="C1340" t="s">
        <v>86</v>
      </c>
      <c r="D1340" t="s">
        <v>801</v>
      </c>
      <c r="E1340" t="s">
        <v>1011</v>
      </c>
      <c r="F1340" t="s">
        <v>92</v>
      </c>
      <c r="G1340" s="12">
        <v>48</v>
      </c>
      <c r="H1340" s="12">
        <v>2065</v>
      </c>
      <c r="I1340" s="12">
        <v>47</v>
      </c>
      <c r="J1340" t="str">
        <f>VLOOKUP(B1340,Paramètres!$A$4:$C$11,3,FALSE)</f>
        <v>Paris</v>
      </c>
      <c r="K1340" s="13">
        <f>IFERROR(H1340/G1340,"")</f>
        <v>43.020833333333336</v>
      </c>
      <c r="L1340" s="14">
        <f>IFERROR(I1340/G1340,"")</f>
        <v>0.97916666666666663</v>
      </c>
      <c r="M1340" s="11" t="str">
        <f>IF(K1340&gt;=Paramètres!$F$6,"Très forte",IF(K1340&gt;=Paramètres!$F$5,"Forte",IF(K1340&gt;=Paramètres!$F$4,"Modérée","Faible")))</f>
        <v>Très forte</v>
      </c>
    </row>
    <row r="1341" spans="1:13">
      <c r="A1341" t="s">
        <v>1033</v>
      </c>
      <c r="B1341" s="11">
        <v>75</v>
      </c>
      <c r="C1341" t="s">
        <v>86</v>
      </c>
      <c r="D1341" t="s">
        <v>801</v>
      </c>
      <c r="E1341" t="s">
        <v>834</v>
      </c>
      <c r="F1341" t="s">
        <v>92</v>
      </c>
      <c r="G1341" s="12">
        <v>48</v>
      </c>
      <c r="H1341" s="12">
        <v>2037</v>
      </c>
      <c r="I1341" s="12">
        <v>46</v>
      </c>
      <c r="J1341" t="str">
        <f>VLOOKUP(B1341,Paramètres!$A$4:$C$11,3,FALSE)</f>
        <v>Paris</v>
      </c>
      <c r="K1341" s="13">
        <f>IFERROR(H1341/G1341,"")</f>
        <v>42.4375</v>
      </c>
      <c r="L1341" s="14">
        <f>IFERROR(I1341/G1341,"")</f>
        <v>0.95833333333333337</v>
      </c>
      <c r="M1341" s="11" t="str">
        <f>IF(K1341&gt;=Paramètres!$F$6,"Très forte",IF(K1341&gt;=Paramètres!$F$5,"Forte",IF(K1341&gt;=Paramètres!$F$4,"Modérée","Faible")))</f>
        <v>Très forte</v>
      </c>
    </row>
    <row r="1342" spans="1:13">
      <c r="A1342" t="s">
        <v>1072</v>
      </c>
      <c r="B1342" s="11">
        <v>92</v>
      </c>
      <c r="C1342" t="s">
        <v>94</v>
      </c>
      <c r="D1342" t="s">
        <v>801</v>
      </c>
      <c r="E1342" t="s">
        <v>834</v>
      </c>
      <c r="F1342" t="s">
        <v>92</v>
      </c>
      <c r="G1342" s="12">
        <v>96</v>
      </c>
      <c r="H1342" s="12">
        <v>4053</v>
      </c>
      <c r="I1342" s="12">
        <v>95</v>
      </c>
      <c r="J1342" t="str">
        <f>VLOOKUP(B1342,Paramètres!$A$4:$C$11,3,FALSE)</f>
        <v>Petite couronne</v>
      </c>
      <c r="K1342" s="13">
        <f>IFERROR(H1342/G1342,"")</f>
        <v>42.21875</v>
      </c>
      <c r="L1342" s="14">
        <f>IFERROR(I1342/G1342,"")</f>
        <v>0.98958333333333337</v>
      </c>
      <c r="M1342" s="11" t="str">
        <f>IF(K1342&gt;=Paramètres!$F$6,"Très forte",IF(K1342&gt;=Paramètres!$F$5,"Forte",IF(K1342&gt;=Paramètres!$F$4,"Modérée","Faible")))</f>
        <v>Très forte</v>
      </c>
    </row>
    <row r="1343" spans="1:13">
      <c r="A1343" t="s">
        <v>1015</v>
      </c>
      <c r="B1343" s="11">
        <v>92</v>
      </c>
      <c r="C1343" t="s">
        <v>94</v>
      </c>
      <c r="D1343" t="s">
        <v>801</v>
      </c>
      <c r="E1343" t="s">
        <v>802</v>
      </c>
      <c r="F1343" t="s">
        <v>92</v>
      </c>
      <c r="G1343" s="12">
        <v>24</v>
      </c>
      <c r="H1343" s="12">
        <v>1005</v>
      </c>
      <c r="I1343" s="12">
        <v>23</v>
      </c>
      <c r="J1343" t="str">
        <f>VLOOKUP(B1343,Paramètres!$A$4:$C$11,3,FALSE)</f>
        <v>Petite couronne</v>
      </c>
      <c r="K1343" s="13">
        <f>IFERROR(H1343/G1343,"")</f>
        <v>41.875</v>
      </c>
      <c r="L1343" s="14">
        <f>IFERROR(I1343/G1343,"")</f>
        <v>0.95833333333333337</v>
      </c>
      <c r="M1343" s="11" t="str">
        <f>IF(K1343&gt;=Paramètres!$F$6,"Très forte",IF(K1343&gt;=Paramètres!$F$5,"Forte",IF(K1343&gt;=Paramètres!$F$4,"Modérée","Faible")))</f>
        <v>Très forte</v>
      </c>
    </row>
    <row r="1344" spans="1:13">
      <c r="A1344" t="s">
        <v>1220</v>
      </c>
      <c r="B1344" s="11">
        <v>92</v>
      </c>
      <c r="C1344" t="s">
        <v>94</v>
      </c>
      <c r="D1344" t="s">
        <v>801</v>
      </c>
      <c r="E1344" t="s">
        <v>827</v>
      </c>
      <c r="F1344" t="s">
        <v>92</v>
      </c>
      <c r="G1344" s="12">
        <v>90</v>
      </c>
      <c r="H1344" s="12">
        <v>3750</v>
      </c>
      <c r="I1344" s="12">
        <v>86</v>
      </c>
      <c r="J1344" t="str">
        <f>VLOOKUP(B1344,Paramètres!$A$4:$C$11,3,FALSE)</f>
        <v>Petite couronne</v>
      </c>
      <c r="K1344" s="13">
        <f>IFERROR(H1344/G1344,"")</f>
        <v>41.666666666666664</v>
      </c>
      <c r="L1344" s="14">
        <f>IFERROR(I1344/G1344,"")</f>
        <v>0.9555555555555556</v>
      </c>
      <c r="M1344" s="11" t="str">
        <f>IF(K1344&gt;=Paramètres!$F$6,"Très forte",IF(K1344&gt;=Paramètres!$F$5,"Forte",IF(K1344&gt;=Paramètres!$F$4,"Modérée","Faible")))</f>
        <v>Très forte</v>
      </c>
    </row>
    <row r="1345" spans="1:13">
      <c r="A1345" t="s">
        <v>803</v>
      </c>
      <c r="B1345" s="11">
        <v>94</v>
      </c>
      <c r="C1345" t="s">
        <v>116</v>
      </c>
      <c r="D1345" t="s">
        <v>801</v>
      </c>
      <c r="E1345" t="s">
        <v>802</v>
      </c>
      <c r="F1345" t="s">
        <v>92</v>
      </c>
      <c r="G1345" s="12">
        <v>24</v>
      </c>
      <c r="H1345" s="12">
        <v>996</v>
      </c>
      <c r="I1345" s="12">
        <v>22</v>
      </c>
      <c r="J1345" t="str">
        <f>VLOOKUP(B1345,Paramètres!$A$4:$C$11,3,FALSE)</f>
        <v>Petite couronne</v>
      </c>
      <c r="K1345" s="13">
        <f>IFERROR(H1345/G1345,"")</f>
        <v>41.5</v>
      </c>
      <c r="L1345" s="14">
        <f>IFERROR(I1345/G1345,"")</f>
        <v>0.91666666666666663</v>
      </c>
      <c r="M1345" s="11" t="str">
        <f>IF(K1345&gt;=Paramètres!$F$6,"Très forte",IF(K1345&gt;=Paramètres!$F$5,"Forte",IF(K1345&gt;=Paramètres!$F$4,"Modérée","Faible")))</f>
        <v>Très forte</v>
      </c>
    </row>
    <row r="1346" spans="1:13">
      <c r="A1346" t="s">
        <v>868</v>
      </c>
      <c r="B1346" s="11">
        <v>75</v>
      </c>
      <c r="C1346" t="s">
        <v>86</v>
      </c>
      <c r="D1346" t="s">
        <v>801</v>
      </c>
      <c r="E1346" t="s">
        <v>802</v>
      </c>
      <c r="F1346" t="s">
        <v>92</v>
      </c>
      <c r="G1346" s="12">
        <v>45</v>
      </c>
      <c r="H1346" s="12">
        <v>1856</v>
      </c>
      <c r="I1346" s="12">
        <v>47</v>
      </c>
      <c r="J1346" t="str">
        <f>VLOOKUP(B1346,Paramètres!$A$4:$C$11,3,FALSE)</f>
        <v>Paris</v>
      </c>
      <c r="K1346" s="13">
        <f>IFERROR(H1346/G1346,"")</f>
        <v>41.244444444444447</v>
      </c>
      <c r="L1346" s="14">
        <f>IFERROR(I1346/G1346,"")</f>
        <v>1.0444444444444445</v>
      </c>
      <c r="M1346" s="11" t="str">
        <f>IF(K1346&gt;=Paramètres!$F$6,"Très forte",IF(K1346&gt;=Paramètres!$F$5,"Forte",IF(K1346&gt;=Paramètres!$F$4,"Modérée","Faible")))</f>
        <v>Très forte</v>
      </c>
    </row>
    <row r="1347" spans="1:13">
      <c r="A1347" t="s">
        <v>804</v>
      </c>
      <c r="B1347" s="11">
        <v>75</v>
      </c>
      <c r="C1347" t="s">
        <v>86</v>
      </c>
      <c r="D1347" t="s">
        <v>801</v>
      </c>
      <c r="E1347" t="s">
        <v>830</v>
      </c>
      <c r="F1347" t="s">
        <v>92</v>
      </c>
      <c r="G1347" s="12">
        <v>96</v>
      </c>
      <c r="H1347" s="12">
        <v>3853</v>
      </c>
      <c r="I1347" s="12">
        <v>91</v>
      </c>
      <c r="J1347" t="str">
        <f>VLOOKUP(B1347,Paramètres!$A$4:$C$11,3,FALSE)</f>
        <v>Paris</v>
      </c>
      <c r="K1347" s="13">
        <f>IFERROR(H1347/G1347,"")</f>
        <v>40.135416666666664</v>
      </c>
      <c r="L1347" s="14">
        <f>IFERROR(I1347/G1347,"")</f>
        <v>0.94791666666666663</v>
      </c>
      <c r="M1347" s="11" t="str">
        <f>IF(K1347&gt;=Paramètres!$F$6,"Très forte",IF(K1347&gt;=Paramètres!$F$5,"Forte",IF(K1347&gt;=Paramètres!$F$4,"Modérée","Faible")))</f>
        <v>Très forte</v>
      </c>
    </row>
    <row r="1348" spans="1:13">
      <c r="A1348" t="s">
        <v>828</v>
      </c>
      <c r="B1348" s="11">
        <v>75</v>
      </c>
      <c r="C1348" t="s">
        <v>86</v>
      </c>
      <c r="D1348" t="s">
        <v>801</v>
      </c>
      <c r="E1348" t="s">
        <v>1174</v>
      </c>
      <c r="F1348" t="s">
        <v>92</v>
      </c>
      <c r="G1348" s="12">
        <v>48</v>
      </c>
      <c r="H1348" s="12">
        <v>1925</v>
      </c>
      <c r="I1348" s="12">
        <v>46</v>
      </c>
      <c r="J1348" t="str">
        <f>VLOOKUP(B1348,Paramètres!$A$4:$C$11,3,FALSE)</f>
        <v>Paris</v>
      </c>
      <c r="K1348" s="13">
        <f>IFERROR(H1348/G1348,"")</f>
        <v>40.104166666666664</v>
      </c>
      <c r="L1348" s="14">
        <f>IFERROR(I1348/G1348,"")</f>
        <v>0.95833333333333337</v>
      </c>
      <c r="M1348" s="11" t="str">
        <f>IF(K1348&gt;=Paramètres!$F$6,"Très forte",IF(K1348&gt;=Paramètres!$F$5,"Forte",IF(K1348&gt;=Paramètres!$F$4,"Modérée","Faible")))</f>
        <v>Très forte</v>
      </c>
    </row>
    <row r="1349" spans="1:13">
      <c r="A1349" t="s">
        <v>820</v>
      </c>
      <c r="B1349" s="11">
        <v>75</v>
      </c>
      <c r="C1349" t="s">
        <v>86</v>
      </c>
      <c r="D1349" t="s">
        <v>801</v>
      </c>
      <c r="E1349" t="s">
        <v>834</v>
      </c>
      <c r="F1349" t="s">
        <v>92</v>
      </c>
      <c r="G1349" s="12">
        <v>48</v>
      </c>
      <c r="H1349" s="12">
        <v>1898</v>
      </c>
      <c r="I1349" s="12">
        <v>45</v>
      </c>
      <c r="J1349" t="str">
        <f>VLOOKUP(B1349,Paramètres!$A$4:$C$11,3,FALSE)</f>
        <v>Paris</v>
      </c>
      <c r="K1349" s="13">
        <f>IFERROR(H1349/G1349,"")</f>
        <v>39.541666666666664</v>
      </c>
      <c r="L1349" s="14">
        <f>IFERROR(I1349/G1349,"")</f>
        <v>0.9375</v>
      </c>
      <c r="M1349" s="11" t="str">
        <f>IF(K1349&gt;=Paramètres!$F$6,"Très forte",IF(K1349&gt;=Paramètres!$F$5,"Forte",IF(K1349&gt;=Paramètres!$F$4,"Modérée","Faible")))</f>
        <v>Forte</v>
      </c>
    </row>
    <row r="1350" spans="1:13">
      <c r="A1350" t="s">
        <v>1136</v>
      </c>
      <c r="B1350" s="11">
        <v>75</v>
      </c>
      <c r="C1350" t="s">
        <v>86</v>
      </c>
      <c r="D1350" t="s">
        <v>801</v>
      </c>
      <c r="E1350" t="s">
        <v>834</v>
      </c>
      <c r="F1350" t="s">
        <v>92</v>
      </c>
      <c r="G1350" s="12">
        <v>48</v>
      </c>
      <c r="H1350" s="12">
        <v>1894</v>
      </c>
      <c r="I1350" s="12">
        <v>47</v>
      </c>
      <c r="J1350" t="str">
        <f>VLOOKUP(B1350,Paramètres!$A$4:$C$11,3,FALSE)</f>
        <v>Paris</v>
      </c>
      <c r="K1350" s="13">
        <f>IFERROR(H1350/G1350,"")</f>
        <v>39.458333333333336</v>
      </c>
      <c r="L1350" s="14">
        <f>IFERROR(I1350/G1350,"")</f>
        <v>0.97916666666666663</v>
      </c>
      <c r="M1350" s="11" t="str">
        <f>IF(K1350&gt;=Paramètres!$F$6,"Très forte",IF(K1350&gt;=Paramètres!$F$5,"Forte",IF(K1350&gt;=Paramètres!$F$4,"Modérée","Faible")))</f>
        <v>Forte</v>
      </c>
    </row>
    <row r="1351" spans="1:13">
      <c r="A1351" t="s">
        <v>811</v>
      </c>
      <c r="B1351" s="11">
        <v>78</v>
      </c>
      <c r="C1351" t="s">
        <v>135</v>
      </c>
      <c r="D1351" t="s">
        <v>801</v>
      </c>
      <c r="E1351" t="s">
        <v>834</v>
      </c>
      <c r="F1351" t="s">
        <v>92</v>
      </c>
      <c r="G1351" s="12">
        <v>96</v>
      </c>
      <c r="H1351" s="12">
        <v>3770</v>
      </c>
      <c r="I1351" s="12">
        <v>95</v>
      </c>
      <c r="J1351" t="str">
        <f>VLOOKUP(B1351,Paramètres!$A$4:$C$11,3,FALSE)</f>
        <v>Grande couronne</v>
      </c>
      <c r="K1351" s="13">
        <f>IFERROR(H1351/G1351,"")</f>
        <v>39.270833333333336</v>
      </c>
      <c r="L1351" s="14">
        <f>IFERROR(I1351/G1351,"")</f>
        <v>0.98958333333333337</v>
      </c>
      <c r="M1351" s="11" t="str">
        <f>IF(K1351&gt;=Paramètres!$F$6,"Très forte",IF(K1351&gt;=Paramètres!$F$5,"Forte",IF(K1351&gt;=Paramètres!$F$4,"Modérée","Faible")))</f>
        <v>Forte</v>
      </c>
    </row>
    <row r="1352" spans="1:13">
      <c r="A1352" t="s">
        <v>828</v>
      </c>
      <c r="B1352" s="11">
        <v>75</v>
      </c>
      <c r="C1352" t="s">
        <v>86</v>
      </c>
      <c r="D1352" t="s">
        <v>801</v>
      </c>
      <c r="E1352" t="s">
        <v>830</v>
      </c>
      <c r="F1352" t="s">
        <v>92</v>
      </c>
      <c r="G1352" s="12">
        <v>96</v>
      </c>
      <c r="H1352" s="12">
        <v>3741</v>
      </c>
      <c r="I1352" s="12">
        <v>89</v>
      </c>
      <c r="J1352" t="str">
        <f>VLOOKUP(B1352,Paramètres!$A$4:$C$11,3,FALSE)</f>
        <v>Paris</v>
      </c>
      <c r="K1352" s="13">
        <f>IFERROR(H1352/G1352,"")</f>
        <v>38.96875</v>
      </c>
      <c r="L1352" s="14">
        <f>IFERROR(I1352/G1352,"")</f>
        <v>0.92708333333333337</v>
      </c>
      <c r="M1352" s="11" t="str">
        <f>IF(K1352&gt;=Paramètres!$F$6,"Très forte",IF(K1352&gt;=Paramètres!$F$5,"Forte",IF(K1352&gt;=Paramètres!$F$4,"Modérée","Faible")))</f>
        <v>Forte</v>
      </c>
    </row>
    <row r="1353" spans="1:13">
      <c r="A1353" t="s">
        <v>868</v>
      </c>
      <c r="B1353" s="11">
        <v>75</v>
      </c>
      <c r="C1353" t="s">
        <v>86</v>
      </c>
      <c r="D1353" t="s">
        <v>801</v>
      </c>
      <c r="E1353" t="s">
        <v>827</v>
      </c>
      <c r="F1353" t="s">
        <v>92</v>
      </c>
      <c r="G1353" s="12">
        <v>96</v>
      </c>
      <c r="H1353" s="12">
        <v>3704</v>
      </c>
      <c r="I1353" s="12">
        <v>95</v>
      </c>
      <c r="J1353" t="str">
        <f>VLOOKUP(B1353,Paramètres!$A$4:$C$11,3,FALSE)</f>
        <v>Paris</v>
      </c>
      <c r="K1353" s="13">
        <f>IFERROR(H1353/G1353,"")</f>
        <v>38.583333333333336</v>
      </c>
      <c r="L1353" s="14">
        <f>IFERROR(I1353/G1353,"")</f>
        <v>0.98958333333333337</v>
      </c>
      <c r="M1353" s="11" t="str">
        <f>IF(K1353&gt;=Paramètres!$F$6,"Très forte",IF(K1353&gt;=Paramètres!$F$5,"Forte",IF(K1353&gt;=Paramètres!$F$4,"Modérée","Faible")))</f>
        <v>Forte</v>
      </c>
    </row>
    <row r="1354" spans="1:13">
      <c r="A1354" t="s">
        <v>1133</v>
      </c>
      <c r="B1354" s="11">
        <v>75</v>
      </c>
      <c r="C1354" t="s">
        <v>86</v>
      </c>
      <c r="D1354" t="s">
        <v>801</v>
      </c>
      <c r="E1354" t="s">
        <v>1134</v>
      </c>
      <c r="F1354" t="s">
        <v>92</v>
      </c>
      <c r="G1354" s="12">
        <v>24</v>
      </c>
      <c r="H1354" s="12">
        <v>922</v>
      </c>
      <c r="I1354" s="12">
        <v>24</v>
      </c>
      <c r="J1354" t="str">
        <f>VLOOKUP(B1354,Paramètres!$A$4:$C$11,3,FALSE)</f>
        <v>Paris</v>
      </c>
      <c r="K1354" s="13">
        <f>IFERROR(H1354/G1354,"")</f>
        <v>38.416666666666664</v>
      </c>
      <c r="L1354" s="14">
        <f>IFERROR(I1354/G1354,"")</f>
        <v>1</v>
      </c>
      <c r="M1354" s="11" t="str">
        <f>IF(K1354&gt;=Paramètres!$F$6,"Très forte",IF(K1354&gt;=Paramètres!$F$5,"Forte",IF(K1354&gt;=Paramètres!$F$4,"Modérée","Faible")))</f>
        <v>Forte</v>
      </c>
    </row>
    <row r="1355" spans="1:13">
      <c r="A1355" t="s">
        <v>868</v>
      </c>
      <c r="B1355" s="11">
        <v>75</v>
      </c>
      <c r="C1355" t="s">
        <v>86</v>
      </c>
      <c r="D1355" t="s">
        <v>801</v>
      </c>
      <c r="E1355" t="s">
        <v>869</v>
      </c>
      <c r="F1355" t="s">
        <v>92</v>
      </c>
      <c r="G1355" s="12">
        <v>40</v>
      </c>
      <c r="H1355" s="12">
        <v>1532</v>
      </c>
      <c r="I1355" s="12">
        <v>42</v>
      </c>
      <c r="J1355" t="str">
        <f>VLOOKUP(B1355,Paramètres!$A$4:$C$11,3,FALSE)</f>
        <v>Paris</v>
      </c>
      <c r="K1355" s="13">
        <f>IFERROR(H1355/G1355,"")</f>
        <v>38.299999999999997</v>
      </c>
      <c r="L1355" s="14">
        <f>IFERROR(I1355/G1355,"")</f>
        <v>1.05</v>
      </c>
      <c r="M1355" s="11" t="str">
        <f>IF(K1355&gt;=Paramètres!$F$6,"Très forte",IF(K1355&gt;=Paramètres!$F$5,"Forte",IF(K1355&gt;=Paramètres!$F$4,"Modérée","Faible")))</f>
        <v>Forte</v>
      </c>
    </row>
    <row r="1356" spans="1:13">
      <c r="A1356" t="s">
        <v>807</v>
      </c>
      <c r="B1356" s="11">
        <v>78</v>
      </c>
      <c r="C1356" t="s">
        <v>135</v>
      </c>
      <c r="D1356" t="s">
        <v>801</v>
      </c>
      <c r="E1356" t="s">
        <v>827</v>
      </c>
      <c r="F1356" t="s">
        <v>92</v>
      </c>
      <c r="G1356" s="12">
        <v>48</v>
      </c>
      <c r="H1356" s="12">
        <v>1833</v>
      </c>
      <c r="I1356" s="12">
        <v>47</v>
      </c>
      <c r="J1356" t="str">
        <f>VLOOKUP(B1356,Paramètres!$A$4:$C$11,3,FALSE)</f>
        <v>Grande couronne</v>
      </c>
      <c r="K1356" s="13">
        <f>IFERROR(H1356/G1356,"")</f>
        <v>38.1875</v>
      </c>
      <c r="L1356" s="14">
        <f>IFERROR(I1356/G1356,"")</f>
        <v>0.97916666666666663</v>
      </c>
      <c r="M1356" s="11" t="str">
        <f>IF(K1356&gt;=Paramètres!$F$6,"Très forte",IF(K1356&gt;=Paramètres!$F$5,"Forte",IF(K1356&gt;=Paramètres!$F$4,"Modérée","Faible")))</f>
        <v>Forte</v>
      </c>
    </row>
    <row r="1357" spans="1:13">
      <c r="A1357" t="s">
        <v>963</v>
      </c>
      <c r="B1357" s="11">
        <v>94</v>
      </c>
      <c r="C1357" t="s">
        <v>116</v>
      </c>
      <c r="D1357" t="s">
        <v>801</v>
      </c>
      <c r="E1357" t="s">
        <v>1021</v>
      </c>
      <c r="F1357" t="s">
        <v>92</v>
      </c>
      <c r="G1357" s="12">
        <v>39</v>
      </c>
      <c r="H1357" s="12">
        <v>1466</v>
      </c>
      <c r="I1357" s="12">
        <v>37</v>
      </c>
      <c r="J1357" t="str">
        <f>VLOOKUP(B1357,Paramètres!$A$4:$C$11,3,FALSE)</f>
        <v>Petite couronne</v>
      </c>
      <c r="K1357" s="13">
        <f>IFERROR(H1357/G1357,"")</f>
        <v>37.589743589743591</v>
      </c>
      <c r="L1357" s="14">
        <f>IFERROR(I1357/G1357,"")</f>
        <v>0.94871794871794868</v>
      </c>
      <c r="M1357" s="11" t="str">
        <f>IF(K1357&gt;=Paramètres!$F$6,"Très forte",IF(K1357&gt;=Paramètres!$F$5,"Forte",IF(K1357&gt;=Paramètres!$F$4,"Modérée","Faible")))</f>
        <v>Forte</v>
      </c>
    </row>
    <row r="1358" spans="1:13">
      <c r="A1358" t="s">
        <v>828</v>
      </c>
      <c r="B1358" s="11">
        <v>75</v>
      </c>
      <c r="C1358" t="s">
        <v>86</v>
      </c>
      <c r="D1358" t="s">
        <v>801</v>
      </c>
      <c r="E1358" t="s">
        <v>855</v>
      </c>
      <c r="F1358" t="s">
        <v>92</v>
      </c>
      <c r="G1358" s="12">
        <v>48</v>
      </c>
      <c r="H1358" s="12">
        <v>1803</v>
      </c>
      <c r="I1358" s="12">
        <v>50</v>
      </c>
      <c r="J1358" t="str">
        <f>VLOOKUP(B1358,Paramètres!$A$4:$C$11,3,FALSE)</f>
        <v>Paris</v>
      </c>
      <c r="K1358" s="13">
        <f>IFERROR(H1358/G1358,"")</f>
        <v>37.5625</v>
      </c>
      <c r="L1358" s="14">
        <f>IFERROR(I1358/G1358,"")</f>
        <v>1.0416666666666667</v>
      </c>
      <c r="M1358" s="11" t="str">
        <f>IF(K1358&gt;=Paramètres!$F$6,"Très forte",IF(K1358&gt;=Paramètres!$F$5,"Forte",IF(K1358&gt;=Paramètres!$F$4,"Modérée","Faible")))</f>
        <v>Forte</v>
      </c>
    </row>
    <row r="1359" spans="1:13">
      <c r="A1359" t="s">
        <v>892</v>
      </c>
      <c r="B1359" s="11">
        <v>91</v>
      </c>
      <c r="C1359" t="s">
        <v>105</v>
      </c>
      <c r="D1359" t="s">
        <v>801</v>
      </c>
      <c r="E1359" t="s">
        <v>827</v>
      </c>
      <c r="F1359" t="s">
        <v>92</v>
      </c>
      <c r="G1359" s="12">
        <v>84</v>
      </c>
      <c r="H1359" s="12">
        <v>3145</v>
      </c>
      <c r="I1359" s="12">
        <v>79</v>
      </c>
      <c r="J1359" t="str">
        <f>VLOOKUP(B1359,Paramètres!$A$4:$C$11,3,FALSE)</f>
        <v>Grande couronne</v>
      </c>
      <c r="K1359" s="13">
        <f>IFERROR(H1359/G1359,"")</f>
        <v>37.44047619047619</v>
      </c>
      <c r="L1359" s="14">
        <f>IFERROR(I1359/G1359,"")</f>
        <v>0.94047619047619047</v>
      </c>
      <c r="M1359" s="11" t="str">
        <f>IF(K1359&gt;=Paramètres!$F$6,"Très forte",IF(K1359&gt;=Paramètres!$F$5,"Forte",IF(K1359&gt;=Paramètres!$F$4,"Modérée","Faible")))</f>
        <v>Forte</v>
      </c>
    </row>
    <row r="1360" spans="1:13">
      <c r="A1360" t="s">
        <v>1136</v>
      </c>
      <c r="B1360" s="11">
        <v>75</v>
      </c>
      <c r="C1360" t="s">
        <v>86</v>
      </c>
      <c r="D1360" t="s">
        <v>801</v>
      </c>
      <c r="E1360" t="s">
        <v>808</v>
      </c>
      <c r="F1360" t="s">
        <v>92</v>
      </c>
      <c r="G1360" s="12">
        <v>48</v>
      </c>
      <c r="H1360" s="12">
        <v>1783</v>
      </c>
      <c r="I1360" s="12">
        <v>42</v>
      </c>
      <c r="J1360" t="str">
        <f>VLOOKUP(B1360,Paramètres!$A$4:$C$11,3,FALSE)</f>
        <v>Paris</v>
      </c>
      <c r="K1360" s="13">
        <f>IFERROR(H1360/G1360,"")</f>
        <v>37.145833333333336</v>
      </c>
      <c r="L1360" s="14">
        <f>IFERROR(I1360/G1360,"")</f>
        <v>0.875</v>
      </c>
      <c r="M1360" s="11" t="str">
        <f>IF(K1360&gt;=Paramètres!$F$6,"Très forte",IF(K1360&gt;=Paramètres!$F$5,"Forte",IF(K1360&gt;=Paramètres!$F$4,"Modérée","Faible")))</f>
        <v>Forte</v>
      </c>
    </row>
    <row r="1361" spans="1:13">
      <c r="A1361" t="s">
        <v>1015</v>
      </c>
      <c r="B1361" s="11">
        <v>92</v>
      </c>
      <c r="C1361" t="s">
        <v>94</v>
      </c>
      <c r="D1361" t="s">
        <v>801</v>
      </c>
      <c r="E1361" t="s">
        <v>802</v>
      </c>
      <c r="F1361" t="s">
        <v>92</v>
      </c>
      <c r="G1361" s="12">
        <v>24</v>
      </c>
      <c r="H1361" s="12">
        <v>879</v>
      </c>
      <c r="I1361" s="12">
        <v>19</v>
      </c>
      <c r="J1361" t="str">
        <f>VLOOKUP(B1361,Paramètres!$A$4:$C$11,3,FALSE)</f>
        <v>Petite couronne</v>
      </c>
      <c r="K1361" s="13">
        <f>IFERROR(H1361/G1361,"")</f>
        <v>36.625</v>
      </c>
      <c r="L1361" s="14">
        <f>IFERROR(I1361/G1361,"")</f>
        <v>0.79166666666666663</v>
      </c>
      <c r="M1361" s="11" t="str">
        <f>IF(K1361&gt;=Paramètres!$F$6,"Très forte",IF(K1361&gt;=Paramètres!$F$5,"Forte",IF(K1361&gt;=Paramètres!$F$4,"Modérée","Faible")))</f>
        <v>Forte</v>
      </c>
    </row>
    <row r="1362" spans="1:13">
      <c r="A1362" t="s">
        <v>803</v>
      </c>
      <c r="B1362" s="11">
        <v>94</v>
      </c>
      <c r="C1362" t="s">
        <v>116</v>
      </c>
      <c r="D1362" t="s">
        <v>801</v>
      </c>
      <c r="E1362" t="s">
        <v>827</v>
      </c>
      <c r="F1362" t="s">
        <v>92</v>
      </c>
      <c r="G1362" s="12">
        <v>96</v>
      </c>
      <c r="H1362" s="12">
        <v>3505</v>
      </c>
      <c r="I1362" s="12">
        <v>93</v>
      </c>
      <c r="J1362" t="str">
        <f>VLOOKUP(B1362,Paramètres!$A$4:$C$11,3,FALSE)</f>
        <v>Petite couronne</v>
      </c>
      <c r="K1362" s="13">
        <f>IFERROR(H1362/G1362,"")</f>
        <v>36.510416666666664</v>
      </c>
      <c r="L1362" s="14">
        <f>IFERROR(I1362/G1362,"")</f>
        <v>0.96875</v>
      </c>
      <c r="M1362" s="11" t="str">
        <f>IF(K1362&gt;=Paramètres!$F$6,"Très forte",IF(K1362&gt;=Paramètres!$F$5,"Forte",IF(K1362&gt;=Paramètres!$F$4,"Modérée","Faible")))</f>
        <v>Forte</v>
      </c>
    </row>
    <row r="1363" spans="1:13">
      <c r="A1363" t="s">
        <v>1012</v>
      </c>
      <c r="B1363" s="11">
        <v>75</v>
      </c>
      <c r="C1363" t="s">
        <v>86</v>
      </c>
      <c r="D1363" t="s">
        <v>801</v>
      </c>
      <c r="E1363" t="s">
        <v>802</v>
      </c>
      <c r="F1363" t="s">
        <v>92</v>
      </c>
      <c r="G1363" s="12">
        <v>45</v>
      </c>
      <c r="H1363" s="12">
        <v>1614</v>
      </c>
      <c r="I1363" s="12">
        <v>46</v>
      </c>
      <c r="J1363" t="str">
        <f>VLOOKUP(B1363,Paramètres!$A$4:$C$11,3,FALSE)</f>
        <v>Paris</v>
      </c>
      <c r="K1363" s="13">
        <f>IFERROR(H1363/G1363,"")</f>
        <v>35.866666666666667</v>
      </c>
      <c r="L1363" s="14">
        <f>IFERROR(I1363/G1363,"")</f>
        <v>1.0222222222222221</v>
      </c>
      <c r="M1363" s="11" t="str">
        <f>IF(K1363&gt;=Paramètres!$F$6,"Très forte",IF(K1363&gt;=Paramètres!$F$5,"Forte",IF(K1363&gt;=Paramètres!$F$4,"Modérée","Faible")))</f>
        <v>Forte</v>
      </c>
    </row>
    <row r="1364" spans="1:13">
      <c r="A1364" t="s">
        <v>868</v>
      </c>
      <c r="B1364" s="11">
        <v>75</v>
      </c>
      <c r="C1364" t="s">
        <v>86</v>
      </c>
      <c r="D1364" t="s">
        <v>801</v>
      </c>
      <c r="E1364" t="s">
        <v>802</v>
      </c>
      <c r="F1364" t="s">
        <v>92</v>
      </c>
      <c r="G1364" s="12">
        <v>45</v>
      </c>
      <c r="H1364" s="12">
        <v>1613</v>
      </c>
      <c r="I1364" s="12">
        <v>44</v>
      </c>
      <c r="J1364" t="str">
        <f>VLOOKUP(B1364,Paramètres!$A$4:$C$11,3,FALSE)</f>
        <v>Paris</v>
      </c>
      <c r="K1364" s="13">
        <f>IFERROR(H1364/G1364,"")</f>
        <v>35.844444444444441</v>
      </c>
      <c r="L1364" s="14">
        <f>IFERROR(I1364/G1364,"")</f>
        <v>0.97777777777777775</v>
      </c>
      <c r="M1364" s="11" t="str">
        <f>IF(K1364&gt;=Paramètres!$F$6,"Très forte",IF(K1364&gt;=Paramètres!$F$5,"Forte",IF(K1364&gt;=Paramètres!$F$4,"Modérée","Faible")))</f>
        <v>Forte</v>
      </c>
    </row>
    <row r="1365" spans="1:13">
      <c r="A1365" t="s">
        <v>1027</v>
      </c>
      <c r="B1365" s="11">
        <v>75</v>
      </c>
      <c r="C1365" t="s">
        <v>86</v>
      </c>
      <c r="D1365" t="s">
        <v>801</v>
      </c>
      <c r="E1365" t="s">
        <v>829</v>
      </c>
      <c r="F1365" t="s">
        <v>92</v>
      </c>
      <c r="G1365" s="12">
        <v>45</v>
      </c>
      <c r="H1365" s="12">
        <v>1587</v>
      </c>
      <c r="I1365" s="12">
        <v>42</v>
      </c>
      <c r="J1365" t="str">
        <f>VLOOKUP(B1365,Paramètres!$A$4:$C$11,3,FALSE)</f>
        <v>Paris</v>
      </c>
      <c r="K1365" s="13">
        <f>IFERROR(H1365/G1365,"")</f>
        <v>35.266666666666666</v>
      </c>
      <c r="L1365" s="14">
        <f>IFERROR(I1365/G1365,"")</f>
        <v>0.93333333333333335</v>
      </c>
      <c r="M1365" s="11" t="str">
        <f>IF(K1365&gt;=Paramètres!$F$6,"Très forte",IF(K1365&gt;=Paramètres!$F$5,"Forte",IF(K1365&gt;=Paramètres!$F$4,"Modérée","Faible")))</f>
        <v>Forte</v>
      </c>
    </row>
    <row r="1366" spans="1:13">
      <c r="A1366" t="s">
        <v>1137</v>
      </c>
      <c r="B1366" s="11">
        <v>75</v>
      </c>
      <c r="C1366" t="s">
        <v>86</v>
      </c>
      <c r="D1366" t="s">
        <v>801</v>
      </c>
      <c r="E1366" t="s">
        <v>834</v>
      </c>
      <c r="F1366" t="s">
        <v>92</v>
      </c>
      <c r="G1366" s="12">
        <v>48</v>
      </c>
      <c r="H1366" s="12">
        <v>1685</v>
      </c>
      <c r="I1366" s="12">
        <v>42</v>
      </c>
      <c r="J1366" t="str">
        <f>VLOOKUP(B1366,Paramètres!$A$4:$C$11,3,FALSE)</f>
        <v>Paris</v>
      </c>
      <c r="K1366" s="13">
        <f>IFERROR(H1366/G1366,"")</f>
        <v>35.104166666666664</v>
      </c>
      <c r="L1366" s="14">
        <f>IFERROR(I1366/G1366,"")</f>
        <v>0.875</v>
      </c>
      <c r="M1366" s="11" t="str">
        <f>IF(K1366&gt;=Paramètres!$F$6,"Très forte",IF(K1366&gt;=Paramètres!$F$5,"Forte",IF(K1366&gt;=Paramètres!$F$4,"Modérée","Faible")))</f>
        <v>Forte</v>
      </c>
    </row>
    <row r="1367" spans="1:13">
      <c r="A1367" t="s">
        <v>907</v>
      </c>
      <c r="B1367" s="11">
        <v>93</v>
      </c>
      <c r="C1367" t="s">
        <v>100</v>
      </c>
      <c r="D1367" t="s">
        <v>801</v>
      </c>
      <c r="E1367" t="s">
        <v>829</v>
      </c>
      <c r="F1367" t="s">
        <v>92</v>
      </c>
      <c r="G1367" s="12">
        <v>15</v>
      </c>
      <c r="H1367" s="12">
        <v>516</v>
      </c>
      <c r="I1367" s="12">
        <v>16</v>
      </c>
      <c r="J1367" t="str">
        <f>VLOOKUP(B1367,Paramètres!$A$4:$C$11,3,FALSE)</f>
        <v>Petite couronne</v>
      </c>
      <c r="K1367" s="13">
        <f>IFERROR(H1367/G1367,"")</f>
        <v>34.4</v>
      </c>
      <c r="L1367" s="14">
        <f>IFERROR(I1367/G1367,"")</f>
        <v>1.0666666666666667</v>
      </c>
      <c r="M1367" s="11" t="str">
        <f>IF(K1367&gt;=Paramètres!$F$6,"Très forte",IF(K1367&gt;=Paramètres!$F$5,"Forte",IF(K1367&gt;=Paramètres!$F$4,"Modérée","Faible")))</f>
        <v>Forte</v>
      </c>
    </row>
    <row r="1368" spans="1:13">
      <c r="A1368" t="s">
        <v>1024</v>
      </c>
      <c r="B1368" s="11">
        <v>75</v>
      </c>
      <c r="C1368" t="s">
        <v>86</v>
      </c>
      <c r="D1368" t="s">
        <v>801</v>
      </c>
      <c r="E1368" t="s">
        <v>834</v>
      </c>
      <c r="F1368" t="s">
        <v>92</v>
      </c>
      <c r="G1368" s="12">
        <v>240</v>
      </c>
      <c r="H1368" s="12">
        <v>8214</v>
      </c>
      <c r="I1368" s="12">
        <v>239</v>
      </c>
      <c r="J1368" t="str">
        <f>VLOOKUP(B1368,Paramètres!$A$4:$C$11,3,FALSE)</f>
        <v>Paris</v>
      </c>
      <c r="K1368" s="13">
        <f>IFERROR(H1368/G1368,"")</f>
        <v>34.225000000000001</v>
      </c>
      <c r="L1368" s="14">
        <f>IFERROR(I1368/G1368,"")</f>
        <v>0.99583333333333335</v>
      </c>
      <c r="M1368" s="11" t="str">
        <f>IF(K1368&gt;=Paramètres!$F$6,"Très forte",IF(K1368&gt;=Paramètres!$F$5,"Forte",IF(K1368&gt;=Paramètres!$F$4,"Modérée","Faible")))</f>
        <v>Forte</v>
      </c>
    </row>
    <row r="1369" spans="1:13">
      <c r="A1369" t="s">
        <v>1175</v>
      </c>
      <c r="B1369" s="11">
        <v>92</v>
      </c>
      <c r="C1369" t="s">
        <v>94</v>
      </c>
      <c r="D1369" t="s">
        <v>801</v>
      </c>
      <c r="E1369" t="s">
        <v>806</v>
      </c>
      <c r="F1369" t="s">
        <v>92</v>
      </c>
      <c r="G1369" s="12">
        <v>38</v>
      </c>
      <c r="H1369" s="12">
        <v>1284</v>
      </c>
      <c r="I1369" s="12">
        <v>35</v>
      </c>
      <c r="J1369" t="str">
        <f>VLOOKUP(B1369,Paramètres!$A$4:$C$11,3,FALSE)</f>
        <v>Petite couronne</v>
      </c>
      <c r="K1369" s="13">
        <f>IFERROR(H1369/G1369,"")</f>
        <v>33.789473684210527</v>
      </c>
      <c r="L1369" s="14">
        <f>IFERROR(I1369/G1369,"")</f>
        <v>0.92105263157894735</v>
      </c>
      <c r="M1369" s="11" t="str">
        <f>IF(K1369&gt;=Paramètres!$F$6,"Très forte",IF(K1369&gt;=Paramètres!$F$5,"Forte",IF(K1369&gt;=Paramètres!$F$4,"Modérée","Faible")))</f>
        <v>Forte</v>
      </c>
    </row>
    <row r="1370" spans="1:13">
      <c r="A1370" t="s">
        <v>1115</v>
      </c>
      <c r="B1370" s="11">
        <v>75</v>
      </c>
      <c r="C1370" t="s">
        <v>86</v>
      </c>
      <c r="D1370" t="s">
        <v>801</v>
      </c>
      <c r="E1370" t="s">
        <v>834</v>
      </c>
      <c r="F1370" t="s">
        <v>92</v>
      </c>
      <c r="G1370" s="12">
        <v>48</v>
      </c>
      <c r="H1370" s="12">
        <v>1614</v>
      </c>
      <c r="I1370" s="12">
        <v>53</v>
      </c>
      <c r="J1370" t="str">
        <f>VLOOKUP(B1370,Paramètres!$A$4:$C$11,3,FALSE)</f>
        <v>Paris</v>
      </c>
      <c r="K1370" s="13">
        <f>IFERROR(H1370/G1370,"")</f>
        <v>33.625</v>
      </c>
      <c r="L1370" s="14">
        <f>IFERROR(I1370/G1370,"")</f>
        <v>1.1041666666666667</v>
      </c>
      <c r="M1370" s="11" t="str">
        <f>IF(K1370&gt;=Paramètres!$F$6,"Très forte",IF(K1370&gt;=Paramètres!$F$5,"Forte",IF(K1370&gt;=Paramètres!$F$4,"Modérée","Faible")))</f>
        <v>Forte</v>
      </c>
    </row>
    <row r="1371" spans="1:13">
      <c r="A1371" t="s">
        <v>1072</v>
      </c>
      <c r="B1371" s="11">
        <v>92</v>
      </c>
      <c r="C1371" t="s">
        <v>94</v>
      </c>
      <c r="D1371" t="s">
        <v>801</v>
      </c>
      <c r="E1371" t="s">
        <v>817</v>
      </c>
      <c r="F1371" t="s">
        <v>92</v>
      </c>
      <c r="G1371" s="12">
        <v>48</v>
      </c>
      <c r="H1371" s="12">
        <v>1598</v>
      </c>
      <c r="I1371" s="12">
        <v>44</v>
      </c>
      <c r="J1371" t="str">
        <f>VLOOKUP(B1371,Paramètres!$A$4:$C$11,3,FALSE)</f>
        <v>Petite couronne</v>
      </c>
      <c r="K1371" s="13">
        <f>IFERROR(H1371/G1371,"")</f>
        <v>33.291666666666664</v>
      </c>
      <c r="L1371" s="14">
        <f>IFERROR(I1371/G1371,"")</f>
        <v>0.91666666666666663</v>
      </c>
      <c r="M1371" s="11" t="str">
        <f>IF(K1371&gt;=Paramètres!$F$6,"Très forte",IF(K1371&gt;=Paramètres!$F$5,"Forte",IF(K1371&gt;=Paramètres!$F$4,"Modérée","Faible")))</f>
        <v>Forte</v>
      </c>
    </row>
    <row r="1372" spans="1:13">
      <c r="A1372" t="s">
        <v>826</v>
      </c>
      <c r="B1372" s="11">
        <v>75</v>
      </c>
      <c r="C1372" t="s">
        <v>86</v>
      </c>
      <c r="D1372" t="s">
        <v>801</v>
      </c>
      <c r="E1372" t="s">
        <v>855</v>
      </c>
      <c r="F1372" t="s">
        <v>92</v>
      </c>
      <c r="G1372" s="12">
        <v>96</v>
      </c>
      <c r="H1372" s="12">
        <v>3176</v>
      </c>
      <c r="I1372" s="12">
        <v>93</v>
      </c>
      <c r="J1372" t="str">
        <f>VLOOKUP(B1372,Paramètres!$A$4:$C$11,3,FALSE)</f>
        <v>Paris</v>
      </c>
      <c r="K1372" s="13">
        <f>IFERROR(H1372/G1372,"")</f>
        <v>33.083333333333336</v>
      </c>
      <c r="L1372" s="14">
        <f>IFERROR(I1372/G1372,"")</f>
        <v>0.96875</v>
      </c>
      <c r="M1372" s="11" t="str">
        <f>IF(K1372&gt;=Paramètres!$F$6,"Très forte",IF(K1372&gt;=Paramètres!$F$5,"Forte",IF(K1372&gt;=Paramètres!$F$4,"Modérée","Faible")))</f>
        <v>Forte</v>
      </c>
    </row>
    <row r="1373" spans="1:13">
      <c r="A1373" t="s">
        <v>1220</v>
      </c>
      <c r="B1373" s="11">
        <v>92</v>
      </c>
      <c r="C1373" t="s">
        <v>94</v>
      </c>
      <c r="D1373" t="s">
        <v>801</v>
      </c>
      <c r="E1373" t="s">
        <v>834</v>
      </c>
      <c r="F1373" t="s">
        <v>92</v>
      </c>
      <c r="G1373" s="12">
        <v>92</v>
      </c>
      <c r="H1373" s="12">
        <v>3032</v>
      </c>
      <c r="I1373" s="12">
        <v>91</v>
      </c>
      <c r="J1373" t="str">
        <f>VLOOKUP(B1373,Paramètres!$A$4:$C$11,3,FALSE)</f>
        <v>Petite couronne</v>
      </c>
      <c r="K1373" s="13">
        <f>IFERROR(H1373/G1373,"")</f>
        <v>32.956521739130437</v>
      </c>
      <c r="L1373" s="14">
        <f>IFERROR(I1373/G1373,"")</f>
        <v>0.98913043478260865</v>
      </c>
      <c r="M1373" s="11" t="str">
        <f>IF(K1373&gt;=Paramètres!$F$6,"Très forte",IF(K1373&gt;=Paramètres!$F$5,"Forte",IF(K1373&gt;=Paramètres!$F$4,"Modérée","Faible")))</f>
        <v>Forte</v>
      </c>
    </row>
    <row r="1374" spans="1:13">
      <c r="A1374" t="s">
        <v>1073</v>
      </c>
      <c r="B1374" s="11">
        <v>92</v>
      </c>
      <c r="C1374" t="s">
        <v>94</v>
      </c>
      <c r="D1374" t="s">
        <v>801</v>
      </c>
      <c r="E1374" t="s">
        <v>834</v>
      </c>
      <c r="F1374" t="s">
        <v>92</v>
      </c>
      <c r="G1374" s="12">
        <v>88</v>
      </c>
      <c r="H1374" s="12">
        <v>2900</v>
      </c>
      <c r="I1374" s="12">
        <v>87</v>
      </c>
      <c r="J1374" t="str">
        <f>VLOOKUP(B1374,Paramètres!$A$4:$C$11,3,FALSE)</f>
        <v>Petite couronne</v>
      </c>
      <c r="K1374" s="13">
        <f>IFERROR(H1374/G1374,"")</f>
        <v>32.954545454545453</v>
      </c>
      <c r="L1374" s="14">
        <f>IFERROR(I1374/G1374,"")</f>
        <v>0.98863636363636365</v>
      </c>
      <c r="M1374" s="11" t="str">
        <f>IF(K1374&gt;=Paramètres!$F$6,"Très forte",IF(K1374&gt;=Paramètres!$F$5,"Forte",IF(K1374&gt;=Paramètres!$F$4,"Modérée","Faible")))</f>
        <v>Forte</v>
      </c>
    </row>
    <row r="1375" spans="1:13">
      <c r="A1375" t="s">
        <v>1046</v>
      </c>
      <c r="B1375" s="11">
        <v>77</v>
      </c>
      <c r="C1375" t="s">
        <v>132</v>
      </c>
      <c r="D1375" t="s">
        <v>801</v>
      </c>
      <c r="E1375" t="s">
        <v>827</v>
      </c>
      <c r="F1375" t="s">
        <v>92</v>
      </c>
      <c r="G1375" s="12">
        <v>47</v>
      </c>
      <c r="H1375" s="12">
        <v>1542</v>
      </c>
      <c r="I1375" s="12">
        <v>47</v>
      </c>
      <c r="J1375" t="str">
        <f>VLOOKUP(B1375,Paramètres!$A$4:$C$11,3,FALSE)</f>
        <v>Grande couronne</v>
      </c>
      <c r="K1375" s="13">
        <f>IFERROR(H1375/G1375,"")</f>
        <v>32.808510638297875</v>
      </c>
      <c r="L1375" s="14">
        <f>IFERROR(I1375/G1375,"")</f>
        <v>1</v>
      </c>
      <c r="M1375" s="11" t="str">
        <f>IF(K1375&gt;=Paramètres!$F$6,"Très forte",IF(K1375&gt;=Paramètres!$F$5,"Forte",IF(K1375&gt;=Paramètres!$F$4,"Modérée","Faible")))</f>
        <v>Forte</v>
      </c>
    </row>
    <row r="1376" spans="1:13">
      <c r="A1376" t="s">
        <v>835</v>
      </c>
      <c r="B1376" s="11">
        <v>75</v>
      </c>
      <c r="C1376" t="s">
        <v>86</v>
      </c>
      <c r="D1376" t="s">
        <v>801</v>
      </c>
      <c r="E1376" t="s">
        <v>829</v>
      </c>
      <c r="F1376" t="s">
        <v>92</v>
      </c>
      <c r="G1376" s="12">
        <v>42</v>
      </c>
      <c r="H1376" s="12">
        <v>1342</v>
      </c>
      <c r="I1376" s="12">
        <v>42</v>
      </c>
      <c r="J1376" t="str">
        <f>VLOOKUP(B1376,Paramètres!$A$4:$C$11,3,FALSE)</f>
        <v>Paris</v>
      </c>
      <c r="K1376" s="13">
        <f>IFERROR(H1376/G1376,"")</f>
        <v>31.952380952380953</v>
      </c>
      <c r="L1376" s="14">
        <f>IFERROR(I1376/G1376,"")</f>
        <v>1</v>
      </c>
      <c r="M1376" s="11" t="str">
        <f>IF(K1376&gt;=Paramètres!$F$6,"Très forte",IF(K1376&gt;=Paramètres!$F$5,"Forte",IF(K1376&gt;=Paramètres!$F$4,"Modérée","Faible")))</f>
        <v>Forte</v>
      </c>
    </row>
    <row r="1377" spans="1:13">
      <c r="A1377" t="s">
        <v>814</v>
      </c>
      <c r="B1377" s="11">
        <v>95</v>
      </c>
      <c r="C1377" t="s">
        <v>90</v>
      </c>
      <c r="D1377" t="s">
        <v>801</v>
      </c>
      <c r="E1377" t="s">
        <v>802</v>
      </c>
      <c r="F1377" t="s">
        <v>92</v>
      </c>
      <c r="G1377" s="12">
        <v>21</v>
      </c>
      <c r="H1377" s="12">
        <v>666</v>
      </c>
      <c r="I1377" s="12">
        <v>19</v>
      </c>
      <c r="J1377" t="str">
        <f>VLOOKUP(B1377,Paramètres!$A$4:$C$11,3,FALSE)</f>
        <v>Grande couronne</v>
      </c>
      <c r="K1377" s="13">
        <f>IFERROR(H1377/G1377,"")</f>
        <v>31.714285714285715</v>
      </c>
      <c r="L1377" s="14">
        <f>IFERROR(I1377/G1377,"")</f>
        <v>0.90476190476190477</v>
      </c>
      <c r="M1377" s="11" t="str">
        <f>IF(K1377&gt;=Paramètres!$F$6,"Très forte",IF(K1377&gt;=Paramètres!$F$5,"Forte",IF(K1377&gt;=Paramètres!$F$4,"Modérée","Faible")))</f>
        <v>Forte</v>
      </c>
    </row>
    <row r="1378" spans="1:13">
      <c r="A1378" t="s">
        <v>870</v>
      </c>
      <c r="B1378" s="11">
        <v>75</v>
      </c>
      <c r="C1378" t="s">
        <v>86</v>
      </c>
      <c r="D1378" t="s">
        <v>801</v>
      </c>
      <c r="E1378" t="s">
        <v>1017</v>
      </c>
      <c r="F1378" t="s">
        <v>92</v>
      </c>
      <c r="G1378" s="12">
        <v>45</v>
      </c>
      <c r="H1378" s="12">
        <v>1417</v>
      </c>
      <c r="I1378" s="12">
        <v>50</v>
      </c>
      <c r="J1378" t="str">
        <f>VLOOKUP(B1378,Paramètres!$A$4:$C$11,3,FALSE)</f>
        <v>Paris</v>
      </c>
      <c r="K1378" s="13">
        <f>IFERROR(H1378/G1378,"")</f>
        <v>31.488888888888887</v>
      </c>
      <c r="L1378" s="14">
        <f>IFERROR(I1378/G1378,"")</f>
        <v>1.1111111111111112</v>
      </c>
      <c r="M1378" s="11" t="str">
        <f>IF(K1378&gt;=Paramètres!$F$6,"Très forte",IF(K1378&gt;=Paramètres!$F$5,"Forte",IF(K1378&gt;=Paramètres!$F$4,"Modérée","Faible")))</f>
        <v>Forte</v>
      </c>
    </row>
    <row r="1379" spans="1:13">
      <c r="A1379" t="s">
        <v>809</v>
      </c>
      <c r="B1379" s="11">
        <v>92</v>
      </c>
      <c r="C1379" t="s">
        <v>94</v>
      </c>
      <c r="D1379" t="s">
        <v>801</v>
      </c>
      <c r="E1379" t="s">
        <v>806</v>
      </c>
      <c r="F1379" t="s">
        <v>92</v>
      </c>
      <c r="G1379" s="12">
        <v>42</v>
      </c>
      <c r="H1379" s="12">
        <v>1319</v>
      </c>
      <c r="I1379" s="12">
        <v>42</v>
      </c>
      <c r="J1379" t="str">
        <f>VLOOKUP(B1379,Paramètres!$A$4:$C$11,3,FALSE)</f>
        <v>Petite couronne</v>
      </c>
      <c r="K1379" s="13">
        <f>IFERROR(H1379/G1379,"")</f>
        <v>31.404761904761905</v>
      </c>
      <c r="L1379" s="14">
        <f>IFERROR(I1379/G1379,"")</f>
        <v>1</v>
      </c>
      <c r="M1379" s="11" t="str">
        <f>IF(K1379&gt;=Paramètres!$F$6,"Très forte",IF(K1379&gt;=Paramètres!$F$5,"Forte",IF(K1379&gt;=Paramètres!$F$4,"Modérée","Faible")))</f>
        <v>Forte</v>
      </c>
    </row>
    <row r="1380" spans="1:13">
      <c r="A1380" t="s">
        <v>947</v>
      </c>
      <c r="B1380" s="11">
        <v>93</v>
      </c>
      <c r="C1380" t="s">
        <v>100</v>
      </c>
      <c r="D1380" t="s">
        <v>801</v>
      </c>
      <c r="E1380" t="s">
        <v>806</v>
      </c>
      <c r="F1380" t="s">
        <v>92</v>
      </c>
      <c r="G1380" s="12">
        <v>30</v>
      </c>
      <c r="H1380" s="12">
        <v>936</v>
      </c>
      <c r="I1380" s="12">
        <v>15</v>
      </c>
      <c r="J1380" t="str">
        <f>VLOOKUP(B1380,Paramètres!$A$4:$C$11,3,FALSE)</f>
        <v>Petite couronne</v>
      </c>
      <c r="K1380" s="13">
        <f>IFERROR(H1380/G1380,"")</f>
        <v>31.2</v>
      </c>
      <c r="L1380" s="14">
        <f>IFERROR(I1380/G1380,"")</f>
        <v>0.5</v>
      </c>
      <c r="M1380" s="11" t="str">
        <f>IF(K1380&gt;=Paramètres!$F$6,"Très forte",IF(K1380&gt;=Paramètres!$F$5,"Forte",IF(K1380&gt;=Paramètres!$F$4,"Modérée","Faible")))</f>
        <v>Forte</v>
      </c>
    </row>
    <row r="1381" spans="1:13">
      <c r="A1381" t="s">
        <v>840</v>
      </c>
      <c r="B1381" s="11">
        <v>75</v>
      </c>
      <c r="C1381" t="s">
        <v>86</v>
      </c>
      <c r="D1381" t="s">
        <v>801</v>
      </c>
      <c r="E1381" t="s">
        <v>855</v>
      </c>
      <c r="F1381" t="s">
        <v>92</v>
      </c>
      <c r="G1381" s="12">
        <v>48</v>
      </c>
      <c r="H1381" s="12">
        <v>1493</v>
      </c>
      <c r="I1381" s="12">
        <v>43</v>
      </c>
      <c r="J1381" t="str">
        <f>VLOOKUP(B1381,Paramètres!$A$4:$C$11,3,FALSE)</f>
        <v>Paris</v>
      </c>
      <c r="K1381" s="13">
        <f>IFERROR(H1381/G1381,"")</f>
        <v>31.104166666666668</v>
      </c>
      <c r="L1381" s="14">
        <f>IFERROR(I1381/G1381,"")</f>
        <v>0.89583333333333337</v>
      </c>
      <c r="M1381" s="11" t="str">
        <f>IF(K1381&gt;=Paramètres!$F$6,"Très forte",IF(K1381&gt;=Paramètres!$F$5,"Forte",IF(K1381&gt;=Paramètres!$F$4,"Modérée","Faible")))</f>
        <v>Forte</v>
      </c>
    </row>
    <row r="1382" spans="1:13">
      <c r="A1382" t="s">
        <v>1094</v>
      </c>
      <c r="B1382" s="11">
        <v>75</v>
      </c>
      <c r="C1382" t="s">
        <v>86</v>
      </c>
      <c r="D1382" t="s">
        <v>801</v>
      </c>
      <c r="E1382" t="s">
        <v>855</v>
      </c>
      <c r="F1382" t="s">
        <v>92</v>
      </c>
      <c r="G1382" s="12">
        <v>96</v>
      </c>
      <c r="H1382" s="12">
        <v>2979</v>
      </c>
      <c r="I1382" s="12">
        <v>93</v>
      </c>
      <c r="J1382" t="str">
        <f>VLOOKUP(B1382,Paramètres!$A$4:$C$11,3,FALSE)</f>
        <v>Paris</v>
      </c>
      <c r="K1382" s="13">
        <f>IFERROR(H1382/G1382,"")</f>
        <v>31.03125</v>
      </c>
      <c r="L1382" s="14">
        <f>IFERROR(I1382/G1382,"")</f>
        <v>0.96875</v>
      </c>
      <c r="M1382" s="11" t="str">
        <f>IF(K1382&gt;=Paramètres!$F$6,"Très forte",IF(K1382&gt;=Paramètres!$F$5,"Forte",IF(K1382&gt;=Paramètres!$F$4,"Modérée","Faible")))</f>
        <v>Forte</v>
      </c>
    </row>
    <row r="1383" spans="1:13">
      <c r="A1383" t="s">
        <v>963</v>
      </c>
      <c r="B1383" s="11">
        <v>94</v>
      </c>
      <c r="C1383" t="s">
        <v>116</v>
      </c>
      <c r="D1383" t="s">
        <v>801</v>
      </c>
      <c r="E1383" t="s">
        <v>829</v>
      </c>
      <c r="F1383" t="s">
        <v>92</v>
      </c>
      <c r="G1383" s="12">
        <v>45</v>
      </c>
      <c r="H1383" s="12">
        <v>1389</v>
      </c>
      <c r="I1383" s="12">
        <v>44</v>
      </c>
      <c r="J1383" t="str">
        <f>VLOOKUP(B1383,Paramètres!$A$4:$C$11,3,FALSE)</f>
        <v>Petite couronne</v>
      </c>
      <c r="K1383" s="13">
        <f>IFERROR(H1383/G1383,"")</f>
        <v>30.866666666666667</v>
      </c>
      <c r="L1383" s="14">
        <f>IFERROR(I1383/G1383,"")</f>
        <v>0.97777777777777775</v>
      </c>
      <c r="M1383" s="11" t="str">
        <f>IF(K1383&gt;=Paramètres!$F$6,"Très forte",IF(K1383&gt;=Paramètres!$F$5,"Forte",IF(K1383&gt;=Paramètres!$F$4,"Modérée","Faible")))</f>
        <v>Forte</v>
      </c>
    </row>
    <row r="1384" spans="1:13">
      <c r="A1384" t="s">
        <v>833</v>
      </c>
      <c r="B1384" s="11">
        <v>75</v>
      </c>
      <c r="C1384" t="s">
        <v>86</v>
      </c>
      <c r="D1384" t="s">
        <v>801</v>
      </c>
      <c r="E1384" t="s">
        <v>802</v>
      </c>
      <c r="F1384" t="s">
        <v>92</v>
      </c>
      <c r="G1384" s="12">
        <v>48</v>
      </c>
      <c r="H1384" s="12">
        <v>1475</v>
      </c>
      <c r="I1384" s="12">
        <v>46</v>
      </c>
      <c r="J1384" t="str">
        <f>VLOOKUP(B1384,Paramètres!$A$4:$C$11,3,FALSE)</f>
        <v>Paris</v>
      </c>
      <c r="K1384" s="13">
        <f>IFERROR(H1384/G1384,"")</f>
        <v>30.729166666666668</v>
      </c>
      <c r="L1384" s="14">
        <f>IFERROR(I1384/G1384,"")</f>
        <v>0.95833333333333337</v>
      </c>
      <c r="M1384" s="11" t="str">
        <f>IF(K1384&gt;=Paramètres!$F$6,"Très forte",IF(K1384&gt;=Paramètres!$F$5,"Forte",IF(K1384&gt;=Paramètres!$F$4,"Modérée","Faible")))</f>
        <v>Forte</v>
      </c>
    </row>
    <row r="1385" spans="1:13">
      <c r="A1385" t="s">
        <v>949</v>
      </c>
      <c r="B1385" s="11">
        <v>93</v>
      </c>
      <c r="C1385" t="s">
        <v>100</v>
      </c>
      <c r="D1385" t="s">
        <v>801</v>
      </c>
      <c r="E1385" t="s">
        <v>830</v>
      </c>
      <c r="F1385" t="s">
        <v>92</v>
      </c>
      <c r="G1385" s="12">
        <v>35</v>
      </c>
      <c r="H1385" s="12">
        <v>1068</v>
      </c>
      <c r="I1385" s="12">
        <v>35</v>
      </c>
      <c r="J1385" t="str">
        <f>VLOOKUP(B1385,Paramètres!$A$4:$C$11,3,FALSE)</f>
        <v>Petite couronne</v>
      </c>
      <c r="K1385" s="13">
        <f>IFERROR(H1385/G1385,"")</f>
        <v>30.514285714285716</v>
      </c>
      <c r="L1385" s="14">
        <f>IFERROR(I1385/G1385,"")</f>
        <v>1</v>
      </c>
      <c r="M1385" s="11" t="str">
        <f>IF(K1385&gt;=Paramètres!$F$6,"Très forte",IF(K1385&gt;=Paramètres!$F$5,"Forte",IF(K1385&gt;=Paramètres!$F$4,"Modérée","Faible")))</f>
        <v>Forte</v>
      </c>
    </row>
    <row r="1386" spans="1:13">
      <c r="A1386" t="s">
        <v>1201</v>
      </c>
      <c r="B1386" s="11">
        <v>75</v>
      </c>
      <c r="C1386" t="s">
        <v>86</v>
      </c>
      <c r="D1386" t="s">
        <v>801</v>
      </c>
      <c r="E1386" t="s">
        <v>1174</v>
      </c>
      <c r="F1386" t="s">
        <v>92</v>
      </c>
      <c r="G1386" s="12">
        <v>48</v>
      </c>
      <c r="H1386" s="12">
        <v>1464</v>
      </c>
      <c r="I1386" s="12">
        <v>45</v>
      </c>
      <c r="J1386" t="str">
        <f>VLOOKUP(B1386,Paramètres!$A$4:$C$11,3,FALSE)</f>
        <v>Paris</v>
      </c>
      <c r="K1386" s="13">
        <f>IFERROR(H1386/G1386,"")</f>
        <v>30.5</v>
      </c>
      <c r="L1386" s="14">
        <f>IFERROR(I1386/G1386,"")</f>
        <v>0.9375</v>
      </c>
      <c r="M1386" s="11" t="str">
        <f>IF(K1386&gt;=Paramètres!$F$6,"Très forte",IF(K1386&gt;=Paramètres!$F$5,"Forte",IF(K1386&gt;=Paramètres!$F$4,"Modérée","Faible")))</f>
        <v>Forte</v>
      </c>
    </row>
    <row r="1387" spans="1:13">
      <c r="A1387" t="s">
        <v>910</v>
      </c>
      <c r="B1387" s="11">
        <v>78</v>
      </c>
      <c r="C1387" t="s">
        <v>135</v>
      </c>
      <c r="D1387" t="s">
        <v>801</v>
      </c>
      <c r="E1387" t="s">
        <v>821</v>
      </c>
      <c r="F1387" t="s">
        <v>92</v>
      </c>
      <c r="G1387" s="12">
        <v>48</v>
      </c>
      <c r="H1387" s="12">
        <v>1455</v>
      </c>
      <c r="I1387" s="12">
        <v>41</v>
      </c>
      <c r="J1387" t="str">
        <f>VLOOKUP(B1387,Paramètres!$A$4:$C$11,3,FALSE)</f>
        <v>Grande couronne</v>
      </c>
      <c r="K1387" s="13">
        <f>IFERROR(H1387/G1387,"")</f>
        <v>30.3125</v>
      </c>
      <c r="L1387" s="14">
        <f>IFERROR(I1387/G1387,"")</f>
        <v>0.85416666666666663</v>
      </c>
      <c r="M1387" s="11" t="str">
        <f>IF(K1387&gt;=Paramètres!$F$6,"Très forte",IF(K1387&gt;=Paramètres!$F$5,"Forte",IF(K1387&gt;=Paramètres!$F$4,"Modérée","Faible")))</f>
        <v>Forte</v>
      </c>
    </row>
    <row r="1388" spans="1:13">
      <c r="A1388" t="s">
        <v>1008</v>
      </c>
      <c r="B1388" s="11">
        <v>77</v>
      </c>
      <c r="C1388" t="s">
        <v>132</v>
      </c>
      <c r="D1388" t="s">
        <v>801</v>
      </c>
      <c r="E1388" t="s">
        <v>869</v>
      </c>
      <c r="F1388" t="s">
        <v>92</v>
      </c>
      <c r="G1388" s="12">
        <v>48</v>
      </c>
      <c r="H1388" s="12">
        <v>1445</v>
      </c>
      <c r="I1388" s="12">
        <v>32</v>
      </c>
      <c r="J1388" t="str">
        <f>VLOOKUP(B1388,Paramètres!$A$4:$C$11,3,FALSE)</f>
        <v>Grande couronne</v>
      </c>
      <c r="K1388" s="13">
        <f>IFERROR(H1388/G1388,"")</f>
        <v>30.104166666666668</v>
      </c>
      <c r="L1388" s="14">
        <f>IFERROR(I1388/G1388,"")</f>
        <v>0.66666666666666663</v>
      </c>
      <c r="M1388" s="11" t="str">
        <f>IF(K1388&gt;=Paramètres!$F$6,"Très forte",IF(K1388&gt;=Paramètres!$F$5,"Forte",IF(K1388&gt;=Paramètres!$F$4,"Modérée","Faible")))</f>
        <v>Forte</v>
      </c>
    </row>
    <row r="1389" spans="1:13">
      <c r="A1389" t="s">
        <v>982</v>
      </c>
      <c r="B1389" s="11">
        <v>95</v>
      </c>
      <c r="C1389" t="s">
        <v>90</v>
      </c>
      <c r="D1389" t="s">
        <v>801</v>
      </c>
      <c r="E1389" t="s">
        <v>827</v>
      </c>
      <c r="F1389" t="s">
        <v>92</v>
      </c>
      <c r="G1389" s="12">
        <v>42</v>
      </c>
      <c r="H1389" s="12">
        <v>1260</v>
      </c>
      <c r="I1389" s="12">
        <v>40</v>
      </c>
      <c r="J1389" t="str">
        <f>VLOOKUP(B1389,Paramètres!$A$4:$C$11,3,FALSE)</f>
        <v>Grande couronne</v>
      </c>
      <c r="K1389" s="13">
        <f>IFERROR(H1389/G1389,"")</f>
        <v>30</v>
      </c>
      <c r="L1389" s="14">
        <f>IFERROR(I1389/G1389,"")</f>
        <v>0.95238095238095233</v>
      </c>
      <c r="M1389" s="11" t="str">
        <f>IF(K1389&gt;=Paramètres!$F$6,"Très forte",IF(K1389&gt;=Paramètres!$F$5,"Forte",IF(K1389&gt;=Paramètres!$F$4,"Modérée","Faible")))</f>
        <v>Forte</v>
      </c>
    </row>
    <row r="1390" spans="1:13">
      <c r="A1390" t="s">
        <v>910</v>
      </c>
      <c r="B1390" s="11">
        <v>92</v>
      </c>
      <c r="C1390" t="s">
        <v>94</v>
      </c>
      <c r="D1390" t="s">
        <v>801</v>
      </c>
      <c r="E1390" t="s">
        <v>821</v>
      </c>
      <c r="F1390" t="s">
        <v>92</v>
      </c>
      <c r="G1390" s="12">
        <v>48</v>
      </c>
      <c r="H1390" s="12">
        <v>1435</v>
      </c>
      <c r="I1390" s="12">
        <v>51</v>
      </c>
      <c r="J1390" t="str">
        <f>VLOOKUP(B1390,Paramètres!$A$4:$C$11,3,FALSE)</f>
        <v>Petite couronne</v>
      </c>
      <c r="K1390" s="13">
        <f>IFERROR(H1390/G1390,"")</f>
        <v>29.895833333333332</v>
      </c>
      <c r="L1390" s="14">
        <f>IFERROR(I1390/G1390,"")</f>
        <v>1.0625</v>
      </c>
      <c r="M1390" s="11" t="str">
        <f>IF(K1390&gt;=Paramètres!$F$6,"Très forte",IF(K1390&gt;=Paramètres!$F$5,"Forte",IF(K1390&gt;=Paramètres!$F$4,"Modérée","Faible")))</f>
        <v>Forte</v>
      </c>
    </row>
    <row r="1391" spans="1:13">
      <c r="A1391" t="s">
        <v>1015</v>
      </c>
      <c r="B1391" s="11">
        <v>92</v>
      </c>
      <c r="C1391" t="s">
        <v>94</v>
      </c>
      <c r="D1391" t="s">
        <v>801</v>
      </c>
      <c r="E1391" t="s">
        <v>802</v>
      </c>
      <c r="F1391" t="s">
        <v>92</v>
      </c>
      <c r="G1391" s="12">
        <v>24</v>
      </c>
      <c r="H1391" s="12">
        <v>711</v>
      </c>
      <c r="I1391" s="12">
        <v>7</v>
      </c>
      <c r="J1391" t="str">
        <f>VLOOKUP(B1391,Paramètres!$A$4:$C$11,3,FALSE)</f>
        <v>Petite couronne</v>
      </c>
      <c r="K1391" s="13">
        <f>IFERROR(H1391/G1391,"")</f>
        <v>29.625</v>
      </c>
      <c r="L1391" s="14">
        <f>IFERROR(I1391/G1391,"")</f>
        <v>0.29166666666666669</v>
      </c>
      <c r="M1391" s="11" t="str">
        <f>IF(K1391&gt;=Paramètres!$F$6,"Très forte",IF(K1391&gt;=Paramètres!$F$5,"Forte",IF(K1391&gt;=Paramètres!$F$4,"Modérée","Faible")))</f>
        <v>Forte</v>
      </c>
    </row>
    <row r="1392" spans="1:13">
      <c r="A1392" t="s">
        <v>936</v>
      </c>
      <c r="B1392" s="11">
        <v>92</v>
      </c>
      <c r="C1392" t="s">
        <v>94</v>
      </c>
      <c r="D1392" t="s">
        <v>801</v>
      </c>
      <c r="E1392" t="s">
        <v>869</v>
      </c>
      <c r="F1392" t="s">
        <v>92</v>
      </c>
      <c r="G1392" s="12">
        <v>38</v>
      </c>
      <c r="H1392" s="12">
        <v>1116</v>
      </c>
      <c r="I1392" s="12">
        <v>40</v>
      </c>
      <c r="J1392" t="str">
        <f>VLOOKUP(B1392,Paramètres!$A$4:$C$11,3,FALSE)</f>
        <v>Petite couronne</v>
      </c>
      <c r="K1392" s="13">
        <f>IFERROR(H1392/G1392,"")</f>
        <v>29.368421052631579</v>
      </c>
      <c r="L1392" s="14">
        <f>IFERROR(I1392/G1392,"")</f>
        <v>1.0526315789473684</v>
      </c>
      <c r="M1392" s="11" t="str">
        <f>IF(K1392&gt;=Paramètres!$F$6,"Très forte",IF(K1392&gt;=Paramètres!$F$5,"Forte",IF(K1392&gt;=Paramètres!$F$4,"Modérée","Faible")))</f>
        <v>Forte</v>
      </c>
    </row>
    <row r="1393" spans="1:13">
      <c r="A1393" t="s">
        <v>1084</v>
      </c>
      <c r="B1393" s="11">
        <v>93</v>
      </c>
      <c r="C1393" t="s">
        <v>100</v>
      </c>
      <c r="D1393" t="s">
        <v>801</v>
      </c>
      <c r="E1393" t="s">
        <v>834</v>
      </c>
      <c r="F1393" t="s">
        <v>92</v>
      </c>
      <c r="G1393" s="12">
        <v>24</v>
      </c>
      <c r="H1393" s="12">
        <v>697</v>
      </c>
      <c r="I1393" s="12">
        <v>23</v>
      </c>
      <c r="J1393" t="str">
        <f>VLOOKUP(B1393,Paramètres!$A$4:$C$11,3,FALSE)</f>
        <v>Petite couronne</v>
      </c>
      <c r="K1393" s="13">
        <f>IFERROR(H1393/G1393,"")</f>
        <v>29.041666666666668</v>
      </c>
      <c r="L1393" s="14">
        <f>IFERROR(I1393/G1393,"")</f>
        <v>0.95833333333333337</v>
      </c>
      <c r="M1393" s="11" t="str">
        <f>IF(K1393&gt;=Paramètres!$F$6,"Très forte",IF(K1393&gt;=Paramètres!$F$5,"Forte",IF(K1393&gt;=Paramètres!$F$4,"Modérée","Faible")))</f>
        <v>Forte</v>
      </c>
    </row>
    <row r="1394" spans="1:13">
      <c r="A1394" t="s">
        <v>800</v>
      </c>
      <c r="B1394" s="11">
        <v>78</v>
      </c>
      <c r="C1394" t="s">
        <v>135</v>
      </c>
      <c r="D1394" t="s">
        <v>801</v>
      </c>
      <c r="E1394" t="s">
        <v>802</v>
      </c>
      <c r="F1394" t="s">
        <v>92</v>
      </c>
      <c r="G1394" s="12">
        <v>67</v>
      </c>
      <c r="H1394" s="12">
        <v>1923</v>
      </c>
      <c r="I1394" s="12">
        <v>58</v>
      </c>
      <c r="J1394" t="str">
        <f>VLOOKUP(B1394,Paramètres!$A$4:$C$11,3,FALSE)</f>
        <v>Grande couronne</v>
      </c>
      <c r="K1394" s="13">
        <f>IFERROR(H1394/G1394,"")</f>
        <v>28.701492537313431</v>
      </c>
      <c r="L1394" s="14">
        <f>IFERROR(I1394/G1394,"")</f>
        <v>0.86567164179104472</v>
      </c>
      <c r="M1394" s="11" t="str">
        <f>IF(K1394&gt;=Paramètres!$F$6,"Très forte",IF(K1394&gt;=Paramètres!$F$5,"Forte",IF(K1394&gt;=Paramètres!$F$4,"Modérée","Faible")))</f>
        <v>Forte</v>
      </c>
    </row>
    <row r="1395" spans="1:13">
      <c r="A1395" t="s">
        <v>841</v>
      </c>
      <c r="B1395" s="11">
        <v>75</v>
      </c>
      <c r="C1395" t="s">
        <v>86</v>
      </c>
      <c r="D1395" t="s">
        <v>801</v>
      </c>
      <c r="E1395" t="s">
        <v>834</v>
      </c>
      <c r="F1395" t="s">
        <v>92</v>
      </c>
      <c r="G1395" s="12">
        <v>96</v>
      </c>
      <c r="H1395" s="12">
        <v>2717</v>
      </c>
      <c r="I1395" s="12">
        <v>97</v>
      </c>
      <c r="J1395" t="str">
        <f>VLOOKUP(B1395,Paramètres!$A$4:$C$11,3,FALSE)</f>
        <v>Paris</v>
      </c>
      <c r="K1395" s="13">
        <f>IFERROR(H1395/G1395,"")</f>
        <v>28.302083333333332</v>
      </c>
      <c r="L1395" s="14">
        <f>IFERROR(I1395/G1395,"")</f>
        <v>1.0104166666666667</v>
      </c>
      <c r="M1395" s="11" t="str">
        <f>IF(K1395&gt;=Paramètres!$F$6,"Très forte",IF(K1395&gt;=Paramètres!$F$5,"Forte",IF(K1395&gt;=Paramètres!$F$4,"Modérée","Faible")))</f>
        <v>Forte</v>
      </c>
    </row>
    <row r="1396" spans="1:13">
      <c r="A1396" t="s">
        <v>820</v>
      </c>
      <c r="B1396" s="11">
        <v>75</v>
      </c>
      <c r="C1396" t="s">
        <v>86</v>
      </c>
      <c r="D1396" t="s">
        <v>801</v>
      </c>
      <c r="E1396" t="s">
        <v>875</v>
      </c>
      <c r="F1396" t="s">
        <v>92</v>
      </c>
      <c r="G1396" s="12">
        <v>48</v>
      </c>
      <c r="H1396" s="12">
        <v>1353</v>
      </c>
      <c r="I1396" s="12">
        <v>45</v>
      </c>
      <c r="J1396" t="str">
        <f>VLOOKUP(B1396,Paramètres!$A$4:$C$11,3,FALSE)</f>
        <v>Paris</v>
      </c>
      <c r="K1396" s="13">
        <f>IFERROR(H1396/G1396,"")</f>
        <v>28.1875</v>
      </c>
      <c r="L1396" s="14">
        <f>IFERROR(I1396/G1396,"")</f>
        <v>0.9375</v>
      </c>
      <c r="M1396" s="11" t="str">
        <f>IF(K1396&gt;=Paramètres!$F$6,"Très forte",IF(K1396&gt;=Paramètres!$F$5,"Forte",IF(K1396&gt;=Paramètres!$F$4,"Modérée","Faible")))</f>
        <v>Forte</v>
      </c>
    </row>
    <row r="1397" spans="1:13">
      <c r="A1397" t="s">
        <v>807</v>
      </c>
      <c r="B1397" s="11">
        <v>78</v>
      </c>
      <c r="C1397" t="s">
        <v>135</v>
      </c>
      <c r="D1397" t="s">
        <v>801</v>
      </c>
      <c r="E1397" t="s">
        <v>834</v>
      </c>
      <c r="F1397" t="s">
        <v>92</v>
      </c>
      <c r="G1397" s="12">
        <v>48</v>
      </c>
      <c r="H1397" s="12">
        <v>1352</v>
      </c>
      <c r="I1397" s="12">
        <v>47</v>
      </c>
      <c r="J1397" t="str">
        <f>VLOOKUP(B1397,Paramètres!$A$4:$C$11,3,FALSE)</f>
        <v>Grande couronne</v>
      </c>
      <c r="K1397" s="13">
        <f>IFERROR(H1397/G1397,"")</f>
        <v>28.166666666666668</v>
      </c>
      <c r="L1397" s="14">
        <f>IFERROR(I1397/G1397,"")</f>
        <v>0.97916666666666663</v>
      </c>
      <c r="M1397" s="11" t="str">
        <f>IF(K1397&gt;=Paramètres!$F$6,"Très forte",IF(K1397&gt;=Paramètres!$F$5,"Forte",IF(K1397&gt;=Paramètres!$F$4,"Modérée","Faible")))</f>
        <v>Forte</v>
      </c>
    </row>
    <row r="1398" spans="1:13">
      <c r="A1398" t="s">
        <v>976</v>
      </c>
      <c r="B1398" s="11">
        <v>95</v>
      </c>
      <c r="C1398" t="s">
        <v>90</v>
      </c>
      <c r="D1398" t="s">
        <v>801</v>
      </c>
      <c r="E1398" t="s">
        <v>834</v>
      </c>
      <c r="F1398" t="s">
        <v>92</v>
      </c>
      <c r="G1398" s="12">
        <v>48</v>
      </c>
      <c r="H1398" s="12">
        <v>1351</v>
      </c>
      <c r="I1398" s="12">
        <v>38</v>
      </c>
      <c r="J1398" t="str">
        <f>VLOOKUP(B1398,Paramètres!$A$4:$C$11,3,FALSE)</f>
        <v>Grande couronne</v>
      </c>
      <c r="K1398" s="13">
        <f>IFERROR(H1398/G1398,"")</f>
        <v>28.145833333333332</v>
      </c>
      <c r="L1398" s="14">
        <f>IFERROR(I1398/G1398,"")</f>
        <v>0.79166666666666663</v>
      </c>
      <c r="M1398" s="11" t="str">
        <f>IF(K1398&gt;=Paramètres!$F$6,"Très forte",IF(K1398&gt;=Paramètres!$F$5,"Forte",IF(K1398&gt;=Paramètres!$F$4,"Modérée","Faible")))</f>
        <v>Forte</v>
      </c>
    </row>
    <row r="1399" spans="1:13">
      <c r="A1399" t="s">
        <v>1024</v>
      </c>
      <c r="B1399" s="11">
        <v>75</v>
      </c>
      <c r="C1399" t="s">
        <v>86</v>
      </c>
      <c r="D1399" t="s">
        <v>801</v>
      </c>
      <c r="E1399" t="s">
        <v>830</v>
      </c>
      <c r="F1399" t="s">
        <v>92</v>
      </c>
      <c r="G1399" s="12">
        <v>144</v>
      </c>
      <c r="H1399" s="12">
        <v>3964</v>
      </c>
      <c r="I1399" s="12">
        <v>138</v>
      </c>
      <c r="J1399" t="str">
        <f>VLOOKUP(B1399,Paramètres!$A$4:$C$11,3,FALSE)</f>
        <v>Paris</v>
      </c>
      <c r="K1399" s="13">
        <f>IFERROR(H1399/G1399,"")</f>
        <v>27.527777777777779</v>
      </c>
      <c r="L1399" s="14">
        <f>IFERROR(I1399/G1399,"")</f>
        <v>0.95833333333333337</v>
      </c>
      <c r="M1399" s="11" t="str">
        <f>IF(K1399&gt;=Paramètres!$F$6,"Très forte",IF(K1399&gt;=Paramètres!$F$5,"Forte",IF(K1399&gt;=Paramètres!$F$4,"Modérée","Faible")))</f>
        <v>Forte</v>
      </c>
    </row>
    <row r="1400" spans="1:13">
      <c r="A1400" t="s">
        <v>1010</v>
      </c>
      <c r="B1400" s="11">
        <v>94</v>
      </c>
      <c r="C1400" t="s">
        <v>116</v>
      </c>
      <c r="D1400" t="s">
        <v>801</v>
      </c>
      <c r="E1400" t="s">
        <v>1011</v>
      </c>
      <c r="F1400" t="s">
        <v>92</v>
      </c>
      <c r="G1400" s="12">
        <v>48</v>
      </c>
      <c r="H1400" s="12">
        <v>1319</v>
      </c>
      <c r="I1400" s="12">
        <v>47</v>
      </c>
      <c r="J1400" t="str">
        <f>VLOOKUP(B1400,Paramètres!$A$4:$C$11,3,FALSE)</f>
        <v>Petite couronne</v>
      </c>
      <c r="K1400" s="13">
        <f>IFERROR(H1400/G1400,"")</f>
        <v>27.479166666666668</v>
      </c>
      <c r="L1400" s="14">
        <f>IFERROR(I1400/G1400,"")</f>
        <v>0.97916666666666663</v>
      </c>
      <c r="M1400" s="11" t="str">
        <f>IF(K1400&gt;=Paramètres!$F$6,"Très forte",IF(K1400&gt;=Paramètres!$F$5,"Forte",IF(K1400&gt;=Paramètres!$F$4,"Modérée","Faible")))</f>
        <v>Forte</v>
      </c>
    </row>
    <row r="1401" spans="1:13">
      <c r="A1401" t="s">
        <v>833</v>
      </c>
      <c r="B1401" s="11">
        <v>75</v>
      </c>
      <c r="C1401" t="s">
        <v>86</v>
      </c>
      <c r="D1401" t="s">
        <v>801</v>
      </c>
      <c r="E1401" t="s">
        <v>834</v>
      </c>
      <c r="F1401" t="s">
        <v>92</v>
      </c>
      <c r="G1401" s="12">
        <v>96</v>
      </c>
      <c r="H1401" s="12">
        <v>2623</v>
      </c>
      <c r="I1401" s="12">
        <v>90</v>
      </c>
      <c r="J1401" t="str">
        <f>VLOOKUP(B1401,Paramètres!$A$4:$C$11,3,FALSE)</f>
        <v>Paris</v>
      </c>
      <c r="K1401" s="13">
        <f>IFERROR(H1401/G1401,"")</f>
        <v>27.322916666666668</v>
      </c>
      <c r="L1401" s="14">
        <f>IFERROR(I1401/G1401,"")</f>
        <v>0.9375</v>
      </c>
      <c r="M1401" s="11" t="str">
        <f>IF(K1401&gt;=Paramètres!$F$6,"Très forte",IF(K1401&gt;=Paramètres!$F$5,"Forte",IF(K1401&gt;=Paramètres!$F$4,"Modérée","Faible")))</f>
        <v>Forte</v>
      </c>
    </row>
    <row r="1402" spans="1:13">
      <c r="A1402" t="s">
        <v>1072</v>
      </c>
      <c r="B1402" s="11">
        <v>92</v>
      </c>
      <c r="C1402" t="s">
        <v>94</v>
      </c>
      <c r="D1402" t="s">
        <v>801</v>
      </c>
      <c r="E1402" t="s">
        <v>830</v>
      </c>
      <c r="F1402" t="s">
        <v>92</v>
      </c>
      <c r="G1402" s="12">
        <v>96</v>
      </c>
      <c r="H1402" s="12">
        <v>2589</v>
      </c>
      <c r="I1402" s="12">
        <v>88</v>
      </c>
      <c r="J1402" t="str">
        <f>VLOOKUP(B1402,Paramètres!$A$4:$C$11,3,FALSE)</f>
        <v>Petite couronne</v>
      </c>
      <c r="K1402" s="13">
        <f>IFERROR(H1402/G1402,"")</f>
        <v>26.96875</v>
      </c>
      <c r="L1402" s="14">
        <f>IFERROR(I1402/G1402,"")</f>
        <v>0.91666666666666663</v>
      </c>
      <c r="M1402" s="11" t="str">
        <f>IF(K1402&gt;=Paramètres!$F$6,"Très forte",IF(K1402&gt;=Paramètres!$F$5,"Forte",IF(K1402&gt;=Paramètres!$F$4,"Modérée","Faible")))</f>
        <v>Forte</v>
      </c>
    </row>
    <row r="1403" spans="1:13">
      <c r="A1403" t="s">
        <v>978</v>
      </c>
      <c r="B1403" s="11">
        <v>95</v>
      </c>
      <c r="C1403" t="s">
        <v>90</v>
      </c>
      <c r="D1403" t="s">
        <v>801</v>
      </c>
      <c r="E1403" t="s">
        <v>827</v>
      </c>
      <c r="F1403" t="s">
        <v>92</v>
      </c>
      <c r="G1403" s="12">
        <v>40</v>
      </c>
      <c r="H1403" s="12">
        <v>1078</v>
      </c>
      <c r="I1403" s="12">
        <v>44</v>
      </c>
      <c r="J1403" t="str">
        <f>VLOOKUP(B1403,Paramètres!$A$4:$C$11,3,FALSE)</f>
        <v>Grande couronne</v>
      </c>
      <c r="K1403" s="13">
        <f>IFERROR(H1403/G1403,"")</f>
        <v>26.95</v>
      </c>
      <c r="L1403" s="14">
        <f>IFERROR(I1403/G1403,"")</f>
        <v>1.1000000000000001</v>
      </c>
      <c r="M1403" s="11" t="str">
        <f>IF(K1403&gt;=Paramètres!$F$6,"Très forte",IF(K1403&gt;=Paramètres!$F$5,"Forte",IF(K1403&gt;=Paramètres!$F$4,"Modérée","Faible")))</f>
        <v>Forte</v>
      </c>
    </row>
    <row r="1404" spans="1:13">
      <c r="A1404" t="s">
        <v>1060</v>
      </c>
      <c r="B1404" s="11">
        <v>75</v>
      </c>
      <c r="C1404" t="s">
        <v>86</v>
      </c>
      <c r="D1404" t="s">
        <v>801</v>
      </c>
      <c r="E1404" t="s">
        <v>855</v>
      </c>
      <c r="F1404" t="s">
        <v>92</v>
      </c>
      <c r="G1404" s="12">
        <v>48</v>
      </c>
      <c r="H1404" s="12">
        <v>1266</v>
      </c>
      <c r="I1404" s="12">
        <v>41</v>
      </c>
      <c r="J1404" t="str">
        <f>VLOOKUP(B1404,Paramètres!$A$4:$C$11,3,FALSE)</f>
        <v>Paris</v>
      </c>
      <c r="K1404" s="13">
        <f>IFERROR(H1404/G1404,"")</f>
        <v>26.375</v>
      </c>
      <c r="L1404" s="14">
        <f>IFERROR(I1404/G1404,"")</f>
        <v>0.85416666666666663</v>
      </c>
      <c r="M1404" s="11" t="str">
        <f>IF(K1404&gt;=Paramètres!$F$6,"Très forte",IF(K1404&gt;=Paramètres!$F$5,"Forte",IF(K1404&gt;=Paramètres!$F$4,"Modérée","Faible")))</f>
        <v>Forte</v>
      </c>
    </row>
    <row r="1405" spans="1:13">
      <c r="A1405" t="s">
        <v>1008</v>
      </c>
      <c r="B1405" s="11">
        <v>77</v>
      </c>
      <c r="C1405" t="s">
        <v>132</v>
      </c>
      <c r="D1405" t="s">
        <v>801</v>
      </c>
      <c r="E1405" t="s">
        <v>827</v>
      </c>
      <c r="F1405" t="s">
        <v>92</v>
      </c>
      <c r="G1405" s="12">
        <v>35</v>
      </c>
      <c r="H1405" s="12">
        <v>915</v>
      </c>
      <c r="I1405" s="12">
        <v>42</v>
      </c>
      <c r="J1405" t="str">
        <f>VLOOKUP(B1405,Paramètres!$A$4:$C$11,3,FALSE)</f>
        <v>Grande couronne</v>
      </c>
      <c r="K1405" s="13">
        <f>IFERROR(H1405/G1405,"")</f>
        <v>26.142857142857142</v>
      </c>
      <c r="L1405" s="14">
        <f>IFERROR(I1405/G1405,"")</f>
        <v>1.2</v>
      </c>
      <c r="M1405" s="11" t="str">
        <f>IF(K1405&gt;=Paramètres!$F$6,"Très forte",IF(K1405&gt;=Paramètres!$F$5,"Forte",IF(K1405&gt;=Paramètres!$F$4,"Modérée","Faible")))</f>
        <v>Forte</v>
      </c>
    </row>
    <row r="1406" spans="1:13">
      <c r="A1406" t="s">
        <v>1066</v>
      </c>
      <c r="B1406" s="11">
        <v>91</v>
      </c>
      <c r="C1406" t="s">
        <v>105</v>
      </c>
      <c r="D1406" t="s">
        <v>801</v>
      </c>
      <c r="E1406" t="s">
        <v>827</v>
      </c>
      <c r="F1406" t="s">
        <v>92</v>
      </c>
      <c r="G1406" s="12">
        <v>38</v>
      </c>
      <c r="H1406" s="12">
        <v>970</v>
      </c>
      <c r="I1406" s="12">
        <v>41</v>
      </c>
      <c r="J1406" t="str">
        <f>VLOOKUP(B1406,Paramètres!$A$4:$C$11,3,FALSE)</f>
        <v>Grande couronne</v>
      </c>
      <c r="K1406" s="13">
        <f>IFERROR(H1406/G1406,"")</f>
        <v>25.526315789473685</v>
      </c>
      <c r="L1406" s="14">
        <f>IFERROR(I1406/G1406,"")</f>
        <v>1.0789473684210527</v>
      </c>
      <c r="M1406" s="11" t="str">
        <f>IF(K1406&gt;=Paramètres!$F$6,"Très forte",IF(K1406&gt;=Paramètres!$F$5,"Forte",IF(K1406&gt;=Paramètres!$F$4,"Modérée","Faible")))</f>
        <v>Forte</v>
      </c>
    </row>
    <row r="1407" spans="1:13">
      <c r="A1407" t="s">
        <v>897</v>
      </c>
      <c r="B1407" s="11">
        <v>78</v>
      </c>
      <c r="C1407" t="s">
        <v>135</v>
      </c>
      <c r="D1407" t="s">
        <v>801</v>
      </c>
      <c r="E1407" t="s">
        <v>827</v>
      </c>
      <c r="F1407" t="s">
        <v>92</v>
      </c>
      <c r="G1407" s="12">
        <v>66</v>
      </c>
      <c r="H1407" s="12">
        <v>1684</v>
      </c>
      <c r="I1407" s="12">
        <v>65</v>
      </c>
      <c r="J1407" t="str">
        <f>VLOOKUP(B1407,Paramètres!$A$4:$C$11,3,FALSE)</f>
        <v>Grande couronne</v>
      </c>
      <c r="K1407" s="13">
        <f>IFERROR(H1407/G1407,"")</f>
        <v>25.515151515151516</v>
      </c>
      <c r="L1407" s="14">
        <f>IFERROR(I1407/G1407,"")</f>
        <v>0.98484848484848486</v>
      </c>
      <c r="M1407" s="11" t="str">
        <f>IF(K1407&gt;=Paramètres!$F$6,"Très forte",IF(K1407&gt;=Paramètres!$F$5,"Forte",IF(K1407&gt;=Paramètres!$F$4,"Modérée","Faible")))</f>
        <v>Forte</v>
      </c>
    </row>
    <row r="1408" spans="1:13">
      <c r="A1408" t="s">
        <v>1033</v>
      </c>
      <c r="B1408" s="11">
        <v>75</v>
      </c>
      <c r="C1408" t="s">
        <v>86</v>
      </c>
      <c r="D1408" t="s">
        <v>801</v>
      </c>
      <c r="E1408" t="s">
        <v>829</v>
      </c>
      <c r="F1408" t="s">
        <v>92</v>
      </c>
      <c r="G1408" s="12">
        <v>90</v>
      </c>
      <c r="H1408" s="12">
        <v>2291</v>
      </c>
      <c r="I1408" s="12">
        <v>86</v>
      </c>
      <c r="J1408" t="str">
        <f>VLOOKUP(B1408,Paramètres!$A$4:$C$11,3,FALSE)</f>
        <v>Paris</v>
      </c>
      <c r="K1408" s="13">
        <f>IFERROR(H1408/G1408,"")</f>
        <v>25.455555555555556</v>
      </c>
      <c r="L1408" s="14">
        <f>IFERROR(I1408/G1408,"")</f>
        <v>0.9555555555555556</v>
      </c>
      <c r="M1408" s="11" t="str">
        <f>IF(K1408&gt;=Paramètres!$F$6,"Très forte",IF(K1408&gt;=Paramètres!$F$5,"Forte",IF(K1408&gt;=Paramètres!$F$4,"Modérée","Faible")))</f>
        <v>Forte</v>
      </c>
    </row>
    <row r="1409" spans="1:13">
      <c r="A1409" t="s">
        <v>949</v>
      </c>
      <c r="B1409" s="11">
        <v>93</v>
      </c>
      <c r="C1409" t="s">
        <v>100</v>
      </c>
      <c r="D1409" t="s">
        <v>801</v>
      </c>
      <c r="E1409" t="s">
        <v>827</v>
      </c>
      <c r="F1409" t="s">
        <v>92</v>
      </c>
      <c r="G1409" s="12">
        <v>70</v>
      </c>
      <c r="H1409" s="12">
        <v>1757</v>
      </c>
      <c r="I1409" s="12">
        <v>68</v>
      </c>
      <c r="J1409" t="str">
        <f>VLOOKUP(B1409,Paramètres!$A$4:$C$11,3,FALSE)</f>
        <v>Petite couronne</v>
      </c>
      <c r="K1409" s="13">
        <f>IFERROR(H1409/G1409,"")</f>
        <v>25.1</v>
      </c>
      <c r="L1409" s="14">
        <f>IFERROR(I1409/G1409,"")</f>
        <v>0.97142857142857142</v>
      </c>
      <c r="M1409" s="11" t="str">
        <f>IF(K1409&gt;=Paramètres!$F$6,"Très forte",IF(K1409&gt;=Paramètres!$F$5,"Forte",IF(K1409&gt;=Paramètres!$F$4,"Modérée","Faible")))</f>
        <v>Forte</v>
      </c>
    </row>
    <row r="1410" spans="1:13">
      <c r="A1410" t="s">
        <v>811</v>
      </c>
      <c r="B1410" s="11">
        <v>78</v>
      </c>
      <c r="C1410" t="s">
        <v>135</v>
      </c>
      <c r="D1410" t="s">
        <v>801</v>
      </c>
      <c r="E1410" t="s">
        <v>830</v>
      </c>
      <c r="F1410" t="s">
        <v>92</v>
      </c>
      <c r="G1410" s="12">
        <v>96</v>
      </c>
      <c r="H1410" s="12">
        <v>2381</v>
      </c>
      <c r="I1410" s="12">
        <v>83</v>
      </c>
      <c r="J1410" t="str">
        <f>VLOOKUP(B1410,Paramètres!$A$4:$C$11,3,FALSE)</f>
        <v>Grande couronne</v>
      </c>
      <c r="K1410" s="13">
        <f>IFERROR(H1410/G1410,"")</f>
        <v>24.802083333333332</v>
      </c>
      <c r="L1410" s="14">
        <f>IFERROR(I1410/G1410,"")</f>
        <v>0.86458333333333337</v>
      </c>
      <c r="M1410" s="11" t="str">
        <f>IF(K1410&gt;=Paramètres!$F$6,"Très forte",IF(K1410&gt;=Paramètres!$F$5,"Forte",IF(K1410&gt;=Paramètres!$F$4,"Modérée","Faible")))</f>
        <v>Forte</v>
      </c>
    </row>
    <row r="1411" spans="1:13">
      <c r="A1411" t="s">
        <v>815</v>
      </c>
      <c r="B1411" s="11">
        <v>91</v>
      </c>
      <c r="C1411" t="s">
        <v>105</v>
      </c>
      <c r="D1411" t="s">
        <v>801</v>
      </c>
      <c r="E1411" t="s">
        <v>829</v>
      </c>
      <c r="F1411" t="s">
        <v>92</v>
      </c>
      <c r="G1411" s="12">
        <v>32</v>
      </c>
      <c r="H1411" s="12">
        <v>785</v>
      </c>
      <c r="I1411" s="12">
        <v>32</v>
      </c>
      <c r="J1411" t="str">
        <f>VLOOKUP(B1411,Paramètres!$A$4:$C$11,3,FALSE)</f>
        <v>Grande couronne</v>
      </c>
      <c r="K1411" s="13">
        <f>IFERROR(H1411/G1411,"")</f>
        <v>24.53125</v>
      </c>
      <c r="L1411" s="14">
        <f>IFERROR(I1411/G1411,"")</f>
        <v>1</v>
      </c>
      <c r="M1411" s="11" t="str">
        <f>IF(K1411&gt;=Paramètres!$F$6,"Très forte",IF(K1411&gt;=Paramètres!$F$5,"Forte",IF(K1411&gt;=Paramètres!$F$4,"Modérée","Faible")))</f>
        <v>Forte</v>
      </c>
    </row>
    <row r="1412" spans="1:13">
      <c r="A1412" t="s">
        <v>814</v>
      </c>
      <c r="B1412" s="11">
        <v>95</v>
      </c>
      <c r="C1412" t="s">
        <v>90</v>
      </c>
      <c r="D1412" t="s">
        <v>801</v>
      </c>
      <c r="E1412" t="s">
        <v>802</v>
      </c>
      <c r="F1412" t="s">
        <v>92</v>
      </c>
      <c r="G1412" s="12">
        <v>21</v>
      </c>
      <c r="H1412" s="12">
        <v>515</v>
      </c>
      <c r="I1412" s="12">
        <v>17</v>
      </c>
      <c r="J1412" t="str">
        <f>VLOOKUP(B1412,Paramètres!$A$4:$C$11,3,FALSE)</f>
        <v>Grande couronne</v>
      </c>
      <c r="K1412" s="13">
        <f>IFERROR(H1412/G1412,"")</f>
        <v>24.523809523809526</v>
      </c>
      <c r="L1412" s="14">
        <f>IFERROR(I1412/G1412,"")</f>
        <v>0.80952380952380953</v>
      </c>
      <c r="M1412" s="11" t="str">
        <f>IF(K1412&gt;=Paramètres!$F$6,"Très forte",IF(K1412&gt;=Paramètres!$F$5,"Forte",IF(K1412&gt;=Paramètres!$F$4,"Modérée","Faible")))</f>
        <v>Forte</v>
      </c>
    </row>
    <row r="1413" spans="1:13">
      <c r="A1413" t="s">
        <v>1073</v>
      </c>
      <c r="B1413" s="11">
        <v>92</v>
      </c>
      <c r="C1413" t="s">
        <v>94</v>
      </c>
      <c r="D1413" t="s">
        <v>801</v>
      </c>
      <c r="E1413" t="s">
        <v>817</v>
      </c>
      <c r="F1413" t="s">
        <v>92</v>
      </c>
      <c r="G1413" s="12">
        <v>48</v>
      </c>
      <c r="H1413" s="12">
        <v>1176</v>
      </c>
      <c r="I1413" s="12">
        <v>47</v>
      </c>
      <c r="J1413" t="str">
        <f>VLOOKUP(B1413,Paramètres!$A$4:$C$11,3,FALSE)</f>
        <v>Petite couronne</v>
      </c>
      <c r="K1413" s="13">
        <f>IFERROR(H1413/G1413,"")</f>
        <v>24.5</v>
      </c>
      <c r="L1413" s="14">
        <f>IFERROR(I1413/G1413,"")</f>
        <v>0.97916666666666663</v>
      </c>
      <c r="M1413" s="11" t="str">
        <f>IF(K1413&gt;=Paramètres!$F$6,"Très forte",IF(K1413&gt;=Paramètres!$F$5,"Forte",IF(K1413&gt;=Paramètres!$F$4,"Modérée","Faible")))</f>
        <v>Forte</v>
      </c>
    </row>
    <row r="1414" spans="1:13">
      <c r="A1414" t="s">
        <v>1025</v>
      </c>
      <c r="B1414" s="11">
        <v>75</v>
      </c>
      <c r="C1414" t="s">
        <v>86</v>
      </c>
      <c r="D1414" t="s">
        <v>801</v>
      </c>
      <c r="E1414" t="s">
        <v>855</v>
      </c>
      <c r="F1414" t="s">
        <v>92</v>
      </c>
      <c r="G1414" s="12">
        <v>144</v>
      </c>
      <c r="H1414" s="12">
        <v>3478</v>
      </c>
      <c r="I1414" s="12">
        <v>140</v>
      </c>
      <c r="J1414" t="str">
        <f>VLOOKUP(B1414,Paramètres!$A$4:$C$11,3,FALSE)</f>
        <v>Paris</v>
      </c>
      <c r="K1414" s="13">
        <f>IFERROR(H1414/G1414,"")</f>
        <v>24.152777777777779</v>
      </c>
      <c r="L1414" s="14">
        <f>IFERROR(I1414/G1414,"")</f>
        <v>0.97222222222222221</v>
      </c>
      <c r="M1414" s="11" t="str">
        <f>IF(K1414&gt;=Paramètres!$F$6,"Très forte",IF(K1414&gt;=Paramètres!$F$5,"Forte",IF(K1414&gt;=Paramètres!$F$4,"Modérée","Faible")))</f>
        <v>Forte</v>
      </c>
    </row>
    <row r="1415" spans="1:13">
      <c r="A1415" t="s">
        <v>1073</v>
      </c>
      <c r="B1415" s="11">
        <v>92</v>
      </c>
      <c r="C1415" t="s">
        <v>94</v>
      </c>
      <c r="D1415" t="s">
        <v>801</v>
      </c>
      <c r="E1415" t="s">
        <v>875</v>
      </c>
      <c r="F1415" t="s">
        <v>92</v>
      </c>
      <c r="G1415" s="12">
        <v>38</v>
      </c>
      <c r="H1415" s="12">
        <v>917</v>
      </c>
      <c r="I1415" s="12">
        <v>40</v>
      </c>
      <c r="J1415" t="str">
        <f>VLOOKUP(B1415,Paramètres!$A$4:$C$11,3,FALSE)</f>
        <v>Petite couronne</v>
      </c>
      <c r="K1415" s="13">
        <f>IFERROR(H1415/G1415,"")</f>
        <v>24.131578947368421</v>
      </c>
      <c r="L1415" s="14">
        <f>IFERROR(I1415/G1415,"")</f>
        <v>1.0526315789473684</v>
      </c>
      <c r="M1415" s="11" t="str">
        <f>IF(K1415&gt;=Paramètres!$F$6,"Très forte",IF(K1415&gt;=Paramètres!$F$5,"Forte",IF(K1415&gt;=Paramètres!$F$4,"Modérée","Faible")))</f>
        <v>Forte</v>
      </c>
    </row>
    <row r="1416" spans="1:13">
      <c r="A1416" t="s">
        <v>1124</v>
      </c>
      <c r="B1416" s="11">
        <v>75</v>
      </c>
      <c r="C1416" t="s">
        <v>86</v>
      </c>
      <c r="D1416" t="s">
        <v>801</v>
      </c>
      <c r="E1416" t="s">
        <v>1125</v>
      </c>
      <c r="F1416" t="s">
        <v>92</v>
      </c>
      <c r="G1416" s="12">
        <v>48</v>
      </c>
      <c r="H1416" s="12">
        <v>1157</v>
      </c>
      <c r="I1416" s="12">
        <v>38</v>
      </c>
      <c r="J1416" t="str">
        <f>VLOOKUP(B1416,Paramètres!$A$4:$C$11,3,FALSE)</f>
        <v>Paris</v>
      </c>
      <c r="K1416" s="13">
        <f>IFERROR(H1416/G1416,"")</f>
        <v>24.104166666666668</v>
      </c>
      <c r="L1416" s="14">
        <f>IFERROR(I1416/G1416,"")</f>
        <v>0.79166666666666663</v>
      </c>
      <c r="M1416" s="11" t="str">
        <f>IF(K1416&gt;=Paramètres!$F$6,"Très forte",IF(K1416&gt;=Paramètres!$F$5,"Forte",IF(K1416&gt;=Paramètres!$F$4,"Modérée","Faible")))</f>
        <v>Forte</v>
      </c>
    </row>
    <row r="1417" spans="1:13">
      <c r="A1417" t="s">
        <v>814</v>
      </c>
      <c r="B1417" s="11">
        <v>95</v>
      </c>
      <c r="C1417" t="s">
        <v>90</v>
      </c>
      <c r="D1417" t="s">
        <v>801</v>
      </c>
      <c r="E1417" t="s">
        <v>802</v>
      </c>
      <c r="F1417" t="s">
        <v>92</v>
      </c>
      <c r="G1417" s="12">
        <v>21</v>
      </c>
      <c r="H1417" s="12">
        <v>501</v>
      </c>
      <c r="I1417" s="12">
        <v>11</v>
      </c>
      <c r="J1417" t="str">
        <f>VLOOKUP(B1417,Paramètres!$A$4:$C$11,3,FALSE)</f>
        <v>Grande couronne</v>
      </c>
      <c r="K1417" s="13">
        <f>IFERROR(H1417/G1417,"")</f>
        <v>23.857142857142858</v>
      </c>
      <c r="L1417" s="14">
        <f>IFERROR(I1417/G1417,"")</f>
        <v>0.52380952380952384</v>
      </c>
      <c r="M1417" s="11" t="str">
        <f>IF(K1417&gt;=Paramètres!$F$6,"Très forte",IF(K1417&gt;=Paramètres!$F$5,"Forte",IF(K1417&gt;=Paramètres!$F$4,"Modérée","Faible")))</f>
        <v>Forte</v>
      </c>
    </row>
    <row r="1418" spans="1:13">
      <c r="A1418" t="s">
        <v>937</v>
      </c>
      <c r="B1418" s="11">
        <v>92</v>
      </c>
      <c r="C1418" t="s">
        <v>94</v>
      </c>
      <c r="D1418" t="s">
        <v>801</v>
      </c>
      <c r="E1418" t="s">
        <v>829</v>
      </c>
      <c r="F1418" t="s">
        <v>92</v>
      </c>
      <c r="G1418" s="12">
        <v>42</v>
      </c>
      <c r="H1418" s="12">
        <v>981</v>
      </c>
      <c r="I1418" s="12">
        <v>42</v>
      </c>
      <c r="J1418" t="str">
        <f>VLOOKUP(B1418,Paramètres!$A$4:$C$11,3,FALSE)</f>
        <v>Petite couronne</v>
      </c>
      <c r="K1418" s="13">
        <f>IFERROR(H1418/G1418,"")</f>
        <v>23.357142857142858</v>
      </c>
      <c r="L1418" s="14">
        <f>IFERROR(I1418/G1418,"")</f>
        <v>1</v>
      </c>
      <c r="M1418" s="11" t="str">
        <f>IF(K1418&gt;=Paramètres!$F$6,"Très forte",IF(K1418&gt;=Paramètres!$F$5,"Forte",IF(K1418&gt;=Paramètres!$F$4,"Modérée","Faible")))</f>
        <v>Forte</v>
      </c>
    </row>
    <row r="1419" spans="1:13">
      <c r="A1419" t="s">
        <v>932</v>
      </c>
      <c r="B1419" s="11">
        <v>92</v>
      </c>
      <c r="C1419" t="s">
        <v>94</v>
      </c>
      <c r="D1419" t="s">
        <v>801</v>
      </c>
      <c r="E1419" t="s">
        <v>829</v>
      </c>
      <c r="F1419" t="s">
        <v>92</v>
      </c>
      <c r="G1419" s="12">
        <v>45</v>
      </c>
      <c r="H1419" s="12">
        <v>1043</v>
      </c>
      <c r="I1419" s="12">
        <v>44</v>
      </c>
      <c r="J1419" t="str">
        <f>VLOOKUP(B1419,Paramètres!$A$4:$C$11,3,FALSE)</f>
        <v>Petite couronne</v>
      </c>
      <c r="K1419" s="13">
        <f>IFERROR(H1419/G1419,"")</f>
        <v>23.177777777777777</v>
      </c>
      <c r="L1419" s="14">
        <f>IFERROR(I1419/G1419,"")</f>
        <v>0.97777777777777775</v>
      </c>
      <c r="M1419" s="11" t="str">
        <f>IF(K1419&gt;=Paramètres!$F$6,"Très forte",IF(K1419&gt;=Paramètres!$F$5,"Forte",IF(K1419&gt;=Paramètres!$F$4,"Modérée","Faible")))</f>
        <v>Forte</v>
      </c>
    </row>
    <row r="1420" spans="1:13">
      <c r="A1420" t="s">
        <v>954</v>
      </c>
      <c r="B1420" s="11">
        <v>93</v>
      </c>
      <c r="C1420" t="s">
        <v>100</v>
      </c>
      <c r="D1420" t="s">
        <v>801</v>
      </c>
      <c r="E1420" t="s">
        <v>1021</v>
      </c>
      <c r="F1420" t="s">
        <v>92</v>
      </c>
      <c r="G1420" s="12">
        <v>35</v>
      </c>
      <c r="H1420" s="12">
        <v>809</v>
      </c>
      <c r="I1420" s="12">
        <v>30</v>
      </c>
      <c r="J1420" t="str">
        <f>VLOOKUP(B1420,Paramètres!$A$4:$C$11,3,FALSE)</f>
        <v>Petite couronne</v>
      </c>
      <c r="K1420" s="13">
        <f>IFERROR(H1420/G1420,"")</f>
        <v>23.114285714285714</v>
      </c>
      <c r="L1420" s="14">
        <f>IFERROR(I1420/G1420,"")</f>
        <v>0.8571428571428571</v>
      </c>
      <c r="M1420" s="11" t="str">
        <f>IF(K1420&gt;=Paramètres!$F$6,"Très forte",IF(K1420&gt;=Paramètres!$F$5,"Forte",IF(K1420&gt;=Paramètres!$F$4,"Modérée","Faible")))</f>
        <v>Forte</v>
      </c>
    </row>
    <row r="1421" spans="1:13">
      <c r="A1421" t="s">
        <v>1124</v>
      </c>
      <c r="B1421" s="11">
        <v>75</v>
      </c>
      <c r="C1421" t="s">
        <v>86</v>
      </c>
      <c r="D1421" t="s">
        <v>801</v>
      </c>
      <c r="E1421" t="s">
        <v>855</v>
      </c>
      <c r="F1421" t="s">
        <v>92</v>
      </c>
      <c r="G1421" s="12">
        <v>48</v>
      </c>
      <c r="H1421" s="12">
        <v>1099</v>
      </c>
      <c r="I1421" s="12">
        <v>39</v>
      </c>
      <c r="J1421" t="str">
        <f>VLOOKUP(B1421,Paramètres!$A$4:$C$11,3,FALSE)</f>
        <v>Paris</v>
      </c>
      <c r="K1421" s="13">
        <f>IFERROR(H1421/G1421,"")</f>
        <v>22.895833333333332</v>
      </c>
      <c r="L1421" s="14">
        <f>IFERROR(I1421/G1421,"")</f>
        <v>0.8125</v>
      </c>
      <c r="M1421" s="11" t="str">
        <f>IF(K1421&gt;=Paramètres!$F$6,"Très forte",IF(K1421&gt;=Paramètres!$F$5,"Forte",IF(K1421&gt;=Paramètres!$F$4,"Modérée","Faible")))</f>
        <v>Forte</v>
      </c>
    </row>
    <row r="1422" spans="1:13">
      <c r="A1422" t="s">
        <v>805</v>
      </c>
      <c r="B1422" s="11">
        <v>91</v>
      </c>
      <c r="C1422" t="s">
        <v>105</v>
      </c>
      <c r="D1422" t="s">
        <v>801</v>
      </c>
      <c r="E1422" t="s">
        <v>834</v>
      </c>
      <c r="F1422" t="s">
        <v>92</v>
      </c>
      <c r="G1422" s="12">
        <v>44</v>
      </c>
      <c r="H1422" s="12">
        <v>985</v>
      </c>
      <c r="I1422" s="12">
        <v>44</v>
      </c>
      <c r="J1422" t="str">
        <f>VLOOKUP(B1422,Paramètres!$A$4:$C$11,3,FALSE)</f>
        <v>Grande couronne</v>
      </c>
      <c r="K1422" s="13">
        <f>IFERROR(H1422/G1422,"")</f>
        <v>22.386363636363637</v>
      </c>
      <c r="L1422" s="14">
        <f>IFERROR(I1422/G1422,"")</f>
        <v>1</v>
      </c>
      <c r="M1422" s="11" t="str">
        <f>IF(K1422&gt;=Paramètres!$F$6,"Très forte",IF(K1422&gt;=Paramètres!$F$5,"Forte",IF(K1422&gt;=Paramètres!$F$4,"Modérée","Faible")))</f>
        <v>Forte</v>
      </c>
    </row>
    <row r="1423" spans="1:13">
      <c r="A1423" t="s">
        <v>1092</v>
      </c>
      <c r="B1423" s="11">
        <v>94</v>
      </c>
      <c r="C1423" t="s">
        <v>116</v>
      </c>
      <c r="D1423" t="s">
        <v>801</v>
      </c>
      <c r="E1423" t="s">
        <v>834</v>
      </c>
      <c r="F1423" t="s">
        <v>92</v>
      </c>
      <c r="G1423" s="12">
        <v>35</v>
      </c>
      <c r="H1423" s="12">
        <v>780</v>
      </c>
      <c r="I1423" s="12">
        <v>33</v>
      </c>
      <c r="J1423" t="str">
        <f>VLOOKUP(B1423,Paramètres!$A$4:$C$11,3,FALSE)</f>
        <v>Petite couronne</v>
      </c>
      <c r="K1423" s="13">
        <f>IFERROR(H1423/G1423,"")</f>
        <v>22.285714285714285</v>
      </c>
      <c r="L1423" s="14">
        <f>IFERROR(I1423/G1423,"")</f>
        <v>0.94285714285714284</v>
      </c>
      <c r="M1423" s="11" t="str">
        <f>IF(K1423&gt;=Paramètres!$F$6,"Très forte",IF(K1423&gt;=Paramètres!$F$5,"Forte",IF(K1423&gt;=Paramètres!$F$4,"Modérée","Faible")))</f>
        <v>Forte</v>
      </c>
    </row>
    <row r="1424" spans="1:13">
      <c r="A1424" t="s">
        <v>1014</v>
      </c>
      <c r="B1424" s="11">
        <v>78</v>
      </c>
      <c r="C1424" t="s">
        <v>135</v>
      </c>
      <c r="D1424" t="s">
        <v>801</v>
      </c>
      <c r="E1424" t="s">
        <v>834</v>
      </c>
      <c r="F1424" t="s">
        <v>92</v>
      </c>
      <c r="G1424" s="12">
        <v>34</v>
      </c>
      <c r="H1424" s="12">
        <v>756</v>
      </c>
      <c r="I1424" s="12">
        <v>35</v>
      </c>
      <c r="J1424" t="str">
        <f>VLOOKUP(B1424,Paramètres!$A$4:$C$11,3,FALSE)</f>
        <v>Grande couronne</v>
      </c>
      <c r="K1424" s="13">
        <f>IFERROR(H1424/G1424,"")</f>
        <v>22.235294117647058</v>
      </c>
      <c r="L1424" s="14">
        <f>IFERROR(I1424/G1424,"")</f>
        <v>1.0294117647058822</v>
      </c>
      <c r="M1424" s="11" t="str">
        <f>IF(K1424&gt;=Paramètres!$F$6,"Très forte",IF(K1424&gt;=Paramètres!$F$5,"Forte",IF(K1424&gt;=Paramètres!$F$4,"Modérée","Faible")))</f>
        <v>Forte</v>
      </c>
    </row>
    <row r="1425" spans="1:13">
      <c r="A1425" t="s">
        <v>856</v>
      </c>
      <c r="B1425" s="11">
        <v>75</v>
      </c>
      <c r="C1425" t="s">
        <v>86</v>
      </c>
      <c r="D1425" t="s">
        <v>801</v>
      </c>
      <c r="E1425" t="s">
        <v>875</v>
      </c>
      <c r="F1425" t="s">
        <v>92</v>
      </c>
      <c r="G1425" s="12">
        <v>48</v>
      </c>
      <c r="H1425" s="12">
        <v>1059</v>
      </c>
      <c r="I1425" s="12">
        <v>49</v>
      </c>
      <c r="J1425" t="str">
        <f>VLOOKUP(B1425,Paramètres!$A$4:$C$11,3,FALSE)</f>
        <v>Paris</v>
      </c>
      <c r="K1425" s="13">
        <f>IFERROR(H1425/G1425,"")</f>
        <v>22.0625</v>
      </c>
      <c r="L1425" s="14">
        <f>IFERROR(I1425/G1425,"")</f>
        <v>1.0208333333333333</v>
      </c>
      <c r="M1425" s="11" t="str">
        <f>IF(K1425&gt;=Paramètres!$F$6,"Très forte",IF(K1425&gt;=Paramètres!$F$5,"Forte",IF(K1425&gt;=Paramètres!$F$4,"Modérée","Faible")))</f>
        <v>Forte</v>
      </c>
    </row>
    <row r="1426" spans="1:13">
      <c r="A1426" t="s">
        <v>805</v>
      </c>
      <c r="B1426" s="11">
        <v>91</v>
      </c>
      <c r="C1426" t="s">
        <v>105</v>
      </c>
      <c r="D1426" t="s">
        <v>801</v>
      </c>
      <c r="E1426" t="s">
        <v>827</v>
      </c>
      <c r="F1426" t="s">
        <v>92</v>
      </c>
      <c r="G1426" s="12">
        <v>44</v>
      </c>
      <c r="H1426" s="12">
        <v>970</v>
      </c>
      <c r="I1426" s="12">
        <v>44</v>
      </c>
      <c r="J1426" t="str">
        <f>VLOOKUP(B1426,Paramètres!$A$4:$C$11,3,FALSE)</f>
        <v>Grande couronne</v>
      </c>
      <c r="K1426" s="13">
        <f>IFERROR(H1426/G1426,"")</f>
        <v>22.045454545454547</v>
      </c>
      <c r="L1426" s="14">
        <f>IFERROR(I1426/G1426,"")</f>
        <v>1</v>
      </c>
      <c r="M1426" s="11" t="str">
        <f>IF(K1426&gt;=Paramètres!$F$6,"Très forte",IF(K1426&gt;=Paramètres!$F$5,"Forte",IF(K1426&gt;=Paramètres!$F$4,"Modérée","Faible")))</f>
        <v>Forte</v>
      </c>
    </row>
    <row r="1427" spans="1:13">
      <c r="A1427" t="s">
        <v>1013</v>
      </c>
      <c r="B1427" s="11">
        <v>78</v>
      </c>
      <c r="C1427" t="s">
        <v>135</v>
      </c>
      <c r="D1427" t="s">
        <v>801</v>
      </c>
      <c r="E1427" t="s">
        <v>827</v>
      </c>
      <c r="F1427" t="s">
        <v>92</v>
      </c>
      <c r="G1427" s="12">
        <v>36</v>
      </c>
      <c r="H1427" s="12">
        <v>792</v>
      </c>
      <c r="I1427" s="12">
        <v>32</v>
      </c>
      <c r="J1427" t="str">
        <f>VLOOKUP(B1427,Paramètres!$A$4:$C$11,3,FALSE)</f>
        <v>Grande couronne</v>
      </c>
      <c r="K1427" s="13">
        <f>IFERROR(H1427/G1427,"")</f>
        <v>22</v>
      </c>
      <c r="L1427" s="14">
        <f>IFERROR(I1427/G1427,"")</f>
        <v>0.88888888888888884</v>
      </c>
      <c r="M1427" s="11" t="str">
        <f>IF(K1427&gt;=Paramètres!$F$6,"Très forte",IF(K1427&gt;=Paramètres!$F$5,"Forte",IF(K1427&gt;=Paramètres!$F$4,"Modérée","Faible")))</f>
        <v>Forte</v>
      </c>
    </row>
    <row r="1428" spans="1:13">
      <c r="A1428" t="s">
        <v>868</v>
      </c>
      <c r="B1428" s="11">
        <v>75</v>
      </c>
      <c r="C1428" t="s">
        <v>86</v>
      </c>
      <c r="D1428" t="s">
        <v>801</v>
      </c>
      <c r="E1428" t="s">
        <v>834</v>
      </c>
      <c r="F1428" t="s">
        <v>92</v>
      </c>
      <c r="G1428" s="12">
        <v>142</v>
      </c>
      <c r="H1428" s="12">
        <v>3105</v>
      </c>
      <c r="I1428" s="12">
        <v>142</v>
      </c>
      <c r="J1428" t="str">
        <f>VLOOKUP(B1428,Paramètres!$A$4:$C$11,3,FALSE)</f>
        <v>Paris</v>
      </c>
      <c r="K1428" s="13">
        <f>IFERROR(H1428/G1428,"")</f>
        <v>21.866197183098592</v>
      </c>
      <c r="L1428" s="14">
        <f>IFERROR(I1428/G1428,"")</f>
        <v>1</v>
      </c>
      <c r="M1428" s="11" t="str">
        <f>IF(K1428&gt;=Paramètres!$F$6,"Très forte",IF(K1428&gt;=Paramètres!$F$5,"Forte",IF(K1428&gt;=Paramètres!$F$4,"Modérée","Faible")))</f>
        <v>Forte</v>
      </c>
    </row>
    <row r="1429" spans="1:13">
      <c r="A1429" t="s">
        <v>897</v>
      </c>
      <c r="B1429" s="11">
        <v>78</v>
      </c>
      <c r="C1429" t="s">
        <v>135</v>
      </c>
      <c r="D1429" t="s">
        <v>801</v>
      </c>
      <c r="E1429" t="s">
        <v>806</v>
      </c>
      <c r="F1429" t="s">
        <v>92</v>
      </c>
      <c r="G1429" s="12">
        <v>32</v>
      </c>
      <c r="H1429" s="12">
        <v>692</v>
      </c>
      <c r="I1429" s="12">
        <v>31</v>
      </c>
      <c r="J1429" t="str">
        <f>VLOOKUP(B1429,Paramètres!$A$4:$C$11,3,FALSE)</f>
        <v>Grande couronne</v>
      </c>
      <c r="K1429" s="13">
        <f>IFERROR(H1429/G1429,"")</f>
        <v>21.625</v>
      </c>
      <c r="L1429" s="14">
        <f>IFERROR(I1429/G1429,"")</f>
        <v>0.96875</v>
      </c>
      <c r="M1429" s="11" t="str">
        <f>IF(K1429&gt;=Paramètres!$F$6,"Très forte",IF(K1429&gt;=Paramètres!$F$5,"Forte",IF(K1429&gt;=Paramètres!$F$4,"Modérée","Faible")))</f>
        <v>Forte</v>
      </c>
    </row>
    <row r="1430" spans="1:13">
      <c r="A1430" t="s">
        <v>1154</v>
      </c>
      <c r="B1430" s="11">
        <v>93</v>
      </c>
      <c r="C1430" t="s">
        <v>100</v>
      </c>
      <c r="D1430" t="s">
        <v>801</v>
      </c>
      <c r="E1430" t="s">
        <v>821</v>
      </c>
      <c r="F1430" t="s">
        <v>92</v>
      </c>
      <c r="G1430" s="12">
        <v>27</v>
      </c>
      <c r="H1430" s="12">
        <v>579</v>
      </c>
      <c r="I1430" s="12">
        <v>27</v>
      </c>
      <c r="J1430" t="str">
        <f>VLOOKUP(B1430,Paramètres!$A$4:$C$11,3,FALSE)</f>
        <v>Petite couronne</v>
      </c>
      <c r="K1430" s="13">
        <f>IFERROR(H1430/G1430,"")</f>
        <v>21.444444444444443</v>
      </c>
      <c r="L1430" s="14">
        <f>IFERROR(I1430/G1430,"")</f>
        <v>1</v>
      </c>
      <c r="M1430" s="11" t="str">
        <f>IF(K1430&gt;=Paramètres!$F$6,"Très forte",IF(K1430&gt;=Paramètres!$F$5,"Forte",IF(K1430&gt;=Paramètres!$F$4,"Modérée","Faible")))</f>
        <v>Forte</v>
      </c>
    </row>
    <row r="1431" spans="1:13">
      <c r="A1431" t="s">
        <v>1046</v>
      </c>
      <c r="B1431" s="11">
        <v>77</v>
      </c>
      <c r="C1431" t="s">
        <v>132</v>
      </c>
      <c r="D1431" t="s">
        <v>801</v>
      </c>
      <c r="E1431" t="s">
        <v>830</v>
      </c>
      <c r="F1431" t="s">
        <v>92</v>
      </c>
      <c r="G1431" s="12">
        <v>48</v>
      </c>
      <c r="H1431" s="12">
        <v>1026</v>
      </c>
      <c r="I1431" s="12">
        <v>43</v>
      </c>
      <c r="J1431" t="str">
        <f>VLOOKUP(B1431,Paramètres!$A$4:$C$11,3,FALSE)</f>
        <v>Grande couronne</v>
      </c>
      <c r="K1431" s="13">
        <f>IFERROR(H1431/G1431,"")</f>
        <v>21.375</v>
      </c>
      <c r="L1431" s="14">
        <f>IFERROR(I1431/G1431,"")</f>
        <v>0.89583333333333337</v>
      </c>
      <c r="M1431" s="11" t="str">
        <f>IF(K1431&gt;=Paramètres!$F$6,"Très forte",IF(K1431&gt;=Paramètres!$F$5,"Forte",IF(K1431&gt;=Paramètres!$F$4,"Modérée","Faible")))</f>
        <v>Forte</v>
      </c>
    </row>
    <row r="1432" spans="1:13">
      <c r="A1432" t="s">
        <v>1203</v>
      </c>
      <c r="B1432" s="11">
        <v>75</v>
      </c>
      <c r="C1432" t="s">
        <v>86</v>
      </c>
      <c r="D1432" t="s">
        <v>801</v>
      </c>
      <c r="E1432" t="s">
        <v>855</v>
      </c>
      <c r="F1432" t="s">
        <v>92</v>
      </c>
      <c r="G1432" s="12">
        <v>96</v>
      </c>
      <c r="H1432" s="12">
        <v>2033</v>
      </c>
      <c r="I1432" s="12">
        <v>64</v>
      </c>
      <c r="J1432" t="str">
        <f>VLOOKUP(B1432,Paramètres!$A$4:$C$11,3,FALSE)</f>
        <v>Paris</v>
      </c>
      <c r="K1432" s="13">
        <f>IFERROR(H1432/G1432,"")</f>
        <v>21.177083333333332</v>
      </c>
      <c r="L1432" s="14">
        <f>IFERROR(I1432/G1432,"")</f>
        <v>0.66666666666666663</v>
      </c>
      <c r="M1432" s="11" t="str">
        <f>IF(K1432&gt;=Paramètres!$F$6,"Très forte",IF(K1432&gt;=Paramètres!$F$5,"Forte",IF(K1432&gt;=Paramètres!$F$4,"Modérée","Faible")))</f>
        <v>Forte</v>
      </c>
    </row>
    <row r="1433" spans="1:13">
      <c r="A1433" t="s">
        <v>945</v>
      </c>
      <c r="B1433" s="11">
        <v>93</v>
      </c>
      <c r="C1433" t="s">
        <v>100</v>
      </c>
      <c r="D1433" t="s">
        <v>801</v>
      </c>
      <c r="E1433" t="s">
        <v>834</v>
      </c>
      <c r="F1433" t="s">
        <v>92</v>
      </c>
      <c r="G1433" s="12">
        <v>35</v>
      </c>
      <c r="H1433" s="12">
        <v>740</v>
      </c>
      <c r="I1433" s="12">
        <v>38</v>
      </c>
      <c r="J1433" t="str">
        <f>VLOOKUP(B1433,Paramètres!$A$4:$C$11,3,FALSE)</f>
        <v>Petite couronne</v>
      </c>
      <c r="K1433" s="13">
        <f>IFERROR(H1433/G1433,"")</f>
        <v>21.142857142857142</v>
      </c>
      <c r="L1433" s="14">
        <f>IFERROR(I1433/G1433,"")</f>
        <v>1.0857142857142856</v>
      </c>
      <c r="M1433" s="11" t="str">
        <f>IF(K1433&gt;=Paramètres!$F$6,"Très forte",IF(K1433&gt;=Paramètres!$F$5,"Forte",IF(K1433&gt;=Paramètres!$F$4,"Modérée","Faible")))</f>
        <v>Forte</v>
      </c>
    </row>
    <row r="1434" spans="1:13">
      <c r="A1434" t="s">
        <v>936</v>
      </c>
      <c r="B1434" s="11">
        <v>92</v>
      </c>
      <c r="C1434" t="s">
        <v>94</v>
      </c>
      <c r="D1434" t="s">
        <v>801</v>
      </c>
      <c r="E1434" t="s">
        <v>855</v>
      </c>
      <c r="F1434" t="s">
        <v>92</v>
      </c>
      <c r="G1434" s="12">
        <v>38</v>
      </c>
      <c r="H1434" s="12">
        <v>798</v>
      </c>
      <c r="I1434" s="12">
        <v>42</v>
      </c>
      <c r="J1434" t="str">
        <f>VLOOKUP(B1434,Paramètres!$A$4:$C$11,3,FALSE)</f>
        <v>Petite couronne</v>
      </c>
      <c r="K1434" s="13">
        <f>IFERROR(H1434/G1434,"")</f>
        <v>21</v>
      </c>
      <c r="L1434" s="14">
        <f>IFERROR(I1434/G1434,"")</f>
        <v>1.1052631578947369</v>
      </c>
      <c r="M1434" s="11" t="str">
        <f>IF(K1434&gt;=Paramètres!$F$6,"Très forte",IF(K1434&gt;=Paramètres!$F$5,"Forte",IF(K1434&gt;=Paramètres!$F$4,"Modérée","Faible")))</f>
        <v>Forte</v>
      </c>
    </row>
    <row r="1435" spans="1:13">
      <c r="A1435" t="s">
        <v>803</v>
      </c>
      <c r="B1435" s="11">
        <v>94</v>
      </c>
      <c r="C1435" t="s">
        <v>116</v>
      </c>
      <c r="D1435" t="s">
        <v>801</v>
      </c>
      <c r="E1435" t="s">
        <v>834</v>
      </c>
      <c r="F1435" t="s">
        <v>92</v>
      </c>
      <c r="G1435" s="12">
        <v>144</v>
      </c>
      <c r="H1435" s="12">
        <v>3002</v>
      </c>
      <c r="I1435" s="12">
        <v>144</v>
      </c>
      <c r="J1435" t="str">
        <f>VLOOKUP(B1435,Paramètres!$A$4:$C$11,3,FALSE)</f>
        <v>Petite couronne</v>
      </c>
      <c r="K1435" s="13">
        <f>IFERROR(H1435/G1435,"")</f>
        <v>20.847222222222221</v>
      </c>
      <c r="L1435" s="14">
        <f>IFERROR(I1435/G1435,"")</f>
        <v>1</v>
      </c>
      <c r="M1435" s="11" t="str">
        <f>IF(K1435&gt;=Paramètres!$F$6,"Très forte",IF(K1435&gt;=Paramètres!$F$5,"Forte",IF(K1435&gt;=Paramètres!$F$4,"Modérée","Faible")))</f>
        <v>Forte</v>
      </c>
    </row>
    <row r="1436" spans="1:13">
      <c r="A1436" t="s">
        <v>794</v>
      </c>
      <c r="B1436" s="11">
        <v>75</v>
      </c>
      <c r="C1436" t="s">
        <v>86</v>
      </c>
      <c r="D1436" t="s">
        <v>801</v>
      </c>
      <c r="E1436" t="s">
        <v>855</v>
      </c>
      <c r="F1436" t="s">
        <v>92</v>
      </c>
      <c r="G1436" s="12">
        <v>192</v>
      </c>
      <c r="H1436" s="12">
        <v>3966</v>
      </c>
      <c r="I1436" s="12">
        <v>190</v>
      </c>
      <c r="J1436" t="str">
        <f>VLOOKUP(B1436,Paramètres!$A$4:$C$11,3,FALSE)</f>
        <v>Paris</v>
      </c>
      <c r="K1436" s="13">
        <f>IFERROR(H1436/G1436,"")</f>
        <v>20.65625</v>
      </c>
      <c r="L1436" s="14">
        <f>IFERROR(I1436/G1436,"")</f>
        <v>0.98958333333333337</v>
      </c>
      <c r="M1436" s="11" t="str">
        <f>IF(K1436&gt;=Paramètres!$F$6,"Très forte",IF(K1436&gt;=Paramètres!$F$5,"Forte",IF(K1436&gt;=Paramètres!$F$4,"Modérée","Faible")))</f>
        <v>Forte</v>
      </c>
    </row>
    <row r="1437" spans="1:13">
      <c r="A1437" t="s">
        <v>1066</v>
      </c>
      <c r="B1437" s="11">
        <v>91</v>
      </c>
      <c r="C1437" t="s">
        <v>105</v>
      </c>
      <c r="D1437" t="s">
        <v>801</v>
      </c>
      <c r="E1437" t="s">
        <v>834</v>
      </c>
      <c r="F1437" t="s">
        <v>92</v>
      </c>
      <c r="G1437" s="12">
        <v>36</v>
      </c>
      <c r="H1437" s="12">
        <v>740</v>
      </c>
      <c r="I1437" s="12">
        <v>35</v>
      </c>
      <c r="J1437" t="str">
        <f>VLOOKUP(B1437,Paramètres!$A$4:$C$11,3,FALSE)</f>
        <v>Grande couronne</v>
      </c>
      <c r="K1437" s="13">
        <f>IFERROR(H1437/G1437,"")</f>
        <v>20.555555555555557</v>
      </c>
      <c r="L1437" s="14">
        <f>IFERROR(I1437/G1437,"")</f>
        <v>0.97222222222222221</v>
      </c>
      <c r="M1437" s="11" t="str">
        <f>IF(K1437&gt;=Paramètres!$F$6,"Très forte",IF(K1437&gt;=Paramètres!$F$5,"Forte",IF(K1437&gt;=Paramètres!$F$4,"Modérée","Faible")))</f>
        <v>Forte</v>
      </c>
    </row>
    <row r="1438" spans="1:13">
      <c r="A1438" t="s">
        <v>964</v>
      </c>
      <c r="B1438" s="11">
        <v>94</v>
      </c>
      <c r="C1438" t="s">
        <v>116</v>
      </c>
      <c r="D1438" t="s">
        <v>801</v>
      </c>
      <c r="E1438" t="s">
        <v>829</v>
      </c>
      <c r="F1438" t="s">
        <v>92</v>
      </c>
      <c r="G1438" s="12">
        <v>35</v>
      </c>
      <c r="H1438" s="12">
        <v>719</v>
      </c>
      <c r="I1438" s="12">
        <v>32</v>
      </c>
      <c r="J1438" t="str">
        <f>VLOOKUP(B1438,Paramètres!$A$4:$C$11,3,FALSE)</f>
        <v>Petite couronne</v>
      </c>
      <c r="K1438" s="13">
        <f>IFERROR(H1438/G1438,"")</f>
        <v>20.542857142857144</v>
      </c>
      <c r="L1438" s="14">
        <f>IFERROR(I1438/G1438,"")</f>
        <v>0.91428571428571426</v>
      </c>
      <c r="M1438" s="11" t="str">
        <f>IF(K1438&gt;=Paramètres!$F$6,"Très forte",IF(K1438&gt;=Paramètres!$F$5,"Forte",IF(K1438&gt;=Paramètres!$F$4,"Modérée","Faible")))</f>
        <v>Forte</v>
      </c>
    </row>
    <row r="1439" spans="1:13">
      <c r="A1439" t="s">
        <v>881</v>
      </c>
      <c r="B1439" s="11">
        <v>77</v>
      </c>
      <c r="C1439" t="s">
        <v>132</v>
      </c>
      <c r="D1439" t="s">
        <v>801</v>
      </c>
      <c r="E1439" t="s">
        <v>829</v>
      </c>
      <c r="F1439" t="s">
        <v>92</v>
      </c>
      <c r="G1439" s="12">
        <v>24</v>
      </c>
      <c r="H1439" s="12">
        <v>486</v>
      </c>
      <c r="I1439" s="12">
        <v>16</v>
      </c>
      <c r="J1439" t="str">
        <f>VLOOKUP(B1439,Paramètres!$A$4:$C$11,3,FALSE)</f>
        <v>Grande couronne</v>
      </c>
      <c r="K1439" s="13">
        <f>IFERROR(H1439/G1439,"")</f>
        <v>20.25</v>
      </c>
      <c r="L1439" s="14">
        <f>IFERROR(I1439/G1439,"")</f>
        <v>0.66666666666666663</v>
      </c>
      <c r="M1439" s="11" t="str">
        <f>IF(K1439&gt;=Paramètres!$F$6,"Très forte",IF(K1439&gt;=Paramètres!$F$5,"Forte",IF(K1439&gt;=Paramètres!$F$4,"Modérée","Faible")))</f>
        <v>Forte</v>
      </c>
    </row>
    <row r="1440" spans="1:13">
      <c r="A1440" t="s">
        <v>1186</v>
      </c>
      <c r="B1440" s="11">
        <v>94</v>
      </c>
      <c r="C1440" t="s">
        <v>116</v>
      </c>
      <c r="D1440" t="s">
        <v>801</v>
      </c>
      <c r="E1440" t="s">
        <v>855</v>
      </c>
      <c r="F1440" t="s">
        <v>92</v>
      </c>
      <c r="G1440" s="12">
        <v>45</v>
      </c>
      <c r="H1440" s="12">
        <v>905</v>
      </c>
      <c r="I1440" s="12">
        <v>38</v>
      </c>
      <c r="J1440" t="str">
        <f>VLOOKUP(B1440,Paramètres!$A$4:$C$11,3,FALSE)</f>
        <v>Petite couronne</v>
      </c>
      <c r="K1440" s="13">
        <f>IFERROR(H1440/G1440,"")</f>
        <v>20.111111111111111</v>
      </c>
      <c r="L1440" s="14">
        <f>IFERROR(I1440/G1440,"")</f>
        <v>0.84444444444444444</v>
      </c>
      <c r="M1440" s="11" t="str">
        <f>IF(K1440&gt;=Paramètres!$F$6,"Très forte",IF(K1440&gt;=Paramètres!$F$5,"Forte",IF(K1440&gt;=Paramètres!$F$4,"Modérée","Faible")))</f>
        <v>Forte</v>
      </c>
    </row>
    <row r="1441" spans="1:13">
      <c r="A1441" t="s">
        <v>800</v>
      </c>
      <c r="B1441" s="11">
        <v>78</v>
      </c>
      <c r="C1441" t="s">
        <v>135</v>
      </c>
      <c r="D1441" t="s">
        <v>801</v>
      </c>
      <c r="E1441" t="s">
        <v>875</v>
      </c>
      <c r="F1441" t="s">
        <v>92</v>
      </c>
      <c r="G1441" s="12">
        <v>32</v>
      </c>
      <c r="H1441" s="12">
        <v>637</v>
      </c>
      <c r="I1441" s="12">
        <v>30</v>
      </c>
      <c r="J1441" t="str">
        <f>VLOOKUP(B1441,Paramètres!$A$4:$C$11,3,FALSE)</f>
        <v>Grande couronne</v>
      </c>
      <c r="K1441" s="13">
        <f>IFERROR(H1441/G1441,"")</f>
        <v>19.90625</v>
      </c>
      <c r="L1441" s="14">
        <f>IFERROR(I1441/G1441,"")</f>
        <v>0.9375</v>
      </c>
      <c r="M1441" s="11" t="str">
        <f>IF(K1441&gt;=Paramètres!$F$6,"Très forte",IF(K1441&gt;=Paramètres!$F$5,"Forte",IF(K1441&gt;=Paramètres!$F$4,"Modérée","Faible")))</f>
        <v>Modérée</v>
      </c>
    </row>
    <row r="1442" spans="1:13">
      <c r="A1442" t="s">
        <v>981</v>
      </c>
      <c r="B1442" s="11">
        <v>95</v>
      </c>
      <c r="C1442" t="s">
        <v>90</v>
      </c>
      <c r="D1442" t="s">
        <v>801</v>
      </c>
      <c r="E1442" t="s">
        <v>806</v>
      </c>
      <c r="F1442" t="s">
        <v>92</v>
      </c>
      <c r="G1442" s="12">
        <v>35</v>
      </c>
      <c r="H1442" s="12">
        <v>695</v>
      </c>
      <c r="I1442" s="12">
        <v>28</v>
      </c>
      <c r="J1442" t="str">
        <f>VLOOKUP(B1442,Paramètres!$A$4:$C$11,3,FALSE)</f>
        <v>Grande couronne</v>
      </c>
      <c r="K1442" s="13">
        <f>IFERROR(H1442/G1442,"")</f>
        <v>19.857142857142858</v>
      </c>
      <c r="L1442" s="14">
        <f>IFERROR(I1442/G1442,"")</f>
        <v>0.8</v>
      </c>
      <c r="M1442" s="11" t="str">
        <f>IF(K1442&gt;=Paramètres!$F$6,"Très forte",IF(K1442&gt;=Paramètres!$F$5,"Forte",IF(K1442&gt;=Paramètres!$F$4,"Modérée","Faible")))</f>
        <v>Modérée</v>
      </c>
    </row>
    <row r="1443" spans="1:13">
      <c r="A1443" t="s">
        <v>978</v>
      </c>
      <c r="B1443" s="11">
        <v>95</v>
      </c>
      <c r="C1443" t="s">
        <v>90</v>
      </c>
      <c r="D1443" t="s">
        <v>801</v>
      </c>
      <c r="E1443" t="s">
        <v>834</v>
      </c>
      <c r="F1443" t="s">
        <v>92</v>
      </c>
      <c r="G1443" s="12">
        <v>40</v>
      </c>
      <c r="H1443" s="12">
        <v>788</v>
      </c>
      <c r="I1443" s="12">
        <v>39</v>
      </c>
      <c r="J1443" t="str">
        <f>VLOOKUP(B1443,Paramètres!$A$4:$C$11,3,FALSE)</f>
        <v>Grande couronne</v>
      </c>
      <c r="K1443" s="13">
        <f>IFERROR(H1443/G1443,"")</f>
        <v>19.7</v>
      </c>
      <c r="L1443" s="14">
        <f>IFERROR(I1443/G1443,"")</f>
        <v>0.97499999999999998</v>
      </c>
      <c r="M1443" s="11" t="str">
        <f>IF(K1443&gt;=Paramètres!$F$6,"Très forte",IF(K1443&gt;=Paramètres!$F$5,"Forte",IF(K1443&gt;=Paramètres!$F$4,"Modérée","Faible")))</f>
        <v>Modérée</v>
      </c>
    </row>
    <row r="1444" spans="1:13">
      <c r="A1444" t="s">
        <v>1115</v>
      </c>
      <c r="B1444" s="11">
        <v>75</v>
      </c>
      <c r="C1444" t="s">
        <v>86</v>
      </c>
      <c r="D1444" t="s">
        <v>801</v>
      </c>
      <c r="E1444" t="s">
        <v>855</v>
      </c>
      <c r="F1444" t="s">
        <v>92</v>
      </c>
      <c r="G1444" s="12">
        <v>48</v>
      </c>
      <c r="H1444" s="12">
        <v>943</v>
      </c>
      <c r="I1444" s="12">
        <v>46</v>
      </c>
      <c r="J1444" t="str">
        <f>VLOOKUP(B1444,Paramètres!$A$4:$C$11,3,FALSE)</f>
        <v>Paris</v>
      </c>
      <c r="K1444" s="13">
        <f>IFERROR(H1444/G1444,"")</f>
        <v>19.645833333333332</v>
      </c>
      <c r="L1444" s="14">
        <f>IFERROR(I1444/G1444,"")</f>
        <v>0.95833333333333337</v>
      </c>
      <c r="M1444" s="11" t="str">
        <f>IF(K1444&gt;=Paramètres!$F$6,"Très forte",IF(K1444&gt;=Paramètres!$F$5,"Forte",IF(K1444&gt;=Paramètres!$F$4,"Modérée","Faible")))</f>
        <v>Modérée</v>
      </c>
    </row>
    <row r="1445" spans="1:13">
      <c r="A1445" t="s">
        <v>816</v>
      </c>
      <c r="B1445" s="11">
        <v>78</v>
      </c>
      <c r="C1445" t="s">
        <v>135</v>
      </c>
      <c r="D1445" t="s">
        <v>801</v>
      </c>
      <c r="E1445" t="s">
        <v>827</v>
      </c>
      <c r="F1445" t="s">
        <v>92</v>
      </c>
      <c r="G1445" s="12">
        <v>140</v>
      </c>
      <c r="H1445" s="12">
        <v>2729</v>
      </c>
      <c r="I1445" s="12">
        <v>140</v>
      </c>
      <c r="J1445" t="str">
        <f>VLOOKUP(B1445,Paramètres!$A$4:$C$11,3,FALSE)</f>
        <v>Grande couronne</v>
      </c>
      <c r="K1445" s="13">
        <f>IFERROR(H1445/G1445,"")</f>
        <v>19.492857142857144</v>
      </c>
      <c r="L1445" s="14">
        <f>IFERROR(I1445/G1445,"")</f>
        <v>1</v>
      </c>
      <c r="M1445" s="11" t="str">
        <f>IF(K1445&gt;=Paramètres!$F$6,"Très forte",IF(K1445&gt;=Paramètres!$F$5,"Forte",IF(K1445&gt;=Paramètres!$F$4,"Modérée","Faible")))</f>
        <v>Modérée</v>
      </c>
    </row>
    <row r="1446" spans="1:13">
      <c r="A1446" t="s">
        <v>963</v>
      </c>
      <c r="B1446" s="11">
        <v>94</v>
      </c>
      <c r="C1446" t="s">
        <v>116</v>
      </c>
      <c r="D1446" t="s">
        <v>801</v>
      </c>
      <c r="E1446" t="s">
        <v>942</v>
      </c>
      <c r="F1446" t="s">
        <v>92</v>
      </c>
      <c r="G1446" s="12">
        <v>42</v>
      </c>
      <c r="H1446" s="12">
        <v>818</v>
      </c>
      <c r="I1446" s="12">
        <v>41</v>
      </c>
      <c r="J1446" t="str">
        <f>VLOOKUP(B1446,Paramètres!$A$4:$C$11,3,FALSE)</f>
        <v>Petite couronne</v>
      </c>
      <c r="K1446" s="13">
        <f>IFERROR(H1446/G1446,"")</f>
        <v>19.476190476190474</v>
      </c>
      <c r="L1446" s="14">
        <f>IFERROR(I1446/G1446,"")</f>
        <v>0.97619047619047616</v>
      </c>
      <c r="M1446" s="11" t="str">
        <f>IF(K1446&gt;=Paramètres!$F$6,"Très forte",IF(K1446&gt;=Paramètres!$F$5,"Forte",IF(K1446&gt;=Paramètres!$F$4,"Modérée","Faible")))</f>
        <v>Modérée</v>
      </c>
    </row>
    <row r="1447" spans="1:13">
      <c r="A1447" t="s">
        <v>897</v>
      </c>
      <c r="B1447" s="11">
        <v>78</v>
      </c>
      <c r="C1447" t="s">
        <v>135</v>
      </c>
      <c r="D1447" t="s">
        <v>801</v>
      </c>
      <c r="E1447" t="s">
        <v>898</v>
      </c>
      <c r="F1447" t="s">
        <v>92</v>
      </c>
      <c r="G1447" s="12">
        <v>32</v>
      </c>
      <c r="H1447" s="12">
        <v>619</v>
      </c>
      <c r="I1447" s="12">
        <v>31</v>
      </c>
      <c r="J1447" t="str">
        <f>VLOOKUP(B1447,Paramètres!$A$4:$C$11,3,FALSE)</f>
        <v>Grande couronne</v>
      </c>
      <c r="K1447" s="13">
        <f>IFERROR(H1447/G1447,"")</f>
        <v>19.34375</v>
      </c>
      <c r="L1447" s="14">
        <f>IFERROR(I1447/G1447,"")</f>
        <v>0.96875</v>
      </c>
      <c r="M1447" s="11" t="str">
        <f>IF(K1447&gt;=Paramètres!$F$6,"Très forte",IF(K1447&gt;=Paramètres!$F$5,"Forte",IF(K1447&gt;=Paramètres!$F$4,"Modérée","Faible")))</f>
        <v>Modérée</v>
      </c>
    </row>
    <row r="1448" spans="1:13">
      <c r="A1448" t="s">
        <v>954</v>
      </c>
      <c r="B1448" s="11">
        <v>93</v>
      </c>
      <c r="C1448" t="s">
        <v>100</v>
      </c>
      <c r="D1448" t="s">
        <v>801</v>
      </c>
      <c r="E1448" t="s">
        <v>821</v>
      </c>
      <c r="F1448" t="s">
        <v>92</v>
      </c>
      <c r="G1448" s="12">
        <v>35</v>
      </c>
      <c r="H1448" s="12">
        <v>670</v>
      </c>
      <c r="I1448" s="12">
        <v>22</v>
      </c>
      <c r="J1448" t="str">
        <f>VLOOKUP(B1448,Paramètres!$A$4:$C$11,3,FALSE)</f>
        <v>Petite couronne</v>
      </c>
      <c r="K1448" s="13">
        <f>IFERROR(H1448/G1448,"")</f>
        <v>19.142857142857142</v>
      </c>
      <c r="L1448" s="14">
        <f>IFERROR(I1448/G1448,"")</f>
        <v>0.62857142857142856</v>
      </c>
      <c r="M1448" s="11" t="str">
        <f>IF(K1448&gt;=Paramètres!$F$6,"Très forte",IF(K1448&gt;=Paramètres!$F$5,"Forte",IF(K1448&gt;=Paramètres!$F$4,"Modérée","Faible")))</f>
        <v>Modérée</v>
      </c>
    </row>
    <row r="1449" spans="1:13">
      <c r="A1449" t="s">
        <v>816</v>
      </c>
      <c r="B1449" s="11">
        <v>78</v>
      </c>
      <c r="C1449" t="s">
        <v>135</v>
      </c>
      <c r="D1449" t="s">
        <v>801</v>
      </c>
      <c r="E1449" t="s">
        <v>834</v>
      </c>
      <c r="F1449" t="s">
        <v>92</v>
      </c>
      <c r="G1449" s="12">
        <v>126</v>
      </c>
      <c r="H1449" s="12">
        <v>2399</v>
      </c>
      <c r="I1449" s="12">
        <v>126</v>
      </c>
      <c r="J1449" t="str">
        <f>VLOOKUP(B1449,Paramètres!$A$4:$C$11,3,FALSE)</f>
        <v>Grande couronne</v>
      </c>
      <c r="K1449" s="13">
        <f>IFERROR(H1449/G1449,"")</f>
        <v>19.039682539682541</v>
      </c>
      <c r="L1449" s="14">
        <f>IFERROR(I1449/G1449,"")</f>
        <v>1</v>
      </c>
      <c r="M1449" s="11" t="str">
        <f>IF(K1449&gt;=Paramètres!$F$6,"Très forte",IF(K1449&gt;=Paramètres!$F$5,"Forte",IF(K1449&gt;=Paramètres!$F$4,"Modérée","Faible")))</f>
        <v>Modérée</v>
      </c>
    </row>
    <row r="1450" spans="1:13">
      <c r="A1450" t="s">
        <v>1230</v>
      </c>
      <c r="B1450" s="11">
        <v>75</v>
      </c>
      <c r="C1450" t="s">
        <v>86</v>
      </c>
      <c r="D1450" t="s">
        <v>801</v>
      </c>
      <c r="E1450" t="s">
        <v>855</v>
      </c>
      <c r="F1450" t="s">
        <v>92</v>
      </c>
      <c r="G1450" s="12">
        <v>96</v>
      </c>
      <c r="H1450" s="12">
        <v>1798</v>
      </c>
      <c r="I1450" s="12">
        <v>93</v>
      </c>
      <c r="J1450" t="str">
        <f>VLOOKUP(B1450,Paramètres!$A$4:$C$11,3,FALSE)</f>
        <v>Paris</v>
      </c>
      <c r="K1450" s="13">
        <f>IFERROR(H1450/G1450,"")</f>
        <v>18.729166666666668</v>
      </c>
      <c r="L1450" s="14">
        <f>IFERROR(I1450/G1450,"")</f>
        <v>0.96875</v>
      </c>
      <c r="M1450" s="11" t="str">
        <f>IF(K1450&gt;=Paramètres!$F$6,"Très forte",IF(K1450&gt;=Paramètres!$F$5,"Forte",IF(K1450&gt;=Paramètres!$F$4,"Modérée","Faible")))</f>
        <v>Modérée</v>
      </c>
    </row>
    <row r="1451" spans="1:13">
      <c r="A1451" t="s">
        <v>1046</v>
      </c>
      <c r="B1451" s="11">
        <v>77</v>
      </c>
      <c r="C1451" t="s">
        <v>132</v>
      </c>
      <c r="D1451" t="s">
        <v>801</v>
      </c>
      <c r="E1451" t="s">
        <v>834</v>
      </c>
      <c r="F1451" t="s">
        <v>92</v>
      </c>
      <c r="G1451" s="12">
        <v>48</v>
      </c>
      <c r="H1451" s="12">
        <v>898</v>
      </c>
      <c r="I1451" s="12">
        <v>47</v>
      </c>
      <c r="J1451" t="str">
        <f>VLOOKUP(B1451,Paramètres!$A$4:$C$11,3,FALSE)</f>
        <v>Grande couronne</v>
      </c>
      <c r="K1451" s="13">
        <f>IFERROR(H1451/G1451,"")</f>
        <v>18.708333333333332</v>
      </c>
      <c r="L1451" s="14">
        <f>IFERROR(I1451/G1451,"")</f>
        <v>0.97916666666666663</v>
      </c>
      <c r="M1451" s="11" t="str">
        <f>IF(K1451&gt;=Paramètres!$F$6,"Très forte",IF(K1451&gt;=Paramètres!$F$5,"Forte",IF(K1451&gt;=Paramètres!$F$4,"Modérée","Faible")))</f>
        <v>Modérée</v>
      </c>
    </row>
    <row r="1452" spans="1:13">
      <c r="A1452" t="s">
        <v>1008</v>
      </c>
      <c r="B1452" s="11">
        <v>77</v>
      </c>
      <c r="C1452" t="s">
        <v>132</v>
      </c>
      <c r="D1452" t="s">
        <v>801</v>
      </c>
      <c r="E1452" t="s">
        <v>834</v>
      </c>
      <c r="F1452" t="s">
        <v>92</v>
      </c>
      <c r="G1452" s="12">
        <v>35</v>
      </c>
      <c r="H1452" s="12">
        <v>649</v>
      </c>
      <c r="I1452" s="12">
        <v>43</v>
      </c>
      <c r="J1452" t="str">
        <f>VLOOKUP(B1452,Paramètres!$A$4:$C$11,3,FALSE)</f>
        <v>Grande couronne</v>
      </c>
      <c r="K1452" s="13">
        <f>IFERROR(H1452/G1452,"")</f>
        <v>18.542857142857144</v>
      </c>
      <c r="L1452" s="14">
        <f>IFERROR(I1452/G1452,"")</f>
        <v>1.2285714285714286</v>
      </c>
      <c r="M1452" s="11" t="str">
        <f>IF(K1452&gt;=Paramètres!$F$6,"Très forte",IF(K1452&gt;=Paramètres!$F$5,"Forte",IF(K1452&gt;=Paramètres!$F$4,"Modérée","Faible")))</f>
        <v>Modérée</v>
      </c>
    </row>
    <row r="1453" spans="1:13">
      <c r="A1453" t="s">
        <v>1072</v>
      </c>
      <c r="B1453" s="11">
        <v>92</v>
      </c>
      <c r="C1453" t="s">
        <v>94</v>
      </c>
      <c r="D1453" t="s">
        <v>801</v>
      </c>
      <c r="E1453" t="s">
        <v>855</v>
      </c>
      <c r="F1453" t="s">
        <v>92</v>
      </c>
      <c r="G1453" s="12">
        <v>96</v>
      </c>
      <c r="H1453" s="12">
        <v>1770</v>
      </c>
      <c r="I1453" s="12">
        <v>95</v>
      </c>
      <c r="J1453" t="str">
        <f>VLOOKUP(B1453,Paramètres!$A$4:$C$11,3,FALSE)</f>
        <v>Petite couronne</v>
      </c>
      <c r="K1453" s="13">
        <f>IFERROR(H1453/G1453,"")</f>
        <v>18.4375</v>
      </c>
      <c r="L1453" s="14">
        <f>IFERROR(I1453/G1453,"")</f>
        <v>0.98958333333333337</v>
      </c>
      <c r="M1453" s="11" t="str">
        <f>IF(K1453&gt;=Paramètres!$F$6,"Très forte",IF(K1453&gt;=Paramètres!$F$5,"Forte",IF(K1453&gt;=Paramètres!$F$4,"Modérée","Faible")))</f>
        <v>Modérée</v>
      </c>
    </row>
    <row r="1454" spans="1:13">
      <c r="A1454" t="s">
        <v>807</v>
      </c>
      <c r="B1454" s="11">
        <v>78</v>
      </c>
      <c r="C1454" t="s">
        <v>135</v>
      </c>
      <c r="D1454" t="s">
        <v>801</v>
      </c>
      <c r="E1454" t="s">
        <v>808</v>
      </c>
      <c r="F1454" t="s">
        <v>92</v>
      </c>
      <c r="G1454" s="12">
        <v>48</v>
      </c>
      <c r="H1454" s="12">
        <v>884</v>
      </c>
      <c r="I1454" s="12">
        <v>31</v>
      </c>
      <c r="J1454" t="str">
        <f>VLOOKUP(B1454,Paramètres!$A$4:$C$11,3,FALSE)</f>
        <v>Grande couronne</v>
      </c>
      <c r="K1454" s="13">
        <f>IFERROR(H1454/G1454,"")</f>
        <v>18.416666666666668</v>
      </c>
      <c r="L1454" s="14">
        <f>IFERROR(I1454/G1454,"")</f>
        <v>0.64583333333333337</v>
      </c>
      <c r="M1454" s="11" t="str">
        <f>IF(K1454&gt;=Paramètres!$F$6,"Très forte",IF(K1454&gt;=Paramètres!$F$5,"Forte",IF(K1454&gt;=Paramètres!$F$4,"Modérée","Faible")))</f>
        <v>Modérée</v>
      </c>
    </row>
    <row r="1455" spans="1:13">
      <c r="A1455" t="s">
        <v>909</v>
      </c>
      <c r="B1455" s="11">
        <v>75</v>
      </c>
      <c r="C1455" t="s">
        <v>86</v>
      </c>
      <c r="D1455" t="s">
        <v>801</v>
      </c>
      <c r="E1455" t="s">
        <v>855</v>
      </c>
      <c r="F1455" t="s">
        <v>92</v>
      </c>
      <c r="G1455" s="12">
        <v>96</v>
      </c>
      <c r="H1455" s="12">
        <v>1766</v>
      </c>
      <c r="I1455" s="12">
        <v>94</v>
      </c>
      <c r="J1455" t="str">
        <f>VLOOKUP(B1455,Paramètres!$A$4:$C$11,3,FALSE)</f>
        <v>Paris</v>
      </c>
      <c r="K1455" s="13">
        <f>IFERROR(H1455/G1455,"")</f>
        <v>18.395833333333332</v>
      </c>
      <c r="L1455" s="14">
        <f>IFERROR(I1455/G1455,"")</f>
        <v>0.97916666666666663</v>
      </c>
      <c r="M1455" s="11" t="str">
        <f>IF(K1455&gt;=Paramètres!$F$6,"Très forte",IF(K1455&gt;=Paramètres!$F$5,"Forte",IF(K1455&gt;=Paramètres!$F$4,"Modérée","Faible")))</f>
        <v>Modérée</v>
      </c>
    </row>
    <row r="1456" spans="1:13">
      <c r="A1456" t="s">
        <v>814</v>
      </c>
      <c r="B1456" s="11">
        <v>95</v>
      </c>
      <c r="C1456" t="s">
        <v>90</v>
      </c>
      <c r="D1456" t="s">
        <v>801</v>
      </c>
      <c r="E1456" t="s">
        <v>802</v>
      </c>
      <c r="F1456" t="s">
        <v>92</v>
      </c>
      <c r="G1456" s="12">
        <v>21</v>
      </c>
      <c r="H1456" s="12">
        <v>385</v>
      </c>
      <c r="I1456" s="12">
        <v>10</v>
      </c>
      <c r="J1456" t="str">
        <f>VLOOKUP(B1456,Paramètres!$A$4:$C$11,3,FALSE)</f>
        <v>Grande couronne</v>
      </c>
      <c r="K1456" s="13">
        <f>IFERROR(H1456/G1456,"")</f>
        <v>18.333333333333332</v>
      </c>
      <c r="L1456" s="14">
        <f>IFERROR(I1456/G1456,"")</f>
        <v>0.47619047619047616</v>
      </c>
      <c r="M1456" s="11" t="str">
        <f>IF(K1456&gt;=Paramètres!$F$6,"Très forte",IF(K1456&gt;=Paramètres!$F$5,"Forte",IF(K1456&gt;=Paramètres!$F$4,"Modérée","Faible")))</f>
        <v>Modérée</v>
      </c>
    </row>
    <row r="1457" spans="1:13">
      <c r="A1457" t="s">
        <v>854</v>
      </c>
      <c r="B1457" s="11">
        <v>75</v>
      </c>
      <c r="C1457" t="s">
        <v>86</v>
      </c>
      <c r="D1457" t="s">
        <v>801</v>
      </c>
      <c r="E1457" t="s">
        <v>855</v>
      </c>
      <c r="F1457" t="s">
        <v>92</v>
      </c>
      <c r="G1457" s="12">
        <v>96</v>
      </c>
      <c r="H1457" s="12">
        <v>1736</v>
      </c>
      <c r="I1457" s="12">
        <v>78</v>
      </c>
      <c r="J1457" t="str">
        <f>VLOOKUP(B1457,Paramètres!$A$4:$C$11,3,FALSE)</f>
        <v>Paris</v>
      </c>
      <c r="K1457" s="13">
        <f>IFERROR(H1457/G1457,"")</f>
        <v>18.083333333333332</v>
      </c>
      <c r="L1457" s="14">
        <f>IFERROR(I1457/G1457,"")</f>
        <v>0.8125</v>
      </c>
      <c r="M1457" s="11" t="str">
        <f>IF(K1457&gt;=Paramètres!$F$6,"Très forte",IF(K1457&gt;=Paramètres!$F$5,"Forte",IF(K1457&gt;=Paramètres!$F$4,"Modérée","Faible")))</f>
        <v>Modérée</v>
      </c>
    </row>
    <row r="1458" spans="1:13">
      <c r="A1458" t="s">
        <v>945</v>
      </c>
      <c r="B1458" s="11">
        <v>93</v>
      </c>
      <c r="C1458" t="s">
        <v>100</v>
      </c>
      <c r="D1458" t="s">
        <v>801</v>
      </c>
      <c r="E1458" t="s">
        <v>855</v>
      </c>
      <c r="F1458" t="s">
        <v>92</v>
      </c>
      <c r="G1458" s="12">
        <v>36</v>
      </c>
      <c r="H1458" s="12">
        <v>635</v>
      </c>
      <c r="I1458" s="12">
        <v>39</v>
      </c>
      <c r="J1458" t="str">
        <f>VLOOKUP(B1458,Paramètres!$A$4:$C$11,3,FALSE)</f>
        <v>Petite couronne</v>
      </c>
      <c r="K1458" s="13">
        <f>IFERROR(H1458/G1458,"")</f>
        <v>17.638888888888889</v>
      </c>
      <c r="L1458" s="14">
        <f>IFERROR(I1458/G1458,"")</f>
        <v>1.0833333333333333</v>
      </c>
      <c r="M1458" s="11" t="str">
        <f>IF(K1458&gt;=Paramètres!$F$6,"Très forte",IF(K1458&gt;=Paramètres!$F$5,"Forte",IF(K1458&gt;=Paramètres!$F$4,"Modérée","Faible")))</f>
        <v>Modérée</v>
      </c>
    </row>
    <row r="1459" spans="1:13">
      <c r="A1459" t="s">
        <v>949</v>
      </c>
      <c r="B1459" s="11">
        <v>93</v>
      </c>
      <c r="C1459" t="s">
        <v>100</v>
      </c>
      <c r="D1459" t="s">
        <v>801</v>
      </c>
      <c r="E1459" t="s">
        <v>834</v>
      </c>
      <c r="F1459" t="s">
        <v>92</v>
      </c>
      <c r="G1459" s="12">
        <v>60</v>
      </c>
      <c r="H1459" s="12">
        <v>1053</v>
      </c>
      <c r="I1459" s="12">
        <v>67</v>
      </c>
      <c r="J1459" t="str">
        <f>VLOOKUP(B1459,Paramètres!$A$4:$C$11,3,FALSE)</f>
        <v>Petite couronne</v>
      </c>
      <c r="K1459" s="13">
        <f>IFERROR(H1459/G1459,"")</f>
        <v>17.55</v>
      </c>
      <c r="L1459" s="14">
        <f>IFERROR(I1459/G1459,"")</f>
        <v>1.1166666666666667</v>
      </c>
      <c r="M1459" s="11" t="str">
        <f>IF(K1459&gt;=Paramètres!$F$6,"Très forte",IF(K1459&gt;=Paramètres!$F$5,"Forte",IF(K1459&gt;=Paramètres!$F$4,"Modérée","Faible")))</f>
        <v>Modérée</v>
      </c>
    </row>
    <row r="1460" spans="1:13">
      <c r="A1460" t="s">
        <v>909</v>
      </c>
      <c r="B1460" s="11">
        <v>78</v>
      </c>
      <c r="C1460" t="s">
        <v>135</v>
      </c>
      <c r="D1460" t="s">
        <v>801</v>
      </c>
      <c r="E1460" t="s">
        <v>942</v>
      </c>
      <c r="F1460" t="s">
        <v>92</v>
      </c>
      <c r="G1460" s="12">
        <v>36</v>
      </c>
      <c r="H1460" s="12">
        <v>619</v>
      </c>
      <c r="I1460" s="12">
        <v>39</v>
      </c>
      <c r="J1460" t="str">
        <f>VLOOKUP(B1460,Paramètres!$A$4:$C$11,3,FALSE)</f>
        <v>Grande couronne</v>
      </c>
      <c r="K1460" s="13">
        <f>IFERROR(H1460/G1460,"")</f>
        <v>17.194444444444443</v>
      </c>
      <c r="L1460" s="14">
        <f>IFERROR(I1460/G1460,"")</f>
        <v>1.0833333333333333</v>
      </c>
      <c r="M1460" s="11" t="str">
        <f>IF(K1460&gt;=Paramètres!$F$6,"Très forte",IF(K1460&gt;=Paramètres!$F$5,"Forte",IF(K1460&gt;=Paramètres!$F$4,"Modérée","Faible")))</f>
        <v>Modérée</v>
      </c>
    </row>
    <row r="1461" spans="1:13">
      <c r="A1461" t="s">
        <v>909</v>
      </c>
      <c r="B1461" s="11">
        <v>78</v>
      </c>
      <c r="C1461" t="s">
        <v>135</v>
      </c>
      <c r="D1461" t="s">
        <v>801</v>
      </c>
      <c r="E1461" t="s">
        <v>829</v>
      </c>
      <c r="F1461" t="s">
        <v>92</v>
      </c>
      <c r="G1461" s="12">
        <v>96</v>
      </c>
      <c r="H1461" s="12">
        <v>1650</v>
      </c>
      <c r="I1461" s="12">
        <v>96</v>
      </c>
      <c r="J1461" t="str">
        <f>VLOOKUP(B1461,Paramètres!$A$4:$C$11,3,FALSE)</f>
        <v>Grande couronne</v>
      </c>
      <c r="K1461" s="13">
        <f>IFERROR(H1461/G1461,"")</f>
        <v>17.1875</v>
      </c>
      <c r="L1461" s="14">
        <f>IFERROR(I1461/G1461,"")</f>
        <v>1</v>
      </c>
      <c r="M1461" s="11" t="str">
        <f>IF(K1461&gt;=Paramètres!$F$6,"Très forte",IF(K1461&gt;=Paramètres!$F$5,"Forte",IF(K1461&gt;=Paramètres!$F$4,"Modérée","Faible")))</f>
        <v>Modérée</v>
      </c>
    </row>
    <row r="1462" spans="1:13">
      <c r="A1462" t="s">
        <v>1033</v>
      </c>
      <c r="B1462" s="11">
        <v>75</v>
      </c>
      <c r="C1462" t="s">
        <v>86</v>
      </c>
      <c r="D1462" t="s">
        <v>801</v>
      </c>
      <c r="E1462" t="s">
        <v>942</v>
      </c>
      <c r="F1462" t="s">
        <v>92</v>
      </c>
      <c r="G1462" s="12">
        <v>45</v>
      </c>
      <c r="H1462" s="12">
        <v>773</v>
      </c>
      <c r="I1462" s="12">
        <v>42</v>
      </c>
      <c r="J1462" t="str">
        <f>VLOOKUP(B1462,Paramètres!$A$4:$C$11,3,FALSE)</f>
        <v>Paris</v>
      </c>
      <c r="K1462" s="13">
        <f>IFERROR(H1462/G1462,"")</f>
        <v>17.177777777777777</v>
      </c>
      <c r="L1462" s="14">
        <f>IFERROR(I1462/G1462,"")</f>
        <v>0.93333333333333335</v>
      </c>
      <c r="M1462" s="11" t="str">
        <f>IF(K1462&gt;=Paramètres!$F$6,"Très forte",IF(K1462&gt;=Paramètres!$F$5,"Forte",IF(K1462&gt;=Paramètres!$F$4,"Modérée","Faible")))</f>
        <v>Modérée</v>
      </c>
    </row>
    <row r="1463" spans="1:13">
      <c r="A1463" t="s">
        <v>1009</v>
      </c>
      <c r="B1463" s="11">
        <v>77</v>
      </c>
      <c r="C1463" t="s">
        <v>132</v>
      </c>
      <c r="D1463" t="s">
        <v>801</v>
      </c>
      <c r="E1463" t="s">
        <v>806</v>
      </c>
      <c r="F1463" t="s">
        <v>92</v>
      </c>
      <c r="G1463" s="12">
        <v>40</v>
      </c>
      <c r="H1463" s="12">
        <v>686</v>
      </c>
      <c r="I1463" s="12">
        <v>31</v>
      </c>
      <c r="J1463" t="str">
        <f>VLOOKUP(B1463,Paramètres!$A$4:$C$11,3,FALSE)</f>
        <v>Grande couronne</v>
      </c>
      <c r="K1463" s="13">
        <f>IFERROR(H1463/G1463,"")</f>
        <v>17.149999999999999</v>
      </c>
      <c r="L1463" s="14">
        <f>IFERROR(I1463/G1463,"")</f>
        <v>0.77500000000000002</v>
      </c>
      <c r="M1463" s="11" t="str">
        <f>IF(K1463&gt;=Paramètres!$F$6,"Très forte",IF(K1463&gt;=Paramètres!$F$5,"Forte",IF(K1463&gt;=Paramètres!$F$4,"Modérée","Faible")))</f>
        <v>Modérée</v>
      </c>
    </row>
    <row r="1464" spans="1:13">
      <c r="A1464" t="s">
        <v>803</v>
      </c>
      <c r="B1464" s="11">
        <v>94</v>
      </c>
      <c r="C1464" t="s">
        <v>116</v>
      </c>
      <c r="D1464" t="s">
        <v>801</v>
      </c>
      <c r="E1464" t="s">
        <v>830</v>
      </c>
      <c r="F1464" t="s">
        <v>92</v>
      </c>
      <c r="G1464" s="12">
        <v>144</v>
      </c>
      <c r="H1464" s="12">
        <v>2446</v>
      </c>
      <c r="I1464" s="12">
        <v>127</v>
      </c>
      <c r="J1464" t="str">
        <f>VLOOKUP(B1464,Paramètres!$A$4:$C$11,3,FALSE)</f>
        <v>Petite couronne</v>
      </c>
      <c r="K1464" s="13">
        <f>IFERROR(H1464/G1464,"")</f>
        <v>16.986111111111111</v>
      </c>
      <c r="L1464" s="14">
        <f>IFERROR(I1464/G1464,"")</f>
        <v>0.88194444444444442</v>
      </c>
      <c r="M1464" s="11" t="str">
        <f>IF(K1464&gt;=Paramètres!$F$6,"Très forte",IF(K1464&gt;=Paramètres!$F$5,"Forte",IF(K1464&gt;=Paramètres!$F$4,"Modérée","Faible")))</f>
        <v>Modérée</v>
      </c>
    </row>
    <row r="1465" spans="1:13">
      <c r="A1465" t="s">
        <v>816</v>
      </c>
      <c r="B1465" s="11">
        <v>78</v>
      </c>
      <c r="C1465" t="s">
        <v>135</v>
      </c>
      <c r="D1465" t="s">
        <v>801</v>
      </c>
      <c r="E1465" t="s">
        <v>829</v>
      </c>
      <c r="F1465" t="s">
        <v>92</v>
      </c>
      <c r="G1465" s="12">
        <v>36</v>
      </c>
      <c r="H1465" s="12">
        <v>605</v>
      </c>
      <c r="I1465" s="12">
        <v>36</v>
      </c>
      <c r="J1465" t="str">
        <f>VLOOKUP(B1465,Paramètres!$A$4:$C$11,3,FALSE)</f>
        <v>Grande couronne</v>
      </c>
      <c r="K1465" s="13">
        <f>IFERROR(H1465/G1465,"")</f>
        <v>16.805555555555557</v>
      </c>
      <c r="L1465" s="14">
        <f>IFERROR(I1465/G1465,"")</f>
        <v>1</v>
      </c>
      <c r="M1465" s="11" t="str">
        <f>IF(K1465&gt;=Paramètres!$F$6,"Très forte",IF(K1465&gt;=Paramètres!$F$5,"Forte",IF(K1465&gt;=Paramètres!$F$4,"Modérée","Faible")))</f>
        <v>Modérée</v>
      </c>
    </row>
    <row r="1466" spans="1:13">
      <c r="A1466" t="s">
        <v>907</v>
      </c>
      <c r="B1466" s="11">
        <v>93</v>
      </c>
      <c r="C1466" t="s">
        <v>100</v>
      </c>
      <c r="D1466" t="s">
        <v>801</v>
      </c>
      <c r="E1466" t="s">
        <v>942</v>
      </c>
      <c r="F1466" t="s">
        <v>92</v>
      </c>
      <c r="G1466" s="12">
        <v>24</v>
      </c>
      <c r="H1466" s="12">
        <v>394</v>
      </c>
      <c r="I1466" s="12">
        <v>23</v>
      </c>
      <c r="J1466" t="str">
        <f>VLOOKUP(B1466,Paramètres!$A$4:$C$11,3,FALSE)</f>
        <v>Petite couronne</v>
      </c>
      <c r="K1466" s="13">
        <f>IFERROR(H1466/G1466,"")</f>
        <v>16.416666666666668</v>
      </c>
      <c r="L1466" s="14">
        <f>IFERROR(I1466/G1466,"")</f>
        <v>0.95833333333333337</v>
      </c>
      <c r="M1466" s="11" t="str">
        <f>IF(K1466&gt;=Paramètres!$F$6,"Très forte",IF(K1466&gt;=Paramètres!$F$5,"Forte",IF(K1466&gt;=Paramètres!$F$4,"Modérée","Faible")))</f>
        <v>Modérée</v>
      </c>
    </row>
    <row r="1467" spans="1:13">
      <c r="A1467" t="s">
        <v>925</v>
      </c>
      <c r="B1467" s="11">
        <v>91</v>
      </c>
      <c r="C1467" t="s">
        <v>105</v>
      </c>
      <c r="D1467" t="s">
        <v>801</v>
      </c>
      <c r="E1467" t="s">
        <v>834</v>
      </c>
      <c r="F1467" t="s">
        <v>92</v>
      </c>
      <c r="G1467" s="12">
        <v>35</v>
      </c>
      <c r="H1467" s="12">
        <v>573</v>
      </c>
      <c r="I1467" s="12">
        <v>34</v>
      </c>
      <c r="J1467" t="str">
        <f>VLOOKUP(B1467,Paramètres!$A$4:$C$11,3,FALSE)</f>
        <v>Grande couronne</v>
      </c>
      <c r="K1467" s="13">
        <f>IFERROR(H1467/G1467,"")</f>
        <v>16.37142857142857</v>
      </c>
      <c r="L1467" s="14">
        <f>IFERROR(I1467/G1467,"")</f>
        <v>0.97142857142857142</v>
      </c>
      <c r="M1467" s="11" t="str">
        <f>IF(K1467&gt;=Paramètres!$F$6,"Très forte",IF(K1467&gt;=Paramètres!$F$5,"Forte",IF(K1467&gt;=Paramètres!$F$4,"Modérée","Faible")))</f>
        <v>Modérée</v>
      </c>
    </row>
    <row r="1468" spans="1:13">
      <c r="A1468" t="s">
        <v>948</v>
      </c>
      <c r="B1468" s="11">
        <v>93</v>
      </c>
      <c r="C1468" t="s">
        <v>100</v>
      </c>
      <c r="D1468" t="s">
        <v>801</v>
      </c>
      <c r="E1468" t="s">
        <v>855</v>
      </c>
      <c r="F1468" t="s">
        <v>92</v>
      </c>
      <c r="G1468" s="12">
        <v>40</v>
      </c>
      <c r="H1468" s="12">
        <v>647</v>
      </c>
      <c r="I1468" s="12">
        <v>21</v>
      </c>
      <c r="J1468" t="str">
        <f>VLOOKUP(B1468,Paramètres!$A$4:$C$11,3,FALSE)</f>
        <v>Petite couronne</v>
      </c>
      <c r="K1468" s="13">
        <f>IFERROR(H1468/G1468,"")</f>
        <v>16.175000000000001</v>
      </c>
      <c r="L1468" s="14">
        <f>IFERROR(I1468/G1468,"")</f>
        <v>0.52500000000000002</v>
      </c>
      <c r="M1468" s="11" t="str">
        <f>IF(K1468&gt;=Paramètres!$F$6,"Très forte",IF(K1468&gt;=Paramètres!$F$5,"Forte",IF(K1468&gt;=Paramètres!$F$4,"Modérée","Faible")))</f>
        <v>Modérée</v>
      </c>
    </row>
    <row r="1469" spans="1:13">
      <c r="A1469" t="s">
        <v>816</v>
      </c>
      <c r="B1469" s="11">
        <v>78</v>
      </c>
      <c r="C1469" t="s">
        <v>135</v>
      </c>
      <c r="D1469" t="s">
        <v>801</v>
      </c>
      <c r="E1469" t="s">
        <v>830</v>
      </c>
      <c r="F1469" t="s">
        <v>92</v>
      </c>
      <c r="G1469" s="12">
        <v>40</v>
      </c>
      <c r="H1469" s="12">
        <v>646</v>
      </c>
      <c r="I1469" s="12">
        <v>40</v>
      </c>
      <c r="J1469" t="str">
        <f>VLOOKUP(B1469,Paramètres!$A$4:$C$11,3,FALSE)</f>
        <v>Grande couronne</v>
      </c>
      <c r="K1469" s="13">
        <f>IFERROR(H1469/G1469,"")</f>
        <v>16.149999999999999</v>
      </c>
      <c r="L1469" s="14">
        <f>IFERROR(I1469/G1469,"")</f>
        <v>1</v>
      </c>
      <c r="M1469" s="11" t="str">
        <f>IF(K1469&gt;=Paramètres!$F$6,"Très forte",IF(K1469&gt;=Paramètres!$F$5,"Forte",IF(K1469&gt;=Paramètres!$F$4,"Modérée","Faible")))</f>
        <v>Modérée</v>
      </c>
    </row>
    <row r="1470" spans="1:13">
      <c r="A1470" t="s">
        <v>809</v>
      </c>
      <c r="B1470" s="11">
        <v>92</v>
      </c>
      <c r="C1470" t="s">
        <v>94</v>
      </c>
      <c r="D1470" t="s">
        <v>801</v>
      </c>
      <c r="E1470" t="s">
        <v>855</v>
      </c>
      <c r="F1470" t="s">
        <v>92</v>
      </c>
      <c r="G1470" s="12">
        <v>42</v>
      </c>
      <c r="H1470" s="12">
        <v>646</v>
      </c>
      <c r="I1470" s="12">
        <v>41</v>
      </c>
      <c r="J1470" t="str">
        <f>VLOOKUP(B1470,Paramètres!$A$4:$C$11,3,FALSE)</f>
        <v>Petite couronne</v>
      </c>
      <c r="K1470" s="13">
        <f>IFERROR(H1470/G1470,"")</f>
        <v>15.380952380952381</v>
      </c>
      <c r="L1470" s="14">
        <f>IFERROR(I1470/G1470,"")</f>
        <v>0.97619047619047616</v>
      </c>
      <c r="M1470" s="11" t="str">
        <f>IF(K1470&gt;=Paramètres!$F$6,"Très forte",IF(K1470&gt;=Paramètres!$F$5,"Forte",IF(K1470&gt;=Paramètres!$F$4,"Modérée","Faible")))</f>
        <v>Modérée</v>
      </c>
    </row>
    <row r="1471" spans="1:13">
      <c r="A1471" t="s">
        <v>805</v>
      </c>
      <c r="B1471" s="11">
        <v>91</v>
      </c>
      <c r="C1471" t="s">
        <v>105</v>
      </c>
      <c r="D1471" t="s">
        <v>801</v>
      </c>
      <c r="E1471" t="s">
        <v>806</v>
      </c>
      <c r="F1471" t="s">
        <v>92</v>
      </c>
      <c r="G1471" s="12">
        <v>40</v>
      </c>
      <c r="H1471" s="12">
        <v>607</v>
      </c>
      <c r="I1471" s="12">
        <v>37</v>
      </c>
      <c r="J1471" t="str">
        <f>VLOOKUP(B1471,Paramètres!$A$4:$C$11,3,FALSE)</f>
        <v>Grande couronne</v>
      </c>
      <c r="K1471" s="13">
        <f>IFERROR(H1471/G1471,"")</f>
        <v>15.175000000000001</v>
      </c>
      <c r="L1471" s="14">
        <f>IFERROR(I1471/G1471,"")</f>
        <v>0.92500000000000004</v>
      </c>
      <c r="M1471" s="11" t="str">
        <f>IF(K1471&gt;=Paramètres!$F$6,"Très forte",IF(K1471&gt;=Paramètres!$F$5,"Forte",IF(K1471&gt;=Paramètres!$F$4,"Modérée","Faible")))</f>
        <v>Modérée</v>
      </c>
    </row>
    <row r="1472" spans="1:13">
      <c r="A1472" t="s">
        <v>1185</v>
      </c>
      <c r="B1472" s="11">
        <v>94</v>
      </c>
      <c r="C1472" t="s">
        <v>116</v>
      </c>
      <c r="D1472" t="s">
        <v>801</v>
      </c>
      <c r="E1472" t="s">
        <v>875</v>
      </c>
      <c r="F1472" t="s">
        <v>92</v>
      </c>
      <c r="G1472" s="12">
        <v>35</v>
      </c>
      <c r="H1472" s="12">
        <v>524</v>
      </c>
      <c r="I1472" s="12">
        <v>33</v>
      </c>
      <c r="J1472" t="str">
        <f>VLOOKUP(B1472,Paramètres!$A$4:$C$11,3,FALSE)</f>
        <v>Petite couronne</v>
      </c>
      <c r="K1472" s="13">
        <f>IFERROR(H1472/G1472,"")</f>
        <v>14.971428571428572</v>
      </c>
      <c r="L1472" s="14">
        <f>IFERROR(I1472/G1472,"")</f>
        <v>0.94285714285714284</v>
      </c>
      <c r="M1472" s="11" t="str">
        <f>IF(K1472&gt;=Paramètres!$F$6,"Très forte",IF(K1472&gt;=Paramètres!$F$5,"Forte",IF(K1472&gt;=Paramètres!$F$4,"Modérée","Faible")))</f>
        <v>Modérée</v>
      </c>
    </row>
    <row r="1473" spans="1:13">
      <c r="A1473" t="s">
        <v>978</v>
      </c>
      <c r="B1473" s="11">
        <v>95</v>
      </c>
      <c r="C1473" t="s">
        <v>90</v>
      </c>
      <c r="D1473" t="s">
        <v>801</v>
      </c>
      <c r="E1473" t="s">
        <v>855</v>
      </c>
      <c r="F1473" t="s">
        <v>92</v>
      </c>
      <c r="G1473" s="12">
        <v>45</v>
      </c>
      <c r="H1473" s="12">
        <v>669</v>
      </c>
      <c r="I1473" s="12">
        <v>35</v>
      </c>
      <c r="J1473" t="str">
        <f>VLOOKUP(B1473,Paramètres!$A$4:$C$11,3,FALSE)</f>
        <v>Grande couronne</v>
      </c>
      <c r="K1473" s="13">
        <f>IFERROR(H1473/G1473,"")</f>
        <v>14.866666666666667</v>
      </c>
      <c r="L1473" s="14">
        <f>IFERROR(I1473/G1473,"")</f>
        <v>0.77777777777777779</v>
      </c>
      <c r="M1473" s="11" t="str">
        <f>IF(K1473&gt;=Paramètres!$F$6,"Très forte",IF(K1473&gt;=Paramètres!$F$5,"Forte",IF(K1473&gt;=Paramètres!$F$4,"Modérée","Faible")))</f>
        <v>Modérée</v>
      </c>
    </row>
    <row r="1474" spans="1:13">
      <c r="A1474" t="s">
        <v>880</v>
      </c>
      <c r="B1474" s="11">
        <v>77</v>
      </c>
      <c r="C1474" t="s">
        <v>132</v>
      </c>
      <c r="D1474" t="s">
        <v>801</v>
      </c>
      <c r="E1474" t="s">
        <v>829</v>
      </c>
      <c r="F1474" t="s">
        <v>92</v>
      </c>
      <c r="G1474" s="12">
        <v>32</v>
      </c>
      <c r="H1474" s="12">
        <v>471</v>
      </c>
      <c r="I1474" s="12">
        <v>27</v>
      </c>
      <c r="J1474" t="str">
        <f>VLOOKUP(B1474,Paramètres!$A$4:$C$11,3,FALSE)</f>
        <v>Grande couronne</v>
      </c>
      <c r="K1474" s="13">
        <f>IFERROR(H1474/G1474,"")</f>
        <v>14.71875</v>
      </c>
      <c r="L1474" s="14">
        <f>IFERROR(I1474/G1474,"")</f>
        <v>0.84375</v>
      </c>
      <c r="M1474" s="11" t="str">
        <f>IF(K1474&gt;=Paramètres!$F$6,"Très forte",IF(K1474&gt;=Paramètres!$F$5,"Forte",IF(K1474&gt;=Paramètres!$F$4,"Modérée","Faible")))</f>
        <v>Modérée</v>
      </c>
    </row>
    <row r="1475" spans="1:13">
      <c r="A1475" t="s">
        <v>1108</v>
      </c>
      <c r="B1475" s="11">
        <v>77</v>
      </c>
      <c r="C1475" t="s">
        <v>132</v>
      </c>
      <c r="D1475" t="s">
        <v>801</v>
      </c>
      <c r="E1475" t="s">
        <v>806</v>
      </c>
      <c r="F1475" t="s">
        <v>92</v>
      </c>
      <c r="G1475" s="12">
        <v>35</v>
      </c>
      <c r="H1475" s="12">
        <v>512</v>
      </c>
      <c r="I1475" s="12">
        <v>23</v>
      </c>
      <c r="J1475" t="str">
        <f>VLOOKUP(B1475,Paramètres!$A$4:$C$11,3,FALSE)</f>
        <v>Grande couronne</v>
      </c>
      <c r="K1475" s="13">
        <f>IFERROR(H1475/G1475,"")</f>
        <v>14.628571428571428</v>
      </c>
      <c r="L1475" s="14">
        <f>IFERROR(I1475/G1475,"")</f>
        <v>0.65714285714285714</v>
      </c>
      <c r="M1475" s="11" t="str">
        <f>IF(K1475&gt;=Paramètres!$F$6,"Très forte",IF(K1475&gt;=Paramètres!$F$5,"Forte",IF(K1475&gt;=Paramètres!$F$4,"Modérée","Faible")))</f>
        <v>Modérée</v>
      </c>
    </row>
    <row r="1476" spans="1:13">
      <c r="A1476" t="s">
        <v>934</v>
      </c>
      <c r="B1476" s="11">
        <v>92</v>
      </c>
      <c r="C1476" t="s">
        <v>94</v>
      </c>
      <c r="D1476" t="s">
        <v>801</v>
      </c>
      <c r="E1476" t="s">
        <v>855</v>
      </c>
      <c r="F1476" t="s">
        <v>92</v>
      </c>
      <c r="G1476" s="12">
        <v>48</v>
      </c>
      <c r="H1476" s="12">
        <v>698</v>
      </c>
      <c r="I1476" s="12">
        <v>27</v>
      </c>
      <c r="J1476" t="str">
        <f>VLOOKUP(B1476,Paramètres!$A$4:$C$11,3,FALSE)</f>
        <v>Petite couronne</v>
      </c>
      <c r="K1476" s="13">
        <f>IFERROR(H1476/G1476,"")</f>
        <v>14.541666666666666</v>
      </c>
      <c r="L1476" s="14">
        <f>IFERROR(I1476/G1476,"")</f>
        <v>0.5625</v>
      </c>
      <c r="M1476" s="11" t="str">
        <f>IF(K1476&gt;=Paramètres!$F$6,"Très forte",IF(K1476&gt;=Paramètres!$F$5,"Forte",IF(K1476&gt;=Paramètres!$F$4,"Modérée","Faible")))</f>
        <v>Modérée</v>
      </c>
    </row>
    <row r="1477" spans="1:13">
      <c r="A1477" t="s">
        <v>815</v>
      </c>
      <c r="B1477" s="11">
        <v>91</v>
      </c>
      <c r="C1477" t="s">
        <v>105</v>
      </c>
      <c r="D1477" t="s">
        <v>801</v>
      </c>
      <c r="E1477" t="s">
        <v>808</v>
      </c>
      <c r="F1477" t="s">
        <v>92</v>
      </c>
      <c r="G1477" s="12">
        <v>35</v>
      </c>
      <c r="H1477" s="12">
        <v>505</v>
      </c>
      <c r="I1477" s="12">
        <v>30</v>
      </c>
      <c r="J1477" t="str">
        <f>VLOOKUP(B1477,Paramètres!$A$4:$C$11,3,FALSE)</f>
        <v>Grande couronne</v>
      </c>
      <c r="K1477" s="13">
        <f>IFERROR(H1477/G1477,"")</f>
        <v>14.428571428571429</v>
      </c>
      <c r="L1477" s="14">
        <f>IFERROR(I1477/G1477,"")</f>
        <v>0.8571428571428571</v>
      </c>
      <c r="M1477" s="11" t="str">
        <f>IF(K1477&gt;=Paramètres!$F$6,"Très forte",IF(K1477&gt;=Paramètres!$F$5,"Forte",IF(K1477&gt;=Paramètres!$F$4,"Modérée","Faible")))</f>
        <v>Modérée</v>
      </c>
    </row>
    <row r="1478" spans="1:13">
      <c r="A1478" t="s">
        <v>1182</v>
      </c>
      <c r="B1478" s="11">
        <v>92</v>
      </c>
      <c r="C1478" t="s">
        <v>94</v>
      </c>
      <c r="D1478" t="s">
        <v>801</v>
      </c>
      <c r="E1478" t="s">
        <v>942</v>
      </c>
      <c r="F1478" t="s">
        <v>92</v>
      </c>
      <c r="G1478" s="12">
        <v>35</v>
      </c>
      <c r="H1478" s="12">
        <v>489</v>
      </c>
      <c r="I1478" s="12">
        <v>35</v>
      </c>
      <c r="J1478" t="str">
        <f>VLOOKUP(B1478,Paramètres!$A$4:$C$11,3,FALSE)</f>
        <v>Petite couronne</v>
      </c>
      <c r="K1478" s="13">
        <f>IFERROR(H1478/G1478,"")</f>
        <v>13.971428571428572</v>
      </c>
      <c r="L1478" s="14">
        <f>IFERROR(I1478/G1478,"")</f>
        <v>1</v>
      </c>
      <c r="M1478" s="11" t="str">
        <f>IF(K1478&gt;=Paramètres!$F$6,"Très forte",IF(K1478&gt;=Paramètres!$F$5,"Forte",IF(K1478&gt;=Paramètres!$F$4,"Modérée","Faible")))</f>
        <v>Modérée</v>
      </c>
    </row>
    <row r="1479" spans="1:13">
      <c r="A1479" t="s">
        <v>794</v>
      </c>
      <c r="B1479" s="11">
        <v>75</v>
      </c>
      <c r="C1479" t="s">
        <v>86</v>
      </c>
      <c r="D1479" t="s">
        <v>801</v>
      </c>
      <c r="E1479" t="s">
        <v>1131</v>
      </c>
      <c r="F1479" t="s">
        <v>92</v>
      </c>
      <c r="G1479" s="12">
        <v>48</v>
      </c>
      <c r="H1479" s="12">
        <v>661</v>
      </c>
      <c r="I1479" s="12">
        <v>43</v>
      </c>
      <c r="J1479" t="str">
        <f>VLOOKUP(B1479,Paramètres!$A$4:$C$11,3,FALSE)</f>
        <v>Paris</v>
      </c>
      <c r="K1479" s="13">
        <f>IFERROR(H1479/G1479,"")</f>
        <v>13.770833333333334</v>
      </c>
      <c r="L1479" s="14">
        <f>IFERROR(I1479/G1479,"")</f>
        <v>0.89583333333333337</v>
      </c>
      <c r="M1479" s="11" t="str">
        <f>IF(K1479&gt;=Paramètres!$F$6,"Très forte",IF(K1479&gt;=Paramètres!$F$5,"Forte",IF(K1479&gt;=Paramètres!$F$4,"Modérée","Faible")))</f>
        <v>Modérée</v>
      </c>
    </row>
    <row r="1480" spans="1:13">
      <c r="A1480" t="s">
        <v>1073</v>
      </c>
      <c r="B1480" s="11">
        <v>92</v>
      </c>
      <c r="C1480" t="s">
        <v>94</v>
      </c>
      <c r="D1480" t="s">
        <v>801</v>
      </c>
      <c r="E1480" t="s">
        <v>855</v>
      </c>
      <c r="F1480" t="s">
        <v>92</v>
      </c>
      <c r="G1480" s="12">
        <v>48</v>
      </c>
      <c r="H1480" s="12">
        <v>661</v>
      </c>
      <c r="I1480" s="12">
        <v>37</v>
      </c>
      <c r="J1480" t="str">
        <f>VLOOKUP(B1480,Paramètres!$A$4:$C$11,3,FALSE)</f>
        <v>Petite couronne</v>
      </c>
      <c r="K1480" s="13">
        <f>IFERROR(H1480/G1480,"")</f>
        <v>13.770833333333334</v>
      </c>
      <c r="L1480" s="14">
        <f>IFERROR(I1480/G1480,"")</f>
        <v>0.77083333333333337</v>
      </c>
      <c r="M1480" s="11" t="str">
        <f>IF(K1480&gt;=Paramètres!$F$6,"Très forte",IF(K1480&gt;=Paramètres!$F$5,"Forte",IF(K1480&gt;=Paramètres!$F$4,"Modérée","Faible")))</f>
        <v>Modérée</v>
      </c>
    </row>
    <row r="1481" spans="1:13">
      <c r="A1481" t="s">
        <v>1108</v>
      </c>
      <c r="B1481" s="11">
        <v>77</v>
      </c>
      <c r="C1481" t="s">
        <v>132</v>
      </c>
      <c r="D1481" t="s">
        <v>801</v>
      </c>
      <c r="E1481" t="s">
        <v>834</v>
      </c>
      <c r="F1481" t="s">
        <v>92</v>
      </c>
      <c r="G1481" s="12">
        <v>35</v>
      </c>
      <c r="H1481" s="12">
        <v>476</v>
      </c>
      <c r="I1481" s="12">
        <v>35</v>
      </c>
      <c r="J1481" t="str">
        <f>VLOOKUP(B1481,Paramètres!$A$4:$C$11,3,FALSE)</f>
        <v>Grande couronne</v>
      </c>
      <c r="K1481" s="13">
        <f>IFERROR(H1481/G1481,"")</f>
        <v>13.6</v>
      </c>
      <c r="L1481" s="14">
        <f>IFERROR(I1481/G1481,"")</f>
        <v>1</v>
      </c>
      <c r="M1481" s="11" t="str">
        <f>IF(K1481&gt;=Paramètres!$F$6,"Très forte",IF(K1481&gt;=Paramètres!$F$5,"Forte",IF(K1481&gt;=Paramètres!$F$4,"Modérée","Faible")))</f>
        <v>Modérée</v>
      </c>
    </row>
    <row r="1482" spans="1:13">
      <c r="A1482" t="s">
        <v>874</v>
      </c>
      <c r="B1482" s="11">
        <v>75</v>
      </c>
      <c r="C1482" t="s">
        <v>86</v>
      </c>
      <c r="D1482" t="s">
        <v>801</v>
      </c>
      <c r="E1482" t="s">
        <v>875</v>
      </c>
      <c r="F1482" t="s">
        <v>92</v>
      </c>
      <c r="G1482" s="12">
        <v>36</v>
      </c>
      <c r="H1482" s="12">
        <v>476</v>
      </c>
      <c r="I1482" s="12">
        <v>37</v>
      </c>
      <c r="J1482" t="str">
        <f>VLOOKUP(B1482,Paramètres!$A$4:$C$11,3,FALSE)</f>
        <v>Paris</v>
      </c>
      <c r="K1482" s="13">
        <f>IFERROR(H1482/G1482,"")</f>
        <v>13.222222222222221</v>
      </c>
      <c r="L1482" s="14">
        <f>IFERROR(I1482/G1482,"")</f>
        <v>1.0277777777777777</v>
      </c>
      <c r="M1482" s="11" t="str">
        <f>IF(K1482&gt;=Paramètres!$F$6,"Très forte",IF(K1482&gt;=Paramètres!$F$5,"Forte",IF(K1482&gt;=Paramètres!$F$4,"Modérée","Faible")))</f>
        <v>Modérée</v>
      </c>
    </row>
    <row r="1483" spans="1:13">
      <c r="A1483" t="s">
        <v>1126</v>
      </c>
      <c r="B1483" s="11">
        <v>78</v>
      </c>
      <c r="C1483" t="s">
        <v>135</v>
      </c>
      <c r="D1483" t="s">
        <v>801</v>
      </c>
      <c r="E1483" t="s">
        <v>855</v>
      </c>
      <c r="F1483" t="s">
        <v>92</v>
      </c>
      <c r="G1483" s="12">
        <v>96</v>
      </c>
      <c r="H1483" s="12">
        <v>1261</v>
      </c>
      <c r="I1483" s="12">
        <v>84</v>
      </c>
      <c r="J1483" t="str">
        <f>VLOOKUP(B1483,Paramètres!$A$4:$C$11,3,FALSE)</f>
        <v>Grande couronne</v>
      </c>
      <c r="K1483" s="13">
        <f>IFERROR(H1483/G1483,"")</f>
        <v>13.135416666666666</v>
      </c>
      <c r="L1483" s="14">
        <f>IFERROR(I1483/G1483,"")</f>
        <v>0.875</v>
      </c>
      <c r="M1483" s="11" t="str">
        <f>IF(K1483&gt;=Paramètres!$F$6,"Très forte",IF(K1483&gt;=Paramètres!$F$5,"Forte",IF(K1483&gt;=Paramètres!$F$4,"Modérée","Faible")))</f>
        <v>Modérée</v>
      </c>
    </row>
    <row r="1484" spans="1:13">
      <c r="A1484" t="s">
        <v>816</v>
      </c>
      <c r="B1484" s="11">
        <v>78</v>
      </c>
      <c r="C1484" t="s">
        <v>135</v>
      </c>
      <c r="D1484" t="s">
        <v>801</v>
      </c>
      <c r="E1484" t="s">
        <v>817</v>
      </c>
      <c r="F1484" t="s">
        <v>92</v>
      </c>
      <c r="G1484" s="12">
        <v>78</v>
      </c>
      <c r="H1484" s="12">
        <v>963</v>
      </c>
      <c r="I1484" s="12">
        <v>78</v>
      </c>
      <c r="J1484" t="str">
        <f>VLOOKUP(B1484,Paramètres!$A$4:$C$11,3,FALSE)</f>
        <v>Grande couronne</v>
      </c>
      <c r="K1484" s="13">
        <f>IFERROR(H1484/G1484,"")</f>
        <v>12.346153846153847</v>
      </c>
      <c r="L1484" s="14">
        <f>IFERROR(I1484/G1484,"")</f>
        <v>1</v>
      </c>
      <c r="M1484" s="11" t="str">
        <f>IF(K1484&gt;=Paramètres!$F$6,"Très forte",IF(K1484&gt;=Paramètres!$F$5,"Forte",IF(K1484&gt;=Paramètres!$F$4,"Modérée","Faible")))</f>
        <v>Modérée</v>
      </c>
    </row>
    <row r="1485" spans="1:13">
      <c r="A1485" t="s">
        <v>1014</v>
      </c>
      <c r="B1485" s="11">
        <v>92</v>
      </c>
      <c r="C1485" t="s">
        <v>94</v>
      </c>
      <c r="D1485" t="s">
        <v>801</v>
      </c>
      <c r="E1485" t="s">
        <v>817</v>
      </c>
      <c r="F1485" t="s">
        <v>92</v>
      </c>
      <c r="G1485" s="12">
        <v>35</v>
      </c>
      <c r="H1485" s="12">
        <v>417</v>
      </c>
      <c r="I1485" s="12">
        <v>22</v>
      </c>
      <c r="J1485" t="str">
        <f>VLOOKUP(B1485,Paramètres!$A$4:$C$11,3,FALSE)</f>
        <v>Petite couronne</v>
      </c>
      <c r="K1485" s="13">
        <f>IFERROR(H1485/G1485,"")</f>
        <v>11.914285714285715</v>
      </c>
      <c r="L1485" s="14">
        <f>IFERROR(I1485/G1485,"")</f>
        <v>0.62857142857142856</v>
      </c>
      <c r="M1485" s="11" t="str">
        <f>IF(K1485&gt;=Paramètres!$F$6,"Très forte",IF(K1485&gt;=Paramètres!$F$5,"Forte",IF(K1485&gt;=Paramètres!$F$4,"Modérée","Faible")))</f>
        <v>Modérée</v>
      </c>
    </row>
    <row r="1486" spans="1:13">
      <c r="A1486" t="s">
        <v>914</v>
      </c>
      <c r="B1486" s="11">
        <v>91</v>
      </c>
      <c r="C1486" t="s">
        <v>105</v>
      </c>
      <c r="D1486" t="s">
        <v>801</v>
      </c>
      <c r="E1486" t="s">
        <v>942</v>
      </c>
      <c r="F1486" t="s">
        <v>92</v>
      </c>
      <c r="G1486" s="12">
        <v>36</v>
      </c>
      <c r="H1486" s="12">
        <v>428</v>
      </c>
      <c r="I1486" s="12">
        <v>39</v>
      </c>
      <c r="J1486" t="str">
        <f>VLOOKUP(B1486,Paramètres!$A$4:$C$11,3,FALSE)</f>
        <v>Grande couronne</v>
      </c>
      <c r="K1486" s="13">
        <f>IFERROR(H1486/G1486,"")</f>
        <v>11.888888888888889</v>
      </c>
      <c r="L1486" s="14">
        <f>IFERROR(I1486/G1486,"")</f>
        <v>1.0833333333333333</v>
      </c>
      <c r="M1486" s="11" t="str">
        <f>IF(K1486&gt;=Paramètres!$F$6,"Très forte",IF(K1486&gt;=Paramètres!$F$5,"Forte",IF(K1486&gt;=Paramètres!$F$4,"Modérée","Faible")))</f>
        <v>Modérée</v>
      </c>
    </row>
    <row r="1487" spans="1:13">
      <c r="A1487" t="s">
        <v>805</v>
      </c>
      <c r="B1487" s="11">
        <v>91</v>
      </c>
      <c r="C1487" t="s">
        <v>105</v>
      </c>
      <c r="D1487" t="s">
        <v>801</v>
      </c>
      <c r="E1487" t="s">
        <v>855</v>
      </c>
      <c r="F1487" t="s">
        <v>92</v>
      </c>
      <c r="G1487" s="12">
        <v>40</v>
      </c>
      <c r="H1487" s="12">
        <v>471</v>
      </c>
      <c r="I1487" s="12">
        <v>27</v>
      </c>
      <c r="J1487" t="str">
        <f>VLOOKUP(B1487,Paramètres!$A$4:$C$11,3,FALSE)</f>
        <v>Grande couronne</v>
      </c>
      <c r="K1487" s="13">
        <f>IFERROR(H1487/G1487,"")</f>
        <v>11.775</v>
      </c>
      <c r="L1487" s="14">
        <f>IFERROR(I1487/G1487,"")</f>
        <v>0.67500000000000004</v>
      </c>
      <c r="M1487" s="11" t="str">
        <f>IF(K1487&gt;=Paramètres!$F$6,"Très forte",IF(K1487&gt;=Paramètres!$F$5,"Forte",IF(K1487&gt;=Paramètres!$F$4,"Modérée","Faible")))</f>
        <v>Modérée</v>
      </c>
    </row>
    <row r="1488" spans="1:13">
      <c r="A1488" t="s">
        <v>1126</v>
      </c>
      <c r="B1488" s="11">
        <v>78</v>
      </c>
      <c r="C1488" t="s">
        <v>135</v>
      </c>
      <c r="D1488" t="s">
        <v>801</v>
      </c>
      <c r="E1488" t="s">
        <v>817</v>
      </c>
      <c r="F1488" t="s">
        <v>92</v>
      </c>
      <c r="G1488" s="12">
        <v>48</v>
      </c>
      <c r="H1488" s="12">
        <v>563</v>
      </c>
      <c r="I1488" s="12">
        <v>30</v>
      </c>
      <c r="J1488" t="str">
        <f>VLOOKUP(B1488,Paramètres!$A$4:$C$11,3,FALSE)</f>
        <v>Grande couronne</v>
      </c>
      <c r="K1488" s="13">
        <f>IFERROR(H1488/G1488,"")</f>
        <v>11.729166666666666</v>
      </c>
      <c r="L1488" s="14">
        <f>IFERROR(I1488/G1488,"")</f>
        <v>0.625</v>
      </c>
      <c r="M1488" s="11" t="str">
        <f>IF(K1488&gt;=Paramètres!$F$6,"Très forte",IF(K1488&gt;=Paramètres!$F$5,"Forte",IF(K1488&gt;=Paramètres!$F$4,"Modérée","Faible")))</f>
        <v>Modérée</v>
      </c>
    </row>
    <row r="1489" spans="1:13">
      <c r="A1489" t="s">
        <v>815</v>
      </c>
      <c r="B1489" s="11">
        <v>91</v>
      </c>
      <c r="C1489" t="s">
        <v>105</v>
      </c>
      <c r="D1489" t="s">
        <v>801</v>
      </c>
      <c r="E1489" t="s">
        <v>875</v>
      </c>
      <c r="F1489" t="s">
        <v>92</v>
      </c>
      <c r="G1489" s="12">
        <v>35</v>
      </c>
      <c r="H1489" s="12">
        <v>409</v>
      </c>
      <c r="I1489" s="12">
        <v>31</v>
      </c>
      <c r="J1489" t="str">
        <f>VLOOKUP(B1489,Paramètres!$A$4:$C$11,3,FALSE)</f>
        <v>Grande couronne</v>
      </c>
      <c r="K1489" s="13">
        <f>IFERROR(H1489/G1489,"")</f>
        <v>11.685714285714285</v>
      </c>
      <c r="L1489" s="14">
        <f>IFERROR(I1489/G1489,"")</f>
        <v>0.88571428571428568</v>
      </c>
      <c r="M1489" s="11" t="str">
        <f>IF(K1489&gt;=Paramètres!$F$6,"Très forte",IF(K1489&gt;=Paramètres!$F$5,"Forte",IF(K1489&gt;=Paramètres!$F$4,"Modérée","Faible")))</f>
        <v>Modérée</v>
      </c>
    </row>
    <row r="1490" spans="1:13">
      <c r="A1490" t="s">
        <v>841</v>
      </c>
      <c r="B1490" s="11">
        <v>75</v>
      </c>
      <c r="C1490" t="s">
        <v>86</v>
      </c>
      <c r="D1490" t="s">
        <v>801</v>
      </c>
      <c r="E1490" t="s">
        <v>842</v>
      </c>
      <c r="F1490" t="s">
        <v>92</v>
      </c>
      <c r="G1490" s="12">
        <v>30</v>
      </c>
      <c r="H1490" s="12">
        <v>340</v>
      </c>
      <c r="I1490" s="12">
        <v>36</v>
      </c>
      <c r="J1490" t="str">
        <f>VLOOKUP(B1490,Paramètres!$A$4:$C$11,3,FALSE)</f>
        <v>Paris</v>
      </c>
      <c r="K1490" s="13">
        <f>IFERROR(H1490/G1490,"")</f>
        <v>11.333333333333334</v>
      </c>
      <c r="L1490" s="14">
        <f>IFERROR(I1490/G1490,"")</f>
        <v>1.2</v>
      </c>
      <c r="M1490" s="11" t="str">
        <f>IF(K1490&gt;=Paramètres!$F$6,"Très forte",IF(K1490&gt;=Paramètres!$F$5,"Forte",IF(K1490&gt;=Paramètres!$F$4,"Modérée","Faible")))</f>
        <v>Modérée</v>
      </c>
    </row>
    <row r="1491" spans="1:13">
      <c r="A1491" t="s">
        <v>807</v>
      </c>
      <c r="B1491" s="11">
        <v>78</v>
      </c>
      <c r="C1491" t="s">
        <v>135</v>
      </c>
      <c r="D1491" t="s">
        <v>801</v>
      </c>
      <c r="E1491" t="s">
        <v>855</v>
      </c>
      <c r="F1491" t="s">
        <v>92</v>
      </c>
      <c r="G1491" s="12">
        <v>48</v>
      </c>
      <c r="H1491" s="12">
        <v>543</v>
      </c>
      <c r="I1491" s="12">
        <v>19</v>
      </c>
      <c r="J1491" t="str">
        <f>VLOOKUP(B1491,Paramètres!$A$4:$C$11,3,FALSE)</f>
        <v>Grande couronne</v>
      </c>
      <c r="K1491" s="13">
        <f>IFERROR(H1491/G1491,"")</f>
        <v>11.3125</v>
      </c>
      <c r="L1491" s="14">
        <f>IFERROR(I1491/G1491,"")</f>
        <v>0.39583333333333331</v>
      </c>
      <c r="M1491" s="11" t="str">
        <f>IF(K1491&gt;=Paramètres!$F$6,"Très forte",IF(K1491&gt;=Paramètres!$F$5,"Forte",IF(K1491&gt;=Paramètres!$F$4,"Modérée","Faible")))</f>
        <v>Modérée</v>
      </c>
    </row>
    <row r="1492" spans="1:13">
      <c r="A1492" t="s">
        <v>814</v>
      </c>
      <c r="B1492" s="11">
        <v>95</v>
      </c>
      <c r="C1492" t="s">
        <v>90</v>
      </c>
      <c r="D1492" t="s">
        <v>801</v>
      </c>
      <c r="E1492" t="s">
        <v>875</v>
      </c>
      <c r="F1492" t="s">
        <v>92</v>
      </c>
      <c r="G1492" s="12">
        <v>35</v>
      </c>
      <c r="H1492" s="12">
        <v>388</v>
      </c>
      <c r="I1492" s="12">
        <v>39</v>
      </c>
      <c r="J1492" t="str">
        <f>VLOOKUP(B1492,Paramètres!$A$4:$C$11,3,FALSE)</f>
        <v>Grande couronne</v>
      </c>
      <c r="K1492" s="13">
        <f>IFERROR(H1492/G1492,"")</f>
        <v>11.085714285714285</v>
      </c>
      <c r="L1492" s="14">
        <f>IFERROR(I1492/G1492,"")</f>
        <v>1.1142857142857143</v>
      </c>
      <c r="M1492" s="11" t="str">
        <f>IF(K1492&gt;=Paramètres!$F$6,"Très forte",IF(K1492&gt;=Paramètres!$F$5,"Forte",IF(K1492&gt;=Paramètres!$F$4,"Modérée","Faible")))</f>
        <v>Modérée</v>
      </c>
    </row>
    <row r="1493" spans="1:13">
      <c r="A1493" t="s">
        <v>973</v>
      </c>
      <c r="B1493" s="11">
        <v>94</v>
      </c>
      <c r="C1493" t="s">
        <v>116</v>
      </c>
      <c r="D1493" t="s">
        <v>801</v>
      </c>
      <c r="E1493" t="s">
        <v>806</v>
      </c>
      <c r="F1493" t="s">
        <v>92</v>
      </c>
      <c r="G1493" s="12">
        <v>40</v>
      </c>
      <c r="H1493" s="12">
        <v>424</v>
      </c>
      <c r="I1493" s="12">
        <v>32</v>
      </c>
      <c r="J1493" t="str">
        <f>VLOOKUP(B1493,Paramètres!$A$4:$C$11,3,FALSE)</f>
        <v>Petite couronne</v>
      </c>
      <c r="K1493" s="13">
        <f>IFERROR(H1493/G1493,"")</f>
        <v>10.6</v>
      </c>
      <c r="L1493" s="14">
        <f>IFERROR(I1493/G1493,"")</f>
        <v>0.8</v>
      </c>
      <c r="M1493" s="11" t="str">
        <f>IF(K1493&gt;=Paramètres!$F$6,"Très forte",IF(K1493&gt;=Paramètres!$F$5,"Forte",IF(K1493&gt;=Paramètres!$F$4,"Modérée","Faible")))</f>
        <v>Modérée</v>
      </c>
    </row>
    <row r="1494" spans="1:13">
      <c r="A1494" t="s">
        <v>1108</v>
      </c>
      <c r="B1494" s="11">
        <v>77</v>
      </c>
      <c r="C1494" t="s">
        <v>132</v>
      </c>
      <c r="D1494" t="s">
        <v>801</v>
      </c>
      <c r="E1494" t="s">
        <v>875</v>
      </c>
      <c r="F1494" t="s">
        <v>92</v>
      </c>
      <c r="G1494" s="12">
        <v>32</v>
      </c>
      <c r="H1494" s="12">
        <v>339</v>
      </c>
      <c r="I1494" s="12">
        <v>33</v>
      </c>
      <c r="J1494" t="str">
        <f>VLOOKUP(B1494,Paramètres!$A$4:$C$11,3,FALSE)</f>
        <v>Grande couronne</v>
      </c>
      <c r="K1494" s="13">
        <f>IFERROR(H1494/G1494,"")</f>
        <v>10.59375</v>
      </c>
      <c r="L1494" s="14">
        <f>IFERROR(I1494/G1494,"")</f>
        <v>1.03125</v>
      </c>
      <c r="M1494" s="11" t="str">
        <f>IF(K1494&gt;=Paramètres!$F$6,"Très forte",IF(K1494&gt;=Paramètres!$F$5,"Forte",IF(K1494&gt;=Paramètres!$F$4,"Modérée","Faible")))</f>
        <v>Modérée</v>
      </c>
    </row>
    <row r="1495" spans="1:13">
      <c r="A1495" t="s">
        <v>1042</v>
      </c>
      <c r="B1495" s="11">
        <v>75</v>
      </c>
      <c r="C1495" t="s">
        <v>86</v>
      </c>
      <c r="D1495" t="s">
        <v>801</v>
      </c>
      <c r="E1495" t="s">
        <v>942</v>
      </c>
      <c r="F1495" t="s">
        <v>92</v>
      </c>
      <c r="G1495" s="12">
        <v>36</v>
      </c>
      <c r="H1495" s="12">
        <v>374</v>
      </c>
      <c r="I1495" s="12">
        <v>28</v>
      </c>
      <c r="J1495" t="str">
        <f>VLOOKUP(B1495,Paramètres!$A$4:$C$11,3,FALSE)</f>
        <v>Paris</v>
      </c>
      <c r="K1495" s="13">
        <f>IFERROR(H1495/G1495,"")</f>
        <v>10.388888888888889</v>
      </c>
      <c r="L1495" s="14">
        <f>IFERROR(I1495/G1495,"")</f>
        <v>0.77777777777777779</v>
      </c>
      <c r="M1495" s="11" t="str">
        <f>IF(K1495&gt;=Paramètres!$F$6,"Très forte",IF(K1495&gt;=Paramètres!$F$5,"Forte",IF(K1495&gt;=Paramètres!$F$4,"Modérée","Faible")))</f>
        <v>Modérée</v>
      </c>
    </row>
    <row r="1496" spans="1:13">
      <c r="A1496" t="s">
        <v>1013</v>
      </c>
      <c r="B1496" s="11">
        <v>78</v>
      </c>
      <c r="C1496" t="s">
        <v>135</v>
      </c>
      <c r="D1496" t="s">
        <v>801</v>
      </c>
      <c r="E1496" t="s">
        <v>806</v>
      </c>
      <c r="F1496" t="s">
        <v>92</v>
      </c>
      <c r="G1496" s="12">
        <v>36</v>
      </c>
      <c r="H1496" s="12">
        <v>372</v>
      </c>
      <c r="I1496" s="12">
        <v>12</v>
      </c>
      <c r="J1496" t="str">
        <f>VLOOKUP(B1496,Paramètres!$A$4:$C$11,3,FALSE)</f>
        <v>Grande couronne</v>
      </c>
      <c r="K1496" s="13">
        <f>IFERROR(H1496/G1496,"")</f>
        <v>10.333333333333334</v>
      </c>
      <c r="L1496" s="14">
        <f>IFERROR(I1496/G1496,"")</f>
        <v>0.33333333333333331</v>
      </c>
      <c r="M1496" s="11" t="str">
        <f>IF(K1496&gt;=Paramètres!$F$6,"Très forte",IF(K1496&gt;=Paramètres!$F$5,"Forte",IF(K1496&gt;=Paramètres!$F$4,"Modérée","Faible")))</f>
        <v>Modérée</v>
      </c>
    </row>
    <row r="1497" spans="1:13">
      <c r="A1497" t="s">
        <v>803</v>
      </c>
      <c r="B1497" s="11">
        <v>94</v>
      </c>
      <c r="C1497" t="s">
        <v>116</v>
      </c>
      <c r="D1497" t="s">
        <v>801</v>
      </c>
      <c r="E1497" t="s">
        <v>855</v>
      </c>
      <c r="F1497" t="s">
        <v>92</v>
      </c>
      <c r="G1497" s="12">
        <v>48</v>
      </c>
      <c r="H1497" s="12">
        <v>493</v>
      </c>
      <c r="I1497" s="12">
        <v>31</v>
      </c>
      <c r="J1497" t="str">
        <f>VLOOKUP(B1497,Paramètres!$A$4:$C$11,3,FALSE)</f>
        <v>Petite couronne</v>
      </c>
      <c r="K1497" s="13">
        <f>IFERROR(H1497/G1497,"")</f>
        <v>10.270833333333334</v>
      </c>
      <c r="L1497" s="14">
        <f>IFERROR(I1497/G1497,"")</f>
        <v>0.64583333333333337</v>
      </c>
      <c r="M1497" s="11" t="str">
        <f>IF(K1497&gt;=Paramètres!$F$6,"Très forte",IF(K1497&gt;=Paramètres!$F$5,"Forte",IF(K1497&gt;=Paramètres!$F$4,"Modérée","Faible")))</f>
        <v>Modérée</v>
      </c>
    </row>
    <row r="1498" spans="1:13">
      <c r="A1498" t="s">
        <v>1074</v>
      </c>
      <c r="B1498" s="11">
        <v>92</v>
      </c>
      <c r="C1498" t="s">
        <v>94</v>
      </c>
      <c r="D1498" t="s">
        <v>801</v>
      </c>
      <c r="E1498" t="s">
        <v>855</v>
      </c>
      <c r="F1498" t="s">
        <v>92</v>
      </c>
      <c r="G1498" s="12">
        <v>48</v>
      </c>
      <c r="H1498" s="12">
        <v>489</v>
      </c>
      <c r="I1498" s="12">
        <v>30</v>
      </c>
      <c r="J1498" t="str">
        <f>VLOOKUP(B1498,Paramètres!$A$4:$C$11,3,FALSE)</f>
        <v>Petite couronne</v>
      </c>
      <c r="K1498" s="13">
        <f>IFERROR(H1498/G1498,"")</f>
        <v>10.1875</v>
      </c>
      <c r="L1498" s="14">
        <f>IFERROR(I1498/G1498,"")</f>
        <v>0.625</v>
      </c>
      <c r="M1498" s="11" t="str">
        <f>IF(K1498&gt;=Paramètres!$F$6,"Très forte",IF(K1498&gt;=Paramètres!$F$5,"Forte",IF(K1498&gt;=Paramètres!$F$4,"Modérée","Faible")))</f>
        <v>Modérée</v>
      </c>
    </row>
    <row r="1499" spans="1:13">
      <c r="A1499" t="s">
        <v>1217</v>
      </c>
      <c r="B1499" s="11">
        <v>78</v>
      </c>
      <c r="C1499" t="s">
        <v>135</v>
      </c>
      <c r="D1499" t="s">
        <v>801</v>
      </c>
      <c r="E1499" t="s">
        <v>855</v>
      </c>
      <c r="F1499" t="s">
        <v>92</v>
      </c>
      <c r="G1499" s="12">
        <v>74</v>
      </c>
      <c r="H1499" s="12">
        <v>741</v>
      </c>
      <c r="I1499" s="12">
        <v>76</v>
      </c>
      <c r="J1499" t="str">
        <f>VLOOKUP(B1499,Paramètres!$A$4:$C$11,3,FALSE)</f>
        <v>Grande couronne</v>
      </c>
      <c r="K1499" s="13">
        <f>IFERROR(H1499/G1499,"")</f>
        <v>10.013513513513514</v>
      </c>
      <c r="L1499" s="14">
        <f>IFERROR(I1499/G1499,"")</f>
        <v>1.027027027027027</v>
      </c>
      <c r="M1499" s="11" t="str">
        <f>IF(K1499&gt;=Paramètres!$F$6,"Très forte",IF(K1499&gt;=Paramètres!$F$5,"Forte",IF(K1499&gt;=Paramètres!$F$4,"Modérée","Faible")))</f>
        <v>Modérée</v>
      </c>
    </row>
    <row r="1500" spans="1:13">
      <c r="A1500" t="s">
        <v>1039</v>
      </c>
      <c r="B1500" s="11">
        <v>75</v>
      </c>
      <c r="C1500" t="s">
        <v>86</v>
      </c>
      <c r="D1500" t="s">
        <v>801</v>
      </c>
      <c r="E1500" t="s">
        <v>855</v>
      </c>
      <c r="F1500" t="s">
        <v>92</v>
      </c>
      <c r="G1500" s="12">
        <v>96</v>
      </c>
      <c r="H1500" s="12">
        <v>960</v>
      </c>
      <c r="I1500" s="12">
        <v>87</v>
      </c>
      <c r="J1500" t="str">
        <f>VLOOKUP(B1500,Paramètres!$A$4:$C$11,3,FALSE)</f>
        <v>Paris</v>
      </c>
      <c r="K1500" s="13">
        <f>IFERROR(H1500/G1500,"")</f>
        <v>10</v>
      </c>
      <c r="L1500" s="14">
        <f>IFERROR(I1500/G1500,"")</f>
        <v>0.90625</v>
      </c>
      <c r="M1500" s="11" t="str">
        <f>IF(K1500&gt;=Paramètres!$F$6,"Très forte",IF(K1500&gt;=Paramètres!$F$5,"Forte",IF(K1500&gt;=Paramètres!$F$4,"Modérée","Faible")))</f>
        <v>Modérée</v>
      </c>
    </row>
    <row r="1501" spans="1:13">
      <c r="A1501" t="s">
        <v>1007</v>
      </c>
      <c r="B1501" s="11">
        <v>77</v>
      </c>
      <c r="C1501" t="s">
        <v>132</v>
      </c>
      <c r="D1501" t="s">
        <v>801</v>
      </c>
      <c r="E1501" t="s">
        <v>808</v>
      </c>
      <c r="F1501" t="s">
        <v>92</v>
      </c>
      <c r="G1501" s="12">
        <v>24</v>
      </c>
      <c r="H1501" s="12">
        <v>236</v>
      </c>
      <c r="I1501" s="12">
        <v>20</v>
      </c>
      <c r="J1501" t="str">
        <f>VLOOKUP(B1501,Paramètres!$A$4:$C$11,3,FALSE)</f>
        <v>Grande couronne</v>
      </c>
      <c r="K1501" s="13">
        <f>IFERROR(H1501/G1501,"")</f>
        <v>9.8333333333333339</v>
      </c>
      <c r="L1501" s="14">
        <f>IFERROR(I1501/G1501,"")</f>
        <v>0.83333333333333337</v>
      </c>
      <c r="M1501" s="11" t="str">
        <f>IF(K1501&gt;=Paramètres!$F$6,"Très forte",IF(K1501&gt;=Paramètres!$F$5,"Forte",IF(K1501&gt;=Paramètres!$F$4,"Modérée","Faible")))</f>
        <v>Faible</v>
      </c>
    </row>
    <row r="1502" spans="1:13">
      <c r="A1502" t="s">
        <v>949</v>
      </c>
      <c r="B1502" s="11">
        <v>93</v>
      </c>
      <c r="C1502" t="s">
        <v>100</v>
      </c>
      <c r="D1502" t="s">
        <v>801</v>
      </c>
      <c r="E1502" t="s">
        <v>817</v>
      </c>
      <c r="F1502" t="s">
        <v>92</v>
      </c>
      <c r="G1502" s="12">
        <v>35</v>
      </c>
      <c r="H1502" s="12">
        <v>343</v>
      </c>
      <c r="I1502" s="12">
        <v>20</v>
      </c>
      <c r="J1502" t="str">
        <f>VLOOKUP(B1502,Paramètres!$A$4:$C$11,3,FALSE)</f>
        <v>Petite couronne</v>
      </c>
      <c r="K1502" s="13">
        <f>IFERROR(H1502/G1502,"")</f>
        <v>9.8000000000000007</v>
      </c>
      <c r="L1502" s="14">
        <f>IFERROR(I1502/G1502,"")</f>
        <v>0.5714285714285714</v>
      </c>
      <c r="M1502" s="11" t="str">
        <f>IF(K1502&gt;=Paramètres!$F$6,"Très forte",IF(K1502&gt;=Paramètres!$F$5,"Forte",IF(K1502&gt;=Paramètres!$F$4,"Modérée","Faible")))</f>
        <v>Faible</v>
      </c>
    </row>
    <row r="1503" spans="1:13">
      <c r="A1503" t="s">
        <v>1016</v>
      </c>
      <c r="B1503" s="11">
        <v>93</v>
      </c>
      <c r="C1503" t="s">
        <v>100</v>
      </c>
      <c r="D1503" t="s">
        <v>801</v>
      </c>
      <c r="E1503" t="s">
        <v>806</v>
      </c>
      <c r="F1503" t="s">
        <v>92</v>
      </c>
      <c r="G1503" s="12">
        <v>24</v>
      </c>
      <c r="H1503" s="12">
        <v>235</v>
      </c>
      <c r="I1503" s="12">
        <v>11</v>
      </c>
      <c r="J1503" t="str">
        <f>VLOOKUP(B1503,Paramètres!$A$4:$C$11,3,FALSE)</f>
        <v>Petite couronne</v>
      </c>
      <c r="K1503" s="13">
        <f>IFERROR(H1503/G1503,"")</f>
        <v>9.7916666666666661</v>
      </c>
      <c r="L1503" s="14">
        <f>IFERROR(I1503/G1503,"")</f>
        <v>0.45833333333333331</v>
      </c>
      <c r="M1503" s="11" t="str">
        <f>IF(K1503&gt;=Paramètres!$F$6,"Très forte",IF(K1503&gt;=Paramètres!$F$5,"Forte",IF(K1503&gt;=Paramètres!$F$4,"Modérée","Faible")))</f>
        <v>Faible</v>
      </c>
    </row>
    <row r="1504" spans="1:13">
      <c r="A1504" t="s">
        <v>949</v>
      </c>
      <c r="B1504" s="11">
        <v>93</v>
      </c>
      <c r="C1504" t="s">
        <v>100</v>
      </c>
      <c r="D1504" t="s">
        <v>801</v>
      </c>
      <c r="E1504" t="s">
        <v>855</v>
      </c>
      <c r="F1504" t="s">
        <v>92</v>
      </c>
      <c r="G1504" s="12">
        <v>35</v>
      </c>
      <c r="H1504" s="12">
        <v>339</v>
      </c>
      <c r="I1504" s="12">
        <v>28</v>
      </c>
      <c r="J1504" t="str">
        <f>VLOOKUP(B1504,Paramètres!$A$4:$C$11,3,FALSE)</f>
        <v>Petite couronne</v>
      </c>
      <c r="K1504" s="13">
        <f>IFERROR(H1504/G1504,"")</f>
        <v>9.6857142857142851</v>
      </c>
      <c r="L1504" s="14">
        <f>IFERROR(I1504/G1504,"")</f>
        <v>0.8</v>
      </c>
      <c r="M1504" s="11" t="str">
        <f>IF(K1504&gt;=Paramètres!$F$6,"Très forte",IF(K1504&gt;=Paramètres!$F$5,"Forte",IF(K1504&gt;=Paramètres!$F$4,"Modérée","Faible")))</f>
        <v>Faible</v>
      </c>
    </row>
    <row r="1505" spans="1:13">
      <c r="A1505" t="s">
        <v>1013</v>
      </c>
      <c r="B1505" s="11">
        <v>78</v>
      </c>
      <c r="C1505" t="s">
        <v>135</v>
      </c>
      <c r="D1505" t="s">
        <v>801</v>
      </c>
      <c r="E1505" t="s">
        <v>855</v>
      </c>
      <c r="F1505" t="s">
        <v>92</v>
      </c>
      <c r="G1505" s="12">
        <v>36</v>
      </c>
      <c r="H1505" s="12">
        <v>348</v>
      </c>
      <c r="I1505" s="12">
        <v>23</v>
      </c>
      <c r="J1505" t="str">
        <f>VLOOKUP(B1505,Paramètres!$A$4:$C$11,3,FALSE)</f>
        <v>Grande couronne</v>
      </c>
      <c r="K1505" s="13">
        <f>IFERROR(H1505/G1505,"")</f>
        <v>9.6666666666666661</v>
      </c>
      <c r="L1505" s="14">
        <f>IFERROR(I1505/G1505,"")</f>
        <v>0.63888888888888884</v>
      </c>
      <c r="M1505" s="11" t="str">
        <f>IF(K1505&gt;=Paramètres!$F$6,"Très forte",IF(K1505&gt;=Paramètres!$F$5,"Forte",IF(K1505&gt;=Paramètres!$F$4,"Modérée","Faible")))</f>
        <v>Faible</v>
      </c>
    </row>
    <row r="1506" spans="1:13">
      <c r="A1506" t="s">
        <v>881</v>
      </c>
      <c r="B1506" s="11">
        <v>77</v>
      </c>
      <c r="C1506" t="s">
        <v>132</v>
      </c>
      <c r="D1506" t="s">
        <v>801</v>
      </c>
      <c r="E1506" t="s">
        <v>942</v>
      </c>
      <c r="F1506" t="s">
        <v>92</v>
      </c>
      <c r="G1506" s="12">
        <v>24</v>
      </c>
      <c r="H1506" s="12">
        <v>231</v>
      </c>
      <c r="I1506" s="12">
        <v>22</v>
      </c>
      <c r="J1506" t="str">
        <f>VLOOKUP(B1506,Paramètres!$A$4:$C$11,3,FALSE)</f>
        <v>Grande couronne</v>
      </c>
      <c r="K1506" s="13">
        <f>IFERROR(H1506/G1506,"")</f>
        <v>9.625</v>
      </c>
      <c r="L1506" s="14">
        <f>IFERROR(I1506/G1506,"")</f>
        <v>0.91666666666666663</v>
      </c>
      <c r="M1506" s="11" t="str">
        <f>IF(K1506&gt;=Paramètres!$F$6,"Très forte",IF(K1506&gt;=Paramètres!$F$5,"Forte",IF(K1506&gt;=Paramètres!$F$4,"Modérée","Faible")))</f>
        <v>Faible</v>
      </c>
    </row>
    <row r="1507" spans="1:13">
      <c r="A1507" t="s">
        <v>1117</v>
      </c>
      <c r="B1507" s="11">
        <v>95</v>
      </c>
      <c r="C1507" t="s">
        <v>90</v>
      </c>
      <c r="D1507" t="s">
        <v>801</v>
      </c>
      <c r="E1507" t="s">
        <v>942</v>
      </c>
      <c r="F1507" t="s">
        <v>92</v>
      </c>
      <c r="G1507" s="12">
        <v>36</v>
      </c>
      <c r="H1507" s="12">
        <v>330</v>
      </c>
      <c r="I1507" s="12">
        <v>19</v>
      </c>
      <c r="J1507" t="str">
        <f>VLOOKUP(B1507,Paramètres!$A$4:$C$11,3,FALSE)</f>
        <v>Grande couronne</v>
      </c>
      <c r="K1507" s="13">
        <f>IFERROR(H1507/G1507,"")</f>
        <v>9.1666666666666661</v>
      </c>
      <c r="L1507" s="14">
        <f>IFERROR(I1507/G1507,"")</f>
        <v>0.52777777777777779</v>
      </c>
      <c r="M1507" s="11" t="str">
        <f>IF(K1507&gt;=Paramètres!$F$6,"Très forte",IF(K1507&gt;=Paramètres!$F$5,"Forte",IF(K1507&gt;=Paramètres!$F$4,"Modérée","Faible")))</f>
        <v>Faible</v>
      </c>
    </row>
    <row r="1508" spans="1:13">
      <c r="A1508" t="s">
        <v>1008</v>
      </c>
      <c r="B1508" s="11">
        <v>77</v>
      </c>
      <c r="C1508" t="s">
        <v>132</v>
      </c>
      <c r="D1508" t="s">
        <v>801</v>
      </c>
      <c r="E1508" t="s">
        <v>817</v>
      </c>
      <c r="F1508" t="s">
        <v>92</v>
      </c>
      <c r="G1508" s="12">
        <v>35</v>
      </c>
      <c r="H1508" s="12">
        <v>295</v>
      </c>
      <c r="I1508" s="12">
        <v>13</v>
      </c>
      <c r="J1508" t="str">
        <f>VLOOKUP(B1508,Paramètres!$A$4:$C$11,3,FALSE)</f>
        <v>Grande couronne</v>
      </c>
      <c r="K1508" s="13">
        <f>IFERROR(H1508/G1508,"")</f>
        <v>8.4285714285714288</v>
      </c>
      <c r="L1508" s="14">
        <f>IFERROR(I1508/G1508,"")</f>
        <v>0.37142857142857144</v>
      </c>
      <c r="M1508" s="11" t="str">
        <f>IF(K1508&gt;=Paramètres!$F$6,"Très forte",IF(K1508&gt;=Paramètres!$F$5,"Forte",IF(K1508&gt;=Paramètres!$F$4,"Modérée","Faible")))</f>
        <v>Faible</v>
      </c>
    </row>
    <row r="1509" spans="1:13">
      <c r="A1509" t="s">
        <v>1092</v>
      </c>
      <c r="B1509" s="11">
        <v>94</v>
      </c>
      <c r="C1509" t="s">
        <v>116</v>
      </c>
      <c r="D1509" t="s">
        <v>801</v>
      </c>
      <c r="E1509" t="s">
        <v>1093</v>
      </c>
      <c r="F1509" t="s">
        <v>92</v>
      </c>
      <c r="G1509" s="12">
        <v>24</v>
      </c>
      <c r="H1509" s="12">
        <v>189</v>
      </c>
      <c r="I1509" s="12">
        <v>24</v>
      </c>
      <c r="J1509" t="str">
        <f>VLOOKUP(B1509,Paramètres!$A$4:$C$11,3,FALSE)</f>
        <v>Petite couronne</v>
      </c>
      <c r="K1509" s="13">
        <f>IFERROR(H1509/G1509,"")</f>
        <v>7.875</v>
      </c>
      <c r="L1509" s="14">
        <f>IFERROR(I1509/G1509,"")</f>
        <v>1</v>
      </c>
      <c r="M1509" s="11" t="str">
        <f>IF(K1509&gt;=Paramètres!$F$6,"Très forte",IF(K1509&gt;=Paramètres!$F$5,"Forte",IF(K1509&gt;=Paramètres!$F$4,"Modérée","Faible")))</f>
        <v>Faible</v>
      </c>
    </row>
    <row r="1510" spans="1:13">
      <c r="A1510" t="s">
        <v>1233</v>
      </c>
      <c r="B1510" s="11">
        <v>77</v>
      </c>
      <c r="C1510" t="s">
        <v>132</v>
      </c>
      <c r="D1510" t="s">
        <v>801</v>
      </c>
      <c r="E1510" t="s">
        <v>855</v>
      </c>
      <c r="F1510" t="s">
        <v>92</v>
      </c>
      <c r="G1510" s="12">
        <v>26</v>
      </c>
      <c r="H1510" s="12">
        <v>182</v>
      </c>
      <c r="I1510" s="12">
        <v>13</v>
      </c>
      <c r="J1510" t="str">
        <f>VLOOKUP(B1510,Paramètres!$A$4:$C$11,3,FALSE)</f>
        <v>Grande couronne</v>
      </c>
      <c r="K1510" s="13">
        <f>IFERROR(H1510/G1510,"")</f>
        <v>7</v>
      </c>
      <c r="L1510" s="14">
        <f>IFERROR(I1510/G1510,"")</f>
        <v>0.5</v>
      </c>
      <c r="M1510" s="11" t="str">
        <f>IF(K1510&gt;=Paramètres!$F$6,"Très forte",IF(K1510&gt;=Paramètres!$F$5,"Forte",IF(K1510&gt;=Paramètres!$F$4,"Modérée","Faible")))</f>
        <v>Faible</v>
      </c>
    </row>
    <row r="1511" spans="1:13">
      <c r="A1511" t="s">
        <v>890</v>
      </c>
      <c r="B1511" s="11">
        <v>77</v>
      </c>
      <c r="C1511" t="s">
        <v>132</v>
      </c>
      <c r="D1511" t="s">
        <v>801</v>
      </c>
      <c r="E1511" t="s">
        <v>855</v>
      </c>
      <c r="F1511" t="s">
        <v>92</v>
      </c>
      <c r="G1511" s="12">
        <v>24</v>
      </c>
      <c r="H1511" s="12">
        <v>160</v>
      </c>
      <c r="I1511" s="12">
        <v>17</v>
      </c>
      <c r="J1511" t="str">
        <f>VLOOKUP(B1511,Paramètres!$A$4:$C$11,3,FALSE)</f>
        <v>Grande couronne</v>
      </c>
      <c r="K1511" s="13">
        <f>IFERROR(H1511/G1511,"")</f>
        <v>6.666666666666667</v>
      </c>
      <c r="L1511" s="14">
        <f>IFERROR(I1511/G1511,"")</f>
        <v>0.70833333333333337</v>
      </c>
      <c r="M1511" s="11" t="str">
        <f>IF(K1511&gt;=Paramètres!$F$6,"Très forte",IF(K1511&gt;=Paramètres!$F$5,"Forte",IF(K1511&gt;=Paramètres!$F$4,"Modérée","Faible")))</f>
        <v>Faible</v>
      </c>
    </row>
    <row r="1512" spans="1:13">
      <c r="A1512" t="s">
        <v>951</v>
      </c>
      <c r="B1512" s="11">
        <v>93</v>
      </c>
      <c r="C1512" t="s">
        <v>100</v>
      </c>
      <c r="D1512" t="s">
        <v>801</v>
      </c>
      <c r="E1512" t="s">
        <v>855</v>
      </c>
      <c r="F1512" t="s">
        <v>92</v>
      </c>
      <c r="G1512" s="12">
        <v>20</v>
      </c>
      <c r="H1512" s="12">
        <v>112</v>
      </c>
      <c r="I1512" s="12">
        <v>20</v>
      </c>
      <c r="J1512" t="str">
        <f>VLOOKUP(B1512,Paramètres!$A$4:$C$11,3,FALSE)</f>
        <v>Petite couronne</v>
      </c>
      <c r="K1512" s="13">
        <f>IFERROR(H1512/G1512,"")</f>
        <v>5.6</v>
      </c>
      <c r="L1512" s="14">
        <f>IFERROR(I1512/G1512,"")</f>
        <v>1</v>
      </c>
      <c r="M1512" s="11" t="str">
        <f>IF(K1512&gt;=Paramètres!$F$6,"Très forte",IF(K1512&gt;=Paramètres!$F$5,"Forte",IF(K1512&gt;=Paramètres!$F$4,"Modérée","Faible")))</f>
        <v>Faible</v>
      </c>
    </row>
    <row r="1513" spans="1:13">
      <c r="A1513" t="s">
        <v>1029</v>
      </c>
      <c r="B1513" s="11">
        <v>75</v>
      </c>
      <c r="C1513" t="s">
        <v>86</v>
      </c>
      <c r="D1513" t="s">
        <v>801</v>
      </c>
      <c r="E1513" t="s">
        <v>1177</v>
      </c>
      <c r="F1513" t="s">
        <v>92</v>
      </c>
      <c r="G1513" s="12">
        <v>30</v>
      </c>
      <c r="H1513" s="12">
        <v>162</v>
      </c>
      <c r="I1513" s="12">
        <v>31</v>
      </c>
      <c r="J1513" t="str">
        <f>VLOOKUP(B1513,Paramètres!$A$4:$C$11,3,FALSE)</f>
        <v>Paris</v>
      </c>
      <c r="K1513" s="13">
        <f>IFERROR(H1513/G1513,"")</f>
        <v>5.4</v>
      </c>
      <c r="L1513" s="14">
        <f>IFERROR(I1513/G1513,"")</f>
        <v>1.0333333333333334</v>
      </c>
      <c r="M1513" s="11" t="str">
        <f>IF(K1513&gt;=Paramètres!$F$6,"Très forte",IF(K1513&gt;=Paramètres!$F$5,"Forte",IF(K1513&gt;=Paramètres!$F$4,"Modérée","Faible")))</f>
        <v>Faible</v>
      </c>
    </row>
    <row r="1514" spans="1:13">
      <c r="A1514" t="s">
        <v>828</v>
      </c>
      <c r="B1514" s="11">
        <v>75</v>
      </c>
      <c r="C1514" t="s">
        <v>86</v>
      </c>
      <c r="D1514" t="s">
        <v>801</v>
      </c>
      <c r="E1514" t="s">
        <v>1059</v>
      </c>
      <c r="F1514" t="s">
        <v>92</v>
      </c>
      <c r="G1514" s="12">
        <v>30</v>
      </c>
      <c r="H1514" s="12">
        <v>135</v>
      </c>
      <c r="I1514" s="12">
        <v>26</v>
      </c>
      <c r="J1514" t="str">
        <f>VLOOKUP(B1514,Paramètres!$A$4:$C$11,3,FALSE)</f>
        <v>Paris</v>
      </c>
      <c r="K1514" s="13">
        <f>IFERROR(H1514/G1514,"")</f>
        <v>4.5</v>
      </c>
      <c r="L1514" s="14">
        <f>IFERROR(I1514/G1514,"")</f>
        <v>0.8666666666666667</v>
      </c>
      <c r="M1514" s="11" t="str">
        <f>IF(K1514&gt;=Paramètres!$F$6,"Très forte",IF(K1514&gt;=Paramètres!$F$5,"Forte",IF(K1514&gt;=Paramètres!$F$4,"Modérée","Faible")))</f>
        <v>Faible</v>
      </c>
    </row>
    <row r="1515" spans="1:13">
      <c r="A1515" t="s">
        <v>1431</v>
      </c>
      <c r="B1515" s="11">
        <v>92</v>
      </c>
      <c r="C1515" t="s">
        <v>94</v>
      </c>
      <c r="D1515" t="s">
        <v>1248</v>
      </c>
      <c r="E1515" t="s">
        <v>1249</v>
      </c>
      <c r="F1515" t="s">
        <v>92</v>
      </c>
      <c r="G1515" s="12">
        <v>10</v>
      </c>
      <c r="H1515" s="12">
        <v>3093</v>
      </c>
      <c r="I1515" s="12">
        <v>5</v>
      </c>
      <c r="J1515" t="str">
        <f>VLOOKUP(B1515,Paramètres!$A$4:$C$11,3,FALSE)</f>
        <v>Petite couronne</v>
      </c>
      <c r="K1515" s="13">
        <f>IFERROR(H1515/G1515,"")</f>
        <v>309.3</v>
      </c>
      <c r="L1515" s="14">
        <f>IFERROR(I1515/G1515,"")</f>
        <v>0.5</v>
      </c>
      <c r="M1515" s="11" t="str">
        <f>IF(K1515&gt;=Paramètres!$F$6,"Très forte",IF(K1515&gt;=Paramètres!$F$5,"Forte",IF(K1515&gt;=Paramètres!$F$4,"Modérée","Faible")))</f>
        <v>Très forte</v>
      </c>
    </row>
    <row r="1516" spans="1:13">
      <c r="A1516" t="s">
        <v>1480</v>
      </c>
      <c r="B1516" s="11">
        <v>92</v>
      </c>
      <c r="C1516" t="s">
        <v>94</v>
      </c>
      <c r="D1516" t="s">
        <v>1248</v>
      </c>
      <c r="E1516" t="s">
        <v>1249</v>
      </c>
      <c r="F1516" t="s">
        <v>92</v>
      </c>
      <c r="G1516" s="12">
        <v>6</v>
      </c>
      <c r="H1516" s="12">
        <v>1215</v>
      </c>
      <c r="I1516" s="12">
        <v>1</v>
      </c>
      <c r="J1516" t="str">
        <f>VLOOKUP(B1516,Paramètres!$A$4:$C$11,3,FALSE)</f>
        <v>Petite couronne</v>
      </c>
      <c r="K1516" s="13">
        <f>IFERROR(H1516/G1516,"")</f>
        <v>202.5</v>
      </c>
      <c r="L1516" s="14">
        <f>IFERROR(I1516/G1516,"")</f>
        <v>0.16666666666666666</v>
      </c>
      <c r="M1516" s="11" t="str">
        <f>IF(K1516&gt;=Paramètres!$F$6,"Très forte",IF(K1516&gt;=Paramètres!$F$5,"Forte",IF(K1516&gt;=Paramètres!$F$4,"Modérée","Faible")))</f>
        <v>Très forte</v>
      </c>
    </row>
    <row r="1517" spans="1:13">
      <c r="A1517" t="s">
        <v>1480</v>
      </c>
      <c r="B1517" s="11">
        <v>92</v>
      </c>
      <c r="C1517" t="s">
        <v>94</v>
      </c>
      <c r="D1517" t="s">
        <v>1248</v>
      </c>
      <c r="E1517" t="s">
        <v>1249</v>
      </c>
      <c r="F1517" t="s">
        <v>92</v>
      </c>
      <c r="G1517" s="12">
        <v>25</v>
      </c>
      <c r="H1517" s="12">
        <v>4046</v>
      </c>
      <c r="I1517" s="12">
        <v>8</v>
      </c>
      <c r="J1517" t="str">
        <f>VLOOKUP(B1517,Paramètres!$A$4:$C$11,3,FALSE)</f>
        <v>Petite couronne</v>
      </c>
      <c r="K1517" s="13">
        <f>IFERROR(H1517/G1517,"")</f>
        <v>161.84</v>
      </c>
      <c r="L1517" s="14">
        <f>IFERROR(I1517/G1517,"")</f>
        <v>0.32</v>
      </c>
      <c r="M1517" s="11" t="str">
        <f>IF(K1517&gt;=Paramètres!$F$6,"Très forte",IF(K1517&gt;=Paramètres!$F$5,"Forte",IF(K1517&gt;=Paramètres!$F$4,"Modérée","Faible")))</f>
        <v>Très forte</v>
      </c>
    </row>
    <row r="1518" spans="1:13">
      <c r="A1518" t="s">
        <v>1431</v>
      </c>
      <c r="B1518" s="11">
        <v>92</v>
      </c>
      <c r="C1518" t="s">
        <v>94</v>
      </c>
      <c r="D1518" t="s">
        <v>1248</v>
      </c>
      <c r="E1518" t="s">
        <v>1249</v>
      </c>
      <c r="F1518" t="s">
        <v>92</v>
      </c>
      <c r="G1518" s="12">
        <v>25</v>
      </c>
      <c r="H1518" s="12">
        <v>4042</v>
      </c>
      <c r="I1518" s="12">
        <v>10</v>
      </c>
      <c r="J1518" t="str">
        <f>VLOOKUP(B1518,Paramètres!$A$4:$C$11,3,FALSE)</f>
        <v>Petite couronne</v>
      </c>
      <c r="K1518" s="13">
        <f>IFERROR(H1518/G1518,"")</f>
        <v>161.68</v>
      </c>
      <c r="L1518" s="14">
        <f>IFERROR(I1518/G1518,"")</f>
        <v>0.4</v>
      </c>
      <c r="M1518" s="11" t="str">
        <f>IF(K1518&gt;=Paramètres!$F$6,"Très forte",IF(K1518&gt;=Paramètres!$F$5,"Forte",IF(K1518&gt;=Paramètres!$F$4,"Modérée","Faible")))</f>
        <v>Très forte</v>
      </c>
    </row>
    <row r="1519" spans="1:13">
      <c r="A1519" t="s">
        <v>1480</v>
      </c>
      <c r="B1519" s="11">
        <v>92</v>
      </c>
      <c r="C1519" t="s">
        <v>94</v>
      </c>
      <c r="D1519" t="s">
        <v>1248</v>
      </c>
      <c r="E1519" t="s">
        <v>1249</v>
      </c>
      <c r="F1519" t="s">
        <v>92</v>
      </c>
      <c r="G1519" s="12">
        <v>25</v>
      </c>
      <c r="H1519" s="12">
        <v>4001</v>
      </c>
      <c r="I1519" s="12">
        <v>4</v>
      </c>
      <c r="J1519" t="str">
        <f>VLOOKUP(B1519,Paramètres!$A$4:$C$11,3,FALSE)</f>
        <v>Petite couronne</v>
      </c>
      <c r="K1519" s="13">
        <f>IFERROR(H1519/G1519,"")</f>
        <v>160.04</v>
      </c>
      <c r="L1519" s="14">
        <f>IFERROR(I1519/G1519,"")</f>
        <v>0.16</v>
      </c>
      <c r="M1519" s="11" t="str">
        <f>IF(K1519&gt;=Paramètres!$F$6,"Très forte",IF(K1519&gt;=Paramètres!$F$5,"Forte",IF(K1519&gt;=Paramètres!$F$4,"Modérée","Faible")))</f>
        <v>Très forte</v>
      </c>
    </row>
    <row r="1520" spans="1:13">
      <c r="A1520" t="s">
        <v>1431</v>
      </c>
      <c r="B1520" s="11">
        <v>92</v>
      </c>
      <c r="C1520" t="s">
        <v>94</v>
      </c>
      <c r="D1520" t="s">
        <v>1248</v>
      </c>
      <c r="E1520" t="s">
        <v>1249</v>
      </c>
      <c r="F1520" t="s">
        <v>92</v>
      </c>
      <c r="G1520" s="12">
        <v>25</v>
      </c>
      <c r="H1520" s="12">
        <v>3599</v>
      </c>
      <c r="I1520" s="12">
        <v>9</v>
      </c>
      <c r="J1520" t="str">
        <f>VLOOKUP(B1520,Paramètres!$A$4:$C$11,3,FALSE)</f>
        <v>Petite couronne</v>
      </c>
      <c r="K1520" s="13">
        <f>IFERROR(H1520/G1520,"")</f>
        <v>143.96</v>
      </c>
      <c r="L1520" s="14">
        <f>IFERROR(I1520/G1520,"")</f>
        <v>0.36</v>
      </c>
      <c r="M1520" s="11" t="str">
        <f>IF(K1520&gt;=Paramètres!$F$6,"Très forte",IF(K1520&gt;=Paramètres!$F$5,"Forte",IF(K1520&gt;=Paramètres!$F$4,"Modérée","Faible")))</f>
        <v>Très forte</v>
      </c>
    </row>
    <row r="1521" spans="1:13">
      <c r="A1521" t="s">
        <v>1431</v>
      </c>
      <c r="B1521" s="11">
        <v>92</v>
      </c>
      <c r="C1521" t="s">
        <v>94</v>
      </c>
      <c r="D1521" t="s">
        <v>1248</v>
      </c>
      <c r="E1521" t="s">
        <v>1249</v>
      </c>
      <c r="F1521" t="s">
        <v>92</v>
      </c>
      <c r="G1521" s="12">
        <v>30</v>
      </c>
      <c r="H1521" s="12">
        <v>4136</v>
      </c>
      <c r="I1521" s="12">
        <v>9</v>
      </c>
      <c r="J1521" t="str">
        <f>VLOOKUP(B1521,Paramètres!$A$4:$C$11,3,FALSE)</f>
        <v>Petite couronne</v>
      </c>
      <c r="K1521" s="13">
        <f>IFERROR(H1521/G1521,"")</f>
        <v>137.86666666666667</v>
      </c>
      <c r="L1521" s="14">
        <f>IFERROR(I1521/G1521,"")</f>
        <v>0.3</v>
      </c>
      <c r="M1521" s="11" t="str">
        <f>IF(K1521&gt;=Paramètres!$F$6,"Très forte",IF(K1521&gt;=Paramètres!$F$5,"Forte",IF(K1521&gt;=Paramètres!$F$4,"Modérée","Faible")))</f>
        <v>Très forte</v>
      </c>
    </row>
    <row r="1522" spans="1:13">
      <c r="A1522" t="s">
        <v>1480</v>
      </c>
      <c r="B1522" s="11">
        <v>92</v>
      </c>
      <c r="C1522" t="s">
        <v>94</v>
      </c>
      <c r="D1522" t="s">
        <v>1248</v>
      </c>
      <c r="E1522" t="s">
        <v>1249</v>
      </c>
      <c r="F1522" t="s">
        <v>92</v>
      </c>
      <c r="G1522" s="12">
        <v>20</v>
      </c>
      <c r="H1522" s="12">
        <v>2519</v>
      </c>
      <c r="I1522" s="12">
        <v>0</v>
      </c>
      <c r="J1522" t="str">
        <f>VLOOKUP(B1522,Paramètres!$A$4:$C$11,3,FALSE)</f>
        <v>Petite couronne</v>
      </c>
      <c r="K1522" s="13">
        <f>IFERROR(H1522/G1522,"")</f>
        <v>125.95</v>
      </c>
      <c r="L1522" s="14">
        <f>IFERROR(I1522/G1522,"")</f>
        <v>0</v>
      </c>
      <c r="M1522" s="11" t="str">
        <f>IF(K1522&gt;=Paramètres!$F$6,"Très forte",IF(K1522&gt;=Paramètres!$F$5,"Forte",IF(K1522&gt;=Paramètres!$F$4,"Modérée","Faible")))</f>
        <v>Très forte</v>
      </c>
    </row>
    <row r="1523" spans="1:13">
      <c r="A1523" t="s">
        <v>1480</v>
      </c>
      <c r="B1523" s="11">
        <v>92</v>
      </c>
      <c r="C1523" t="s">
        <v>94</v>
      </c>
      <c r="D1523" t="s">
        <v>1248</v>
      </c>
      <c r="E1523" t="s">
        <v>1249</v>
      </c>
      <c r="F1523" t="s">
        <v>92</v>
      </c>
      <c r="G1523" s="12">
        <v>29</v>
      </c>
      <c r="H1523" s="12">
        <v>3567</v>
      </c>
      <c r="I1523" s="12">
        <v>8</v>
      </c>
      <c r="J1523" t="str">
        <f>VLOOKUP(B1523,Paramètres!$A$4:$C$11,3,FALSE)</f>
        <v>Petite couronne</v>
      </c>
      <c r="K1523" s="13">
        <f>IFERROR(H1523/G1523,"")</f>
        <v>123</v>
      </c>
      <c r="L1523" s="14">
        <f>IFERROR(I1523/G1523,"")</f>
        <v>0.27586206896551724</v>
      </c>
      <c r="M1523" s="11" t="str">
        <f>IF(K1523&gt;=Paramètres!$F$6,"Très forte",IF(K1523&gt;=Paramètres!$F$5,"Forte",IF(K1523&gt;=Paramètres!$F$4,"Modérée","Faible")))</f>
        <v>Très forte</v>
      </c>
    </row>
    <row r="1524" spans="1:13">
      <c r="A1524" t="s">
        <v>1304</v>
      </c>
      <c r="B1524" s="11">
        <v>92</v>
      </c>
      <c r="C1524" t="s">
        <v>94</v>
      </c>
      <c r="D1524" t="s">
        <v>1248</v>
      </c>
      <c r="E1524" t="s">
        <v>1249</v>
      </c>
      <c r="F1524" t="s">
        <v>92</v>
      </c>
      <c r="G1524" s="12">
        <v>50</v>
      </c>
      <c r="H1524" s="12">
        <v>5129</v>
      </c>
      <c r="I1524" s="12">
        <v>4</v>
      </c>
      <c r="J1524" t="str">
        <f>VLOOKUP(B1524,Paramètres!$A$4:$C$11,3,FALSE)</f>
        <v>Petite couronne</v>
      </c>
      <c r="K1524" s="13">
        <f>IFERROR(H1524/G1524,"")</f>
        <v>102.58</v>
      </c>
      <c r="L1524" s="14">
        <f>IFERROR(I1524/G1524,"")</f>
        <v>0.08</v>
      </c>
      <c r="M1524" s="11" t="str">
        <f>IF(K1524&gt;=Paramètres!$F$6,"Très forte",IF(K1524&gt;=Paramètres!$F$5,"Forte",IF(K1524&gt;=Paramètres!$F$4,"Modérée","Faible")))</f>
        <v>Très forte</v>
      </c>
    </row>
    <row r="1525" spans="1:13">
      <c r="A1525" t="s">
        <v>1288</v>
      </c>
      <c r="B1525" s="11">
        <v>75</v>
      </c>
      <c r="C1525" t="s">
        <v>86</v>
      </c>
      <c r="D1525" t="s">
        <v>1248</v>
      </c>
      <c r="E1525" t="s">
        <v>1249</v>
      </c>
      <c r="F1525" t="s">
        <v>92</v>
      </c>
      <c r="G1525" s="12">
        <v>40</v>
      </c>
      <c r="H1525" s="12">
        <v>3958</v>
      </c>
      <c r="I1525" s="12">
        <v>10</v>
      </c>
      <c r="J1525" t="str">
        <f>VLOOKUP(B1525,Paramètres!$A$4:$C$11,3,FALSE)</f>
        <v>Paris</v>
      </c>
      <c r="K1525" s="13">
        <f>IFERROR(H1525/G1525,"")</f>
        <v>98.95</v>
      </c>
      <c r="L1525" s="14">
        <f>IFERROR(I1525/G1525,"")</f>
        <v>0.25</v>
      </c>
      <c r="M1525" s="11" t="str">
        <f>IF(K1525&gt;=Paramètres!$F$6,"Très forte",IF(K1525&gt;=Paramètres!$F$5,"Forte",IF(K1525&gt;=Paramètres!$F$4,"Modérée","Faible")))</f>
        <v>Très forte</v>
      </c>
    </row>
    <row r="1526" spans="1:13">
      <c r="A1526" t="s">
        <v>1255</v>
      </c>
      <c r="B1526" s="11">
        <v>75</v>
      </c>
      <c r="C1526" t="s">
        <v>86</v>
      </c>
      <c r="D1526" t="s">
        <v>1248</v>
      </c>
      <c r="E1526" t="s">
        <v>1249</v>
      </c>
      <c r="F1526" t="s">
        <v>92</v>
      </c>
      <c r="G1526" s="12">
        <v>40</v>
      </c>
      <c r="H1526" s="12">
        <v>3941</v>
      </c>
      <c r="I1526" s="12">
        <v>10</v>
      </c>
      <c r="J1526" t="str">
        <f>VLOOKUP(B1526,Paramètres!$A$4:$C$11,3,FALSE)</f>
        <v>Paris</v>
      </c>
      <c r="K1526" s="13">
        <f>IFERROR(H1526/G1526,"")</f>
        <v>98.525000000000006</v>
      </c>
      <c r="L1526" s="14">
        <f>IFERROR(I1526/G1526,"")</f>
        <v>0.25</v>
      </c>
      <c r="M1526" s="11" t="str">
        <f>IF(K1526&gt;=Paramètres!$F$6,"Très forte",IF(K1526&gt;=Paramètres!$F$5,"Forte",IF(K1526&gt;=Paramètres!$F$4,"Modérée","Faible")))</f>
        <v>Très forte</v>
      </c>
    </row>
    <row r="1527" spans="1:13">
      <c r="A1527" t="s">
        <v>1306</v>
      </c>
      <c r="B1527" s="11">
        <v>94</v>
      </c>
      <c r="C1527" t="s">
        <v>116</v>
      </c>
      <c r="D1527" t="s">
        <v>1248</v>
      </c>
      <c r="E1527" t="s">
        <v>1249</v>
      </c>
      <c r="F1527" t="s">
        <v>92</v>
      </c>
      <c r="G1527" s="12">
        <v>50</v>
      </c>
      <c r="H1527" s="12">
        <v>4791</v>
      </c>
      <c r="I1527" s="12">
        <v>3</v>
      </c>
      <c r="J1527" t="str">
        <f>VLOOKUP(B1527,Paramètres!$A$4:$C$11,3,FALSE)</f>
        <v>Petite couronne</v>
      </c>
      <c r="K1527" s="13">
        <f>IFERROR(H1527/G1527,"")</f>
        <v>95.82</v>
      </c>
      <c r="L1527" s="14">
        <f>IFERROR(I1527/G1527,"")</f>
        <v>0.06</v>
      </c>
      <c r="M1527" s="11" t="str">
        <f>IF(K1527&gt;=Paramètres!$F$6,"Très forte",IF(K1527&gt;=Paramètres!$F$5,"Forte",IF(K1527&gt;=Paramètres!$F$4,"Modérée","Faible")))</f>
        <v>Très forte</v>
      </c>
    </row>
    <row r="1528" spans="1:13">
      <c r="A1528" t="s">
        <v>902</v>
      </c>
      <c r="B1528" s="11">
        <v>75</v>
      </c>
      <c r="C1528" t="s">
        <v>86</v>
      </c>
      <c r="D1528" t="s">
        <v>1248</v>
      </c>
      <c r="E1528" t="s">
        <v>1249</v>
      </c>
      <c r="F1528" t="s">
        <v>92</v>
      </c>
      <c r="G1528" s="12">
        <v>45</v>
      </c>
      <c r="H1528" s="12">
        <v>3899</v>
      </c>
      <c r="I1528" s="12">
        <v>7</v>
      </c>
      <c r="J1528" t="str">
        <f>VLOOKUP(B1528,Paramètres!$A$4:$C$11,3,FALSE)</f>
        <v>Paris</v>
      </c>
      <c r="K1528" s="13">
        <f>IFERROR(H1528/G1528,"")</f>
        <v>86.644444444444446</v>
      </c>
      <c r="L1528" s="14">
        <f>IFERROR(I1528/G1528,"")</f>
        <v>0.15555555555555556</v>
      </c>
      <c r="M1528" s="11" t="str">
        <f>IF(K1528&gt;=Paramètres!$F$6,"Très forte",IF(K1528&gt;=Paramètres!$F$5,"Forte",IF(K1528&gt;=Paramètres!$F$4,"Modérée","Faible")))</f>
        <v>Très forte</v>
      </c>
    </row>
    <row r="1529" spans="1:13">
      <c r="A1529" t="s">
        <v>1288</v>
      </c>
      <c r="B1529" s="11">
        <v>75</v>
      </c>
      <c r="C1529" t="s">
        <v>86</v>
      </c>
      <c r="D1529" t="s">
        <v>1248</v>
      </c>
      <c r="E1529" t="s">
        <v>1249</v>
      </c>
      <c r="F1529" t="s">
        <v>92</v>
      </c>
      <c r="G1529" s="12">
        <v>60</v>
      </c>
      <c r="H1529" s="12">
        <v>5052</v>
      </c>
      <c r="I1529" s="12">
        <v>16</v>
      </c>
      <c r="J1529" t="str">
        <f>VLOOKUP(B1529,Paramètres!$A$4:$C$11,3,FALSE)</f>
        <v>Paris</v>
      </c>
      <c r="K1529" s="13">
        <f>IFERROR(H1529/G1529,"")</f>
        <v>84.2</v>
      </c>
      <c r="L1529" s="14">
        <f>IFERROR(I1529/G1529,"")</f>
        <v>0.26666666666666666</v>
      </c>
      <c r="M1529" s="11" t="str">
        <f>IF(K1529&gt;=Paramètres!$F$6,"Très forte",IF(K1529&gt;=Paramètres!$F$5,"Forte",IF(K1529&gt;=Paramètres!$F$4,"Modérée","Faible")))</f>
        <v>Très forte</v>
      </c>
    </row>
    <row r="1530" spans="1:13">
      <c r="A1530" t="s">
        <v>1431</v>
      </c>
      <c r="B1530" s="11">
        <v>92</v>
      </c>
      <c r="C1530" t="s">
        <v>94</v>
      </c>
      <c r="D1530" t="s">
        <v>1248</v>
      </c>
      <c r="E1530" t="s">
        <v>1249</v>
      </c>
      <c r="F1530" t="s">
        <v>92</v>
      </c>
      <c r="G1530" s="12">
        <v>80</v>
      </c>
      <c r="H1530" s="12">
        <v>4899</v>
      </c>
      <c r="I1530" s="12">
        <v>21</v>
      </c>
      <c r="J1530" t="str">
        <f>VLOOKUP(B1530,Paramètres!$A$4:$C$11,3,FALSE)</f>
        <v>Petite couronne</v>
      </c>
      <c r="K1530" s="13">
        <f>IFERROR(H1530/G1530,"")</f>
        <v>61.237499999999997</v>
      </c>
      <c r="L1530" s="14">
        <f>IFERROR(I1530/G1530,"")</f>
        <v>0.26250000000000001</v>
      </c>
      <c r="M1530" s="11" t="str">
        <f>IF(K1530&gt;=Paramètres!$F$6,"Très forte",IF(K1530&gt;=Paramètres!$F$5,"Forte",IF(K1530&gt;=Paramètres!$F$4,"Modérée","Faible")))</f>
        <v>Très forte</v>
      </c>
    </row>
    <row r="1531" spans="1:13">
      <c r="A1531" t="s">
        <v>1480</v>
      </c>
      <c r="B1531" s="11">
        <v>92</v>
      </c>
      <c r="C1531" t="s">
        <v>94</v>
      </c>
      <c r="D1531" t="s">
        <v>1248</v>
      </c>
      <c r="E1531" t="s">
        <v>1249</v>
      </c>
      <c r="F1531" t="s">
        <v>92</v>
      </c>
      <c r="G1531" s="12">
        <v>100</v>
      </c>
      <c r="H1531" s="12">
        <v>5402</v>
      </c>
      <c r="I1531" s="12">
        <v>40</v>
      </c>
      <c r="J1531" t="str">
        <f>VLOOKUP(B1531,Paramètres!$A$4:$C$11,3,FALSE)</f>
        <v>Petite couronne</v>
      </c>
      <c r="K1531" s="13">
        <f>IFERROR(H1531/G1531,"")</f>
        <v>54.02</v>
      </c>
      <c r="L1531" s="14">
        <f>IFERROR(I1531/G1531,"")</f>
        <v>0.4</v>
      </c>
      <c r="M1531" s="11" t="str">
        <f>IF(K1531&gt;=Paramètres!$F$6,"Très forte",IF(K1531&gt;=Paramètres!$F$5,"Forte",IF(K1531&gt;=Paramètres!$F$4,"Modérée","Faible")))</f>
        <v>Très forte</v>
      </c>
    </row>
    <row r="1532" spans="1:13">
      <c r="A1532" t="s">
        <v>1600</v>
      </c>
      <c r="B1532" s="11">
        <v>75</v>
      </c>
      <c r="C1532" t="s">
        <v>86</v>
      </c>
      <c r="D1532" t="s">
        <v>1248</v>
      </c>
      <c r="E1532" t="s">
        <v>1249</v>
      </c>
      <c r="F1532" t="s">
        <v>92</v>
      </c>
      <c r="G1532" s="12">
        <v>150</v>
      </c>
      <c r="H1532" s="12">
        <v>7493</v>
      </c>
      <c r="I1532" s="12">
        <v>149</v>
      </c>
      <c r="J1532" t="str">
        <f>VLOOKUP(B1532,Paramètres!$A$4:$C$11,3,FALSE)</f>
        <v>Paris</v>
      </c>
      <c r="K1532" s="13">
        <f>IFERROR(H1532/G1532,"")</f>
        <v>49.953333333333333</v>
      </c>
      <c r="L1532" s="14">
        <f>IFERROR(I1532/G1532,"")</f>
        <v>0.99333333333333329</v>
      </c>
      <c r="M1532" s="11" t="str">
        <f>IF(K1532&gt;=Paramètres!$F$6,"Très forte",IF(K1532&gt;=Paramètres!$F$5,"Forte",IF(K1532&gt;=Paramètres!$F$4,"Modérée","Faible")))</f>
        <v>Très forte</v>
      </c>
    </row>
    <row r="1533" spans="1:13">
      <c r="A1533" t="s">
        <v>1250</v>
      </c>
      <c r="B1533" s="11">
        <v>75</v>
      </c>
      <c r="C1533" t="s">
        <v>86</v>
      </c>
      <c r="D1533" t="s">
        <v>1248</v>
      </c>
      <c r="E1533" t="s">
        <v>1249</v>
      </c>
      <c r="F1533" t="s">
        <v>92</v>
      </c>
      <c r="G1533" s="12">
        <v>120</v>
      </c>
      <c r="H1533" s="12">
        <v>4990</v>
      </c>
      <c r="I1533" s="12">
        <v>114</v>
      </c>
      <c r="J1533" t="str">
        <f>VLOOKUP(B1533,Paramètres!$A$4:$C$11,3,FALSE)</f>
        <v>Paris</v>
      </c>
      <c r="K1533" s="13">
        <f>IFERROR(H1533/G1533,"")</f>
        <v>41.583333333333336</v>
      </c>
      <c r="L1533" s="14">
        <f>IFERROR(I1533/G1533,"")</f>
        <v>0.95</v>
      </c>
      <c r="M1533" s="11" t="str">
        <f>IF(K1533&gt;=Paramètres!$F$6,"Très forte",IF(K1533&gt;=Paramètres!$F$5,"Forte",IF(K1533&gt;=Paramètres!$F$4,"Modérée","Faible")))</f>
        <v>Très forte</v>
      </c>
    </row>
    <row r="1534" spans="1:13">
      <c r="A1534" t="s">
        <v>1564</v>
      </c>
      <c r="B1534" s="11">
        <v>95</v>
      </c>
      <c r="C1534" t="s">
        <v>90</v>
      </c>
      <c r="D1534" t="s">
        <v>1248</v>
      </c>
      <c r="E1534" t="s">
        <v>1249</v>
      </c>
      <c r="F1534" t="s">
        <v>92</v>
      </c>
      <c r="G1534" s="12">
        <v>180</v>
      </c>
      <c r="H1534" s="12">
        <v>6454</v>
      </c>
      <c r="I1534" s="12">
        <v>162</v>
      </c>
      <c r="J1534" t="str">
        <f>VLOOKUP(B1534,Paramètres!$A$4:$C$11,3,FALSE)</f>
        <v>Grande couronne</v>
      </c>
      <c r="K1534" s="13">
        <f>IFERROR(H1534/G1534,"")</f>
        <v>35.855555555555554</v>
      </c>
      <c r="L1534" s="14">
        <f>IFERROR(I1534/G1534,"")</f>
        <v>0.9</v>
      </c>
      <c r="M1534" s="11" t="str">
        <f>IF(K1534&gt;=Paramètres!$F$6,"Très forte",IF(K1534&gt;=Paramètres!$F$5,"Forte",IF(K1534&gt;=Paramètres!$F$4,"Modérée","Faible")))</f>
        <v>Forte</v>
      </c>
    </row>
    <row r="1535" spans="1:13">
      <c r="A1535" t="s">
        <v>1432</v>
      </c>
      <c r="B1535" s="11">
        <v>92</v>
      </c>
      <c r="C1535" t="s">
        <v>94</v>
      </c>
      <c r="D1535" t="s">
        <v>1248</v>
      </c>
      <c r="E1535" t="s">
        <v>1249</v>
      </c>
      <c r="F1535" t="s">
        <v>92</v>
      </c>
      <c r="G1535" s="12">
        <v>150</v>
      </c>
      <c r="H1535" s="12">
        <v>4841</v>
      </c>
      <c r="I1535" s="12">
        <v>49</v>
      </c>
      <c r="J1535" t="str">
        <f>VLOOKUP(B1535,Paramètres!$A$4:$C$11,3,FALSE)</f>
        <v>Petite couronne</v>
      </c>
      <c r="K1535" s="13">
        <f>IFERROR(H1535/G1535,"")</f>
        <v>32.273333333333333</v>
      </c>
      <c r="L1535" s="14">
        <f>IFERROR(I1535/G1535,"")</f>
        <v>0.32666666666666666</v>
      </c>
      <c r="M1535" s="11" t="str">
        <f>IF(K1535&gt;=Paramètres!$F$6,"Très forte",IF(K1535&gt;=Paramètres!$F$5,"Forte",IF(K1535&gt;=Paramètres!$F$4,"Modérée","Faible")))</f>
        <v>Forte</v>
      </c>
    </row>
    <row r="1536" spans="1:13">
      <c r="A1536" t="s">
        <v>1564</v>
      </c>
      <c r="B1536" s="11">
        <v>95</v>
      </c>
      <c r="C1536" t="s">
        <v>90</v>
      </c>
      <c r="D1536" t="s">
        <v>1248</v>
      </c>
      <c r="E1536" t="s">
        <v>1249</v>
      </c>
      <c r="F1536" t="s">
        <v>92</v>
      </c>
      <c r="G1536" s="12">
        <v>290</v>
      </c>
      <c r="H1536" s="12">
        <v>8666</v>
      </c>
      <c r="I1536" s="12">
        <v>304</v>
      </c>
      <c r="J1536" t="str">
        <f>VLOOKUP(B1536,Paramètres!$A$4:$C$11,3,FALSE)</f>
        <v>Grande couronne</v>
      </c>
      <c r="K1536" s="13">
        <f>IFERROR(H1536/G1536,"")</f>
        <v>29.882758620689657</v>
      </c>
      <c r="L1536" s="14">
        <f>IFERROR(I1536/G1536,"")</f>
        <v>1.0482758620689656</v>
      </c>
      <c r="M1536" s="11" t="str">
        <f>IF(K1536&gt;=Paramètres!$F$6,"Très forte",IF(K1536&gt;=Paramètres!$F$5,"Forte",IF(K1536&gt;=Paramètres!$F$4,"Modérée","Faible")))</f>
        <v>Forte</v>
      </c>
    </row>
    <row r="1537" spans="1:13">
      <c r="A1537" t="s">
        <v>902</v>
      </c>
      <c r="B1537" s="11">
        <v>75</v>
      </c>
      <c r="C1537" t="s">
        <v>86</v>
      </c>
      <c r="D1537" t="s">
        <v>1248</v>
      </c>
      <c r="E1537" t="s">
        <v>1249</v>
      </c>
      <c r="F1537" t="s">
        <v>92</v>
      </c>
      <c r="G1537" s="12">
        <v>180</v>
      </c>
      <c r="H1537" s="12">
        <v>5189</v>
      </c>
      <c r="I1537" s="12">
        <v>9</v>
      </c>
      <c r="J1537" t="str">
        <f>VLOOKUP(B1537,Paramètres!$A$4:$C$11,3,FALSE)</f>
        <v>Paris</v>
      </c>
      <c r="K1537" s="13">
        <f>IFERROR(H1537/G1537,"")</f>
        <v>28.827777777777779</v>
      </c>
      <c r="L1537" s="14">
        <f>IFERROR(I1537/G1537,"")</f>
        <v>0.05</v>
      </c>
      <c r="M1537" s="11" t="str">
        <f>IF(K1537&gt;=Paramètres!$F$6,"Très forte",IF(K1537&gt;=Paramètres!$F$5,"Forte",IF(K1537&gt;=Paramètres!$F$4,"Modérée","Faible")))</f>
        <v>Forte</v>
      </c>
    </row>
    <row r="1538" spans="1:13">
      <c r="A1538" t="s">
        <v>1347</v>
      </c>
      <c r="B1538" s="11">
        <v>93</v>
      </c>
      <c r="C1538" t="s">
        <v>100</v>
      </c>
      <c r="D1538" t="s">
        <v>1248</v>
      </c>
      <c r="E1538" t="s">
        <v>1348</v>
      </c>
      <c r="F1538" t="s">
        <v>92</v>
      </c>
      <c r="G1538" s="12">
        <v>25</v>
      </c>
      <c r="H1538" s="12">
        <v>702</v>
      </c>
      <c r="I1538" s="12">
        <v>25</v>
      </c>
      <c r="J1538" t="str">
        <f>VLOOKUP(B1538,Paramètres!$A$4:$C$11,3,FALSE)</f>
        <v>Petite couronne</v>
      </c>
      <c r="K1538" s="13">
        <f>IFERROR(H1538/G1538,"")</f>
        <v>28.08</v>
      </c>
      <c r="L1538" s="14">
        <f>IFERROR(I1538/G1538,"")</f>
        <v>1</v>
      </c>
      <c r="M1538" s="11" t="str">
        <f>IF(K1538&gt;=Paramètres!$F$6,"Très forte",IF(K1538&gt;=Paramètres!$F$5,"Forte",IF(K1538&gt;=Paramètres!$F$4,"Modérée","Faible")))</f>
        <v>Forte</v>
      </c>
    </row>
    <row r="1539" spans="1:13">
      <c r="A1539" t="s">
        <v>1304</v>
      </c>
      <c r="B1539" s="11">
        <v>92</v>
      </c>
      <c r="C1539" t="s">
        <v>94</v>
      </c>
      <c r="D1539" t="s">
        <v>1248</v>
      </c>
      <c r="E1539" t="s">
        <v>1249</v>
      </c>
      <c r="F1539" t="s">
        <v>92</v>
      </c>
      <c r="G1539" s="12">
        <v>180</v>
      </c>
      <c r="H1539" s="12">
        <v>4993</v>
      </c>
      <c r="I1539" s="12">
        <v>136</v>
      </c>
      <c r="J1539" t="str">
        <f>VLOOKUP(B1539,Paramètres!$A$4:$C$11,3,FALSE)</f>
        <v>Petite couronne</v>
      </c>
      <c r="K1539" s="13">
        <f>IFERROR(H1539/G1539,"")</f>
        <v>27.738888888888887</v>
      </c>
      <c r="L1539" s="14">
        <f>IFERROR(I1539/G1539,"")</f>
        <v>0.75555555555555554</v>
      </c>
      <c r="M1539" s="11" t="str">
        <f>IF(K1539&gt;=Paramètres!$F$6,"Très forte",IF(K1539&gt;=Paramètres!$F$5,"Forte",IF(K1539&gt;=Paramètres!$F$4,"Modérée","Faible")))</f>
        <v>Forte</v>
      </c>
    </row>
    <row r="1540" spans="1:13">
      <c r="A1540" t="s">
        <v>1250</v>
      </c>
      <c r="B1540" s="11">
        <v>75</v>
      </c>
      <c r="C1540" t="s">
        <v>86</v>
      </c>
      <c r="D1540" t="s">
        <v>1248</v>
      </c>
      <c r="E1540" t="s">
        <v>1249</v>
      </c>
      <c r="F1540" t="s">
        <v>92</v>
      </c>
      <c r="G1540" s="12">
        <v>280</v>
      </c>
      <c r="H1540" s="12">
        <v>7722</v>
      </c>
      <c r="I1540" s="12">
        <v>339</v>
      </c>
      <c r="J1540" t="str">
        <f>VLOOKUP(B1540,Paramètres!$A$4:$C$11,3,FALSE)</f>
        <v>Paris</v>
      </c>
      <c r="K1540" s="13">
        <f>IFERROR(H1540/G1540,"")</f>
        <v>27.578571428571429</v>
      </c>
      <c r="L1540" s="14">
        <f>IFERROR(I1540/G1540,"")</f>
        <v>1.2107142857142856</v>
      </c>
      <c r="M1540" s="11" t="str">
        <f>IF(K1540&gt;=Paramètres!$F$6,"Très forte",IF(K1540&gt;=Paramètres!$F$5,"Forte",IF(K1540&gt;=Paramètres!$F$4,"Modérée","Faible")))</f>
        <v>Forte</v>
      </c>
    </row>
    <row r="1541" spans="1:13">
      <c r="A1541" t="s">
        <v>1255</v>
      </c>
      <c r="B1541" s="11">
        <v>75</v>
      </c>
      <c r="C1541" t="s">
        <v>86</v>
      </c>
      <c r="D1541" t="s">
        <v>1248</v>
      </c>
      <c r="E1541" t="s">
        <v>1249</v>
      </c>
      <c r="F1541" t="s">
        <v>92</v>
      </c>
      <c r="G1541" s="12">
        <v>260</v>
      </c>
      <c r="H1541" s="12">
        <v>5411</v>
      </c>
      <c r="I1541" s="12">
        <v>58</v>
      </c>
      <c r="J1541" t="str">
        <f>VLOOKUP(B1541,Paramètres!$A$4:$C$11,3,FALSE)</f>
        <v>Paris</v>
      </c>
      <c r="K1541" s="13">
        <f>IFERROR(H1541/G1541,"")</f>
        <v>20.811538461538461</v>
      </c>
      <c r="L1541" s="14">
        <f>IFERROR(I1541/G1541,"")</f>
        <v>0.22307692307692309</v>
      </c>
      <c r="M1541" s="11" t="str">
        <f>IF(K1541&gt;=Paramètres!$F$6,"Très forte",IF(K1541&gt;=Paramètres!$F$5,"Forte",IF(K1541&gt;=Paramètres!$F$4,"Modérée","Faible")))</f>
        <v>Forte</v>
      </c>
    </row>
    <row r="1542" spans="1:13">
      <c r="A1542" t="s">
        <v>1705</v>
      </c>
      <c r="B1542" s="11">
        <v>75</v>
      </c>
      <c r="C1542" t="s">
        <v>86</v>
      </c>
      <c r="D1542" t="s">
        <v>1248</v>
      </c>
      <c r="E1542" t="s">
        <v>1706</v>
      </c>
      <c r="F1542" t="s">
        <v>92</v>
      </c>
      <c r="G1542" s="12">
        <v>60</v>
      </c>
      <c r="H1542" s="12">
        <v>1075</v>
      </c>
      <c r="I1542" s="12">
        <v>12</v>
      </c>
      <c r="J1542" t="str">
        <f>VLOOKUP(B1542,Paramètres!$A$4:$C$11,3,FALSE)</f>
        <v>Paris</v>
      </c>
      <c r="K1542" s="13">
        <f>IFERROR(H1542/G1542,"")</f>
        <v>17.916666666666668</v>
      </c>
      <c r="L1542" s="14">
        <f>IFERROR(I1542/G1542,"")</f>
        <v>0.2</v>
      </c>
      <c r="M1542" s="11" t="str">
        <f>IF(K1542&gt;=Paramètres!$F$6,"Très forte",IF(K1542&gt;=Paramètres!$F$5,"Forte",IF(K1542&gt;=Paramètres!$F$4,"Modérée","Faible")))</f>
        <v>Modérée</v>
      </c>
    </row>
    <row r="1543" spans="1:13">
      <c r="A1543" t="s">
        <v>1432</v>
      </c>
      <c r="B1543" s="11">
        <v>92</v>
      </c>
      <c r="C1543" t="s">
        <v>94</v>
      </c>
      <c r="D1543" t="s">
        <v>1248</v>
      </c>
      <c r="E1543" t="s">
        <v>1249</v>
      </c>
      <c r="F1543" t="s">
        <v>92</v>
      </c>
      <c r="G1543" s="12">
        <v>350</v>
      </c>
      <c r="H1543" s="12">
        <v>6140</v>
      </c>
      <c r="I1543" s="12">
        <v>195</v>
      </c>
      <c r="J1543" t="str">
        <f>VLOOKUP(B1543,Paramètres!$A$4:$C$11,3,FALSE)</f>
        <v>Petite couronne</v>
      </c>
      <c r="K1543" s="13">
        <f>IFERROR(H1543/G1543,"")</f>
        <v>17.542857142857144</v>
      </c>
      <c r="L1543" s="14">
        <f>IFERROR(I1543/G1543,"")</f>
        <v>0.55714285714285716</v>
      </c>
      <c r="M1543" s="11" t="str">
        <f>IF(K1543&gt;=Paramètres!$F$6,"Très forte",IF(K1543&gt;=Paramètres!$F$5,"Forte",IF(K1543&gt;=Paramètres!$F$4,"Modérée","Faible")))</f>
        <v>Modérée</v>
      </c>
    </row>
    <row r="1544" spans="1:13">
      <c r="A1544" t="s">
        <v>1591</v>
      </c>
      <c r="B1544" s="11">
        <v>75</v>
      </c>
      <c r="C1544" t="s">
        <v>86</v>
      </c>
      <c r="D1544" t="s">
        <v>1248</v>
      </c>
      <c r="E1544" t="s">
        <v>1310</v>
      </c>
      <c r="F1544" t="s">
        <v>92</v>
      </c>
      <c r="G1544" s="12">
        <v>80</v>
      </c>
      <c r="H1544" s="12">
        <v>1360</v>
      </c>
      <c r="I1544" s="12">
        <v>79</v>
      </c>
      <c r="J1544" t="str">
        <f>VLOOKUP(B1544,Paramètres!$A$4:$C$11,3,FALSE)</f>
        <v>Paris</v>
      </c>
      <c r="K1544" s="13">
        <f>IFERROR(H1544/G1544,"")</f>
        <v>17</v>
      </c>
      <c r="L1544" s="14">
        <f>IFERROR(I1544/G1544,"")</f>
        <v>0.98750000000000004</v>
      </c>
      <c r="M1544" s="11" t="str">
        <f>IF(K1544&gt;=Paramètres!$F$6,"Très forte",IF(K1544&gt;=Paramètres!$F$5,"Forte",IF(K1544&gt;=Paramètres!$F$4,"Modérée","Faible")))</f>
        <v>Modérée</v>
      </c>
    </row>
    <row r="1545" spans="1:13">
      <c r="A1545" t="s">
        <v>1304</v>
      </c>
      <c r="B1545" s="11">
        <v>92</v>
      </c>
      <c r="C1545" t="s">
        <v>94</v>
      </c>
      <c r="D1545" t="s">
        <v>1248</v>
      </c>
      <c r="E1545" t="s">
        <v>1310</v>
      </c>
      <c r="F1545" t="s">
        <v>92</v>
      </c>
      <c r="G1545" s="12">
        <v>50</v>
      </c>
      <c r="H1545" s="12">
        <v>814</v>
      </c>
      <c r="I1545" s="12">
        <v>66</v>
      </c>
      <c r="J1545" t="str">
        <f>VLOOKUP(B1545,Paramètres!$A$4:$C$11,3,FALSE)</f>
        <v>Petite couronne</v>
      </c>
      <c r="K1545" s="13">
        <f>IFERROR(H1545/G1545,"")</f>
        <v>16.28</v>
      </c>
      <c r="L1545" s="14">
        <f>IFERROR(I1545/G1545,"")</f>
        <v>1.32</v>
      </c>
      <c r="M1545" s="11" t="str">
        <f>IF(K1545&gt;=Paramètres!$F$6,"Très forte",IF(K1545&gt;=Paramètres!$F$5,"Forte",IF(K1545&gt;=Paramètres!$F$4,"Modérée","Faible")))</f>
        <v>Modérée</v>
      </c>
    </row>
    <row r="1546" spans="1:13">
      <c r="A1546" t="s">
        <v>1425</v>
      </c>
      <c r="B1546" s="11">
        <v>75</v>
      </c>
      <c r="C1546" t="s">
        <v>86</v>
      </c>
      <c r="D1546" t="s">
        <v>1248</v>
      </c>
      <c r="E1546" t="s">
        <v>1426</v>
      </c>
      <c r="F1546" t="s">
        <v>92</v>
      </c>
      <c r="G1546" s="12">
        <v>20</v>
      </c>
      <c r="H1546" s="12">
        <v>321</v>
      </c>
      <c r="I1546" s="12">
        <v>4</v>
      </c>
      <c r="J1546" t="str">
        <f>VLOOKUP(B1546,Paramètres!$A$4:$C$11,3,FALSE)</f>
        <v>Paris</v>
      </c>
      <c r="K1546" s="13">
        <f>IFERROR(H1546/G1546,"")</f>
        <v>16.05</v>
      </c>
      <c r="L1546" s="14">
        <f>IFERROR(I1546/G1546,"")</f>
        <v>0.2</v>
      </c>
      <c r="M1546" s="11" t="str">
        <f>IF(K1546&gt;=Paramètres!$F$6,"Très forte",IF(K1546&gt;=Paramètres!$F$5,"Forte",IF(K1546&gt;=Paramètres!$F$4,"Modérée","Faible")))</f>
        <v>Modérée</v>
      </c>
    </row>
    <row r="1547" spans="1:13">
      <c r="A1547" t="s">
        <v>1425</v>
      </c>
      <c r="B1547" s="11">
        <v>75</v>
      </c>
      <c r="C1547" t="s">
        <v>86</v>
      </c>
      <c r="D1547" t="s">
        <v>1248</v>
      </c>
      <c r="E1547" t="s">
        <v>1426</v>
      </c>
      <c r="F1547" t="s">
        <v>92</v>
      </c>
      <c r="G1547" s="12">
        <v>20</v>
      </c>
      <c r="H1547" s="12">
        <v>311</v>
      </c>
      <c r="I1547" s="12">
        <v>12</v>
      </c>
      <c r="J1547" t="str">
        <f>VLOOKUP(B1547,Paramètres!$A$4:$C$11,3,FALSE)</f>
        <v>Paris</v>
      </c>
      <c r="K1547" s="13">
        <f>IFERROR(H1547/G1547,"")</f>
        <v>15.55</v>
      </c>
      <c r="L1547" s="14">
        <f>IFERROR(I1547/G1547,"")</f>
        <v>0.6</v>
      </c>
      <c r="M1547" s="11" t="str">
        <f>IF(K1547&gt;=Paramètres!$F$6,"Très forte",IF(K1547&gt;=Paramètres!$F$5,"Forte",IF(K1547&gt;=Paramètres!$F$4,"Modérée","Faible")))</f>
        <v>Modérée</v>
      </c>
    </row>
    <row r="1548" spans="1:13">
      <c r="A1548" t="s">
        <v>902</v>
      </c>
      <c r="B1548" s="11">
        <v>75</v>
      </c>
      <c r="C1548" t="s">
        <v>86</v>
      </c>
      <c r="D1548" t="s">
        <v>1248</v>
      </c>
      <c r="E1548" t="s">
        <v>1351</v>
      </c>
      <c r="F1548" t="s">
        <v>92</v>
      </c>
      <c r="G1548" s="12">
        <v>25</v>
      </c>
      <c r="H1548" s="12">
        <v>375</v>
      </c>
      <c r="I1548" s="12">
        <v>9</v>
      </c>
      <c r="J1548" t="str">
        <f>VLOOKUP(B1548,Paramètres!$A$4:$C$11,3,FALSE)</f>
        <v>Paris</v>
      </c>
      <c r="K1548" s="13">
        <f>IFERROR(H1548/G1548,"")</f>
        <v>15</v>
      </c>
      <c r="L1548" s="14">
        <f>IFERROR(I1548/G1548,"")</f>
        <v>0.36</v>
      </c>
      <c r="M1548" s="11" t="str">
        <f>IF(K1548&gt;=Paramètres!$F$6,"Très forte",IF(K1548&gt;=Paramètres!$F$5,"Forte",IF(K1548&gt;=Paramètres!$F$4,"Modérée","Faible")))</f>
        <v>Modérée</v>
      </c>
    </row>
    <row r="1549" spans="1:13">
      <c r="A1549" t="s">
        <v>1433</v>
      </c>
      <c r="B1549" s="11">
        <v>92</v>
      </c>
      <c r="C1549" t="s">
        <v>94</v>
      </c>
      <c r="D1549" t="s">
        <v>1248</v>
      </c>
      <c r="E1549" t="s">
        <v>1434</v>
      </c>
      <c r="F1549" t="s">
        <v>92</v>
      </c>
      <c r="G1549" s="12">
        <v>90</v>
      </c>
      <c r="H1549" s="12">
        <v>1279</v>
      </c>
      <c r="I1549" s="12">
        <v>53</v>
      </c>
      <c r="J1549" t="str">
        <f>VLOOKUP(B1549,Paramètres!$A$4:$C$11,3,FALSE)</f>
        <v>Petite couronne</v>
      </c>
      <c r="K1549" s="13">
        <f>IFERROR(H1549/G1549,"")</f>
        <v>14.21111111111111</v>
      </c>
      <c r="L1549" s="14">
        <f>IFERROR(I1549/G1549,"")</f>
        <v>0.58888888888888891</v>
      </c>
      <c r="M1549" s="11" t="str">
        <f>IF(K1549&gt;=Paramètres!$F$6,"Très forte",IF(K1549&gt;=Paramètres!$F$5,"Forte",IF(K1549&gt;=Paramètres!$F$4,"Modérée","Faible")))</f>
        <v>Modérée</v>
      </c>
    </row>
    <row r="1550" spans="1:13">
      <c r="A1550" t="s">
        <v>1433</v>
      </c>
      <c r="B1550" s="11">
        <v>92</v>
      </c>
      <c r="C1550" t="s">
        <v>94</v>
      </c>
      <c r="D1550" t="s">
        <v>1248</v>
      </c>
      <c r="E1550" t="s">
        <v>1679</v>
      </c>
      <c r="F1550" t="s">
        <v>92</v>
      </c>
      <c r="G1550" s="12">
        <v>340</v>
      </c>
      <c r="H1550" s="12">
        <v>4648</v>
      </c>
      <c r="I1550" s="12">
        <v>423</v>
      </c>
      <c r="J1550" t="str">
        <f>VLOOKUP(B1550,Paramètres!$A$4:$C$11,3,FALSE)</f>
        <v>Petite couronne</v>
      </c>
      <c r="K1550" s="13">
        <f>IFERROR(H1550/G1550,"")</f>
        <v>13.670588235294117</v>
      </c>
      <c r="L1550" s="14">
        <f>IFERROR(I1550/G1550,"")</f>
        <v>1.2441176470588236</v>
      </c>
      <c r="M1550" s="11" t="str">
        <f>IF(K1550&gt;=Paramètres!$F$6,"Très forte",IF(K1550&gt;=Paramètres!$F$5,"Forte",IF(K1550&gt;=Paramètres!$F$4,"Modérée","Faible")))</f>
        <v>Modérée</v>
      </c>
    </row>
    <row r="1551" spans="1:13">
      <c r="A1551" t="s">
        <v>1304</v>
      </c>
      <c r="B1551" s="11">
        <v>92</v>
      </c>
      <c r="C1551" t="s">
        <v>94</v>
      </c>
      <c r="D1551" t="s">
        <v>1248</v>
      </c>
      <c r="E1551" t="s">
        <v>1249</v>
      </c>
      <c r="F1551" t="s">
        <v>92</v>
      </c>
      <c r="G1551" s="12">
        <v>520</v>
      </c>
      <c r="H1551" s="12">
        <v>6882</v>
      </c>
      <c r="I1551" s="12">
        <v>438</v>
      </c>
      <c r="J1551" t="str">
        <f>VLOOKUP(B1551,Paramètres!$A$4:$C$11,3,FALSE)</f>
        <v>Petite couronne</v>
      </c>
      <c r="K1551" s="13">
        <f>IFERROR(H1551/G1551,"")</f>
        <v>13.234615384615385</v>
      </c>
      <c r="L1551" s="14">
        <f>IFERROR(I1551/G1551,"")</f>
        <v>0.84230769230769231</v>
      </c>
      <c r="M1551" s="11" t="str">
        <f>IF(K1551&gt;=Paramètres!$F$6,"Très forte",IF(K1551&gt;=Paramètres!$F$5,"Forte",IF(K1551&gt;=Paramètres!$F$4,"Modérée","Faible")))</f>
        <v>Modérée</v>
      </c>
    </row>
    <row r="1552" spans="1:13">
      <c r="A1552" t="s">
        <v>1349</v>
      </c>
      <c r="B1552" s="11">
        <v>92</v>
      </c>
      <c r="C1552" t="s">
        <v>94</v>
      </c>
      <c r="D1552" t="s">
        <v>1248</v>
      </c>
      <c r="E1552" t="s">
        <v>1350</v>
      </c>
      <c r="F1552" t="s">
        <v>92</v>
      </c>
      <c r="G1552" s="12">
        <v>40</v>
      </c>
      <c r="H1552" s="12">
        <v>452</v>
      </c>
      <c r="I1552" s="12">
        <v>18</v>
      </c>
      <c r="J1552" t="str">
        <f>VLOOKUP(B1552,Paramètres!$A$4:$C$11,3,FALSE)</f>
        <v>Petite couronne</v>
      </c>
      <c r="K1552" s="13">
        <f>IFERROR(H1552/G1552,"")</f>
        <v>11.3</v>
      </c>
      <c r="L1552" s="14">
        <f>IFERROR(I1552/G1552,"")</f>
        <v>0.45</v>
      </c>
      <c r="M1552" s="11" t="str">
        <f>IF(K1552&gt;=Paramètres!$F$6,"Très forte",IF(K1552&gt;=Paramètres!$F$5,"Forte",IF(K1552&gt;=Paramètres!$F$4,"Modérée","Faible")))</f>
        <v>Modérée</v>
      </c>
    </row>
    <row r="1553" spans="1:13">
      <c r="A1553" t="s">
        <v>1347</v>
      </c>
      <c r="B1553" s="11">
        <v>93</v>
      </c>
      <c r="C1553" t="s">
        <v>100</v>
      </c>
      <c r="D1553" t="s">
        <v>1248</v>
      </c>
      <c r="E1553" t="s">
        <v>1348</v>
      </c>
      <c r="F1553" t="s">
        <v>92</v>
      </c>
      <c r="G1553" s="12">
        <v>105</v>
      </c>
      <c r="H1553" s="12">
        <v>1145</v>
      </c>
      <c r="I1553" s="12">
        <v>115</v>
      </c>
      <c r="J1553" t="str">
        <f>VLOOKUP(B1553,Paramètres!$A$4:$C$11,3,FALSE)</f>
        <v>Petite couronne</v>
      </c>
      <c r="K1553" s="13">
        <f>IFERROR(H1553/G1553,"")</f>
        <v>10.904761904761905</v>
      </c>
      <c r="L1553" s="14">
        <f>IFERROR(I1553/G1553,"")</f>
        <v>1.0952380952380953</v>
      </c>
      <c r="M1553" s="11" t="str">
        <f>IF(K1553&gt;=Paramètres!$F$6,"Très forte",IF(K1553&gt;=Paramètres!$F$5,"Forte",IF(K1553&gt;=Paramètres!$F$4,"Modérée","Faible")))</f>
        <v>Modérée</v>
      </c>
    </row>
    <row r="1554" spans="1:13">
      <c r="A1554" t="s">
        <v>1600</v>
      </c>
      <c r="B1554" s="11">
        <v>75</v>
      </c>
      <c r="C1554" t="s">
        <v>86</v>
      </c>
      <c r="D1554" t="s">
        <v>1248</v>
      </c>
      <c r="E1554" t="s">
        <v>1706</v>
      </c>
      <c r="F1554" t="s">
        <v>92</v>
      </c>
      <c r="G1554" s="12">
        <v>150</v>
      </c>
      <c r="H1554" s="12">
        <v>1563</v>
      </c>
      <c r="I1554" s="12">
        <v>148</v>
      </c>
      <c r="J1554" t="str">
        <f>VLOOKUP(B1554,Paramètres!$A$4:$C$11,3,FALSE)</f>
        <v>Paris</v>
      </c>
      <c r="K1554" s="13">
        <f>IFERROR(H1554/G1554,"")</f>
        <v>10.42</v>
      </c>
      <c r="L1554" s="14">
        <f>IFERROR(I1554/G1554,"")</f>
        <v>0.98666666666666669</v>
      </c>
      <c r="M1554" s="11" t="str">
        <f>IF(K1554&gt;=Paramètres!$F$6,"Très forte",IF(K1554&gt;=Paramètres!$F$5,"Forte",IF(K1554&gt;=Paramètres!$F$4,"Modérée","Faible")))</f>
        <v>Modérée</v>
      </c>
    </row>
    <row r="1555" spans="1:13">
      <c r="A1555" t="s">
        <v>1461</v>
      </c>
      <c r="B1555" s="11">
        <v>75</v>
      </c>
      <c r="C1555" t="s">
        <v>86</v>
      </c>
      <c r="D1555" t="s">
        <v>1248</v>
      </c>
      <c r="E1555" t="s">
        <v>1751</v>
      </c>
      <c r="F1555" t="s">
        <v>92</v>
      </c>
      <c r="G1555" s="12">
        <v>100</v>
      </c>
      <c r="H1555" s="12">
        <v>1022</v>
      </c>
      <c r="I1555" s="12">
        <v>65</v>
      </c>
      <c r="J1555" t="str">
        <f>VLOOKUP(B1555,Paramètres!$A$4:$C$11,3,FALSE)</f>
        <v>Paris</v>
      </c>
      <c r="K1555" s="13">
        <f>IFERROR(H1555/G1555,"")</f>
        <v>10.220000000000001</v>
      </c>
      <c r="L1555" s="14">
        <f>IFERROR(I1555/G1555,"")</f>
        <v>0.65</v>
      </c>
      <c r="M1555" s="11" t="str">
        <f>IF(K1555&gt;=Paramètres!$F$6,"Très forte",IF(K1555&gt;=Paramètres!$F$5,"Forte",IF(K1555&gt;=Paramètres!$F$4,"Modérée","Faible")))</f>
        <v>Modérée</v>
      </c>
    </row>
    <row r="1556" spans="1:13">
      <c r="A1556" t="s">
        <v>1425</v>
      </c>
      <c r="B1556" s="11">
        <v>75</v>
      </c>
      <c r="C1556" t="s">
        <v>86</v>
      </c>
      <c r="D1556" t="s">
        <v>1248</v>
      </c>
      <c r="E1556" t="s">
        <v>1426</v>
      </c>
      <c r="F1556" t="s">
        <v>92</v>
      </c>
      <c r="G1556" s="12">
        <v>80</v>
      </c>
      <c r="H1556" s="12">
        <v>776</v>
      </c>
      <c r="I1556" s="12">
        <v>47</v>
      </c>
      <c r="J1556" t="str">
        <f>VLOOKUP(B1556,Paramètres!$A$4:$C$11,3,FALSE)</f>
        <v>Paris</v>
      </c>
      <c r="K1556" s="13">
        <f>IFERROR(H1556/G1556,"")</f>
        <v>9.6999999999999993</v>
      </c>
      <c r="L1556" s="14">
        <f>IFERROR(I1556/G1556,"")</f>
        <v>0.58750000000000002</v>
      </c>
      <c r="M1556" s="11" t="str">
        <f>IF(K1556&gt;=Paramètres!$F$6,"Très forte",IF(K1556&gt;=Paramètres!$F$5,"Forte",IF(K1556&gt;=Paramètres!$F$4,"Modérée","Faible")))</f>
        <v>Faible</v>
      </c>
    </row>
    <row r="1557" spans="1:13">
      <c r="A1557" t="s">
        <v>1004</v>
      </c>
      <c r="B1557" s="11">
        <v>94</v>
      </c>
      <c r="C1557" t="s">
        <v>116</v>
      </c>
      <c r="D1557" t="s">
        <v>1248</v>
      </c>
      <c r="E1557" t="s">
        <v>1678</v>
      </c>
      <c r="F1557" t="s">
        <v>92</v>
      </c>
      <c r="G1557" s="12">
        <v>30</v>
      </c>
      <c r="H1557" s="12">
        <v>290</v>
      </c>
      <c r="I1557" s="12">
        <v>17</v>
      </c>
      <c r="J1557" t="str">
        <f>VLOOKUP(B1557,Paramètres!$A$4:$C$11,3,FALSE)</f>
        <v>Petite couronne</v>
      </c>
      <c r="K1557" s="13">
        <f>IFERROR(H1557/G1557,"")</f>
        <v>9.6666666666666661</v>
      </c>
      <c r="L1557" s="14">
        <f>IFERROR(I1557/G1557,"")</f>
        <v>0.56666666666666665</v>
      </c>
      <c r="M1557" s="11" t="str">
        <f>IF(K1557&gt;=Paramètres!$F$6,"Très forte",IF(K1557&gt;=Paramètres!$F$5,"Forte",IF(K1557&gt;=Paramètres!$F$4,"Modérée","Faible")))</f>
        <v>Faible</v>
      </c>
    </row>
    <row r="1558" spans="1:13">
      <c r="A1558" t="s">
        <v>1255</v>
      </c>
      <c r="B1558" s="11">
        <v>75</v>
      </c>
      <c r="C1558" t="s">
        <v>86</v>
      </c>
      <c r="D1558" t="s">
        <v>1248</v>
      </c>
      <c r="E1558" t="s">
        <v>1256</v>
      </c>
      <c r="F1558" t="s">
        <v>92</v>
      </c>
      <c r="G1558" s="12">
        <v>50</v>
      </c>
      <c r="H1558" s="12">
        <v>469</v>
      </c>
      <c r="I1558" s="12">
        <v>44</v>
      </c>
      <c r="J1558" t="str">
        <f>VLOOKUP(B1558,Paramètres!$A$4:$C$11,3,FALSE)</f>
        <v>Paris</v>
      </c>
      <c r="K1558" s="13">
        <f>IFERROR(H1558/G1558,"")</f>
        <v>9.3800000000000008</v>
      </c>
      <c r="L1558" s="14">
        <f>IFERROR(I1558/G1558,"")</f>
        <v>0.88</v>
      </c>
      <c r="M1558" s="11" t="str">
        <f>IF(K1558&gt;=Paramètres!$F$6,"Très forte",IF(K1558&gt;=Paramètres!$F$5,"Forte",IF(K1558&gt;=Paramètres!$F$4,"Modérée","Faible")))</f>
        <v>Faible</v>
      </c>
    </row>
    <row r="1559" spans="1:13">
      <c r="A1559" t="s">
        <v>1411</v>
      </c>
      <c r="B1559" s="11">
        <v>75</v>
      </c>
      <c r="C1559" t="s">
        <v>86</v>
      </c>
      <c r="D1559" t="s">
        <v>1248</v>
      </c>
      <c r="E1559" t="s">
        <v>1592</v>
      </c>
      <c r="F1559" t="s">
        <v>92</v>
      </c>
      <c r="G1559" s="12">
        <v>10</v>
      </c>
      <c r="H1559" s="12">
        <v>93</v>
      </c>
      <c r="I1559" s="12">
        <v>9</v>
      </c>
      <c r="J1559" t="str">
        <f>VLOOKUP(B1559,Paramètres!$A$4:$C$11,3,FALSE)</f>
        <v>Paris</v>
      </c>
      <c r="K1559" s="13">
        <f>IFERROR(H1559/G1559,"")</f>
        <v>9.3000000000000007</v>
      </c>
      <c r="L1559" s="14">
        <f>IFERROR(I1559/G1559,"")</f>
        <v>0.9</v>
      </c>
      <c r="M1559" s="11" t="str">
        <f>IF(K1559&gt;=Paramètres!$F$6,"Très forte",IF(K1559&gt;=Paramètres!$F$5,"Forte",IF(K1559&gt;=Paramètres!$F$4,"Modérée","Faible")))</f>
        <v>Faible</v>
      </c>
    </row>
    <row r="1560" spans="1:13">
      <c r="A1560" t="s">
        <v>1425</v>
      </c>
      <c r="B1560" s="11">
        <v>75</v>
      </c>
      <c r="C1560" t="s">
        <v>86</v>
      </c>
      <c r="D1560" t="s">
        <v>1248</v>
      </c>
      <c r="E1560" t="s">
        <v>1426</v>
      </c>
      <c r="F1560" t="s">
        <v>92</v>
      </c>
      <c r="G1560" s="12">
        <v>60</v>
      </c>
      <c r="H1560" s="12">
        <v>557</v>
      </c>
      <c r="I1560" s="12">
        <v>39</v>
      </c>
      <c r="J1560" t="str">
        <f>VLOOKUP(B1560,Paramètres!$A$4:$C$11,3,FALSE)</f>
        <v>Paris</v>
      </c>
      <c r="K1560" s="13">
        <f>IFERROR(H1560/G1560,"")</f>
        <v>9.2833333333333332</v>
      </c>
      <c r="L1560" s="14">
        <f>IFERROR(I1560/G1560,"")</f>
        <v>0.65</v>
      </c>
      <c r="M1560" s="11" t="str">
        <f>IF(K1560&gt;=Paramètres!$F$6,"Très forte",IF(K1560&gt;=Paramètres!$F$5,"Forte",IF(K1560&gt;=Paramètres!$F$4,"Modérée","Faible")))</f>
        <v>Faible</v>
      </c>
    </row>
    <row r="1561" spans="1:13">
      <c r="A1561" t="s">
        <v>1437</v>
      </c>
      <c r="B1561" s="11">
        <v>75</v>
      </c>
      <c r="C1561" t="s">
        <v>86</v>
      </c>
      <c r="D1561" t="s">
        <v>1248</v>
      </c>
      <c r="E1561" t="s">
        <v>1438</v>
      </c>
      <c r="F1561" t="s">
        <v>92</v>
      </c>
      <c r="G1561" s="12">
        <v>200</v>
      </c>
      <c r="H1561" s="12">
        <v>1845</v>
      </c>
      <c r="I1561" s="12">
        <v>203</v>
      </c>
      <c r="J1561" t="str">
        <f>VLOOKUP(B1561,Paramètres!$A$4:$C$11,3,FALSE)</f>
        <v>Paris</v>
      </c>
      <c r="K1561" s="13">
        <f>IFERROR(H1561/G1561,"")</f>
        <v>9.2249999999999996</v>
      </c>
      <c r="L1561" s="14">
        <f>IFERROR(I1561/G1561,"")</f>
        <v>1.0149999999999999</v>
      </c>
      <c r="M1561" s="11" t="str">
        <f>IF(K1561&gt;=Paramètres!$F$6,"Très forte",IF(K1561&gt;=Paramètres!$F$5,"Forte",IF(K1561&gt;=Paramètres!$F$4,"Modérée","Faible")))</f>
        <v>Faible</v>
      </c>
    </row>
    <row r="1562" spans="1:13">
      <c r="A1562" t="s">
        <v>1425</v>
      </c>
      <c r="B1562" s="11">
        <v>75</v>
      </c>
      <c r="C1562" t="s">
        <v>86</v>
      </c>
      <c r="D1562" t="s">
        <v>1248</v>
      </c>
      <c r="E1562" t="s">
        <v>1434</v>
      </c>
      <c r="F1562" t="s">
        <v>92</v>
      </c>
      <c r="G1562" s="12">
        <v>50</v>
      </c>
      <c r="H1562" s="12">
        <v>459</v>
      </c>
      <c r="I1562" s="12">
        <v>32</v>
      </c>
      <c r="J1562" t="str">
        <f>VLOOKUP(B1562,Paramètres!$A$4:$C$11,3,FALSE)</f>
        <v>Paris</v>
      </c>
      <c r="K1562" s="13">
        <f>IFERROR(H1562/G1562,"")</f>
        <v>9.18</v>
      </c>
      <c r="L1562" s="14">
        <f>IFERROR(I1562/G1562,"")</f>
        <v>0.64</v>
      </c>
      <c r="M1562" s="11" t="str">
        <f>IF(K1562&gt;=Paramètres!$F$6,"Très forte",IF(K1562&gt;=Paramètres!$F$5,"Forte",IF(K1562&gt;=Paramètres!$F$4,"Modérée","Faible")))</f>
        <v>Faible</v>
      </c>
    </row>
    <row r="1563" spans="1:13">
      <c r="A1563" t="s">
        <v>1349</v>
      </c>
      <c r="B1563" s="11">
        <v>92</v>
      </c>
      <c r="C1563" t="s">
        <v>94</v>
      </c>
      <c r="D1563" t="s">
        <v>1248</v>
      </c>
      <c r="E1563" t="s">
        <v>1350</v>
      </c>
      <c r="F1563" t="s">
        <v>92</v>
      </c>
      <c r="G1563" s="12">
        <v>30</v>
      </c>
      <c r="H1563" s="12">
        <v>273</v>
      </c>
      <c r="I1563" s="12">
        <v>5</v>
      </c>
      <c r="J1563" t="str">
        <f>VLOOKUP(B1563,Paramètres!$A$4:$C$11,3,FALSE)</f>
        <v>Petite couronne</v>
      </c>
      <c r="K1563" s="13">
        <f>IFERROR(H1563/G1563,"")</f>
        <v>9.1</v>
      </c>
      <c r="L1563" s="14">
        <f>IFERROR(I1563/G1563,"")</f>
        <v>0.16666666666666666</v>
      </c>
      <c r="M1563" s="11" t="str">
        <f>IF(K1563&gt;=Paramètres!$F$6,"Très forte",IF(K1563&gt;=Paramètres!$F$5,"Forte",IF(K1563&gt;=Paramètres!$F$4,"Modérée","Faible")))</f>
        <v>Faible</v>
      </c>
    </row>
    <row r="1564" spans="1:13">
      <c r="A1564" t="s">
        <v>1474</v>
      </c>
      <c r="B1564" s="11">
        <v>75</v>
      </c>
      <c r="C1564" t="s">
        <v>86</v>
      </c>
      <c r="D1564" t="s">
        <v>1248</v>
      </c>
      <c r="E1564" t="s">
        <v>1588</v>
      </c>
      <c r="F1564" t="s">
        <v>92</v>
      </c>
      <c r="G1564" s="12">
        <v>40</v>
      </c>
      <c r="H1564" s="12">
        <v>363</v>
      </c>
      <c r="I1564" s="12">
        <v>41</v>
      </c>
      <c r="J1564" t="str">
        <f>VLOOKUP(B1564,Paramètres!$A$4:$C$11,3,FALSE)</f>
        <v>Paris</v>
      </c>
      <c r="K1564" s="13">
        <f>IFERROR(H1564/G1564,"")</f>
        <v>9.0749999999999993</v>
      </c>
      <c r="L1564" s="14">
        <f>IFERROR(I1564/G1564,"")</f>
        <v>1.0249999999999999</v>
      </c>
      <c r="M1564" s="11" t="str">
        <f>IF(K1564&gt;=Paramètres!$F$6,"Très forte",IF(K1564&gt;=Paramètres!$F$5,"Forte",IF(K1564&gt;=Paramètres!$F$4,"Modérée","Faible")))</f>
        <v>Faible</v>
      </c>
    </row>
    <row r="1565" spans="1:13">
      <c r="A1565" t="s">
        <v>1580</v>
      </c>
      <c r="B1565" s="11">
        <v>92</v>
      </c>
      <c r="C1565" t="s">
        <v>94</v>
      </c>
      <c r="D1565" t="s">
        <v>1248</v>
      </c>
      <c r="E1565" t="s">
        <v>1581</v>
      </c>
      <c r="F1565" t="s">
        <v>92</v>
      </c>
      <c r="G1565" s="12">
        <v>120</v>
      </c>
      <c r="H1565" s="12">
        <v>1075</v>
      </c>
      <c r="I1565" s="12">
        <v>109</v>
      </c>
      <c r="J1565" t="str">
        <f>VLOOKUP(B1565,Paramètres!$A$4:$C$11,3,FALSE)</f>
        <v>Petite couronne</v>
      </c>
      <c r="K1565" s="13">
        <f>IFERROR(H1565/G1565,"")</f>
        <v>8.9583333333333339</v>
      </c>
      <c r="L1565" s="14">
        <f>IFERROR(I1565/G1565,"")</f>
        <v>0.90833333333333333</v>
      </c>
      <c r="M1565" s="11" t="str">
        <f>IF(K1565&gt;=Paramètres!$F$6,"Très forte",IF(K1565&gt;=Paramètres!$F$5,"Forte",IF(K1565&gt;=Paramètres!$F$4,"Modérée","Faible")))</f>
        <v>Faible</v>
      </c>
    </row>
    <row r="1566" spans="1:13">
      <c r="A1566" t="s">
        <v>1425</v>
      </c>
      <c r="B1566" s="11">
        <v>75</v>
      </c>
      <c r="C1566" t="s">
        <v>86</v>
      </c>
      <c r="D1566" t="s">
        <v>1248</v>
      </c>
      <c r="E1566" t="s">
        <v>1434</v>
      </c>
      <c r="F1566" t="s">
        <v>92</v>
      </c>
      <c r="G1566" s="12">
        <v>30</v>
      </c>
      <c r="H1566" s="12">
        <v>268</v>
      </c>
      <c r="I1566" s="12">
        <v>14</v>
      </c>
      <c r="J1566" t="str">
        <f>VLOOKUP(B1566,Paramètres!$A$4:$C$11,3,FALSE)</f>
        <v>Paris</v>
      </c>
      <c r="K1566" s="13">
        <f>IFERROR(H1566/G1566,"")</f>
        <v>8.9333333333333336</v>
      </c>
      <c r="L1566" s="14">
        <f>IFERROR(I1566/G1566,"")</f>
        <v>0.46666666666666667</v>
      </c>
      <c r="M1566" s="11" t="str">
        <f>IF(K1566&gt;=Paramètres!$F$6,"Très forte",IF(K1566&gt;=Paramètres!$F$5,"Forte",IF(K1566&gt;=Paramètres!$F$4,"Modérée","Faible")))</f>
        <v>Faible</v>
      </c>
    </row>
    <row r="1567" spans="1:13">
      <c r="A1567" t="s">
        <v>1580</v>
      </c>
      <c r="B1567" s="11">
        <v>92</v>
      </c>
      <c r="C1567" t="s">
        <v>94</v>
      </c>
      <c r="D1567" t="s">
        <v>1248</v>
      </c>
      <c r="E1567" t="s">
        <v>1679</v>
      </c>
      <c r="F1567" t="s">
        <v>92</v>
      </c>
      <c r="G1567" s="12">
        <v>570</v>
      </c>
      <c r="H1567" s="12">
        <v>5011</v>
      </c>
      <c r="I1567" s="12">
        <v>627</v>
      </c>
      <c r="J1567" t="str">
        <f>VLOOKUP(B1567,Paramètres!$A$4:$C$11,3,FALSE)</f>
        <v>Petite couronne</v>
      </c>
      <c r="K1567" s="13">
        <f>IFERROR(H1567/G1567,"")</f>
        <v>8.7912280701754391</v>
      </c>
      <c r="L1567" s="14">
        <f>IFERROR(I1567/G1567,"")</f>
        <v>1.1000000000000001</v>
      </c>
      <c r="M1567" s="11" t="str">
        <f>IF(K1567&gt;=Paramètres!$F$6,"Très forte",IF(K1567&gt;=Paramètres!$F$5,"Forte",IF(K1567&gt;=Paramètres!$F$4,"Modérée","Faible")))</f>
        <v>Faible</v>
      </c>
    </row>
    <row r="1568" spans="1:13">
      <c r="A1568" t="s">
        <v>1004</v>
      </c>
      <c r="B1568" s="11">
        <v>94</v>
      </c>
      <c r="C1568" t="s">
        <v>116</v>
      </c>
      <c r="D1568" t="s">
        <v>1248</v>
      </c>
      <c r="E1568" t="s">
        <v>1415</v>
      </c>
      <c r="F1568" t="s">
        <v>92</v>
      </c>
      <c r="G1568" s="12">
        <v>60</v>
      </c>
      <c r="H1568" s="12">
        <v>516</v>
      </c>
      <c r="I1568" s="12">
        <v>41</v>
      </c>
      <c r="J1568" t="str">
        <f>VLOOKUP(B1568,Paramètres!$A$4:$C$11,3,FALSE)</f>
        <v>Petite couronne</v>
      </c>
      <c r="K1568" s="13">
        <f>IFERROR(H1568/G1568,"")</f>
        <v>8.6</v>
      </c>
      <c r="L1568" s="14">
        <f>IFERROR(I1568/G1568,"")</f>
        <v>0.68333333333333335</v>
      </c>
      <c r="M1568" s="11" t="str">
        <f>IF(K1568&gt;=Paramètres!$F$6,"Très forte",IF(K1568&gt;=Paramètres!$F$5,"Forte",IF(K1568&gt;=Paramètres!$F$4,"Modérée","Faible")))</f>
        <v>Faible</v>
      </c>
    </row>
    <row r="1569" spans="1:13">
      <c r="A1569" t="s">
        <v>1425</v>
      </c>
      <c r="B1569" s="11">
        <v>75</v>
      </c>
      <c r="C1569" t="s">
        <v>86</v>
      </c>
      <c r="D1569" t="s">
        <v>1248</v>
      </c>
      <c r="E1569" t="s">
        <v>1434</v>
      </c>
      <c r="F1569" t="s">
        <v>92</v>
      </c>
      <c r="G1569" s="12">
        <v>70</v>
      </c>
      <c r="H1569" s="12">
        <v>583</v>
      </c>
      <c r="I1569" s="12">
        <v>47</v>
      </c>
      <c r="J1569" t="str">
        <f>VLOOKUP(B1569,Paramètres!$A$4:$C$11,3,FALSE)</f>
        <v>Paris</v>
      </c>
      <c r="K1569" s="13">
        <f>IFERROR(H1569/G1569,"")</f>
        <v>8.3285714285714292</v>
      </c>
      <c r="L1569" s="14">
        <f>IFERROR(I1569/G1569,"")</f>
        <v>0.67142857142857137</v>
      </c>
      <c r="M1569" s="11" t="str">
        <f>IF(K1569&gt;=Paramètres!$F$6,"Très forte",IF(K1569&gt;=Paramètres!$F$5,"Forte",IF(K1569&gt;=Paramètres!$F$4,"Modérée","Faible")))</f>
        <v>Faible</v>
      </c>
    </row>
    <row r="1570" spans="1:13">
      <c r="A1570" t="s">
        <v>1766</v>
      </c>
      <c r="B1570" s="11">
        <v>75</v>
      </c>
      <c r="C1570" t="s">
        <v>86</v>
      </c>
      <c r="D1570" t="s">
        <v>1248</v>
      </c>
      <c r="E1570" t="s">
        <v>1767</v>
      </c>
      <c r="F1570" t="s">
        <v>92</v>
      </c>
      <c r="G1570" s="12">
        <v>40</v>
      </c>
      <c r="H1570" s="12">
        <v>326</v>
      </c>
      <c r="I1570" s="12">
        <v>0</v>
      </c>
      <c r="J1570" t="str">
        <f>VLOOKUP(B1570,Paramètres!$A$4:$C$11,3,FALSE)</f>
        <v>Paris</v>
      </c>
      <c r="K1570" s="13">
        <f>IFERROR(H1570/G1570,"")</f>
        <v>8.15</v>
      </c>
      <c r="L1570" s="14">
        <f>IFERROR(I1570/G1570,"")</f>
        <v>0</v>
      </c>
      <c r="M1570" s="11" t="str">
        <f>IF(K1570&gt;=Paramètres!$F$6,"Très forte",IF(K1570&gt;=Paramètres!$F$5,"Forte",IF(K1570&gt;=Paramètres!$F$4,"Modérée","Faible")))</f>
        <v>Faible</v>
      </c>
    </row>
    <row r="1571" spans="1:13">
      <c r="A1571" t="s">
        <v>1432</v>
      </c>
      <c r="B1571" s="11">
        <v>92</v>
      </c>
      <c r="C1571" t="s">
        <v>94</v>
      </c>
      <c r="D1571" t="s">
        <v>1248</v>
      </c>
      <c r="E1571" t="s">
        <v>1851</v>
      </c>
      <c r="F1571" t="s">
        <v>92</v>
      </c>
      <c r="G1571" s="12">
        <v>50</v>
      </c>
      <c r="H1571" s="12">
        <v>394</v>
      </c>
      <c r="I1571" s="12">
        <v>43</v>
      </c>
      <c r="J1571" t="str">
        <f>VLOOKUP(B1571,Paramètres!$A$4:$C$11,3,FALSE)</f>
        <v>Petite couronne</v>
      </c>
      <c r="K1571" s="13">
        <f>IFERROR(H1571/G1571,"")</f>
        <v>7.88</v>
      </c>
      <c r="L1571" s="14">
        <f>IFERROR(I1571/G1571,"")</f>
        <v>0.86</v>
      </c>
      <c r="M1571" s="11" t="str">
        <f>IF(K1571&gt;=Paramètres!$F$6,"Très forte",IF(K1571&gt;=Paramètres!$F$5,"Forte",IF(K1571&gt;=Paramètres!$F$4,"Modérée","Faible")))</f>
        <v>Faible</v>
      </c>
    </row>
    <row r="1572" spans="1:13">
      <c r="A1572" t="s">
        <v>89</v>
      </c>
      <c r="B1572" s="11">
        <v>95</v>
      </c>
      <c r="C1572" t="s">
        <v>90</v>
      </c>
      <c r="D1572" t="s">
        <v>1248</v>
      </c>
      <c r="E1572" t="s">
        <v>1309</v>
      </c>
      <c r="F1572" t="s">
        <v>92</v>
      </c>
      <c r="G1572" s="12">
        <v>20</v>
      </c>
      <c r="H1572" s="12">
        <v>157</v>
      </c>
      <c r="I1572" s="12">
        <v>13</v>
      </c>
      <c r="J1572" t="str">
        <f>VLOOKUP(B1572,Paramètres!$A$4:$C$11,3,FALSE)</f>
        <v>Grande couronne</v>
      </c>
      <c r="K1572" s="13">
        <f>IFERROR(H1572/G1572,"")</f>
        <v>7.85</v>
      </c>
      <c r="L1572" s="14">
        <f>IFERROR(I1572/G1572,"")</f>
        <v>0.65</v>
      </c>
      <c r="M1572" s="11" t="str">
        <f>IF(K1572&gt;=Paramètres!$F$6,"Très forte",IF(K1572&gt;=Paramètres!$F$5,"Forte",IF(K1572&gt;=Paramètres!$F$4,"Modérée","Faible")))</f>
        <v>Faible</v>
      </c>
    </row>
    <row r="1573" spans="1:13">
      <c r="A1573" t="s">
        <v>1693</v>
      </c>
      <c r="B1573" s="11">
        <v>95</v>
      </c>
      <c r="C1573" t="s">
        <v>90</v>
      </c>
      <c r="D1573" t="s">
        <v>1248</v>
      </c>
      <c r="E1573" t="s">
        <v>1795</v>
      </c>
      <c r="F1573" t="s">
        <v>92</v>
      </c>
      <c r="G1573" s="12">
        <v>60</v>
      </c>
      <c r="H1573" s="12">
        <v>461</v>
      </c>
      <c r="I1573" s="12">
        <v>51</v>
      </c>
      <c r="J1573" t="str">
        <f>VLOOKUP(B1573,Paramètres!$A$4:$C$11,3,FALSE)</f>
        <v>Grande couronne</v>
      </c>
      <c r="K1573" s="13">
        <f>IFERROR(H1573/G1573,"")</f>
        <v>7.6833333333333336</v>
      </c>
      <c r="L1573" s="14">
        <f>IFERROR(I1573/G1573,"")</f>
        <v>0.85</v>
      </c>
      <c r="M1573" s="11" t="str">
        <f>IF(K1573&gt;=Paramètres!$F$6,"Très forte",IF(K1573&gt;=Paramètres!$F$5,"Forte",IF(K1573&gt;=Paramètres!$F$4,"Modérée","Faible")))</f>
        <v>Faible</v>
      </c>
    </row>
    <row r="1574" spans="1:13">
      <c r="A1574" t="s">
        <v>1315</v>
      </c>
      <c r="B1574" s="11">
        <v>75</v>
      </c>
      <c r="C1574" t="s">
        <v>86</v>
      </c>
      <c r="D1574" t="s">
        <v>1248</v>
      </c>
      <c r="E1574" t="s">
        <v>1316</v>
      </c>
      <c r="F1574" t="s">
        <v>92</v>
      </c>
      <c r="G1574" s="12">
        <v>25</v>
      </c>
      <c r="H1574" s="12">
        <v>192</v>
      </c>
      <c r="I1574" s="12">
        <v>13</v>
      </c>
      <c r="J1574" t="str">
        <f>VLOOKUP(B1574,Paramètres!$A$4:$C$11,3,FALSE)</f>
        <v>Paris</v>
      </c>
      <c r="K1574" s="13">
        <f>IFERROR(H1574/G1574,"")</f>
        <v>7.68</v>
      </c>
      <c r="L1574" s="14">
        <f>IFERROR(I1574/G1574,"")</f>
        <v>0.52</v>
      </c>
      <c r="M1574" s="11" t="str">
        <f>IF(K1574&gt;=Paramètres!$F$6,"Très forte",IF(K1574&gt;=Paramètres!$F$5,"Forte",IF(K1574&gt;=Paramètres!$F$4,"Modérée","Faible")))</f>
        <v>Faible</v>
      </c>
    </row>
    <row r="1575" spans="1:13">
      <c r="A1575" t="s">
        <v>1306</v>
      </c>
      <c r="B1575" s="11">
        <v>94</v>
      </c>
      <c r="C1575" t="s">
        <v>116</v>
      </c>
      <c r="D1575" t="s">
        <v>1248</v>
      </c>
      <c r="E1575" t="s">
        <v>1483</v>
      </c>
      <c r="F1575" t="s">
        <v>92</v>
      </c>
      <c r="G1575" s="12">
        <v>50</v>
      </c>
      <c r="H1575" s="12">
        <v>378</v>
      </c>
      <c r="I1575" s="12">
        <v>23</v>
      </c>
      <c r="J1575" t="str">
        <f>VLOOKUP(B1575,Paramètres!$A$4:$C$11,3,FALSE)</f>
        <v>Petite couronne</v>
      </c>
      <c r="K1575" s="13">
        <f>IFERROR(H1575/G1575,"")</f>
        <v>7.56</v>
      </c>
      <c r="L1575" s="14">
        <f>IFERROR(I1575/G1575,"")</f>
        <v>0.46</v>
      </c>
      <c r="M1575" s="11" t="str">
        <f>IF(K1575&gt;=Paramètres!$F$6,"Très forte",IF(K1575&gt;=Paramètres!$F$5,"Forte",IF(K1575&gt;=Paramètres!$F$4,"Modérée","Faible")))</f>
        <v>Faible</v>
      </c>
    </row>
    <row r="1576" spans="1:13">
      <c r="A1576" t="s">
        <v>1004</v>
      </c>
      <c r="B1576" s="11">
        <v>94</v>
      </c>
      <c r="C1576" t="s">
        <v>116</v>
      </c>
      <c r="D1576" t="s">
        <v>1248</v>
      </c>
      <c r="E1576" t="s">
        <v>1593</v>
      </c>
      <c r="F1576" t="s">
        <v>92</v>
      </c>
      <c r="G1576" s="12">
        <v>30</v>
      </c>
      <c r="H1576" s="12">
        <v>210</v>
      </c>
      <c r="I1576" s="12">
        <v>12</v>
      </c>
      <c r="J1576" t="str">
        <f>VLOOKUP(B1576,Paramètres!$A$4:$C$11,3,FALSE)</f>
        <v>Petite couronne</v>
      </c>
      <c r="K1576" s="13">
        <f>IFERROR(H1576/G1576,"")</f>
        <v>7</v>
      </c>
      <c r="L1576" s="14">
        <f>IFERROR(I1576/G1576,"")</f>
        <v>0.4</v>
      </c>
      <c r="M1576" s="11" t="str">
        <f>IF(K1576&gt;=Paramètres!$F$6,"Très forte",IF(K1576&gt;=Paramètres!$F$5,"Forte",IF(K1576&gt;=Paramètres!$F$4,"Modérée","Faible")))</f>
        <v>Faible</v>
      </c>
    </row>
    <row r="1577" spans="1:13">
      <c r="A1577" t="s">
        <v>1664</v>
      </c>
      <c r="B1577" s="11">
        <v>91</v>
      </c>
      <c r="C1577" t="s">
        <v>105</v>
      </c>
      <c r="D1577" t="s">
        <v>1248</v>
      </c>
      <c r="E1577" t="s">
        <v>1665</v>
      </c>
      <c r="F1577" t="s">
        <v>92</v>
      </c>
      <c r="G1577" s="12">
        <v>90</v>
      </c>
      <c r="H1577" s="12">
        <v>597</v>
      </c>
      <c r="I1577" s="12">
        <v>89</v>
      </c>
      <c r="J1577" t="str">
        <f>VLOOKUP(B1577,Paramètres!$A$4:$C$11,3,FALSE)</f>
        <v>Grande couronne</v>
      </c>
      <c r="K1577" s="13">
        <f>IFERROR(H1577/G1577,"")</f>
        <v>6.6333333333333337</v>
      </c>
      <c r="L1577" s="14">
        <f>IFERROR(I1577/G1577,"")</f>
        <v>0.98888888888888893</v>
      </c>
      <c r="M1577" s="11" t="str">
        <f>IF(K1577&gt;=Paramètres!$F$6,"Très forte",IF(K1577&gt;=Paramètres!$F$5,"Forte",IF(K1577&gt;=Paramètres!$F$4,"Modérée","Faible")))</f>
        <v>Faible</v>
      </c>
    </row>
    <row r="1578" spans="1:13">
      <c r="A1578" t="s">
        <v>1315</v>
      </c>
      <c r="B1578" s="11">
        <v>75</v>
      </c>
      <c r="C1578" t="s">
        <v>86</v>
      </c>
      <c r="D1578" t="s">
        <v>1248</v>
      </c>
      <c r="E1578" t="s">
        <v>1840</v>
      </c>
      <c r="F1578" t="s">
        <v>92</v>
      </c>
      <c r="G1578" s="12">
        <v>30</v>
      </c>
      <c r="H1578" s="12">
        <v>198</v>
      </c>
      <c r="I1578" s="12">
        <v>14</v>
      </c>
      <c r="J1578" t="str">
        <f>VLOOKUP(B1578,Paramètres!$A$4:$C$11,3,FALSE)</f>
        <v>Paris</v>
      </c>
      <c r="K1578" s="13">
        <f>IFERROR(H1578/G1578,"")</f>
        <v>6.6</v>
      </c>
      <c r="L1578" s="14">
        <f>IFERROR(I1578/G1578,"")</f>
        <v>0.46666666666666667</v>
      </c>
      <c r="M1578" s="11" t="str">
        <f>IF(K1578&gt;=Paramètres!$F$6,"Très forte",IF(K1578&gt;=Paramètres!$F$5,"Forte",IF(K1578&gt;=Paramètres!$F$4,"Modérée","Faible")))</f>
        <v>Faible</v>
      </c>
    </row>
    <row r="1579" spans="1:13">
      <c r="A1579" t="s">
        <v>1347</v>
      </c>
      <c r="B1579" s="11">
        <v>93</v>
      </c>
      <c r="C1579" t="s">
        <v>100</v>
      </c>
      <c r="D1579" t="s">
        <v>1248</v>
      </c>
      <c r="E1579" t="s">
        <v>1606</v>
      </c>
      <c r="F1579" t="s">
        <v>92</v>
      </c>
      <c r="G1579" s="12">
        <v>30</v>
      </c>
      <c r="H1579" s="12">
        <v>197</v>
      </c>
      <c r="I1579" s="12">
        <v>32</v>
      </c>
      <c r="J1579" t="str">
        <f>VLOOKUP(B1579,Paramètres!$A$4:$C$11,3,FALSE)</f>
        <v>Petite couronne</v>
      </c>
      <c r="K1579" s="13">
        <f>IFERROR(H1579/G1579,"")</f>
        <v>6.5666666666666664</v>
      </c>
      <c r="L1579" s="14">
        <f>IFERROR(I1579/G1579,"")</f>
        <v>1.0666666666666667</v>
      </c>
      <c r="M1579" s="11" t="str">
        <f>IF(K1579&gt;=Paramètres!$F$6,"Très forte",IF(K1579&gt;=Paramètres!$F$5,"Forte",IF(K1579&gt;=Paramètres!$F$4,"Modérée","Faible")))</f>
        <v>Faible</v>
      </c>
    </row>
    <row r="1580" spans="1:13">
      <c r="A1580" t="s">
        <v>1307</v>
      </c>
      <c r="B1580" s="11">
        <v>91</v>
      </c>
      <c r="C1580" t="s">
        <v>105</v>
      </c>
      <c r="D1580" t="s">
        <v>1248</v>
      </c>
      <c r="E1580" t="s">
        <v>1308</v>
      </c>
      <c r="F1580" t="s">
        <v>92</v>
      </c>
      <c r="G1580" s="12">
        <v>15</v>
      </c>
      <c r="H1580" s="12">
        <v>98</v>
      </c>
      <c r="I1580" s="12">
        <v>6</v>
      </c>
      <c r="J1580" t="str">
        <f>VLOOKUP(B1580,Paramètres!$A$4:$C$11,3,FALSE)</f>
        <v>Grande couronne</v>
      </c>
      <c r="K1580" s="13">
        <f>IFERROR(H1580/G1580,"")</f>
        <v>6.5333333333333332</v>
      </c>
      <c r="L1580" s="14">
        <f>IFERROR(I1580/G1580,"")</f>
        <v>0.4</v>
      </c>
      <c r="M1580" s="11" t="str">
        <f>IF(K1580&gt;=Paramètres!$F$6,"Très forte",IF(K1580&gt;=Paramètres!$F$5,"Forte",IF(K1580&gt;=Paramètres!$F$4,"Modérée","Faible")))</f>
        <v>Faible</v>
      </c>
    </row>
    <row r="1581" spans="1:13">
      <c r="A1581" t="s">
        <v>1004</v>
      </c>
      <c r="B1581" s="11">
        <v>94</v>
      </c>
      <c r="C1581" t="s">
        <v>116</v>
      </c>
      <c r="D1581" t="s">
        <v>1248</v>
      </c>
      <c r="E1581" t="s">
        <v>1794</v>
      </c>
      <c r="F1581" t="s">
        <v>92</v>
      </c>
      <c r="G1581" s="12">
        <v>32</v>
      </c>
      <c r="H1581" s="12">
        <v>207</v>
      </c>
      <c r="I1581" s="12">
        <v>10</v>
      </c>
      <c r="J1581" t="str">
        <f>VLOOKUP(B1581,Paramètres!$A$4:$C$11,3,FALSE)</f>
        <v>Petite couronne</v>
      </c>
      <c r="K1581" s="13">
        <f>IFERROR(H1581/G1581,"")</f>
        <v>6.46875</v>
      </c>
      <c r="L1581" s="14">
        <f>IFERROR(I1581/G1581,"")</f>
        <v>0.3125</v>
      </c>
      <c r="M1581" s="11" t="str">
        <f>IF(K1581&gt;=Paramètres!$F$6,"Très forte",IF(K1581&gt;=Paramètres!$F$5,"Forte",IF(K1581&gt;=Paramètres!$F$4,"Modérée","Faible")))</f>
        <v>Faible</v>
      </c>
    </row>
    <row r="1582" spans="1:13">
      <c r="A1582" t="s">
        <v>1604</v>
      </c>
      <c r="B1582" s="11">
        <v>77</v>
      </c>
      <c r="C1582" t="s">
        <v>132</v>
      </c>
      <c r="D1582" t="s">
        <v>1248</v>
      </c>
      <c r="E1582" t="s">
        <v>1308</v>
      </c>
      <c r="F1582" t="s">
        <v>92</v>
      </c>
      <c r="G1582" s="12">
        <v>15</v>
      </c>
      <c r="H1582" s="12">
        <v>87</v>
      </c>
      <c r="I1582" s="12">
        <v>5</v>
      </c>
      <c r="J1582" t="str">
        <f>VLOOKUP(B1582,Paramètres!$A$4:$C$11,3,FALSE)</f>
        <v>Grande couronne</v>
      </c>
      <c r="K1582" s="13">
        <f>IFERROR(H1582/G1582,"")</f>
        <v>5.8</v>
      </c>
      <c r="L1582" s="14">
        <f>IFERROR(I1582/G1582,"")</f>
        <v>0.33333333333333331</v>
      </c>
      <c r="M1582" s="11" t="str">
        <f>IF(K1582&gt;=Paramètres!$F$6,"Très forte",IF(K1582&gt;=Paramètres!$F$5,"Forte",IF(K1582&gt;=Paramètres!$F$4,"Modérée","Faible")))</f>
        <v>Faible</v>
      </c>
    </row>
    <row r="1583" spans="1:13">
      <c r="A1583" t="s">
        <v>1315</v>
      </c>
      <c r="B1583" s="11">
        <v>75</v>
      </c>
      <c r="C1583" t="s">
        <v>86</v>
      </c>
      <c r="D1583" t="s">
        <v>1248</v>
      </c>
      <c r="E1583" t="s">
        <v>1549</v>
      </c>
      <c r="F1583" t="s">
        <v>92</v>
      </c>
      <c r="G1583" s="12">
        <v>45</v>
      </c>
      <c r="H1583" s="12">
        <v>259</v>
      </c>
      <c r="I1583" s="12">
        <v>24</v>
      </c>
      <c r="J1583" t="str">
        <f>VLOOKUP(B1583,Paramètres!$A$4:$C$11,3,FALSE)</f>
        <v>Paris</v>
      </c>
      <c r="K1583" s="13">
        <f>IFERROR(H1583/G1583,"")</f>
        <v>5.7555555555555555</v>
      </c>
      <c r="L1583" s="14">
        <f>IFERROR(I1583/G1583,"")</f>
        <v>0.53333333333333333</v>
      </c>
      <c r="M1583" s="11" t="str">
        <f>IF(K1583&gt;=Paramètres!$F$6,"Très forte",IF(K1583&gt;=Paramètres!$F$5,"Forte",IF(K1583&gt;=Paramètres!$F$4,"Modérée","Faible")))</f>
        <v>Faible</v>
      </c>
    </row>
    <row r="1584" spans="1:13">
      <c r="A1584" t="s">
        <v>1798</v>
      </c>
      <c r="B1584" s="11">
        <v>78</v>
      </c>
      <c r="C1584" t="s">
        <v>135</v>
      </c>
      <c r="D1584" t="s">
        <v>1248</v>
      </c>
      <c r="E1584" t="s">
        <v>1308</v>
      </c>
      <c r="F1584" t="s">
        <v>92</v>
      </c>
      <c r="G1584" s="12">
        <v>15</v>
      </c>
      <c r="H1584" s="12">
        <v>84</v>
      </c>
      <c r="I1584" s="12">
        <v>7</v>
      </c>
      <c r="J1584" t="str">
        <f>VLOOKUP(B1584,Paramètres!$A$4:$C$11,3,FALSE)</f>
        <v>Grande couronne</v>
      </c>
      <c r="K1584" s="13">
        <f>IFERROR(H1584/G1584,"")</f>
        <v>5.6</v>
      </c>
      <c r="L1584" s="14">
        <f>IFERROR(I1584/G1584,"")</f>
        <v>0.46666666666666667</v>
      </c>
      <c r="M1584" s="11" t="str">
        <f>IF(K1584&gt;=Paramètres!$F$6,"Très forte",IF(K1584&gt;=Paramètres!$F$5,"Forte",IF(K1584&gt;=Paramètres!$F$4,"Modérée","Faible")))</f>
        <v>Faible</v>
      </c>
    </row>
    <row r="1585" spans="1:13">
      <c r="A1585" t="s">
        <v>1461</v>
      </c>
      <c r="B1585" s="11">
        <v>75</v>
      </c>
      <c r="C1585" t="s">
        <v>86</v>
      </c>
      <c r="D1585" t="s">
        <v>1248</v>
      </c>
      <c r="E1585" t="s">
        <v>1462</v>
      </c>
      <c r="F1585" t="s">
        <v>92</v>
      </c>
      <c r="G1585" s="12">
        <v>250</v>
      </c>
      <c r="H1585" s="12">
        <v>1308</v>
      </c>
      <c r="I1585" s="12">
        <v>122</v>
      </c>
      <c r="J1585" t="str">
        <f>VLOOKUP(B1585,Paramètres!$A$4:$C$11,3,FALSE)</f>
        <v>Paris</v>
      </c>
      <c r="K1585" s="13">
        <f>IFERROR(H1585/G1585,"")</f>
        <v>5.2320000000000002</v>
      </c>
      <c r="L1585" s="14">
        <f>IFERROR(I1585/G1585,"")</f>
        <v>0.48799999999999999</v>
      </c>
      <c r="M1585" s="11" t="str">
        <f>IF(K1585&gt;=Paramètres!$F$6,"Très forte",IF(K1585&gt;=Paramètres!$F$5,"Forte",IF(K1585&gt;=Paramètres!$F$4,"Modérée","Faible")))</f>
        <v>Faible</v>
      </c>
    </row>
    <row r="1586" spans="1:13">
      <c r="A1586" t="s">
        <v>1431</v>
      </c>
      <c r="B1586" s="11">
        <v>92</v>
      </c>
      <c r="C1586" t="s">
        <v>94</v>
      </c>
      <c r="D1586" t="s">
        <v>1248</v>
      </c>
      <c r="E1586" t="s">
        <v>1686</v>
      </c>
      <c r="F1586" t="s">
        <v>92</v>
      </c>
      <c r="G1586" s="12">
        <v>20</v>
      </c>
      <c r="H1586" s="12">
        <v>104</v>
      </c>
      <c r="I1586" s="12">
        <v>14</v>
      </c>
      <c r="J1586" t="str">
        <f>VLOOKUP(B1586,Paramètres!$A$4:$C$11,3,FALSE)</f>
        <v>Petite couronne</v>
      </c>
      <c r="K1586" s="13">
        <f>IFERROR(H1586/G1586,"")</f>
        <v>5.2</v>
      </c>
      <c r="L1586" s="14">
        <f>IFERROR(I1586/G1586,"")</f>
        <v>0.7</v>
      </c>
      <c r="M1586" s="11" t="str">
        <f>IF(K1586&gt;=Paramètres!$F$6,"Très forte",IF(K1586&gt;=Paramètres!$F$5,"Forte",IF(K1586&gt;=Paramètres!$F$4,"Modérée","Faible")))</f>
        <v>Faible</v>
      </c>
    </row>
    <row r="1587" spans="1:13">
      <c r="A1587" t="s">
        <v>1306</v>
      </c>
      <c r="B1587" s="11">
        <v>94</v>
      </c>
      <c r="C1587" t="s">
        <v>116</v>
      </c>
      <c r="D1587" t="s">
        <v>1248</v>
      </c>
      <c r="E1587" t="s">
        <v>1482</v>
      </c>
      <c r="F1587" t="s">
        <v>92</v>
      </c>
      <c r="G1587" s="12">
        <v>20</v>
      </c>
      <c r="H1587" s="12">
        <v>101</v>
      </c>
      <c r="I1587" s="12">
        <v>9</v>
      </c>
      <c r="J1587" t="str">
        <f>VLOOKUP(B1587,Paramètres!$A$4:$C$11,3,FALSE)</f>
        <v>Petite couronne</v>
      </c>
      <c r="K1587" s="13">
        <f>IFERROR(H1587/G1587,"")</f>
        <v>5.05</v>
      </c>
      <c r="L1587" s="14">
        <f>IFERROR(I1587/G1587,"")</f>
        <v>0.45</v>
      </c>
      <c r="M1587" s="11" t="str">
        <f>IF(K1587&gt;=Paramètres!$F$6,"Très forte",IF(K1587&gt;=Paramètres!$F$5,"Forte",IF(K1587&gt;=Paramètres!$F$4,"Modérée","Faible")))</f>
        <v>Faible</v>
      </c>
    </row>
    <row r="1588" spans="1:13">
      <c r="A1588" t="s">
        <v>1465</v>
      </c>
      <c r="B1588" s="11">
        <v>75</v>
      </c>
      <c r="C1588" t="s">
        <v>86</v>
      </c>
      <c r="D1588" t="s">
        <v>1248</v>
      </c>
      <c r="E1588" t="s">
        <v>1612</v>
      </c>
      <c r="F1588" t="s">
        <v>92</v>
      </c>
      <c r="G1588" s="12">
        <v>30</v>
      </c>
      <c r="H1588" s="12">
        <v>145</v>
      </c>
      <c r="I1588" s="12">
        <v>11</v>
      </c>
      <c r="J1588" t="str">
        <f>VLOOKUP(B1588,Paramètres!$A$4:$C$11,3,FALSE)</f>
        <v>Paris</v>
      </c>
      <c r="K1588" s="13">
        <f>IFERROR(H1588/G1588,"")</f>
        <v>4.833333333333333</v>
      </c>
      <c r="L1588" s="14">
        <f>IFERROR(I1588/G1588,"")</f>
        <v>0.36666666666666664</v>
      </c>
      <c r="M1588" s="11" t="str">
        <f>IF(K1588&gt;=Paramètres!$F$6,"Très forte",IF(K1588&gt;=Paramètres!$F$5,"Forte",IF(K1588&gt;=Paramètres!$F$4,"Modérée","Faible")))</f>
        <v>Faible</v>
      </c>
    </row>
    <row r="1589" spans="1:13">
      <c r="A1589" t="s">
        <v>1431</v>
      </c>
      <c r="B1589" s="11">
        <v>92</v>
      </c>
      <c r="C1589" t="s">
        <v>94</v>
      </c>
      <c r="D1589" t="s">
        <v>1248</v>
      </c>
      <c r="E1589" t="s">
        <v>1686</v>
      </c>
      <c r="F1589" t="s">
        <v>92</v>
      </c>
      <c r="G1589" s="12">
        <v>60</v>
      </c>
      <c r="H1589" s="12">
        <v>290</v>
      </c>
      <c r="I1589" s="12">
        <v>39</v>
      </c>
      <c r="J1589" t="str">
        <f>VLOOKUP(B1589,Paramètres!$A$4:$C$11,3,FALSE)</f>
        <v>Petite couronne</v>
      </c>
      <c r="K1589" s="13">
        <f>IFERROR(H1589/G1589,"")</f>
        <v>4.833333333333333</v>
      </c>
      <c r="L1589" s="14">
        <f>IFERROR(I1589/G1589,"")</f>
        <v>0.65</v>
      </c>
      <c r="M1589" s="11" t="str">
        <f>IF(K1589&gt;=Paramètres!$F$6,"Très forte",IF(K1589&gt;=Paramètres!$F$5,"Forte",IF(K1589&gt;=Paramètres!$F$4,"Modérée","Faible")))</f>
        <v>Faible</v>
      </c>
    </row>
    <row r="1590" spans="1:13">
      <c r="A1590" t="s">
        <v>902</v>
      </c>
      <c r="B1590" s="11">
        <v>75</v>
      </c>
      <c r="C1590" t="s">
        <v>86</v>
      </c>
      <c r="D1590" t="s">
        <v>1248</v>
      </c>
      <c r="E1590" t="s">
        <v>1319</v>
      </c>
      <c r="F1590" t="s">
        <v>92</v>
      </c>
      <c r="G1590" s="12">
        <v>120</v>
      </c>
      <c r="H1590" s="12">
        <v>573</v>
      </c>
      <c r="I1590" s="12">
        <v>41</v>
      </c>
      <c r="J1590" t="str">
        <f>VLOOKUP(B1590,Paramètres!$A$4:$C$11,3,FALSE)</f>
        <v>Paris</v>
      </c>
      <c r="K1590" s="13">
        <f>IFERROR(H1590/G1590,"")</f>
        <v>4.7750000000000004</v>
      </c>
      <c r="L1590" s="14">
        <f>IFERROR(I1590/G1590,"")</f>
        <v>0.34166666666666667</v>
      </c>
      <c r="M1590" s="11" t="str">
        <f>IF(K1590&gt;=Paramètres!$F$6,"Très forte",IF(K1590&gt;=Paramètres!$F$5,"Forte",IF(K1590&gt;=Paramètres!$F$4,"Modérée","Faible")))</f>
        <v>Faible</v>
      </c>
    </row>
    <row r="1591" spans="1:13">
      <c r="A1591" t="s">
        <v>1255</v>
      </c>
      <c r="B1591" s="11">
        <v>75</v>
      </c>
      <c r="C1591" t="s">
        <v>86</v>
      </c>
      <c r="D1591" t="s">
        <v>1248</v>
      </c>
      <c r="E1591" t="s">
        <v>1256</v>
      </c>
      <c r="F1591" t="s">
        <v>92</v>
      </c>
      <c r="G1591" s="12">
        <v>200</v>
      </c>
      <c r="H1591" s="12">
        <v>838</v>
      </c>
      <c r="I1591" s="12">
        <v>83</v>
      </c>
      <c r="J1591" t="str">
        <f>VLOOKUP(B1591,Paramètres!$A$4:$C$11,3,FALSE)</f>
        <v>Paris</v>
      </c>
      <c r="K1591" s="13">
        <f>IFERROR(H1591/G1591,"")</f>
        <v>4.1900000000000004</v>
      </c>
      <c r="L1591" s="14">
        <f>IFERROR(I1591/G1591,"")</f>
        <v>0.41499999999999998</v>
      </c>
      <c r="M1591" s="11" t="str">
        <f>IF(K1591&gt;=Paramètres!$F$6,"Très forte",IF(K1591&gt;=Paramètres!$F$5,"Forte",IF(K1591&gt;=Paramètres!$F$4,"Modérée","Faible")))</f>
        <v>Faible</v>
      </c>
    </row>
    <row r="1592" spans="1:13">
      <c r="A1592" t="s">
        <v>1621</v>
      </c>
      <c r="B1592" s="11">
        <v>75</v>
      </c>
      <c r="C1592" t="s">
        <v>86</v>
      </c>
      <c r="D1592" t="s">
        <v>1248</v>
      </c>
      <c r="E1592" t="s">
        <v>1622</v>
      </c>
      <c r="F1592" t="s">
        <v>92</v>
      </c>
      <c r="G1592" s="12">
        <v>18</v>
      </c>
      <c r="H1592" s="12">
        <v>74</v>
      </c>
      <c r="I1592" s="12">
        <v>9</v>
      </c>
      <c r="J1592" t="str">
        <f>VLOOKUP(B1592,Paramètres!$A$4:$C$11,3,FALSE)</f>
        <v>Paris</v>
      </c>
      <c r="K1592" s="13">
        <f>IFERROR(H1592/G1592,"")</f>
        <v>4.1111111111111107</v>
      </c>
      <c r="L1592" s="14">
        <f>IFERROR(I1592/G1592,"")</f>
        <v>0.5</v>
      </c>
      <c r="M1592" s="11" t="str">
        <f>IF(K1592&gt;=Paramètres!$F$6,"Très forte",IF(K1592&gt;=Paramètres!$F$5,"Forte",IF(K1592&gt;=Paramètres!$F$4,"Modérée","Faible")))</f>
        <v>Faible</v>
      </c>
    </row>
    <row r="1593" spans="1:13">
      <c r="A1593" t="s">
        <v>1411</v>
      </c>
      <c r="B1593" s="11">
        <v>75</v>
      </c>
      <c r="C1593" t="s">
        <v>86</v>
      </c>
      <c r="D1593" t="s">
        <v>1248</v>
      </c>
      <c r="E1593" t="s">
        <v>1586</v>
      </c>
      <c r="F1593" t="s">
        <v>92</v>
      </c>
      <c r="G1593" s="12">
        <v>35</v>
      </c>
      <c r="H1593" s="12">
        <v>124</v>
      </c>
      <c r="I1593" s="12">
        <v>35</v>
      </c>
      <c r="J1593" t="str">
        <f>VLOOKUP(B1593,Paramètres!$A$4:$C$11,3,FALSE)</f>
        <v>Paris</v>
      </c>
      <c r="K1593" s="13">
        <f>IFERROR(H1593/G1593,"")</f>
        <v>3.5428571428571427</v>
      </c>
      <c r="L1593" s="14">
        <f>IFERROR(I1593/G1593,"")</f>
        <v>1</v>
      </c>
      <c r="M1593" s="11" t="str">
        <f>IF(K1593&gt;=Paramètres!$F$6,"Très forte",IF(K1593&gt;=Paramètres!$F$5,"Forte",IF(K1593&gt;=Paramètres!$F$4,"Modérée","Faible")))</f>
        <v>Faible</v>
      </c>
    </row>
    <row r="1594" spans="1:13">
      <c r="A1594" t="s">
        <v>1324</v>
      </c>
      <c r="B1594" s="11">
        <v>92</v>
      </c>
      <c r="C1594" t="s">
        <v>94</v>
      </c>
      <c r="D1594" t="s">
        <v>1248</v>
      </c>
      <c r="E1594" t="s">
        <v>1325</v>
      </c>
      <c r="F1594" t="s">
        <v>92</v>
      </c>
      <c r="G1594" s="12">
        <v>30</v>
      </c>
      <c r="H1594" s="12">
        <v>106</v>
      </c>
      <c r="I1594" s="12">
        <v>5</v>
      </c>
      <c r="J1594" t="str">
        <f>VLOOKUP(B1594,Paramètres!$A$4:$C$11,3,FALSE)</f>
        <v>Petite couronne</v>
      </c>
      <c r="K1594" s="13">
        <f>IFERROR(H1594/G1594,"")</f>
        <v>3.5333333333333332</v>
      </c>
      <c r="L1594" s="14">
        <f>IFERROR(I1594/G1594,"")</f>
        <v>0.16666666666666666</v>
      </c>
      <c r="M1594" s="11" t="str">
        <f>IF(K1594&gt;=Paramètres!$F$6,"Très forte",IF(K1594&gt;=Paramètres!$F$5,"Forte",IF(K1594&gt;=Paramètres!$F$4,"Modérée","Faible")))</f>
        <v>Faible</v>
      </c>
    </row>
    <row r="1595" spans="1:13">
      <c r="A1595" t="s">
        <v>1605</v>
      </c>
      <c r="B1595" s="11">
        <v>92</v>
      </c>
      <c r="C1595" t="s">
        <v>94</v>
      </c>
      <c r="D1595" t="s">
        <v>1248</v>
      </c>
      <c r="E1595" t="s">
        <v>1308</v>
      </c>
      <c r="F1595" t="s">
        <v>92</v>
      </c>
      <c r="G1595" s="12">
        <v>50</v>
      </c>
      <c r="H1595" s="12">
        <v>176</v>
      </c>
      <c r="I1595" s="12">
        <v>12</v>
      </c>
      <c r="J1595" t="str">
        <f>VLOOKUP(B1595,Paramètres!$A$4:$C$11,3,FALSE)</f>
        <v>Petite couronne</v>
      </c>
      <c r="K1595" s="13">
        <f>IFERROR(H1595/G1595,"")</f>
        <v>3.52</v>
      </c>
      <c r="L1595" s="14">
        <f>IFERROR(I1595/G1595,"")</f>
        <v>0.24</v>
      </c>
      <c r="M1595" s="11" t="str">
        <f>IF(K1595&gt;=Paramètres!$F$6,"Très forte",IF(K1595&gt;=Paramètres!$F$5,"Forte",IF(K1595&gt;=Paramètres!$F$4,"Modérée","Faible")))</f>
        <v>Faible</v>
      </c>
    </row>
    <row r="1596" spans="1:13">
      <c r="A1596" t="s">
        <v>1432</v>
      </c>
      <c r="B1596" s="11">
        <v>92</v>
      </c>
      <c r="C1596" t="s">
        <v>94</v>
      </c>
      <c r="D1596" t="s">
        <v>1248</v>
      </c>
      <c r="E1596" t="s">
        <v>1460</v>
      </c>
      <c r="F1596" t="s">
        <v>92</v>
      </c>
      <c r="G1596" s="12">
        <v>80</v>
      </c>
      <c r="H1596" s="12">
        <v>275</v>
      </c>
      <c r="I1596" s="12">
        <v>22</v>
      </c>
      <c r="J1596" t="str">
        <f>VLOOKUP(B1596,Paramètres!$A$4:$C$11,3,FALSE)</f>
        <v>Petite couronne</v>
      </c>
      <c r="K1596" s="13">
        <f>IFERROR(H1596/G1596,"")</f>
        <v>3.4375</v>
      </c>
      <c r="L1596" s="14">
        <f>IFERROR(I1596/G1596,"")</f>
        <v>0.27500000000000002</v>
      </c>
      <c r="M1596" s="11" t="str">
        <f>IF(K1596&gt;=Paramètres!$F$6,"Très forte",IF(K1596&gt;=Paramètres!$F$5,"Forte",IF(K1596&gt;=Paramètres!$F$4,"Modérée","Faible")))</f>
        <v>Faible</v>
      </c>
    </row>
    <row r="1597" spans="1:13">
      <c r="A1597" t="s">
        <v>1284</v>
      </c>
      <c r="B1597" s="11">
        <v>92</v>
      </c>
      <c r="C1597" t="s">
        <v>94</v>
      </c>
      <c r="D1597" t="s">
        <v>1248</v>
      </c>
      <c r="E1597" t="s">
        <v>1285</v>
      </c>
      <c r="F1597" t="s">
        <v>92</v>
      </c>
      <c r="G1597" s="12">
        <v>120</v>
      </c>
      <c r="H1597" s="12">
        <v>407</v>
      </c>
      <c r="I1597" s="12">
        <v>30</v>
      </c>
      <c r="J1597" t="str">
        <f>VLOOKUP(B1597,Paramètres!$A$4:$C$11,3,FALSE)</f>
        <v>Petite couronne</v>
      </c>
      <c r="K1597" s="13">
        <f>IFERROR(H1597/G1597,"")</f>
        <v>3.3916666666666666</v>
      </c>
      <c r="L1597" s="14">
        <f>IFERROR(I1597/G1597,"")</f>
        <v>0.25</v>
      </c>
      <c r="M1597" s="11" t="str">
        <f>IF(K1597&gt;=Paramètres!$F$6,"Très forte",IF(K1597&gt;=Paramètres!$F$5,"Forte",IF(K1597&gt;=Paramètres!$F$4,"Modérée","Faible")))</f>
        <v>Faible</v>
      </c>
    </row>
    <row r="1598" spans="1:13">
      <c r="A1598" t="s">
        <v>1465</v>
      </c>
      <c r="B1598" s="11">
        <v>75</v>
      </c>
      <c r="C1598" t="s">
        <v>86</v>
      </c>
      <c r="D1598" t="s">
        <v>1248</v>
      </c>
      <c r="E1598" t="s">
        <v>1466</v>
      </c>
      <c r="F1598" t="s">
        <v>92</v>
      </c>
      <c r="G1598" s="12">
        <v>200</v>
      </c>
      <c r="H1598" s="12">
        <v>676</v>
      </c>
      <c r="I1598" s="12">
        <v>72</v>
      </c>
      <c r="J1598" t="str">
        <f>VLOOKUP(B1598,Paramètres!$A$4:$C$11,3,FALSE)</f>
        <v>Paris</v>
      </c>
      <c r="K1598" s="13">
        <f>IFERROR(H1598/G1598,"")</f>
        <v>3.38</v>
      </c>
      <c r="L1598" s="14">
        <f>IFERROR(I1598/G1598,"")</f>
        <v>0.36</v>
      </c>
      <c r="M1598" s="11" t="str">
        <f>IF(K1598&gt;=Paramètres!$F$6,"Très forte",IF(K1598&gt;=Paramètres!$F$5,"Forte",IF(K1598&gt;=Paramètres!$F$4,"Modérée","Faible")))</f>
        <v>Faible</v>
      </c>
    </row>
    <row r="1599" spans="1:13">
      <c r="A1599" t="s">
        <v>1284</v>
      </c>
      <c r="B1599" s="11">
        <v>92</v>
      </c>
      <c r="C1599" t="s">
        <v>94</v>
      </c>
      <c r="D1599" t="s">
        <v>1248</v>
      </c>
      <c r="E1599" t="s">
        <v>1619</v>
      </c>
      <c r="F1599" t="s">
        <v>92</v>
      </c>
      <c r="G1599" s="12">
        <v>40</v>
      </c>
      <c r="H1599" s="12">
        <v>135</v>
      </c>
      <c r="I1599" s="12">
        <v>8</v>
      </c>
      <c r="J1599" t="str">
        <f>VLOOKUP(B1599,Paramètres!$A$4:$C$11,3,FALSE)</f>
        <v>Petite couronne</v>
      </c>
      <c r="K1599" s="13">
        <f>IFERROR(H1599/G1599,"")</f>
        <v>3.375</v>
      </c>
      <c r="L1599" s="14">
        <f>IFERROR(I1599/G1599,"")</f>
        <v>0.2</v>
      </c>
      <c r="M1599" s="11" t="str">
        <f>IF(K1599&gt;=Paramètres!$F$6,"Très forte",IF(K1599&gt;=Paramètres!$F$5,"Forte",IF(K1599&gt;=Paramètres!$F$4,"Modérée","Faible")))</f>
        <v>Faible</v>
      </c>
    </row>
    <row r="1600" spans="1:13">
      <c r="A1600" t="s">
        <v>1411</v>
      </c>
      <c r="B1600" s="11">
        <v>75</v>
      </c>
      <c r="C1600" t="s">
        <v>86</v>
      </c>
      <c r="D1600" t="s">
        <v>1248</v>
      </c>
      <c r="E1600" t="s">
        <v>1412</v>
      </c>
      <c r="F1600" t="s">
        <v>92</v>
      </c>
      <c r="G1600" s="12">
        <v>60</v>
      </c>
      <c r="H1600" s="12">
        <v>199</v>
      </c>
      <c r="I1600" s="12">
        <v>12</v>
      </c>
      <c r="J1600" t="str">
        <f>VLOOKUP(B1600,Paramètres!$A$4:$C$11,3,FALSE)</f>
        <v>Paris</v>
      </c>
      <c r="K1600" s="13">
        <f>IFERROR(H1600/G1600,"")</f>
        <v>3.3166666666666669</v>
      </c>
      <c r="L1600" s="14">
        <f>IFERROR(I1600/G1600,"")</f>
        <v>0.2</v>
      </c>
      <c r="M1600" s="11" t="str">
        <f>IF(K1600&gt;=Paramètres!$F$6,"Très forte",IF(K1600&gt;=Paramètres!$F$5,"Forte",IF(K1600&gt;=Paramètres!$F$4,"Modérée","Faible")))</f>
        <v>Faible</v>
      </c>
    </row>
    <row r="1601" spans="1:13">
      <c r="A1601" t="s">
        <v>1594</v>
      </c>
      <c r="B1601" s="11">
        <v>75</v>
      </c>
      <c r="C1601" t="s">
        <v>86</v>
      </c>
      <c r="D1601" t="s">
        <v>1248</v>
      </c>
      <c r="E1601" t="s">
        <v>1595</v>
      </c>
      <c r="F1601" t="s">
        <v>92</v>
      </c>
      <c r="G1601" s="12">
        <v>50</v>
      </c>
      <c r="H1601" s="12">
        <v>163</v>
      </c>
      <c r="I1601" s="12">
        <v>16</v>
      </c>
      <c r="J1601" t="str">
        <f>VLOOKUP(B1601,Paramètres!$A$4:$C$11,3,FALSE)</f>
        <v>Paris</v>
      </c>
      <c r="K1601" s="13">
        <f>IFERROR(H1601/G1601,"")</f>
        <v>3.26</v>
      </c>
      <c r="L1601" s="14">
        <f>IFERROR(I1601/G1601,"")</f>
        <v>0.32</v>
      </c>
      <c r="M1601" s="11" t="str">
        <f>IF(K1601&gt;=Paramètres!$F$6,"Très forte",IF(K1601&gt;=Paramètres!$F$5,"Forte",IF(K1601&gt;=Paramètres!$F$4,"Modérée","Faible")))</f>
        <v>Faible</v>
      </c>
    </row>
    <row r="1602" spans="1:13">
      <c r="A1602" t="s">
        <v>1004</v>
      </c>
      <c r="B1602" s="11">
        <v>94</v>
      </c>
      <c r="C1602" t="s">
        <v>116</v>
      </c>
      <c r="D1602" t="s">
        <v>1248</v>
      </c>
      <c r="E1602" t="s">
        <v>1690</v>
      </c>
      <c r="F1602" t="s">
        <v>92</v>
      </c>
      <c r="G1602" s="12">
        <v>30</v>
      </c>
      <c r="H1602" s="12">
        <v>96</v>
      </c>
      <c r="I1602" s="12">
        <v>11</v>
      </c>
      <c r="J1602" t="str">
        <f>VLOOKUP(B1602,Paramètres!$A$4:$C$11,3,FALSE)</f>
        <v>Petite couronne</v>
      </c>
      <c r="K1602" s="13">
        <f>IFERROR(H1602/G1602,"")</f>
        <v>3.2</v>
      </c>
      <c r="L1602" s="14">
        <f>IFERROR(I1602/G1602,"")</f>
        <v>0.36666666666666664</v>
      </c>
      <c r="M1602" s="11" t="str">
        <f>IF(K1602&gt;=Paramètres!$F$6,"Très forte",IF(K1602&gt;=Paramètres!$F$5,"Forte",IF(K1602&gt;=Paramètres!$F$4,"Modérée","Faible")))</f>
        <v>Faible</v>
      </c>
    </row>
    <row r="1603" spans="1:13">
      <c r="A1603" t="s">
        <v>1361</v>
      </c>
      <c r="B1603" s="11">
        <v>75</v>
      </c>
      <c r="C1603" t="s">
        <v>86</v>
      </c>
      <c r="D1603" t="s">
        <v>1248</v>
      </c>
      <c r="E1603" t="s">
        <v>1362</v>
      </c>
      <c r="F1603" t="s">
        <v>92</v>
      </c>
      <c r="G1603" s="12">
        <v>50</v>
      </c>
      <c r="H1603" s="12">
        <v>151</v>
      </c>
      <c r="I1603" s="12">
        <v>27</v>
      </c>
      <c r="J1603" t="str">
        <f>VLOOKUP(B1603,Paramètres!$A$4:$C$11,3,FALSE)</f>
        <v>Paris</v>
      </c>
      <c r="K1603" s="13">
        <f>IFERROR(H1603/G1603,"")</f>
        <v>3.02</v>
      </c>
      <c r="L1603" s="14">
        <f>IFERROR(I1603/G1603,"")</f>
        <v>0.54</v>
      </c>
      <c r="M1603" s="11" t="str">
        <f>IF(K1603&gt;=Paramètres!$F$6,"Très forte",IF(K1603&gt;=Paramètres!$F$5,"Forte",IF(K1603&gt;=Paramètres!$F$4,"Modérée","Faible")))</f>
        <v>Faible</v>
      </c>
    </row>
    <row r="1604" spans="1:13">
      <c r="A1604" t="s">
        <v>1693</v>
      </c>
      <c r="B1604" s="11">
        <v>95</v>
      </c>
      <c r="C1604" t="s">
        <v>90</v>
      </c>
      <c r="D1604" t="s">
        <v>1248</v>
      </c>
      <c r="E1604" t="s">
        <v>1694</v>
      </c>
      <c r="F1604" t="s">
        <v>92</v>
      </c>
      <c r="G1604" s="12">
        <v>70</v>
      </c>
      <c r="H1604" s="12">
        <v>211</v>
      </c>
      <c r="I1604" s="12">
        <v>23</v>
      </c>
      <c r="J1604" t="str">
        <f>VLOOKUP(B1604,Paramètres!$A$4:$C$11,3,FALSE)</f>
        <v>Grande couronne</v>
      </c>
      <c r="K1604" s="13">
        <f>IFERROR(H1604/G1604,"")</f>
        <v>3.0142857142857142</v>
      </c>
      <c r="L1604" s="14">
        <f>IFERROR(I1604/G1604,"")</f>
        <v>0.32857142857142857</v>
      </c>
      <c r="M1604" s="11" t="str">
        <f>IF(K1604&gt;=Paramètres!$F$6,"Très forte",IF(K1604&gt;=Paramètres!$F$5,"Forte",IF(K1604&gt;=Paramètres!$F$4,"Modérée","Faible")))</f>
        <v>Faible</v>
      </c>
    </row>
    <row r="1605" spans="1:13">
      <c r="A1605" t="s">
        <v>1315</v>
      </c>
      <c r="B1605" s="11">
        <v>75</v>
      </c>
      <c r="C1605" t="s">
        <v>86</v>
      </c>
      <c r="D1605" t="s">
        <v>1248</v>
      </c>
      <c r="E1605" t="s">
        <v>1316</v>
      </c>
      <c r="F1605" t="s">
        <v>92</v>
      </c>
      <c r="G1605" s="12">
        <v>10</v>
      </c>
      <c r="H1605" s="12">
        <v>26</v>
      </c>
      <c r="I1605" s="12">
        <v>0</v>
      </c>
      <c r="J1605" t="str">
        <f>VLOOKUP(B1605,Paramètres!$A$4:$C$11,3,FALSE)</f>
        <v>Paris</v>
      </c>
      <c r="K1605" s="13">
        <f>IFERROR(H1605/G1605,"")</f>
        <v>2.6</v>
      </c>
      <c r="L1605" s="14">
        <f>IFERROR(I1605/G1605,"")</f>
        <v>0</v>
      </c>
      <c r="M1605" s="11" t="str">
        <f>IF(K1605&gt;=Paramètres!$F$6,"Très forte",IF(K1605&gt;=Paramètres!$F$5,"Forte",IF(K1605&gt;=Paramètres!$F$4,"Modérée","Faible")))</f>
        <v>Faible</v>
      </c>
    </row>
    <row r="1606" spans="1:13">
      <c r="A1606" t="s">
        <v>1255</v>
      </c>
      <c r="B1606" s="11">
        <v>75</v>
      </c>
      <c r="C1606" t="s">
        <v>86</v>
      </c>
      <c r="D1606" t="s">
        <v>1248</v>
      </c>
      <c r="E1606" t="s">
        <v>1329</v>
      </c>
      <c r="F1606" t="s">
        <v>92</v>
      </c>
      <c r="G1606" s="12">
        <v>40</v>
      </c>
      <c r="H1606" s="12">
        <v>75</v>
      </c>
      <c r="I1606" s="12">
        <v>2</v>
      </c>
      <c r="J1606" t="str">
        <f>VLOOKUP(B1606,Paramètres!$A$4:$C$11,3,FALSE)</f>
        <v>Paris</v>
      </c>
      <c r="K1606" s="13">
        <f>IFERROR(H1606/G1606,"")</f>
        <v>1.875</v>
      </c>
      <c r="L1606" s="14">
        <f>IFERROR(I1606/G1606,"")</f>
        <v>0.05</v>
      </c>
      <c r="M1606" s="11" t="str">
        <f>IF(K1606&gt;=Paramètres!$F$6,"Très forte",IF(K1606&gt;=Paramètres!$F$5,"Forte",IF(K1606&gt;=Paramètres!$F$4,"Modérée","Faible")))</f>
        <v>Faible</v>
      </c>
    </row>
    <row r="1607" spans="1:13">
      <c r="A1607" t="s">
        <v>1322</v>
      </c>
      <c r="B1607" s="11">
        <v>93</v>
      </c>
      <c r="C1607" t="s">
        <v>100</v>
      </c>
      <c r="D1607" t="s">
        <v>1248</v>
      </c>
      <c r="E1607" t="s">
        <v>1323</v>
      </c>
      <c r="F1607" t="s">
        <v>92</v>
      </c>
      <c r="G1607" s="12">
        <v>30</v>
      </c>
      <c r="H1607" s="12">
        <v>51</v>
      </c>
      <c r="I1607" s="12">
        <v>11</v>
      </c>
      <c r="J1607" t="str">
        <f>VLOOKUP(B1607,Paramètres!$A$4:$C$11,3,FALSE)</f>
        <v>Petite couronne</v>
      </c>
      <c r="K1607" s="13">
        <f>IFERROR(H1607/G1607,"")</f>
        <v>1.7</v>
      </c>
      <c r="L1607" s="14">
        <f>IFERROR(I1607/G1607,"")</f>
        <v>0.36666666666666664</v>
      </c>
      <c r="M1607" s="11" t="str">
        <f>IF(K1607&gt;=Paramètres!$F$6,"Très forte",IF(K1607&gt;=Paramètres!$F$5,"Forte",IF(K1607&gt;=Paramètres!$F$4,"Modérée","Faible")))</f>
        <v>Faible</v>
      </c>
    </row>
    <row r="1608" spans="1:13">
      <c r="A1608" t="s">
        <v>1805</v>
      </c>
      <c r="B1608" s="11">
        <v>78</v>
      </c>
      <c r="C1608" t="s">
        <v>135</v>
      </c>
      <c r="D1608" t="s">
        <v>1248</v>
      </c>
      <c r="E1608" t="s">
        <v>1595</v>
      </c>
      <c r="F1608" t="s">
        <v>92</v>
      </c>
      <c r="G1608" s="12">
        <v>50</v>
      </c>
      <c r="H1608" s="12">
        <v>81</v>
      </c>
      <c r="I1608" s="12">
        <v>22</v>
      </c>
      <c r="J1608" t="str">
        <f>VLOOKUP(B1608,Paramètres!$A$4:$C$11,3,FALSE)</f>
        <v>Grande couronne</v>
      </c>
      <c r="K1608" s="13">
        <f>IFERROR(H1608/G1608,"")</f>
        <v>1.62</v>
      </c>
      <c r="L1608" s="14">
        <f>IFERROR(I1608/G1608,"")</f>
        <v>0.44</v>
      </c>
      <c r="M1608" s="11" t="str">
        <f>IF(K1608&gt;=Paramètres!$F$6,"Très forte",IF(K1608&gt;=Paramètres!$F$5,"Forte",IF(K1608&gt;=Paramètres!$F$4,"Modérée","Faible")))</f>
        <v>Faible</v>
      </c>
    </row>
    <row r="1609" spans="1:13">
      <c r="A1609" t="s">
        <v>1501</v>
      </c>
      <c r="B1609" s="11">
        <v>92</v>
      </c>
      <c r="C1609" t="s">
        <v>94</v>
      </c>
      <c r="D1609" t="s">
        <v>1248</v>
      </c>
      <c r="E1609" t="s">
        <v>1502</v>
      </c>
      <c r="F1609" t="s">
        <v>92</v>
      </c>
      <c r="G1609" s="12">
        <v>30</v>
      </c>
      <c r="H1609" s="12">
        <v>34</v>
      </c>
      <c r="I1609" s="12">
        <v>0</v>
      </c>
      <c r="J1609" t="str">
        <f>VLOOKUP(B1609,Paramètres!$A$4:$C$11,3,FALSE)</f>
        <v>Petite couronne</v>
      </c>
      <c r="K1609" s="13">
        <f>IFERROR(H1609/G1609,"")</f>
        <v>1.1333333333333333</v>
      </c>
      <c r="L1609" s="14">
        <f>IFERROR(I1609/G1609,"")</f>
        <v>0</v>
      </c>
      <c r="M1609" s="11" t="str">
        <f>IF(K1609&gt;=Paramètres!$F$6,"Très forte",IF(K1609&gt;=Paramètres!$F$5,"Forte",IF(K1609&gt;=Paramètres!$F$4,"Modérée","Faible")))</f>
        <v>Faible</v>
      </c>
    </row>
    <row r="1610" spans="1:13">
      <c r="A1610" t="s">
        <v>1501</v>
      </c>
      <c r="B1610" s="11">
        <v>92</v>
      </c>
      <c r="C1610" t="s">
        <v>94</v>
      </c>
      <c r="D1610" t="s">
        <v>1248</v>
      </c>
      <c r="E1610" t="s">
        <v>1502</v>
      </c>
      <c r="F1610" t="s">
        <v>92</v>
      </c>
      <c r="G1610" s="12">
        <v>300</v>
      </c>
      <c r="H1610" s="12">
        <v>305</v>
      </c>
      <c r="I1610" s="12">
        <v>22</v>
      </c>
      <c r="J1610" t="str">
        <f>VLOOKUP(B1610,Paramètres!$A$4:$C$11,3,FALSE)</f>
        <v>Petite couronne</v>
      </c>
      <c r="K1610" s="13">
        <f>IFERROR(H1610/G1610,"")</f>
        <v>1.0166666666666666</v>
      </c>
      <c r="L1610" s="14">
        <f>IFERROR(I1610/G1610,"")</f>
        <v>7.3333333333333334E-2</v>
      </c>
      <c r="M1610" s="11" t="str">
        <f>IF(K1610&gt;=Paramètres!$F$6,"Très forte",IF(K1610&gt;=Paramètres!$F$5,"Forte",IF(K1610&gt;=Paramètres!$F$4,"Modérée","Faible")))</f>
        <v>Faible</v>
      </c>
    </row>
    <row r="1611" spans="1:13">
      <c r="A1611" t="s">
        <v>1297</v>
      </c>
      <c r="B1611" s="11">
        <v>93</v>
      </c>
      <c r="C1611" t="s">
        <v>100</v>
      </c>
      <c r="D1611" t="s">
        <v>1263</v>
      </c>
      <c r="E1611" t="s">
        <v>1290</v>
      </c>
      <c r="F1611" t="s">
        <v>92</v>
      </c>
      <c r="G1611" s="12">
        <v>16</v>
      </c>
      <c r="H1611" s="12">
        <v>6288</v>
      </c>
      <c r="I1611" s="12">
        <v>17</v>
      </c>
      <c r="J1611" t="str">
        <f>VLOOKUP(B1611,Paramètres!$A$4:$C$11,3,FALSE)</f>
        <v>Petite couronne</v>
      </c>
      <c r="K1611" s="13">
        <f>IFERROR(H1611/G1611,"")</f>
        <v>393</v>
      </c>
      <c r="L1611" s="14">
        <f>IFERROR(I1611/G1611,"")</f>
        <v>1.0625</v>
      </c>
      <c r="M1611" s="11" t="str">
        <f>IF(K1611&gt;=Paramètres!$F$6,"Très forte",IF(K1611&gt;=Paramètres!$F$5,"Forte",IF(K1611&gt;=Paramètres!$F$4,"Modérée","Faible")))</f>
        <v>Très forte</v>
      </c>
    </row>
    <row r="1612" spans="1:13">
      <c r="A1612" t="s">
        <v>1305</v>
      </c>
      <c r="B1612" s="11">
        <v>92</v>
      </c>
      <c r="C1612" t="s">
        <v>94</v>
      </c>
      <c r="D1612" t="s">
        <v>1263</v>
      </c>
      <c r="E1612" t="s">
        <v>1360</v>
      </c>
      <c r="F1612" t="s">
        <v>92</v>
      </c>
      <c r="G1612" s="12">
        <v>8</v>
      </c>
      <c r="H1612" s="12">
        <v>1977</v>
      </c>
      <c r="I1612" s="12">
        <v>1</v>
      </c>
      <c r="J1612" t="str">
        <f>VLOOKUP(B1612,Paramètres!$A$4:$C$11,3,FALSE)</f>
        <v>Petite couronne</v>
      </c>
      <c r="K1612" s="13">
        <f>IFERROR(H1612/G1612,"")</f>
        <v>247.125</v>
      </c>
      <c r="L1612" s="14">
        <f>IFERROR(I1612/G1612,"")</f>
        <v>0.125</v>
      </c>
      <c r="M1612" s="11" t="str">
        <f>IF(K1612&gt;=Paramètres!$F$6,"Très forte",IF(K1612&gt;=Paramètres!$F$5,"Forte",IF(K1612&gt;=Paramètres!$F$4,"Modérée","Faible")))</f>
        <v>Très forte</v>
      </c>
    </row>
    <row r="1613" spans="1:13">
      <c r="A1613" t="s">
        <v>1339</v>
      </c>
      <c r="B1613" s="11">
        <v>78</v>
      </c>
      <c r="C1613" t="s">
        <v>135</v>
      </c>
      <c r="D1613" t="s">
        <v>1263</v>
      </c>
      <c r="E1613" t="s">
        <v>1360</v>
      </c>
      <c r="F1613" t="s">
        <v>92</v>
      </c>
      <c r="G1613" s="12">
        <v>10</v>
      </c>
      <c r="H1613" s="12">
        <v>2286</v>
      </c>
      <c r="I1613" s="12">
        <v>7</v>
      </c>
      <c r="J1613" t="str">
        <f>VLOOKUP(B1613,Paramètres!$A$4:$C$11,3,FALSE)</f>
        <v>Grande couronne</v>
      </c>
      <c r="K1613" s="13">
        <f>IFERROR(H1613/G1613,"")</f>
        <v>228.6</v>
      </c>
      <c r="L1613" s="14">
        <f>IFERROR(I1613/G1613,"")</f>
        <v>0.7</v>
      </c>
      <c r="M1613" s="11" t="str">
        <f>IF(K1613&gt;=Paramètres!$F$6,"Très forte",IF(K1613&gt;=Paramètres!$F$5,"Forte",IF(K1613&gt;=Paramètres!$F$4,"Modérée","Faible")))</f>
        <v>Très forte</v>
      </c>
    </row>
    <row r="1614" spans="1:13">
      <c r="A1614" t="s">
        <v>1289</v>
      </c>
      <c r="B1614" s="11">
        <v>75</v>
      </c>
      <c r="C1614" t="s">
        <v>86</v>
      </c>
      <c r="D1614" t="s">
        <v>1263</v>
      </c>
      <c r="E1614" t="s">
        <v>1290</v>
      </c>
      <c r="F1614" t="s">
        <v>92</v>
      </c>
      <c r="G1614" s="12">
        <v>32</v>
      </c>
      <c r="H1614" s="12">
        <v>6430</v>
      </c>
      <c r="I1614" s="12">
        <v>32</v>
      </c>
      <c r="J1614" t="str">
        <f>VLOOKUP(B1614,Paramètres!$A$4:$C$11,3,FALSE)</f>
        <v>Paris</v>
      </c>
      <c r="K1614" s="13">
        <f>IFERROR(H1614/G1614,"")</f>
        <v>200.9375</v>
      </c>
      <c r="L1614" s="14">
        <f>IFERROR(I1614/G1614,"")</f>
        <v>1</v>
      </c>
      <c r="M1614" s="11" t="str">
        <f>IF(K1614&gt;=Paramètres!$F$6,"Très forte",IF(K1614&gt;=Paramètres!$F$5,"Forte",IF(K1614&gt;=Paramètres!$F$4,"Modérée","Faible")))</f>
        <v>Très forte</v>
      </c>
    </row>
    <row r="1615" spans="1:13">
      <c r="A1615" t="s">
        <v>1294</v>
      </c>
      <c r="B1615" s="11">
        <v>78</v>
      </c>
      <c r="C1615" t="s">
        <v>135</v>
      </c>
      <c r="D1615" t="s">
        <v>1263</v>
      </c>
      <c r="E1615" t="s">
        <v>1290</v>
      </c>
      <c r="F1615" t="s">
        <v>92</v>
      </c>
      <c r="G1615" s="12">
        <v>35</v>
      </c>
      <c r="H1615" s="12">
        <v>6836</v>
      </c>
      <c r="I1615" s="12">
        <v>32</v>
      </c>
      <c r="J1615" t="str">
        <f>VLOOKUP(B1615,Paramètres!$A$4:$C$11,3,FALSE)</f>
        <v>Grande couronne</v>
      </c>
      <c r="K1615" s="13">
        <f>IFERROR(H1615/G1615,"")</f>
        <v>195.31428571428572</v>
      </c>
      <c r="L1615" s="14">
        <f>IFERROR(I1615/G1615,"")</f>
        <v>0.91428571428571426</v>
      </c>
      <c r="M1615" s="11" t="str">
        <f>IF(K1615&gt;=Paramètres!$F$6,"Très forte",IF(K1615&gt;=Paramètres!$F$5,"Forte",IF(K1615&gt;=Paramètres!$F$4,"Modérée","Faible")))</f>
        <v>Très forte</v>
      </c>
    </row>
    <row r="1616" spans="1:13">
      <c r="A1616" t="s">
        <v>1339</v>
      </c>
      <c r="B1616" s="11">
        <v>78</v>
      </c>
      <c r="C1616" t="s">
        <v>135</v>
      </c>
      <c r="D1616" t="s">
        <v>1263</v>
      </c>
      <c r="E1616" t="s">
        <v>1360</v>
      </c>
      <c r="F1616" t="s">
        <v>92</v>
      </c>
      <c r="G1616" s="12">
        <v>14</v>
      </c>
      <c r="H1616" s="12">
        <v>2279</v>
      </c>
      <c r="I1616" s="12">
        <v>3</v>
      </c>
      <c r="J1616" t="str">
        <f>VLOOKUP(B1616,Paramètres!$A$4:$C$11,3,FALSE)</f>
        <v>Grande couronne</v>
      </c>
      <c r="K1616" s="13">
        <f>IFERROR(H1616/G1616,"")</f>
        <v>162.78571428571428</v>
      </c>
      <c r="L1616" s="14">
        <f>IFERROR(I1616/G1616,"")</f>
        <v>0.21428571428571427</v>
      </c>
      <c r="M1616" s="11" t="str">
        <f>IF(K1616&gt;=Paramètres!$F$6,"Très forte",IF(K1616&gt;=Paramètres!$F$5,"Forte",IF(K1616&gt;=Paramètres!$F$4,"Modérée","Faible")))</f>
        <v>Très forte</v>
      </c>
    </row>
    <row r="1617" spans="1:13">
      <c r="A1617" t="s">
        <v>1305</v>
      </c>
      <c r="B1617" s="11">
        <v>92</v>
      </c>
      <c r="C1617" t="s">
        <v>94</v>
      </c>
      <c r="D1617" t="s">
        <v>1263</v>
      </c>
      <c r="E1617" t="s">
        <v>1360</v>
      </c>
      <c r="F1617" t="s">
        <v>92</v>
      </c>
      <c r="G1617" s="12">
        <v>12</v>
      </c>
      <c r="H1617" s="12">
        <v>1705</v>
      </c>
      <c r="I1617" s="12">
        <v>10</v>
      </c>
      <c r="J1617" t="str">
        <f>VLOOKUP(B1617,Paramètres!$A$4:$C$11,3,FALSE)</f>
        <v>Petite couronne</v>
      </c>
      <c r="K1617" s="13">
        <f>IFERROR(H1617/G1617,"")</f>
        <v>142.08333333333334</v>
      </c>
      <c r="L1617" s="14">
        <f>IFERROR(I1617/G1617,"")</f>
        <v>0.83333333333333337</v>
      </c>
      <c r="M1617" s="11" t="str">
        <f>IF(K1617&gt;=Paramètres!$F$6,"Très forte",IF(K1617&gt;=Paramètres!$F$5,"Forte",IF(K1617&gt;=Paramètres!$F$4,"Modérée","Faible")))</f>
        <v>Très forte</v>
      </c>
    </row>
    <row r="1618" spans="1:13">
      <c r="A1618" t="s">
        <v>1297</v>
      </c>
      <c r="B1618" s="11">
        <v>93</v>
      </c>
      <c r="C1618" t="s">
        <v>100</v>
      </c>
      <c r="D1618" t="s">
        <v>1263</v>
      </c>
      <c r="E1618" t="s">
        <v>1290</v>
      </c>
      <c r="F1618" t="s">
        <v>92</v>
      </c>
      <c r="G1618" s="12">
        <v>52</v>
      </c>
      <c r="H1618" s="12">
        <v>7382</v>
      </c>
      <c r="I1618" s="12">
        <v>46</v>
      </c>
      <c r="J1618" t="str">
        <f>VLOOKUP(B1618,Paramètres!$A$4:$C$11,3,FALSE)</f>
        <v>Petite couronne</v>
      </c>
      <c r="K1618" s="13">
        <f>IFERROR(H1618/G1618,"")</f>
        <v>141.96153846153845</v>
      </c>
      <c r="L1618" s="14">
        <f>IFERROR(I1618/G1618,"")</f>
        <v>0.88461538461538458</v>
      </c>
      <c r="M1618" s="11" t="str">
        <f>IF(K1618&gt;=Paramètres!$F$6,"Très forte",IF(K1618&gt;=Paramètres!$F$5,"Forte",IF(K1618&gt;=Paramètres!$F$4,"Modérée","Faible")))</f>
        <v>Très forte</v>
      </c>
    </row>
    <row r="1619" spans="1:13">
      <c r="A1619" t="s">
        <v>1305</v>
      </c>
      <c r="B1619" s="11">
        <v>92</v>
      </c>
      <c r="C1619" t="s">
        <v>94</v>
      </c>
      <c r="D1619" t="s">
        <v>1263</v>
      </c>
      <c r="E1619" t="s">
        <v>1360</v>
      </c>
      <c r="F1619" t="s">
        <v>92</v>
      </c>
      <c r="G1619" s="12">
        <v>20</v>
      </c>
      <c r="H1619" s="12">
        <v>2443</v>
      </c>
      <c r="I1619" s="12">
        <v>10</v>
      </c>
      <c r="J1619" t="str">
        <f>VLOOKUP(B1619,Paramètres!$A$4:$C$11,3,FALSE)</f>
        <v>Petite couronne</v>
      </c>
      <c r="K1619" s="13">
        <f>IFERROR(H1619/G1619,"")</f>
        <v>122.15</v>
      </c>
      <c r="L1619" s="14">
        <f>IFERROR(I1619/G1619,"")</f>
        <v>0.5</v>
      </c>
      <c r="M1619" s="11" t="str">
        <f>IF(K1619&gt;=Paramètres!$F$6,"Très forte",IF(K1619&gt;=Paramètres!$F$5,"Forte",IF(K1619&gt;=Paramètres!$F$4,"Modérée","Faible")))</f>
        <v>Très forte</v>
      </c>
    </row>
    <row r="1620" spans="1:13">
      <c r="A1620" t="s">
        <v>1424</v>
      </c>
      <c r="B1620" s="11">
        <v>75</v>
      </c>
      <c r="C1620" t="s">
        <v>86</v>
      </c>
      <c r="D1620" t="s">
        <v>1263</v>
      </c>
      <c r="E1620" t="s">
        <v>1360</v>
      </c>
      <c r="F1620" t="s">
        <v>92</v>
      </c>
      <c r="G1620" s="12">
        <v>25</v>
      </c>
      <c r="H1620" s="12">
        <v>2898</v>
      </c>
      <c r="I1620" s="12">
        <v>39</v>
      </c>
      <c r="J1620" t="str">
        <f>VLOOKUP(B1620,Paramètres!$A$4:$C$11,3,FALSE)</f>
        <v>Paris</v>
      </c>
      <c r="K1620" s="13">
        <f>IFERROR(H1620/G1620,"")</f>
        <v>115.92</v>
      </c>
      <c r="L1620" s="14">
        <f>IFERROR(I1620/G1620,"")</f>
        <v>1.56</v>
      </c>
      <c r="M1620" s="11" t="str">
        <f>IF(K1620&gt;=Paramètres!$F$6,"Très forte",IF(K1620&gt;=Paramètres!$F$5,"Forte",IF(K1620&gt;=Paramètres!$F$4,"Modérée","Faible")))</f>
        <v>Très forte</v>
      </c>
    </row>
    <row r="1621" spans="1:13">
      <c r="A1621" t="s">
        <v>1339</v>
      </c>
      <c r="B1621" s="11">
        <v>78</v>
      </c>
      <c r="C1621" t="s">
        <v>135</v>
      </c>
      <c r="D1621" t="s">
        <v>1263</v>
      </c>
      <c r="E1621" t="s">
        <v>1341</v>
      </c>
      <c r="F1621" t="s">
        <v>92</v>
      </c>
      <c r="G1621" s="12">
        <v>1</v>
      </c>
      <c r="H1621" s="12">
        <v>103</v>
      </c>
      <c r="I1621" s="12">
        <v>2</v>
      </c>
      <c r="J1621" t="str">
        <f>VLOOKUP(B1621,Paramètres!$A$4:$C$11,3,FALSE)</f>
        <v>Grande couronne</v>
      </c>
      <c r="K1621" s="13">
        <f>IFERROR(H1621/G1621,"")</f>
        <v>103</v>
      </c>
      <c r="L1621" s="14">
        <f>IFERROR(I1621/G1621,"")</f>
        <v>2</v>
      </c>
      <c r="M1621" s="11" t="str">
        <f>IF(K1621&gt;=Paramètres!$F$6,"Très forte",IF(K1621&gt;=Paramètres!$F$5,"Forte",IF(K1621&gt;=Paramètres!$F$4,"Modérée","Faible")))</f>
        <v>Très forte</v>
      </c>
    </row>
    <row r="1622" spans="1:13">
      <c r="A1622" t="s">
        <v>1289</v>
      </c>
      <c r="B1622" s="11">
        <v>75</v>
      </c>
      <c r="C1622" t="s">
        <v>86</v>
      </c>
      <c r="D1622" t="s">
        <v>1263</v>
      </c>
      <c r="E1622" t="s">
        <v>1290</v>
      </c>
      <c r="F1622" t="s">
        <v>92</v>
      </c>
      <c r="G1622" s="12">
        <v>145</v>
      </c>
      <c r="H1622" s="12">
        <v>12831</v>
      </c>
      <c r="I1622" s="12">
        <v>139</v>
      </c>
      <c r="J1622" t="str">
        <f>VLOOKUP(B1622,Paramètres!$A$4:$C$11,3,FALSE)</f>
        <v>Paris</v>
      </c>
      <c r="K1622" s="13">
        <f>IFERROR(H1622/G1622,"")</f>
        <v>88.489655172413791</v>
      </c>
      <c r="L1622" s="14">
        <f>IFERROR(I1622/G1622,"")</f>
        <v>0.95862068965517244</v>
      </c>
      <c r="M1622" s="11" t="str">
        <f>IF(K1622&gt;=Paramètres!$F$6,"Très forte",IF(K1622&gt;=Paramètres!$F$5,"Forte",IF(K1622&gt;=Paramètres!$F$4,"Modérée","Faible")))</f>
        <v>Très forte</v>
      </c>
    </row>
    <row r="1623" spans="1:13">
      <c r="A1623" t="s">
        <v>1424</v>
      </c>
      <c r="B1623" s="11">
        <v>75</v>
      </c>
      <c r="C1623" t="s">
        <v>86</v>
      </c>
      <c r="D1623" t="s">
        <v>1263</v>
      </c>
      <c r="E1623" t="s">
        <v>1360</v>
      </c>
      <c r="F1623" t="s">
        <v>92</v>
      </c>
      <c r="G1623" s="12">
        <v>25</v>
      </c>
      <c r="H1623" s="12">
        <v>2175</v>
      </c>
      <c r="I1623" s="12">
        <v>9</v>
      </c>
      <c r="J1623" t="str">
        <f>VLOOKUP(B1623,Paramètres!$A$4:$C$11,3,FALSE)</f>
        <v>Paris</v>
      </c>
      <c r="K1623" s="13">
        <f>IFERROR(H1623/G1623,"")</f>
        <v>87</v>
      </c>
      <c r="L1623" s="14">
        <f>IFERROR(I1623/G1623,"")</f>
        <v>0.36</v>
      </c>
      <c r="M1623" s="11" t="str">
        <f>IF(K1623&gt;=Paramètres!$F$6,"Très forte",IF(K1623&gt;=Paramètres!$F$5,"Forte",IF(K1623&gt;=Paramètres!$F$4,"Modérée","Faible")))</f>
        <v>Très forte</v>
      </c>
    </row>
    <row r="1624" spans="1:13">
      <c r="A1624" t="s">
        <v>1786</v>
      </c>
      <c r="B1624" s="11">
        <v>91</v>
      </c>
      <c r="C1624" t="s">
        <v>105</v>
      </c>
      <c r="D1624" t="s">
        <v>1263</v>
      </c>
      <c r="E1624" t="s">
        <v>1290</v>
      </c>
      <c r="F1624" t="s">
        <v>92</v>
      </c>
      <c r="G1624" s="12">
        <v>150</v>
      </c>
      <c r="H1624" s="12">
        <v>12048</v>
      </c>
      <c r="I1624" s="12">
        <v>136</v>
      </c>
      <c r="J1624" t="str">
        <f>VLOOKUP(B1624,Paramètres!$A$4:$C$11,3,FALSE)</f>
        <v>Grande couronne</v>
      </c>
      <c r="K1624" s="13">
        <f>IFERROR(H1624/G1624,"")</f>
        <v>80.319999999999993</v>
      </c>
      <c r="L1624" s="14">
        <f>IFERROR(I1624/G1624,"")</f>
        <v>0.90666666666666662</v>
      </c>
      <c r="M1624" s="11" t="str">
        <f>IF(K1624&gt;=Paramètres!$F$6,"Très forte",IF(K1624&gt;=Paramètres!$F$5,"Forte",IF(K1624&gt;=Paramètres!$F$4,"Modérée","Faible")))</f>
        <v>Très forte</v>
      </c>
    </row>
    <row r="1625" spans="1:13">
      <c r="A1625" t="s">
        <v>1363</v>
      </c>
      <c r="B1625" s="11">
        <v>78</v>
      </c>
      <c r="C1625" t="s">
        <v>135</v>
      </c>
      <c r="D1625" t="s">
        <v>1263</v>
      </c>
      <c r="E1625" t="s">
        <v>1312</v>
      </c>
      <c r="F1625" t="s">
        <v>92</v>
      </c>
      <c r="G1625" s="12">
        <v>5</v>
      </c>
      <c r="H1625" s="12">
        <v>388</v>
      </c>
      <c r="I1625" s="12">
        <v>4</v>
      </c>
      <c r="J1625" t="str">
        <f>VLOOKUP(B1625,Paramètres!$A$4:$C$11,3,FALSE)</f>
        <v>Grande couronne</v>
      </c>
      <c r="K1625" s="13">
        <f>IFERROR(H1625/G1625,"")</f>
        <v>77.599999999999994</v>
      </c>
      <c r="L1625" s="14">
        <f>IFERROR(I1625/G1625,"")</f>
        <v>0.8</v>
      </c>
      <c r="M1625" s="11" t="str">
        <f>IF(K1625&gt;=Paramètres!$F$6,"Très forte",IF(K1625&gt;=Paramètres!$F$5,"Forte",IF(K1625&gt;=Paramètres!$F$4,"Modérée","Faible")))</f>
        <v>Très forte</v>
      </c>
    </row>
    <row r="1626" spans="1:13">
      <c r="A1626" t="s">
        <v>1295</v>
      </c>
      <c r="B1626" s="11">
        <v>94</v>
      </c>
      <c r="C1626" t="s">
        <v>116</v>
      </c>
      <c r="D1626" t="s">
        <v>1263</v>
      </c>
      <c r="E1626" t="s">
        <v>1360</v>
      </c>
      <c r="F1626" t="s">
        <v>92</v>
      </c>
      <c r="G1626" s="12">
        <v>36</v>
      </c>
      <c r="H1626" s="12">
        <v>2566</v>
      </c>
      <c r="I1626" s="12">
        <v>22</v>
      </c>
      <c r="J1626" t="str">
        <f>VLOOKUP(B1626,Paramètres!$A$4:$C$11,3,FALSE)</f>
        <v>Petite couronne</v>
      </c>
      <c r="K1626" s="13">
        <f>IFERROR(H1626/G1626,"")</f>
        <v>71.277777777777771</v>
      </c>
      <c r="L1626" s="14">
        <f>IFERROR(I1626/G1626,"")</f>
        <v>0.61111111111111116</v>
      </c>
      <c r="M1626" s="11" t="str">
        <f>IF(K1626&gt;=Paramètres!$F$6,"Très forte",IF(K1626&gt;=Paramètres!$F$5,"Forte",IF(K1626&gt;=Paramètres!$F$4,"Modérée","Faible")))</f>
        <v>Très forte</v>
      </c>
    </row>
    <row r="1627" spans="1:13">
      <c r="A1627" t="s">
        <v>1792</v>
      </c>
      <c r="B1627" s="11">
        <v>91</v>
      </c>
      <c r="C1627" t="s">
        <v>105</v>
      </c>
      <c r="D1627" t="s">
        <v>1263</v>
      </c>
      <c r="E1627" t="s">
        <v>1793</v>
      </c>
      <c r="F1627" t="s">
        <v>92</v>
      </c>
      <c r="G1627" s="12">
        <v>10</v>
      </c>
      <c r="H1627" s="12">
        <v>707</v>
      </c>
      <c r="I1627" s="12">
        <v>9</v>
      </c>
      <c r="J1627" t="str">
        <f>VLOOKUP(B1627,Paramètres!$A$4:$C$11,3,FALSE)</f>
        <v>Grande couronne</v>
      </c>
      <c r="K1627" s="13">
        <f>IFERROR(H1627/G1627,"")</f>
        <v>70.7</v>
      </c>
      <c r="L1627" s="14">
        <f>IFERROR(I1627/G1627,"")</f>
        <v>0.9</v>
      </c>
      <c r="M1627" s="11" t="str">
        <f>IF(K1627&gt;=Paramètres!$F$6,"Très forte",IF(K1627&gt;=Paramètres!$F$5,"Forte",IF(K1627&gt;=Paramètres!$F$4,"Modérée","Faible")))</f>
        <v>Très forte</v>
      </c>
    </row>
    <row r="1628" spans="1:13">
      <c r="A1628" t="s">
        <v>1004</v>
      </c>
      <c r="B1628" s="11">
        <v>94</v>
      </c>
      <c r="C1628" t="s">
        <v>116</v>
      </c>
      <c r="D1628" t="s">
        <v>1263</v>
      </c>
      <c r="E1628" t="s">
        <v>1360</v>
      </c>
      <c r="F1628" t="s">
        <v>92</v>
      </c>
      <c r="G1628" s="12">
        <v>30</v>
      </c>
      <c r="H1628" s="12">
        <v>1859</v>
      </c>
      <c r="I1628" s="12">
        <v>4</v>
      </c>
      <c r="J1628" t="str">
        <f>VLOOKUP(B1628,Paramètres!$A$4:$C$11,3,FALSE)</f>
        <v>Petite couronne</v>
      </c>
      <c r="K1628" s="13">
        <f>IFERROR(H1628/G1628,"")</f>
        <v>61.966666666666669</v>
      </c>
      <c r="L1628" s="14">
        <f>IFERROR(I1628/G1628,"")</f>
        <v>0.13333333333333333</v>
      </c>
      <c r="M1628" s="11" t="str">
        <f>IF(K1628&gt;=Paramètres!$F$6,"Très forte",IF(K1628&gt;=Paramètres!$F$5,"Forte",IF(K1628&gt;=Paramètres!$F$4,"Modérée","Faible")))</f>
        <v>Très forte</v>
      </c>
    </row>
    <row r="1629" spans="1:13">
      <c r="A1629" t="s">
        <v>1424</v>
      </c>
      <c r="B1629" s="11">
        <v>75</v>
      </c>
      <c r="C1629" t="s">
        <v>86</v>
      </c>
      <c r="D1629" t="s">
        <v>1263</v>
      </c>
      <c r="E1629" t="s">
        <v>1360</v>
      </c>
      <c r="F1629" t="s">
        <v>92</v>
      </c>
      <c r="G1629" s="12">
        <v>40</v>
      </c>
      <c r="H1629" s="12">
        <v>2422</v>
      </c>
      <c r="I1629" s="12">
        <v>27</v>
      </c>
      <c r="J1629" t="str">
        <f>VLOOKUP(B1629,Paramètres!$A$4:$C$11,3,FALSE)</f>
        <v>Paris</v>
      </c>
      <c r="K1629" s="13">
        <f>IFERROR(H1629/G1629,"")</f>
        <v>60.55</v>
      </c>
      <c r="L1629" s="14">
        <f>IFERROR(I1629/G1629,"")</f>
        <v>0.67500000000000004</v>
      </c>
      <c r="M1629" s="11" t="str">
        <f>IF(K1629&gt;=Paramètres!$F$6,"Très forte",IF(K1629&gt;=Paramètres!$F$5,"Forte",IF(K1629&gt;=Paramètres!$F$4,"Modérée","Faible")))</f>
        <v>Très forte</v>
      </c>
    </row>
    <row r="1630" spans="1:13">
      <c r="A1630" t="s">
        <v>1004</v>
      </c>
      <c r="B1630" s="11">
        <v>94</v>
      </c>
      <c r="C1630" t="s">
        <v>116</v>
      </c>
      <c r="D1630" t="s">
        <v>1263</v>
      </c>
      <c r="E1630" t="s">
        <v>1360</v>
      </c>
      <c r="F1630" t="s">
        <v>92</v>
      </c>
      <c r="G1630" s="12">
        <v>30</v>
      </c>
      <c r="H1630" s="12">
        <v>1666</v>
      </c>
      <c r="I1630" s="12">
        <v>17</v>
      </c>
      <c r="J1630" t="str">
        <f>VLOOKUP(B1630,Paramètres!$A$4:$C$11,3,FALSE)</f>
        <v>Petite couronne</v>
      </c>
      <c r="K1630" s="13">
        <f>IFERROR(H1630/G1630,"")</f>
        <v>55.533333333333331</v>
      </c>
      <c r="L1630" s="14">
        <f>IFERROR(I1630/G1630,"")</f>
        <v>0.56666666666666665</v>
      </c>
      <c r="M1630" s="11" t="str">
        <f>IF(K1630&gt;=Paramètres!$F$6,"Très forte",IF(K1630&gt;=Paramètres!$F$5,"Forte",IF(K1630&gt;=Paramètres!$F$4,"Modérée","Faible")))</f>
        <v>Très forte</v>
      </c>
    </row>
    <row r="1631" spans="1:13">
      <c r="A1631" t="s">
        <v>264</v>
      </c>
      <c r="B1631" s="11">
        <v>93</v>
      </c>
      <c r="C1631" t="s">
        <v>100</v>
      </c>
      <c r="D1631" t="s">
        <v>1263</v>
      </c>
      <c r="E1631" t="s">
        <v>1314</v>
      </c>
      <c r="F1631" t="s">
        <v>92</v>
      </c>
      <c r="G1631" s="12">
        <v>3</v>
      </c>
      <c r="H1631" s="12">
        <v>165</v>
      </c>
      <c r="I1631" s="12">
        <v>2</v>
      </c>
      <c r="J1631" t="str">
        <f>VLOOKUP(B1631,Paramètres!$A$4:$C$11,3,FALSE)</f>
        <v>Petite couronne</v>
      </c>
      <c r="K1631" s="13">
        <f>IFERROR(H1631/G1631,"")</f>
        <v>55</v>
      </c>
      <c r="L1631" s="14">
        <f>IFERROR(I1631/G1631,"")</f>
        <v>0.66666666666666663</v>
      </c>
      <c r="M1631" s="11" t="str">
        <f>IF(K1631&gt;=Paramètres!$F$6,"Très forte",IF(K1631&gt;=Paramètres!$F$5,"Forte",IF(K1631&gt;=Paramètres!$F$4,"Modérée","Faible")))</f>
        <v>Très forte</v>
      </c>
    </row>
    <row r="1632" spans="1:13">
      <c r="A1632" t="s">
        <v>1424</v>
      </c>
      <c r="B1632" s="11">
        <v>75</v>
      </c>
      <c r="C1632" t="s">
        <v>86</v>
      </c>
      <c r="D1632" t="s">
        <v>1263</v>
      </c>
      <c r="E1632" t="s">
        <v>1360</v>
      </c>
      <c r="F1632" t="s">
        <v>92</v>
      </c>
      <c r="G1632" s="12">
        <v>60</v>
      </c>
      <c r="H1632" s="12">
        <v>3112</v>
      </c>
      <c r="I1632" s="12">
        <v>46</v>
      </c>
      <c r="J1632" t="str">
        <f>VLOOKUP(B1632,Paramètres!$A$4:$C$11,3,FALSE)</f>
        <v>Paris</v>
      </c>
      <c r="K1632" s="13">
        <f>IFERROR(H1632/G1632,"")</f>
        <v>51.866666666666667</v>
      </c>
      <c r="L1632" s="14">
        <f>IFERROR(I1632/G1632,"")</f>
        <v>0.76666666666666672</v>
      </c>
      <c r="M1632" s="11" t="str">
        <f>IF(K1632&gt;=Paramètres!$F$6,"Très forte",IF(K1632&gt;=Paramètres!$F$5,"Forte",IF(K1632&gt;=Paramètres!$F$4,"Modérée","Faible")))</f>
        <v>Très forte</v>
      </c>
    </row>
    <row r="1633" spans="1:13">
      <c r="A1633" t="s">
        <v>1339</v>
      </c>
      <c r="B1633" s="11">
        <v>78</v>
      </c>
      <c r="C1633" t="s">
        <v>135</v>
      </c>
      <c r="D1633" t="s">
        <v>1263</v>
      </c>
      <c r="E1633" t="s">
        <v>1296</v>
      </c>
      <c r="F1633" t="s">
        <v>92</v>
      </c>
      <c r="G1633" s="12">
        <v>1</v>
      </c>
      <c r="H1633" s="12">
        <v>51</v>
      </c>
      <c r="I1633" s="12">
        <v>0</v>
      </c>
      <c r="J1633" t="str">
        <f>VLOOKUP(B1633,Paramètres!$A$4:$C$11,3,FALSE)</f>
        <v>Grande couronne</v>
      </c>
      <c r="K1633" s="13">
        <f>IFERROR(H1633/G1633,"")</f>
        <v>51</v>
      </c>
      <c r="L1633" s="14">
        <f>IFERROR(I1633/G1633,"")</f>
        <v>0</v>
      </c>
      <c r="M1633" s="11" t="str">
        <f>IF(K1633&gt;=Paramètres!$F$6,"Très forte",IF(K1633&gt;=Paramètres!$F$5,"Forte",IF(K1633&gt;=Paramètres!$F$4,"Modérée","Faible")))</f>
        <v>Très forte</v>
      </c>
    </row>
    <row r="1634" spans="1:13">
      <c r="A1634" t="s">
        <v>264</v>
      </c>
      <c r="B1634" s="11">
        <v>93</v>
      </c>
      <c r="C1634" t="s">
        <v>100</v>
      </c>
      <c r="D1634" t="s">
        <v>1263</v>
      </c>
      <c r="E1634" t="s">
        <v>1314</v>
      </c>
      <c r="F1634" t="s">
        <v>92</v>
      </c>
      <c r="G1634" s="12">
        <v>3</v>
      </c>
      <c r="H1634" s="12">
        <v>144</v>
      </c>
      <c r="I1634" s="12">
        <v>1</v>
      </c>
      <c r="J1634" t="str">
        <f>VLOOKUP(B1634,Paramètres!$A$4:$C$11,3,FALSE)</f>
        <v>Petite couronne</v>
      </c>
      <c r="K1634" s="13">
        <f>IFERROR(H1634/G1634,"")</f>
        <v>48</v>
      </c>
      <c r="L1634" s="14">
        <f>IFERROR(I1634/G1634,"")</f>
        <v>0.33333333333333331</v>
      </c>
      <c r="M1634" s="11" t="str">
        <f>IF(K1634&gt;=Paramètres!$F$6,"Très forte",IF(K1634&gt;=Paramètres!$F$5,"Forte",IF(K1634&gt;=Paramètres!$F$4,"Modérée","Faible")))</f>
        <v>Très forte</v>
      </c>
    </row>
    <row r="1635" spans="1:13">
      <c r="A1635" t="s">
        <v>1339</v>
      </c>
      <c r="B1635" s="11">
        <v>78</v>
      </c>
      <c r="C1635" t="s">
        <v>135</v>
      </c>
      <c r="D1635" t="s">
        <v>1263</v>
      </c>
      <c r="E1635" t="s">
        <v>1296</v>
      </c>
      <c r="F1635" t="s">
        <v>92</v>
      </c>
      <c r="G1635" s="12">
        <v>1</v>
      </c>
      <c r="H1635" s="12">
        <v>46</v>
      </c>
      <c r="I1635" s="12">
        <v>0</v>
      </c>
      <c r="J1635" t="str">
        <f>VLOOKUP(B1635,Paramètres!$A$4:$C$11,3,FALSE)</f>
        <v>Grande couronne</v>
      </c>
      <c r="K1635" s="13">
        <f>IFERROR(H1635/G1635,"")</f>
        <v>46</v>
      </c>
      <c r="L1635" s="14">
        <f>IFERROR(I1635/G1635,"")</f>
        <v>0</v>
      </c>
      <c r="M1635" s="11" t="str">
        <f>IF(K1635&gt;=Paramètres!$F$6,"Très forte",IF(K1635&gt;=Paramètres!$F$5,"Forte",IF(K1635&gt;=Paramètres!$F$4,"Modérée","Faible")))</f>
        <v>Très forte</v>
      </c>
    </row>
    <row r="1636" spans="1:13">
      <c r="A1636" t="s">
        <v>1562</v>
      </c>
      <c r="B1636" s="11">
        <v>94</v>
      </c>
      <c r="C1636" t="s">
        <v>116</v>
      </c>
      <c r="D1636" t="s">
        <v>1263</v>
      </c>
      <c r="E1636" t="s">
        <v>1366</v>
      </c>
      <c r="F1636" t="s">
        <v>92</v>
      </c>
      <c r="G1636" s="12">
        <v>50</v>
      </c>
      <c r="H1636" s="12">
        <v>2023</v>
      </c>
      <c r="I1636" s="12">
        <v>68</v>
      </c>
      <c r="J1636" t="str">
        <f>VLOOKUP(B1636,Paramètres!$A$4:$C$11,3,FALSE)</f>
        <v>Petite couronne</v>
      </c>
      <c r="K1636" s="13">
        <f>IFERROR(H1636/G1636,"")</f>
        <v>40.46</v>
      </c>
      <c r="L1636" s="14">
        <f>IFERROR(I1636/G1636,"")</f>
        <v>1.36</v>
      </c>
      <c r="M1636" s="11" t="str">
        <f>IF(K1636&gt;=Paramètres!$F$6,"Très forte",IF(K1636&gt;=Paramètres!$F$5,"Forte",IF(K1636&gt;=Paramètres!$F$4,"Modérée","Faible")))</f>
        <v>Très forte</v>
      </c>
    </row>
    <row r="1637" spans="1:13">
      <c r="A1637" t="s">
        <v>264</v>
      </c>
      <c r="B1637" s="11">
        <v>93</v>
      </c>
      <c r="C1637" t="s">
        <v>100</v>
      </c>
      <c r="D1637" t="s">
        <v>1263</v>
      </c>
      <c r="E1637" t="s">
        <v>1314</v>
      </c>
      <c r="F1637" t="s">
        <v>92</v>
      </c>
      <c r="G1637" s="12">
        <v>3</v>
      </c>
      <c r="H1637" s="12">
        <v>116</v>
      </c>
      <c r="I1637" s="12">
        <v>1</v>
      </c>
      <c r="J1637" t="str">
        <f>VLOOKUP(B1637,Paramètres!$A$4:$C$11,3,FALSE)</f>
        <v>Petite couronne</v>
      </c>
      <c r="K1637" s="13">
        <f>IFERROR(H1637/G1637,"")</f>
        <v>38.666666666666664</v>
      </c>
      <c r="L1637" s="14">
        <f>IFERROR(I1637/G1637,"")</f>
        <v>0.33333333333333331</v>
      </c>
      <c r="M1637" s="11" t="str">
        <f>IF(K1637&gt;=Paramètres!$F$6,"Très forte",IF(K1637&gt;=Paramètres!$F$5,"Forte",IF(K1637&gt;=Paramètres!$F$4,"Modérée","Faible")))</f>
        <v>Forte</v>
      </c>
    </row>
    <row r="1638" spans="1:13">
      <c r="A1638" t="s">
        <v>1340</v>
      </c>
      <c r="B1638" s="11">
        <v>94</v>
      </c>
      <c r="C1638" t="s">
        <v>116</v>
      </c>
      <c r="D1638" t="s">
        <v>1263</v>
      </c>
      <c r="E1638" t="s">
        <v>1360</v>
      </c>
      <c r="F1638" t="s">
        <v>92</v>
      </c>
      <c r="G1638" s="12">
        <v>50</v>
      </c>
      <c r="H1638" s="12">
        <v>1866</v>
      </c>
      <c r="I1638" s="12">
        <v>42</v>
      </c>
      <c r="J1638" t="str">
        <f>VLOOKUP(B1638,Paramètres!$A$4:$C$11,3,FALSE)</f>
        <v>Petite couronne</v>
      </c>
      <c r="K1638" s="13">
        <f>IFERROR(H1638/G1638,"")</f>
        <v>37.32</v>
      </c>
      <c r="L1638" s="14">
        <f>IFERROR(I1638/G1638,"")</f>
        <v>0.84</v>
      </c>
      <c r="M1638" s="11" t="str">
        <f>IF(K1638&gt;=Paramètres!$F$6,"Très forte",IF(K1638&gt;=Paramètres!$F$5,"Forte",IF(K1638&gt;=Paramètres!$F$4,"Modérée","Faible")))</f>
        <v>Forte</v>
      </c>
    </row>
    <row r="1639" spans="1:13">
      <c r="A1639" t="s">
        <v>264</v>
      </c>
      <c r="B1639" s="11">
        <v>93</v>
      </c>
      <c r="C1639" t="s">
        <v>100</v>
      </c>
      <c r="D1639" t="s">
        <v>1263</v>
      </c>
      <c r="E1639" t="s">
        <v>1314</v>
      </c>
      <c r="F1639" t="s">
        <v>92</v>
      </c>
      <c r="G1639" s="12">
        <v>3</v>
      </c>
      <c r="H1639" s="12">
        <v>111</v>
      </c>
      <c r="I1639" s="12">
        <v>0</v>
      </c>
      <c r="J1639" t="str">
        <f>VLOOKUP(B1639,Paramètres!$A$4:$C$11,3,FALSE)</f>
        <v>Petite couronne</v>
      </c>
      <c r="K1639" s="13">
        <f>IFERROR(H1639/G1639,"")</f>
        <v>37</v>
      </c>
      <c r="L1639" s="14">
        <f>IFERROR(I1639/G1639,"")</f>
        <v>0</v>
      </c>
      <c r="M1639" s="11" t="str">
        <f>IF(K1639&gt;=Paramètres!$F$6,"Très forte",IF(K1639&gt;=Paramètres!$F$5,"Forte",IF(K1639&gt;=Paramètres!$F$4,"Modérée","Faible")))</f>
        <v>Forte</v>
      </c>
    </row>
    <row r="1640" spans="1:13">
      <c r="A1640" t="s">
        <v>1365</v>
      </c>
      <c r="B1640" s="11">
        <v>75</v>
      </c>
      <c r="C1640" t="s">
        <v>86</v>
      </c>
      <c r="D1640" t="s">
        <v>1263</v>
      </c>
      <c r="E1640" t="s">
        <v>1366</v>
      </c>
      <c r="F1640" t="s">
        <v>92</v>
      </c>
      <c r="G1640" s="12">
        <v>55</v>
      </c>
      <c r="H1640" s="12">
        <v>1886</v>
      </c>
      <c r="I1640" s="12">
        <v>57</v>
      </c>
      <c r="J1640" t="str">
        <f>VLOOKUP(B1640,Paramètres!$A$4:$C$11,3,FALSE)</f>
        <v>Paris</v>
      </c>
      <c r="K1640" s="13">
        <f>IFERROR(H1640/G1640,"")</f>
        <v>34.290909090909089</v>
      </c>
      <c r="L1640" s="14">
        <f>IFERROR(I1640/G1640,"")</f>
        <v>1.0363636363636364</v>
      </c>
      <c r="M1640" s="11" t="str">
        <f>IF(K1640&gt;=Paramètres!$F$6,"Très forte",IF(K1640&gt;=Paramètres!$F$5,"Forte",IF(K1640&gt;=Paramètres!$F$4,"Modérée","Faible")))</f>
        <v>Forte</v>
      </c>
    </row>
    <row r="1641" spans="1:13">
      <c r="A1641" t="s">
        <v>1512</v>
      </c>
      <c r="B1641" s="11">
        <v>94</v>
      </c>
      <c r="C1641" t="s">
        <v>116</v>
      </c>
      <c r="D1641" t="s">
        <v>1263</v>
      </c>
      <c r="E1641" t="s">
        <v>1366</v>
      </c>
      <c r="F1641" t="s">
        <v>92</v>
      </c>
      <c r="G1641" s="12">
        <v>36</v>
      </c>
      <c r="H1641" s="12">
        <v>1186</v>
      </c>
      <c r="I1641" s="12">
        <v>37</v>
      </c>
      <c r="J1641" t="str">
        <f>VLOOKUP(B1641,Paramètres!$A$4:$C$11,3,FALSE)</f>
        <v>Petite couronne</v>
      </c>
      <c r="K1641" s="13">
        <f>IFERROR(H1641/G1641,"")</f>
        <v>32.944444444444443</v>
      </c>
      <c r="L1641" s="14">
        <f>IFERROR(I1641/G1641,"")</f>
        <v>1.0277777777777777</v>
      </c>
      <c r="M1641" s="11" t="str">
        <f>IF(K1641&gt;=Paramètres!$F$6,"Très forte",IF(K1641&gt;=Paramètres!$F$5,"Forte",IF(K1641&gt;=Paramètres!$F$4,"Modérée","Faible")))</f>
        <v>Forte</v>
      </c>
    </row>
    <row r="1642" spans="1:13">
      <c r="A1642" t="s">
        <v>1295</v>
      </c>
      <c r="B1642" s="11">
        <v>94</v>
      </c>
      <c r="C1642" t="s">
        <v>116</v>
      </c>
      <c r="D1642" t="s">
        <v>1263</v>
      </c>
      <c r="E1642" t="s">
        <v>1360</v>
      </c>
      <c r="F1642" t="s">
        <v>92</v>
      </c>
      <c r="G1642" s="12">
        <v>110</v>
      </c>
      <c r="H1642" s="12">
        <v>3567</v>
      </c>
      <c r="I1642" s="12">
        <v>72</v>
      </c>
      <c r="J1642" t="str">
        <f>VLOOKUP(B1642,Paramètres!$A$4:$C$11,3,FALSE)</f>
        <v>Petite couronne</v>
      </c>
      <c r="K1642" s="13">
        <f>IFERROR(H1642/G1642,"")</f>
        <v>32.427272727272729</v>
      </c>
      <c r="L1642" s="14">
        <f>IFERROR(I1642/G1642,"")</f>
        <v>0.65454545454545454</v>
      </c>
      <c r="M1642" s="11" t="str">
        <f>IF(K1642&gt;=Paramètres!$F$6,"Très forte",IF(K1642&gt;=Paramètres!$F$5,"Forte",IF(K1642&gt;=Paramètres!$F$4,"Modérée","Faible")))</f>
        <v>Forte</v>
      </c>
    </row>
    <row r="1643" spans="1:13">
      <c r="A1643" t="s">
        <v>1262</v>
      </c>
      <c r="B1643" s="11">
        <v>94</v>
      </c>
      <c r="C1643" t="s">
        <v>116</v>
      </c>
      <c r="D1643" t="s">
        <v>1263</v>
      </c>
      <c r="E1643" t="s">
        <v>1312</v>
      </c>
      <c r="F1643" t="s">
        <v>92</v>
      </c>
      <c r="G1643" s="12">
        <v>10</v>
      </c>
      <c r="H1643" s="12">
        <v>324</v>
      </c>
      <c r="I1643" s="12">
        <v>10</v>
      </c>
      <c r="J1643" t="str">
        <f>VLOOKUP(B1643,Paramètres!$A$4:$C$11,3,FALSE)</f>
        <v>Petite couronne</v>
      </c>
      <c r="K1643" s="13">
        <f>IFERROR(H1643/G1643,"")</f>
        <v>32.4</v>
      </c>
      <c r="L1643" s="14">
        <f>IFERROR(I1643/G1643,"")</f>
        <v>1</v>
      </c>
      <c r="M1643" s="11" t="str">
        <f>IF(K1643&gt;=Paramètres!$F$6,"Très forte",IF(K1643&gt;=Paramètres!$F$5,"Forte",IF(K1643&gt;=Paramètres!$F$4,"Modérée","Faible")))</f>
        <v>Forte</v>
      </c>
    </row>
    <row r="1644" spans="1:13">
      <c r="A1644" t="s">
        <v>1363</v>
      </c>
      <c r="B1644" s="11">
        <v>78</v>
      </c>
      <c r="C1644" t="s">
        <v>135</v>
      </c>
      <c r="D1644" t="s">
        <v>1263</v>
      </c>
      <c r="E1644" t="s">
        <v>1364</v>
      </c>
      <c r="F1644" t="s">
        <v>92</v>
      </c>
      <c r="G1644" s="12">
        <v>230</v>
      </c>
      <c r="H1644" s="12">
        <v>7377</v>
      </c>
      <c r="I1644" s="12">
        <v>237</v>
      </c>
      <c r="J1644" t="str">
        <f>VLOOKUP(B1644,Paramètres!$A$4:$C$11,3,FALSE)</f>
        <v>Grande couronne</v>
      </c>
      <c r="K1644" s="13">
        <f>IFERROR(H1644/G1644,"")</f>
        <v>32.073913043478264</v>
      </c>
      <c r="L1644" s="14">
        <f>IFERROR(I1644/G1644,"")</f>
        <v>1.0304347826086957</v>
      </c>
      <c r="M1644" s="11" t="str">
        <f>IF(K1644&gt;=Paramètres!$F$6,"Très forte",IF(K1644&gt;=Paramètres!$F$5,"Forte",IF(K1644&gt;=Paramètres!$F$4,"Modérée","Faible")))</f>
        <v>Forte</v>
      </c>
    </row>
    <row r="1645" spans="1:13">
      <c r="A1645" t="s">
        <v>1424</v>
      </c>
      <c r="B1645" s="11">
        <v>75</v>
      </c>
      <c r="C1645" t="s">
        <v>86</v>
      </c>
      <c r="D1645" t="s">
        <v>1263</v>
      </c>
      <c r="E1645" t="s">
        <v>1360</v>
      </c>
      <c r="F1645" t="s">
        <v>92</v>
      </c>
      <c r="G1645" s="12">
        <v>85</v>
      </c>
      <c r="H1645" s="12">
        <v>2471</v>
      </c>
      <c r="I1645" s="12">
        <v>43</v>
      </c>
      <c r="J1645" t="str">
        <f>VLOOKUP(B1645,Paramètres!$A$4:$C$11,3,FALSE)</f>
        <v>Paris</v>
      </c>
      <c r="K1645" s="13">
        <f>IFERROR(H1645/G1645,"")</f>
        <v>29.070588235294117</v>
      </c>
      <c r="L1645" s="14">
        <f>IFERROR(I1645/G1645,"")</f>
        <v>0.50588235294117645</v>
      </c>
      <c r="M1645" s="11" t="str">
        <f>IF(K1645&gt;=Paramètres!$F$6,"Très forte",IF(K1645&gt;=Paramètres!$F$5,"Forte",IF(K1645&gt;=Paramètres!$F$4,"Modérée","Faible")))</f>
        <v>Forte</v>
      </c>
    </row>
    <row r="1646" spans="1:13">
      <c r="A1646" t="s">
        <v>1265</v>
      </c>
      <c r="B1646" s="11">
        <v>92</v>
      </c>
      <c r="C1646" t="s">
        <v>94</v>
      </c>
      <c r="D1646" t="s">
        <v>1263</v>
      </c>
      <c r="E1646" t="s">
        <v>1342</v>
      </c>
      <c r="F1646" t="s">
        <v>92</v>
      </c>
      <c r="G1646" s="12">
        <v>3</v>
      </c>
      <c r="H1646" s="12">
        <v>87</v>
      </c>
      <c r="I1646" s="12">
        <v>4</v>
      </c>
      <c r="J1646" t="str">
        <f>VLOOKUP(B1646,Paramètres!$A$4:$C$11,3,FALSE)</f>
        <v>Petite couronne</v>
      </c>
      <c r="K1646" s="13">
        <f>IFERROR(H1646/G1646,"")</f>
        <v>29</v>
      </c>
      <c r="L1646" s="14">
        <f>IFERROR(I1646/G1646,"")</f>
        <v>1.3333333333333333</v>
      </c>
      <c r="M1646" s="11" t="str">
        <f>IF(K1646&gt;=Paramètres!$F$6,"Très forte",IF(K1646&gt;=Paramètres!$F$5,"Forte",IF(K1646&gt;=Paramètres!$F$4,"Modérée","Faible")))</f>
        <v>Forte</v>
      </c>
    </row>
    <row r="1647" spans="1:13">
      <c r="A1647" t="s">
        <v>1463</v>
      </c>
      <c r="B1647" s="11">
        <v>95</v>
      </c>
      <c r="C1647" t="s">
        <v>90</v>
      </c>
      <c r="D1647" t="s">
        <v>1263</v>
      </c>
      <c r="E1647" t="s">
        <v>1464</v>
      </c>
      <c r="F1647" t="s">
        <v>92</v>
      </c>
      <c r="G1647" s="12">
        <v>13</v>
      </c>
      <c r="H1647" s="12">
        <v>376</v>
      </c>
      <c r="I1647" s="12">
        <v>15</v>
      </c>
      <c r="J1647" t="str">
        <f>VLOOKUP(B1647,Paramètres!$A$4:$C$11,3,FALSE)</f>
        <v>Grande couronne</v>
      </c>
      <c r="K1647" s="13">
        <f>IFERROR(H1647/G1647,"")</f>
        <v>28.923076923076923</v>
      </c>
      <c r="L1647" s="14">
        <f>IFERROR(I1647/G1647,"")</f>
        <v>1.1538461538461537</v>
      </c>
      <c r="M1647" s="11" t="str">
        <f>IF(K1647&gt;=Paramètres!$F$6,"Très forte",IF(K1647&gt;=Paramètres!$F$5,"Forte",IF(K1647&gt;=Paramètres!$F$4,"Modérée","Faible")))</f>
        <v>Forte</v>
      </c>
    </row>
    <row r="1648" spans="1:13">
      <c r="A1648" t="s">
        <v>1463</v>
      </c>
      <c r="B1648" s="11">
        <v>95</v>
      </c>
      <c r="C1648" t="s">
        <v>90</v>
      </c>
      <c r="D1648" t="s">
        <v>1263</v>
      </c>
      <c r="E1648" t="s">
        <v>1464</v>
      </c>
      <c r="F1648" t="s">
        <v>92</v>
      </c>
      <c r="G1648" s="12">
        <v>13</v>
      </c>
      <c r="H1648" s="12">
        <v>374</v>
      </c>
      <c r="I1648" s="12">
        <v>13</v>
      </c>
      <c r="J1648" t="str">
        <f>VLOOKUP(B1648,Paramètres!$A$4:$C$11,3,FALSE)</f>
        <v>Grande couronne</v>
      </c>
      <c r="K1648" s="13">
        <f>IFERROR(H1648/G1648,"")</f>
        <v>28.76923076923077</v>
      </c>
      <c r="L1648" s="14">
        <f>IFERROR(I1648/G1648,"")</f>
        <v>1</v>
      </c>
      <c r="M1648" s="11" t="str">
        <f>IF(K1648&gt;=Paramètres!$F$6,"Très forte",IF(K1648&gt;=Paramètres!$F$5,"Forte",IF(K1648&gt;=Paramètres!$F$4,"Modérée","Faible")))</f>
        <v>Forte</v>
      </c>
    </row>
    <row r="1649" spans="1:13">
      <c r="A1649" t="s">
        <v>1752</v>
      </c>
      <c r="B1649" s="11">
        <v>77</v>
      </c>
      <c r="C1649" t="s">
        <v>132</v>
      </c>
      <c r="D1649" t="s">
        <v>1263</v>
      </c>
      <c r="E1649" t="s">
        <v>1464</v>
      </c>
      <c r="F1649" t="s">
        <v>92</v>
      </c>
      <c r="G1649" s="12">
        <v>50</v>
      </c>
      <c r="H1649" s="12">
        <v>1426</v>
      </c>
      <c r="I1649" s="12">
        <v>51</v>
      </c>
      <c r="J1649" t="str">
        <f>VLOOKUP(B1649,Paramètres!$A$4:$C$11,3,FALSE)</f>
        <v>Grande couronne</v>
      </c>
      <c r="K1649" s="13">
        <f>IFERROR(H1649/G1649,"")</f>
        <v>28.52</v>
      </c>
      <c r="L1649" s="14">
        <f>IFERROR(I1649/G1649,"")</f>
        <v>1.02</v>
      </c>
      <c r="M1649" s="11" t="str">
        <f>IF(K1649&gt;=Paramètres!$F$6,"Très forte",IF(K1649&gt;=Paramètres!$F$5,"Forte",IF(K1649&gt;=Paramètres!$F$4,"Modérée","Faible")))</f>
        <v>Forte</v>
      </c>
    </row>
    <row r="1650" spans="1:13">
      <c r="A1650" t="s">
        <v>1305</v>
      </c>
      <c r="B1650" s="11">
        <v>92</v>
      </c>
      <c r="C1650" t="s">
        <v>94</v>
      </c>
      <c r="D1650" t="s">
        <v>1263</v>
      </c>
      <c r="E1650" t="s">
        <v>1341</v>
      </c>
      <c r="F1650" t="s">
        <v>92</v>
      </c>
      <c r="G1650" s="12">
        <v>4</v>
      </c>
      <c r="H1650" s="12">
        <v>109</v>
      </c>
      <c r="I1650" s="12">
        <v>0</v>
      </c>
      <c r="J1650" t="str">
        <f>VLOOKUP(B1650,Paramètres!$A$4:$C$11,3,FALSE)</f>
        <v>Petite couronne</v>
      </c>
      <c r="K1650" s="13">
        <f>IFERROR(H1650/G1650,"")</f>
        <v>27.25</v>
      </c>
      <c r="L1650" s="14">
        <f>IFERROR(I1650/G1650,"")</f>
        <v>0</v>
      </c>
      <c r="M1650" s="11" t="str">
        <f>IF(K1650&gt;=Paramètres!$F$6,"Très forte",IF(K1650&gt;=Paramètres!$F$5,"Forte",IF(K1650&gt;=Paramètres!$F$4,"Modérée","Faible")))</f>
        <v>Forte</v>
      </c>
    </row>
    <row r="1651" spans="1:13">
      <c r="A1651" t="s">
        <v>261</v>
      </c>
      <c r="B1651" s="11">
        <v>93</v>
      </c>
      <c r="C1651" t="s">
        <v>100</v>
      </c>
      <c r="D1651" t="s">
        <v>1263</v>
      </c>
      <c r="E1651" t="s">
        <v>1314</v>
      </c>
      <c r="F1651" t="s">
        <v>92</v>
      </c>
      <c r="G1651" s="12">
        <v>4</v>
      </c>
      <c r="H1651" s="12">
        <v>105</v>
      </c>
      <c r="I1651" s="12">
        <v>0</v>
      </c>
      <c r="J1651" t="str">
        <f>VLOOKUP(B1651,Paramètres!$A$4:$C$11,3,FALSE)</f>
        <v>Petite couronne</v>
      </c>
      <c r="K1651" s="13">
        <f>IFERROR(H1651/G1651,"")</f>
        <v>26.25</v>
      </c>
      <c r="L1651" s="14">
        <f>IFERROR(I1651/G1651,"")</f>
        <v>0</v>
      </c>
      <c r="M1651" s="11" t="str">
        <f>IF(K1651&gt;=Paramètres!$F$6,"Très forte",IF(K1651&gt;=Paramètres!$F$5,"Forte",IF(K1651&gt;=Paramètres!$F$4,"Modérée","Faible")))</f>
        <v>Forte</v>
      </c>
    </row>
    <row r="1652" spans="1:13">
      <c r="A1652" t="s">
        <v>1262</v>
      </c>
      <c r="B1652" s="11">
        <v>94</v>
      </c>
      <c r="C1652" t="s">
        <v>116</v>
      </c>
      <c r="D1652" t="s">
        <v>1263</v>
      </c>
      <c r="E1652" t="s">
        <v>1364</v>
      </c>
      <c r="F1652" t="s">
        <v>92</v>
      </c>
      <c r="G1652" s="12">
        <v>235</v>
      </c>
      <c r="H1652" s="12">
        <v>6045</v>
      </c>
      <c r="I1652" s="12">
        <v>248</v>
      </c>
      <c r="J1652" t="str">
        <f>VLOOKUP(B1652,Paramètres!$A$4:$C$11,3,FALSE)</f>
        <v>Petite couronne</v>
      </c>
      <c r="K1652" s="13">
        <f>IFERROR(H1652/G1652,"")</f>
        <v>25.723404255319149</v>
      </c>
      <c r="L1652" s="14">
        <f>IFERROR(I1652/G1652,"")</f>
        <v>1.0553191489361702</v>
      </c>
      <c r="M1652" s="11" t="str">
        <f>IF(K1652&gt;=Paramètres!$F$6,"Très forte",IF(K1652&gt;=Paramètres!$F$5,"Forte",IF(K1652&gt;=Paramètres!$F$4,"Modérée","Faible")))</f>
        <v>Forte</v>
      </c>
    </row>
    <row r="1653" spans="1:13">
      <c r="A1653" t="s">
        <v>1463</v>
      </c>
      <c r="B1653" s="11">
        <v>95</v>
      </c>
      <c r="C1653" t="s">
        <v>90</v>
      </c>
      <c r="D1653" t="s">
        <v>1263</v>
      </c>
      <c r="E1653" t="s">
        <v>1464</v>
      </c>
      <c r="F1653" t="s">
        <v>92</v>
      </c>
      <c r="G1653" s="12">
        <v>25</v>
      </c>
      <c r="H1653" s="12">
        <v>643</v>
      </c>
      <c r="I1653" s="12">
        <v>26</v>
      </c>
      <c r="J1653" t="str">
        <f>VLOOKUP(B1653,Paramètres!$A$4:$C$11,3,FALSE)</f>
        <v>Grande couronne</v>
      </c>
      <c r="K1653" s="13">
        <f>IFERROR(H1653/G1653,"")</f>
        <v>25.72</v>
      </c>
      <c r="L1653" s="14">
        <f>IFERROR(I1653/G1653,"")</f>
        <v>1.04</v>
      </c>
      <c r="M1653" s="11" t="str">
        <f>IF(K1653&gt;=Paramètres!$F$6,"Très forte",IF(K1653&gt;=Paramètres!$F$5,"Forte",IF(K1653&gt;=Paramètres!$F$4,"Modérée","Faible")))</f>
        <v>Forte</v>
      </c>
    </row>
    <row r="1654" spans="1:13">
      <c r="A1654" t="s">
        <v>1292</v>
      </c>
      <c r="B1654" s="11">
        <v>93</v>
      </c>
      <c r="C1654" t="s">
        <v>100</v>
      </c>
      <c r="D1654" t="s">
        <v>1263</v>
      </c>
      <c r="E1654" t="s">
        <v>1293</v>
      </c>
      <c r="F1654" t="s">
        <v>92</v>
      </c>
      <c r="G1654" s="12">
        <v>60</v>
      </c>
      <c r="H1654" s="12">
        <v>1521</v>
      </c>
      <c r="I1654" s="12">
        <v>29</v>
      </c>
      <c r="J1654" t="str">
        <f>VLOOKUP(B1654,Paramètres!$A$4:$C$11,3,FALSE)</f>
        <v>Petite couronne</v>
      </c>
      <c r="K1654" s="13">
        <f>IFERROR(H1654/G1654,"")</f>
        <v>25.35</v>
      </c>
      <c r="L1654" s="14">
        <f>IFERROR(I1654/G1654,"")</f>
        <v>0.48333333333333334</v>
      </c>
      <c r="M1654" s="11" t="str">
        <f>IF(K1654&gt;=Paramètres!$F$6,"Très forte",IF(K1654&gt;=Paramètres!$F$5,"Forte",IF(K1654&gt;=Paramètres!$F$4,"Modérée","Faible")))</f>
        <v>Forte</v>
      </c>
    </row>
    <row r="1655" spans="1:13">
      <c r="A1655" t="s">
        <v>1295</v>
      </c>
      <c r="B1655" s="11">
        <v>94</v>
      </c>
      <c r="C1655" t="s">
        <v>116</v>
      </c>
      <c r="D1655" t="s">
        <v>1263</v>
      </c>
      <c r="E1655" t="s">
        <v>1341</v>
      </c>
      <c r="F1655" t="s">
        <v>92</v>
      </c>
      <c r="G1655" s="12">
        <v>6</v>
      </c>
      <c r="H1655" s="12">
        <v>151</v>
      </c>
      <c r="I1655" s="12">
        <v>2</v>
      </c>
      <c r="J1655" t="str">
        <f>VLOOKUP(B1655,Paramètres!$A$4:$C$11,3,FALSE)</f>
        <v>Petite couronne</v>
      </c>
      <c r="K1655" s="13">
        <f>IFERROR(H1655/G1655,"")</f>
        <v>25.166666666666668</v>
      </c>
      <c r="L1655" s="14">
        <f>IFERROR(I1655/G1655,"")</f>
        <v>0.33333333333333331</v>
      </c>
      <c r="M1655" s="11" t="str">
        <f>IF(K1655&gt;=Paramètres!$F$6,"Très forte",IF(K1655&gt;=Paramètres!$F$5,"Forte",IF(K1655&gt;=Paramètres!$F$4,"Modérée","Faible")))</f>
        <v>Forte</v>
      </c>
    </row>
    <row r="1656" spans="1:13">
      <c r="A1656" t="s">
        <v>1752</v>
      </c>
      <c r="B1656" s="11">
        <v>77</v>
      </c>
      <c r="C1656" t="s">
        <v>132</v>
      </c>
      <c r="D1656" t="s">
        <v>1263</v>
      </c>
      <c r="E1656" t="s">
        <v>1464</v>
      </c>
      <c r="F1656" t="s">
        <v>92</v>
      </c>
      <c r="G1656" s="12">
        <v>32</v>
      </c>
      <c r="H1656" s="12">
        <v>788</v>
      </c>
      <c r="I1656" s="12">
        <v>18</v>
      </c>
      <c r="J1656" t="str">
        <f>VLOOKUP(B1656,Paramètres!$A$4:$C$11,3,FALSE)</f>
        <v>Grande couronne</v>
      </c>
      <c r="K1656" s="13">
        <f>IFERROR(H1656/G1656,"")</f>
        <v>24.625</v>
      </c>
      <c r="L1656" s="14">
        <f>IFERROR(I1656/G1656,"")</f>
        <v>0.5625</v>
      </c>
      <c r="M1656" s="11" t="str">
        <f>IF(K1656&gt;=Paramètres!$F$6,"Très forte",IF(K1656&gt;=Paramètres!$F$5,"Forte",IF(K1656&gt;=Paramètres!$F$4,"Modérée","Faible")))</f>
        <v>Forte</v>
      </c>
    </row>
    <row r="1657" spans="1:13">
      <c r="A1657" t="s">
        <v>1318</v>
      </c>
      <c r="B1657" s="11">
        <v>94</v>
      </c>
      <c r="C1657" t="s">
        <v>116</v>
      </c>
      <c r="D1657" t="s">
        <v>1263</v>
      </c>
      <c r="E1657" t="s">
        <v>1366</v>
      </c>
      <c r="F1657" t="s">
        <v>92</v>
      </c>
      <c r="G1657" s="12">
        <v>65</v>
      </c>
      <c r="H1657" s="12">
        <v>1520</v>
      </c>
      <c r="I1657" s="12">
        <v>63</v>
      </c>
      <c r="J1657" t="str">
        <f>VLOOKUP(B1657,Paramètres!$A$4:$C$11,3,FALSE)</f>
        <v>Petite couronne</v>
      </c>
      <c r="K1657" s="13">
        <f>IFERROR(H1657/G1657,"")</f>
        <v>23.384615384615383</v>
      </c>
      <c r="L1657" s="14">
        <f>IFERROR(I1657/G1657,"")</f>
        <v>0.96923076923076923</v>
      </c>
      <c r="M1657" s="11" t="str">
        <f>IF(K1657&gt;=Paramètres!$F$6,"Très forte",IF(K1657&gt;=Paramètres!$F$5,"Forte",IF(K1657&gt;=Paramètres!$F$4,"Modérée","Faible")))</f>
        <v>Forte</v>
      </c>
    </row>
    <row r="1658" spans="1:13">
      <c r="A1658" t="s">
        <v>1295</v>
      </c>
      <c r="B1658" s="11">
        <v>94</v>
      </c>
      <c r="C1658" t="s">
        <v>116</v>
      </c>
      <c r="D1658" t="s">
        <v>1263</v>
      </c>
      <c r="E1658" t="s">
        <v>1296</v>
      </c>
      <c r="F1658" t="s">
        <v>92</v>
      </c>
      <c r="G1658" s="12">
        <v>3</v>
      </c>
      <c r="H1658" s="12">
        <v>68</v>
      </c>
      <c r="I1658" s="12">
        <v>2</v>
      </c>
      <c r="J1658" t="str">
        <f>VLOOKUP(B1658,Paramètres!$A$4:$C$11,3,FALSE)</f>
        <v>Petite couronne</v>
      </c>
      <c r="K1658" s="13">
        <f>IFERROR(H1658/G1658,"")</f>
        <v>22.666666666666668</v>
      </c>
      <c r="L1658" s="14">
        <f>IFERROR(I1658/G1658,"")</f>
        <v>0.66666666666666663</v>
      </c>
      <c r="M1658" s="11" t="str">
        <f>IF(K1658&gt;=Paramètres!$F$6,"Très forte",IF(K1658&gt;=Paramètres!$F$5,"Forte",IF(K1658&gt;=Paramètres!$F$4,"Modérée","Faible")))</f>
        <v>Forte</v>
      </c>
    </row>
    <row r="1659" spans="1:13">
      <c r="A1659" t="s">
        <v>1463</v>
      </c>
      <c r="B1659" s="11">
        <v>95</v>
      </c>
      <c r="C1659" t="s">
        <v>90</v>
      </c>
      <c r="D1659" t="s">
        <v>1263</v>
      </c>
      <c r="E1659" t="s">
        <v>1464</v>
      </c>
      <c r="F1659" t="s">
        <v>92</v>
      </c>
      <c r="G1659" s="12">
        <v>30</v>
      </c>
      <c r="H1659" s="12">
        <v>640</v>
      </c>
      <c r="I1659" s="12">
        <v>33</v>
      </c>
      <c r="J1659" t="str">
        <f>VLOOKUP(B1659,Paramètres!$A$4:$C$11,3,FALSE)</f>
        <v>Grande couronne</v>
      </c>
      <c r="K1659" s="13">
        <f>IFERROR(H1659/G1659,"")</f>
        <v>21.333333333333332</v>
      </c>
      <c r="L1659" s="14">
        <f>IFERROR(I1659/G1659,"")</f>
        <v>1.1000000000000001</v>
      </c>
      <c r="M1659" s="11" t="str">
        <f>IF(K1659&gt;=Paramètres!$F$6,"Très forte",IF(K1659&gt;=Paramètres!$F$5,"Forte",IF(K1659&gt;=Paramètres!$F$4,"Modérée","Faible")))</f>
        <v>Forte</v>
      </c>
    </row>
    <row r="1660" spans="1:13">
      <c r="A1660" t="s">
        <v>1004</v>
      </c>
      <c r="B1660" s="11">
        <v>94</v>
      </c>
      <c r="C1660" t="s">
        <v>116</v>
      </c>
      <c r="D1660" t="s">
        <v>1263</v>
      </c>
      <c r="E1660" t="s">
        <v>1360</v>
      </c>
      <c r="F1660" t="s">
        <v>92</v>
      </c>
      <c r="G1660" s="12">
        <v>180</v>
      </c>
      <c r="H1660" s="12">
        <v>3717</v>
      </c>
      <c r="I1660" s="12">
        <v>192</v>
      </c>
      <c r="J1660" t="str">
        <f>VLOOKUP(B1660,Paramètres!$A$4:$C$11,3,FALSE)</f>
        <v>Petite couronne</v>
      </c>
      <c r="K1660" s="13">
        <f>IFERROR(H1660/G1660,"")</f>
        <v>20.65</v>
      </c>
      <c r="L1660" s="14">
        <f>IFERROR(I1660/G1660,"")</f>
        <v>1.0666666666666667</v>
      </c>
      <c r="M1660" s="11" t="str">
        <f>IF(K1660&gt;=Paramètres!$F$6,"Très forte",IF(K1660&gt;=Paramètres!$F$5,"Forte",IF(K1660&gt;=Paramètres!$F$4,"Modérée","Faible")))</f>
        <v>Forte</v>
      </c>
    </row>
    <row r="1661" spans="1:13">
      <c r="A1661" t="s">
        <v>1295</v>
      </c>
      <c r="B1661" s="11">
        <v>94</v>
      </c>
      <c r="C1661" t="s">
        <v>116</v>
      </c>
      <c r="D1661" t="s">
        <v>1263</v>
      </c>
      <c r="E1661" t="s">
        <v>1296</v>
      </c>
      <c r="F1661" t="s">
        <v>92</v>
      </c>
      <c r="G1661" s="12">
        <v>5</v>
      </c>
      <c r="H1661" s="12">
        <v>102</v>
      </c>
      <c r="I1661" s="12">
        <v>1</v>
      </c>
      <c r="J1661" t="str">
        <f>VLOOKUP(B1661,Paramètres!$A$4:$C$11,3,FALSE)</f>
        <v>Petite couronne</v>
      </c>
      <c r="K1661" s="13">
        <f>IFERROR(H1661/G1661,"")</f>
        <v>20.399999999999999</v>
      </c>
      <c r="L1661" s="14">
        <f>IFERROR(I1661/G1661,"")</f>
        <v>0.2</v>
      </c>
      <c r="M1661" s="11" t="str">
        <f>IF(K1661&gt;=Paramètres!$F$6,"Très forte",IF(K1661&gt;=Paramètres!$F$5,"Forte",IF(K1661&gt;=Paramètres!$F$4,"Modérée","Faible")))</f>
        <v>Forte</v>
      </c>
    </row>
    <row r="1662" spans="1:13">
      <c r="A1662" t="s">
        <v>1463</v>
      </c>
      <c r="B1662" s="11">
        <v>95</v>
      </c>
      <c r="C1662" t="s">
        <v>90</v>
      </c>
      <c r="D1662" t="s">
        <v>1263</v>
      </c>
      <c r="E1662" t="s">
        <v>1287</v>
      </c>
      <c r="F1662" t="s">
        <v>92</v>
      </c>
      <c r="G1662" s="12">
        <v>20</v>
      </c>
      <c r="H1662" s="12">
        <v>408</v>
      </c>
      <c r="I1662" s="12">
        <v>21</v>
      </c>
      <c r="J1662" t="str">
        <f>VLOOKUP(B1662,Paramètres!$A$4:$C$11,3,FALSE)</f>
        <v>Grande couronne</v>
      </c>
      <c r="K1662" s="13">
        <f>IFERROR(H1662/G1662,"")</f>
        <v>20.399999999999999</v>
      </c>
      <c r="L1662" s="14">
        <f>IFERROR(I1662/G1662,"")</f>
        <v>1.05</v>
      </c>
      <c r="M1662" s="11" t="str">
        <f>IF(K1662&gt;=Paramètres!$F$6,"Très forte",IF(K1662&gt;=Paramètres!$F$5,"Forte",IF(K1662&gt;=Paramètres!$F$4,"Modérée","Faible")))</f>
        <v>Forte</v>
      </c>
    </row>
    <row r="1663" spans="1:13">
      <c r="A1663" t="s">
        <v>1318</v>
      </c>
      <c r="B1663" s="11">
        <v>94</v>
      </c>
      <c r="C1663" t="s">
        <v>116</v>
      </c>
      <c r="D1663" t="s">
        <v>1263</v>
      </c>
      <c r="E1663" t="s">
        <v>1366</v>
      </c>
      <c r="F1663" t="s">
        <v>92</v>
      </c>
      <c r="G1663" s="12">
        <v>86</v>
      </c>
      <c r="H1663" s="12">
        <v>1746</v>
      </c>
      <c r="I1663" s="12">
        <v>65</v>
      </c>
      <c r="J1663" t="str">
        <f>VLOOKUP(B1663,Paramètres!$A$4:$C$11,3,FALSE)</f>
        <v>Petite couronne</v>
      </c>
      <c r="K1663" s="13">
        <f>IFERROR(H1663/G1663,"")</f>
        <v>20.302325581395348</v>
      </c>
      <c r="L1663" s="14">
        <f>IFERROR(I1663/G1663,"")</f>
        <v>0.7558139534883721</v>
      </c>
      <c r="M1663" s="11" t="str">
        <f>IF(K1663&gt;=Paramètres!$F$6,"Très forte",IF(K1663&gt;=Paramètres!$F$5,"Forte",IF(K1663&gt;=Paramètres!$F$4,"Modérée","Faible")))</f>
        <v>Forte</v>
      </c>
    </row>
    <row r="1664" spans="1:13">
      <c r="A1664" t="s">
        <v>937</v>
      </c>
      <c r="B1664" s="11">
        <v>92</v>
      </c>
      <c r="C1664" t="s">
        <v>94</v>
      </c>
      <c r="D1664" t="s">
        <v>1263</v>
      </c>
      <c r="E1664" t="s">
        <v>1282</v>
      </c>
      <c r="F1664" t="s">
        <v>92</v>
      </c>
      <c r="G1664" s="12">
        <v>48</v>
      </c>
      <c r="H1664" s="12">
        <v>964</v>
      </c>
      <c r="I1664" s="12">
        <v>51</v>
      </c>
      <c r="J1664" t="str">
        <f>VLOOKUP(B1664,Paramètres!$A$4:$C$11,3,FALSE)</f>
        <v>Petite couronne</v>
      </c>
      <c r="K1664" s="13">
        <f>IFERROR(H1664/G1664,"")</f>
        <v>20.083333333333332</v>
      </c>
      <c r="L1664" s="14">
        <f>IFERROR(I1664/G1664,"")</f>
        <v>1.0625</v>
      </c>
      <c r="M1664" s="11" t="str">
        <f>IF(K1664&gt;=Paramètres!$F$6,"Très forte",IF(K1664&gt;=Paramètres!$F$5,"Forte",IF(K1664&gt;=Paramètres!$F$4,"Modérée","Faible")))</f>
        <v>Forte</v>
      </c>
    </row>
    <row r="1665" spans="1:13">
      <c r="A1665" t="s">
        <v>1295</v>
      </c>
      <c r="B1665" s="11">
        <v>94</v>
      </c>
      <c r="C1665" t="s">
        <v>116</v>
      </c>
      <c r="D1665" t="s">
        <v>1263</v>
      </c>
      <c r="E1665" t="s">
        <v>1283</v>
      </c>
      <c r="F1665" t="s">
        <v>92</v>
      </c>
      <c r="G1665" s="12">
        <v>28</v>
      </c>
      <c r="H1665" s="12">
        <v>551</v>
      </c>
      <c r="I1665" s="12">
        <v>28</v>
      </c>
      <c r="J1665" t="str">
        <f>VLOOKUP(B1665,Paramètres!$A$4:$C$11,3,FALSE)</f>
        <v>Petite couronne</v>
      </c>
      <c r="K1665" s="13">
        <f>IFERROR(H1665/G1665,"")</f>
        <v>19.678571428571427</v>
      </c>
      <c r="L1665" s="14">
        <f>IFERROR(I1665/G1665,"")</f>
        <v>1</v>
      </c>
      <c r="M1665" s="11" t="str">
        <f>IF(K1665&gt;=Paramètres!$F$6,"Très forte",IF(K1665&gt;=Paramètres!$F$5,"Forte",IF(K1665&gt;=Paramètres!$F$4,"Modérée","Faible")))</f>
        <v>Modérée</v>
      </c>
    </row>
    <row r="1666" spans="1:13">
      <c r="A1666" t="s">
        <v>1004</v>
      </c>
      <c r="B1666" s="11">
        <v>94</v>
      </c>
      <c r="C1666" t="s">
        <v>116</v>
      </c>
      <c r="D1666" t="s">
        <v>1263</v>
      </c>
      <c r="E1666" t="s">
        <v>1360</v>
      </c>
      <c r="F1666" t="s">
        <v>92</v>
      </c>
      <c r="G1666" s="12">
        <v>120</v>
      </c>
      <c r="H1666" s="12">
        <v>2234</v>
      </c>
      <c r="I1666" s="12">
        <v>103</v>
      </c>
      <c r="J1666" t="str">
        <f>VLOOKUP(B1666,Paramètres!$A$4:$C$11,3,FALSE)</f>
        <v>Petite couronne</v>
      </c>
      <c r="K1666" s="13">
        <f>IFERROR(H1666/G1666,"")</f>
        <v>18.616666666666667</v>
      </c>
      <c r="L1666" s="14">
        <f>IFERROR(I1666/G1666,"")</f>
        <v>0.85833333333333328</v>
      </c>
      <c r="M1666" s="11" t="str">
        <f>IF(K1666&gt;=Paramètres!$F$6,"Très forte",IF(K1666&gt;=Paramètres!$F$5,"Forte",IF(K1666&gt;=Paramètres!$F$4,"Modérée","Faible")))</f>
        <v>Modérée</v>
      </c>
    </row>
    <row r="1667" spans="1:13">
      <c r="A1667" t="s">
        <v>1265</v>
      </c>
      <c r="B1667" s="11">
        <v>92</v>
      </c>
      <c r="C1667" t="s">
        <v>94</v>
      </c>
      <c r="D1667" t="s">
        <v>1263</v>
      </c>
      <c r="E1667" t="s">
        <v>1364</v>
      </c>
      <c r="F1667" t="s">
        <v>92</v>
      </c>
      <c r="G1667" s="12">
        <v>387</v>
      </c>
      <c r="H1667" s="12">
        <v>7146</v>
      </c>
      <c r="I1667" s="12">
        <v>397</v>
      </c>
      <c r="J1667" t="str">
        <f>VLOOKUP(B1667,Paramètres!$A$4:$C$11,3,FALSE)</f>
        <v>Petite couronne</v>
      </c>
      <c r="K1667" s="13">
        <f>IFERROR(H1667/G1667,"")</f>
        <v>18.465116279069768</v>
      </c>
      <c r="L1667" s="14">
        <f>IFERROR(I1667/G1667,"")</f>
        <v>1.0258397932816536</v>
      </c>
      <c r="M1667" s="11" t="str">
        <f>IF(K1667&gt;=Paramètres!$F$6,"Très forte",IF(K1667&gt;=Paramètres!$F$5,"Forte",IF(K1667&gt;=Paramètres!$F$4,"Modérée","Faible")))</f>
        <v>Modérée</v>
      </c>
    </row>
    <row r="1668" spans="1:13">
      <c r="A1668" t="s">
        <v>1463</v>
      </c>
      <c r="B1668" s="11">
        <v>95</v>
      </c>
      <c r="C1668" t="s">
        <v>90</v>
      </c>
      <c r="D1668" t="s">
        <v>1263</v>
      </c>
      <c r="E1668" t="s">
        <v>1464</v>
      </c>
      <c r="F1668" t="s">
        <v>92</v>
      </c>
      <c r="G1668" s="12">
        <v>25</v>
      </c>
      <c r="H1668" s="12">
        <v>461</v>
      </c>
      <c r="I1668" s="12">
        <v>30</v>
      </c>
      <c r="J1668" t="str">
        <f>VLOOKUP(B1668,Paramètres!$A$4:$C$11,3,FALSE)</f>
        <v>Grande couronne</v>
      </c>
      <c r="K1668" s="13">
        <f>IFERROR(H1668/G1668,"")</f>
        <v>18.440000000000001</v>
      </c>
      <c r="L1668" s="14">
        <f>IFERROR(I1668/G1668,"")</f>
        <v>1.2</v>
      </c>
      <c r="M1668" s="11" t="str">
        <f>IF(K1668&gt;=Paramètres!$F$6,"Très forte",IF(K1668&gt;=Paramètres!$F$5,"Forte",IF(K1668&gt;=Paramètres!$F$4,"Modérée","Faible")))</f>
        <v>Modérée</v>
      </c>
    </row>
    <row r="1669" spans="1:13">
      <c r="A1669" t="s">
        <v>1318</v>
      </c>
      <c r="B1669" s="11">
        <v>94</v>
      </c>
      <c r="C1669" t="s">
        <v>116</v>
      </c>
      <c r="D1669" t="s">
        <v>1263</v>
      </c>
      <c r="E1669" t="s">
        <v>1283</v>
      </c>
      <c r="F1669" t="s">
        <v>92</v>
      </c>
      <c r="G1669" s="12">
        <v>20</v>
      </c>
      <c r="H1669" s="12">
        <v>356</v>
      </c>
      <c r="I1669" s="12">
        <v>3</v>
      </c>
      <c r="J1669" t="str">
        <f>VLOOKUP(B1669,Paramètres!$A$4:$C$11,3,FALSE)</f>
        <v>Petite couronne</v>
      </c>
      <c r="K1669" s="13">
        <f>IFERROR(H1669/G1669,"")</f>
        <v>17.8</v>
      </c>
      <c r="L1669" s="14">
        <f>IFERROR(I1669/G1669,"")</f>
        <v>0.15</v>
      </c>
      <c r="M1669" s="11" t="str">
        <f>IF(K1669&gt;=Paramètres!$F$6,"Très forte",IF(K1669&gt;=Paramètres!$F$5,"Forte",IF(K1669&gt;=Paramètres!$F$4,"Modérée","Faible")))</f>
        <v>Modérée</v>
      </c>
    </row>
    <row r="1670" spans="1:13">
      <c r="A1670" t="s">
        <v>1004</v>
      </c>
      <c r="B1670" s="11">
        <v>94</v>
      </c>
      <c r="C1670" t="s">
        <v>116</v>
      </c>
      <c r="D1670" t="s">
        <v>1263</v>
      </c>
      <c r="E1670" t="s">
        <v>1283</v>
      </c>
      <c r="F1670" t="s">
        <v>92</v>
      </c>
      <c r="G1670" s="12">
        <v>30</v>
      </c>
      <c r="H1670" s="12">
        <v>534</v>
      </c>
      <c r="I1670" s="12">
        <v>18</v>
      </c>
      <c r="J1670" t="str">
        <f>VLOOKUP(B1670,Paramètres!$A$4:$C$11,3,FALSE)</f>
        <v>Petite couronne</v>
      </c>
      <c r="K1670" s="13">
        <f>IFERROR(H1670/G1670,"")</f>
        <v>17.8</v>
      </c>
      <c r="L1670" s="14">
        <f>IFERROR(I1670/G1670,"")</f>
        <v>0.6</v>
      </c>
      <c r="M1670" s="11" t="str">
        <f>IF(K1670&gt;=Paramètres!$F$6,"Très forte",IF(K1670&gt;=Paramètres!$F$5,"Forte",IF(K1670&gt;=Paramètres!$F$4,"Modérée","Faible")))</f>
        <v>Modérée</v>
      </c>
    </row>
    <row r="1671" spans="1:13">
      <c r="A1671" t="s">
        <v>1463</v>
      </c>
      <c r="B1671" s="11">
        <v>95</v>
      </c>
      <c r="C1671" t="s">
        <v>90</v>
      </c>
      <c r="D1671" t="s">
        <v>1263</v>
      </c>
      <c r="E1671" t="s">
        <v>1464</v>
      </c>
      <c r="F1671" t="s">
        <v>92</v>
      </c>
      <c r="G1671" s="12">
        <v>50</v>
      </c>
      <c r="H1671" s="12">
        <v>849</v>
      </c>
      <c r="I1671" s="12">
        <v>53</v>
      </c>
      <c r="J1671" t="str">
        <f>VLOOKUP(B1671,Paramètres!$A$4:$C$11,3,FALSE)</f>
        <v>Grande couronne</v>
      </c>
      <c r="K1671" s="13">
        <f>IFERROR(H1671/G1671,"")</f>
        <v>16.98</v>
      </c>
      <c r="L1671" s="14">
        <f>IFERROR(I1671/G1671,"")</f>
        <v>1.06</v>
      </c>
      <c r="M1671" s="11" t="str">
        <f>IF(K1671&gt;=Paramètres!$F$6,"Très forte",IF(K1671&gt;=Paramètres!$F$5,"Forte",IF(K1671&gt;=Paramètres!$F$4,"Modérée","Faible")))</f>
        <v>Modérée</v>
      </c>
    </row>
    <row r="1672" spans="1:13">
      <c r="A1672" t="s">
        <v>1004</v>
      </c>
      <c r="B1672" s="11">
        <v>94</v>
      </c>
      <c r="C1672" t="s">
        <v>116</v>
      </c>
      <c r="D1672" t="s">
        <v>1263</v>
      </c>
      <c r="E1672" t="s">
        <v>1283</v>
      </c>
      <c r="F1672" t="s">
        <v>92</v>
      </c>
      <c r="G1672" s="12">
        <v>30</v>
      </c>
      <c r="H1672" s="12">
        <v>508</v>
      </c>
      <c r="I1672" s="12">
        <v>34</v>
      </c>
      <c r="J1672" t="str">
        <f>VLOOKUP(B1672,Paramètres!$A$4:$C$11,3,FALSE)</f>
        <v>Petite couronne</v>
      </c>
      <c r="K1672" s="13">
        <f>IFERROR(H1672/G1672,"")</f>
        <v>16.933333333333334</v>
      </c>
      <c r="L1672" s="14">
        <f>IFERROR(I1672/G1672,"")</f>
        <v>1.1333333333333333</v>
      </c>
      <c r="M1672" s="11" t="str">
        <f>IF(K1672&gt;=Paramètres!$F$6,"Très forte",IF(K1672&gt;=Paramètres!$F$5,"Forte",IF(K1672&gt;=Paramètres!$F$4,"Modérée","Faible")))</f>
        <v>Modérée</v>
      </c>
    </row>
    <row r="1673" spans="1:13">
      <c r="A1673" t="s">
        <v>1695</v>
      </c>
      <c r="B1673" s="11">
        <v>95</v>
      </c>
      <c r="C1673" t="s">
        <v>90</v>
      </c>
      <c r="D1673" t="s">
        <v>1263</v>
      </c>
      <c r="E1673" t="s">
        <v>1696</v>
      </c>
      <c r="F1673" t="s">
        <v>92</v>
      </c>
      <c r="G1673" s="12">
        <v>32</v>
      </c>
      <c r="H1673" s="12">
        <v>527</v>
      </c>
      <c r="I1673" s="12">
        <v>25</v>
      </c>
      <c r="J1673" t="str">
        <f>VLOOKUP(B1673,Paramètres!$A$4:$C$11,3,FALSE)</f>
        <v>Grande couronne</v>
      </c>
      <c r="K1673" s="13">
        <f>IFERROR(H1673/G1673,"")</f>
        <v>16.46875</v>
      </c>
      <c r="L1673" s="14">
        <f>IFERROR(I1673/G1673,"")</f>
        <v>0.78125</v>
      </c>
      <c r="M1673" s="11" t="str">
        <f>IF(K1673&gt;=Paramètres!$F$6,"Très forte",IF(K1673&gt;=Paramètres!$F$5,"Forte",IF(K1673&gt;=Paramètres!$F$4,"Modérée","Faible")))</f>
        <v>Modérée</v>
      </c>
    </row>
    <row r="1674" spans="1:13">
      <c r="A1674" t="s">
        <v>1338</v>
      </c>
      <c r="B1674" s="11">
        <v>95</v>
      </c>
      <c r="C1674" t="s">
        <v>90</v>
      </c>
      <c r="D1674" t="s">
        <v>1263</v>
      </c>
      <c r="E1674" t="s">
        <v>1360</v>
      </c>
      <c r="F1674" t="s">
        <v>92</v>
      </c>
      <c r="G1674" s="12">
        <v>120</v>
      </c>
      <c r="H1674" s="12">
        <v>1962</v>
      </c>
      <c r="I1674" s="12">
        <v>99</v>
      </c>
      <c r="J1674" t="str">
        <f>VLOOKUP(B1674,Paramètres!$A$4:$C$11,3,FALSE)</f>
        <v>Grande couronne</v>
      </c>
      <c r="K1674" s="13">
        <f>IFERROR(H1674/G1674,"")</f>
        <v>16.350000000000001</v>
      </c>
      <c r="L1674" s="14">
        <f>IFERROR(I1674/G1674,"")</f>
        <v>0.82499999999999996</v>
      </c>
      <c r="M1674" s="11" t="str">
        <f>IF(K1674&gt;=Paramètres!$F$6,"Très forte",IF(K1674&gt;=Paramètres!$F$5,"Forte",IF(K1674&gt;=Paramètres!$F$4,"Modérée","Faible")))</f>
        <v>Modérée</v>
      </c>
    </row>
    <row r="1675" spans="1:13">
      <c r="A1675" t="s">
        <v>1338</v>
      </c>
      <c r="B1675" s="11">
        <v>95</v>
      </c>
      <c r="C1675" t="s">
        <v>90</v>
      </c>
      <c r="D1675" t="s">
        <v>1263</v>
      </c>
      <c r="E1675" t="s">
        <v>1341</v>
      </c>
      <c r="F1675" t="s">
        <v>92</v>
      </c>
      <c r="G1675" s="12">
        <v>3</v>
      </c>
      <c r="H1675" s="12">
        <v>49</v>
      </c>
      <c r="I1675" s="12">
        <v>3</v>
      </c>
      <c r="J1675" t="str">
        <f>VLOOKUP(B1675,Paramètres!$A$4:$C$11,3,FALSE)</f>
        <v>Grande couronne</v>
      </c>
      <c r="K1675" s="13">
        <f>IFERROR(H1675/G1675,"")</f>
        <v>16.333333333333332</v>
      </c>
      <c r="L1675" s="14">
        <f>IFERROR(I1675/G1675,"")</f>
        <v>1</v>
      </c>
      <c r="M1675" s="11" t="str">
        <f>IF(K1675&gt;=Paramètres!$F$6,"Très forte",IF(K1675&gt;=Paramètres!$F$5,"Forte",IF(K1675&gt;=Paramètres!$F$4,"Modérée","Faible")))</f>
        <v>Modérée</v>
      </c>
    </row>
    <row r="1676" spans="1:13">
      <c r="A1676" t="s">
        <v>1365</v>
      </c>
      <c r="B1676" s="11">
        <v>75</v>
      </c>
      <c r="C1676" t="s">
        <v>86</v>
      </c>
      <c r="D1676" t="s">
        <v>1263</v>
      </c>
      <c r="E1676" t="s">
        <v>1366</v>
      </c>
      <c r="F1676" t="s">
        <v>92</v>
      </c>
      <c r="G1676" s="12">
        <v>200</v>
      </c>
      <c r="H1676" s="12">
        <v>3254</v>
      </c>
      <c r="I1676" s="12">
        <v>225</v>
      </c>
      <c r="J1676" t="str">
        <f>VLOOKUP(B1676,Paramètres!$A$4:$C$11,3,FALSE)</f>
        <v>Paris</v>
      </c>
      <c r="K1676" s="13">
        <f>IFERROR(H1676/G1676,"")</f>
        <v>16.27</v>
      </c>
      <c r="L1676" s="14">
        <f>IFERROR(I1676/G1676,"")</f>
        <v>1.125</v>
      </c>
      <c r="M1676" s="11" t="str">
        <f>IF(K1676&gt;=Paramètres!$F$6,"Très forte",IF(K1676&gt;=Paramètres!$F$5,"Forte",IF(K1676&gt;=Paramètres!$F$4,"Modérée","Faible")))</f>
        <v>Modérée</v>
      </c>
    </row>
    <row r="1677" spans="1:13">
      <c r="A1677" t="s">
        <v>1292</v>
      </c>
      <c r="B1677" s="11">
        <v>93</v>
      </c>
      <c r="C1677" t="s">
        <v>100</v>
      </c>
      <c r="D1677" t="s">
        <v>1263</v>
      </c>
      <c r="E1677" t="s">
        <v>1360</v>
      </c>
      <c r="F1677" t="s">
        <v>92</v>
      </c>
      <c r="G1677" s="12">
        <v>250</v>
      </c>
      <c r="H1677" s="12">
        <v>3927</v>
      </c>
      <c r="I1677" s="12">
        <v>256</v>
      </c>
      <c r="J1677" t="str">
        <f>VLOOKUP(B1677,Paramètres!$A$4:$C$11,3,FALSE)</f>
        <v>Petite couronne</v>
      </c>
      <c r="K1677" s="13">
        <f>IFERROR(H1677/G1677,"")</f>
        <v>15.708</v>
      </c>
      <c r="L1677" s="14">
        <f>IFERROR(I1677/G1677,"")</f>
        <v>1.024</v>
      </c>
      <c r="M1677" s="11" t="str">
        <f>IF(K1677&gt;=Paramètres!$F$6,"Très forte",IF(K1677&gt;=Paramètres!$F$5,"Forte",IF(K1677&gt;=Paramètres!$F$4,"Modérée","Faible")))</f>
        <v>Modérée</v>
      </c>
    </row>
    <row r="1678" spans="1:13">
      <c r="A1678" t="s">
        <v>1562</v>
      </c>
      <c r="B1678" s="11">
        <v>94</v>
      </c>
      <c r="C1678" t="s">
        <v>116</v>
      </c>
      <c r="D1678" t="s">
        <v>1263</v>
      </c>
      <c r="E1678" t="s">
        <v>1366</v>
      </c>
      <c r="F1678" t="s">
        <v>92</v>
      </c>
      <c r="G1678" s="12">
        <v>220</v>
      </c>
      <c r="H1678" s="12">
        <v>3439</v>
      </c>
      <c r="I1678" s="12">
        <v>325</v>
      </c>
      <c r="J1678" t="str">
        <f>VLOOKUP(B1678,Paramètres!$A$4:$C$11,3,FALSE)</f>
        <v>Petite couronne</v>
      </c>
      <c r="K1678" s="13">
        <f>IFERROR(H1678/G1678,"")</f>
        <v>15.631818181818181</v>
      </c>
      <c r="L1678" s="14">
        <f>IFERROR(I1678/G1678,"")</f>
        <v>1.4772727272727273</v>
      </c>
      <c r="M1678" s="11" t="str">
        <f>IF(K1678&gt;=Paramètres!$F$6,"Très forte",IF(K1678&gt;=Paramètres!$F$5,"Forte",IF(K1678&gt;=Paramètres!$F$4,"Modérée","Faible")))</f>
        <v>Modérée</v>
      </c>
    </row>
    <row r="1679" spans="1:13">
      <c r="A1679" t="s">
        <v>1512</v>
      </c>
      <c r="B1679" s="11">
        <v>94</v>
      </c>
      <c r="C1679" t="s">
        <v>116</v>
      </c>
      <c r="D1679" t="s">
        <v>1263</v>
      </c>
      <c r="E1679" t="s">
        <v>1366</v>
      </c>
      <c r="F1679" t="s">
        <v>92</v>
      </c>
      <c r="G1679" s="12">
        <v>120</v>
      </c>
      <c r="H1679" s="12">
        <v>1825</v>
      </c>
      <c r="I1679" s="12">
        <v>125</v>
      </c>
      <c r="J1679" t="str">
        <f>VLOOKUP(B1679,Paramètres!$A$4:$C$11,3,FALSE)</f>
        <v>Petite couronne</v>
      </c>
      <c r="K1679" s="13">
        <f>IFERROR(H1679/G1679,"")</f>
        <v>15.208333333333334</v>
      </c>
      <c r="L1679" s="14">
        <f>IFERROR(I1679/G1679,"")</f>
        <v>1.0416666666666667</v>
      </c>
      <c r="M1679" s="11" t="str">
        <f>IF(K1679&gt;=Paramètres!$F$6,"Très forte",IF(K1679&gt;=Paramètres!$F$5,"Forte",IF(K1679&gt;=Paramètres!$F$4,"Modérée","Faible")))</f>
        <v>Modérée</v>
      </c>
    </row>
    <row r="1680" spans="1:13">
      <c r="A1680" t="s">
        <v>1424</v>
      </c>
      <c r="B1680" s="11">
        <v>75</v>
      </c>
      <c r="C1680" t="s">
        <v>86</v>
      </c>
      <c r="D1680" t="s">
        <v>1263</v>
      </c>
      <c r="E1680" t="s">
        <v>1341</v>
      </c>
      <c r="F1680" t="s">
        <v>92</v>
      </c>
      <c r="G1680" s="12">
        <v>10</v>
      </c>
      <c r="H1680" s="12">
        <v>148</v>
      </c>
      <c r="I1680" s="12">
        <v>11</v>
      </c>
      <c r="J1680" t="str">
        <f>VLOOKUP(B1680,Paramètres!$A$4:$C$11,3,FALSE)</f>
        <v>Paris</v>
      </c>
      <c r="K1680" s="13">
        <f>IFERROR(H1680/G1680,"")</f>
        <v>14.8</v>
      </c>
      <c r="L1680" s="14">
        <f>IFERROR(I1680/G1680,"")</f>
        <v>1.1000000000000001</v>
      </c>
      <c r="M1680" s="11" t="str">
        <f>IF(K1680&gt;=Paramètres!$F$6,"Très forte",IF(K1680&gt;=Paramètres!$F$5,"Forte",IF(K1680&gt;=Paramètres!$F$4,"Modérée","Faible")))</f>
        <v>Modérée</v>
      </c>
    </row>
    <row r="1681" spans="1:13">
      <c r="A1681" t="s">
        <v>1340</v>
      </c>
      <c r="B1681" s="11">
        <v>94</v>
      </c>
      <c r="C1681" t="s">
        <v>116</v>
      </c>
      <c r="D1681" t="s">
        <v>1263</v>
      </c>
      <c r="E1681" t="s">
        <v>1341</v>
      </c>
      <c r="F1681" t="s">
        <v>92</v>
      </c>
      <c r="G1681" s="12">
        <v>5</v>
      </c>
      <c r="H1681" s="12">
        <v>72</v>
      </c>
      <c r="I1681" s="12">
        <v>4</v>
      </c>
      <c r="J1681" t="str">
        <f>VLOOKUP(B1681,Paramètres!$A$4:$C$11,3,FALSE)</f>
        <v>Petite couronne</v>
      </c>
      <c r="K1681" s="13">
        <f>IFERROR(H1681/G1681,"")</f>
        <v>14.4</v>
      </c>
      <c r="L1681" s="14">
        <f>IFERROR(I1681/G1681,"")</f>
        <v>0.8</v>
      </c>
      <c r="M1681" s="11" t="str">
        <f>IF(K1681&gt;=Paramètres!$F$6,"Très forte",IF(K1681&gt;=Paramètres!$F$5,"Forte",IF(K1681&gt;=Paramètres!$F$4,"Modérée","Faible")))</f>
        <v>Modérée</v>
      </c>
    </row>
    <row r="1682" spans="1:13">
      <c r="A1682" t="s">
        <v>1318</v>
      </c>
      <c r="B1682" s="11">
        <v>94</v>
      </c>
      <c r="C1682" t="s">
        <v>116</v>
      </c>
      <c r="D1682" t="s">
        <v>1263</v>
      </c>
      <c r="E1682" t="s">
        <v>1283</v>
      </c>
      <c r="F1682" t="s">
        <v>92</v>
      </c>
      <c r="G1682" s="12">
        <v>30</v>
      </c>
      <c r="H1682" s="12">
        <v>432</v>
      </c>
      <c r="I1682" s="12">
        <v>33</v>
      </c>
      <c r="J1682" t="str">
        <f>VLOOKUP(B1682,Paramètres!$A$4:$C$11,3,FALSE)</f>
        <v>Petite couronne</v>
      </c>
      <c r="K1682" s="13">
        <f>IFERROR(H1682/G1682,"")</f>
        <v>14.4</v>
      </c>
      <c r="L1682" s="14">
        <f>IFERROR(I1682/G1682,"")</f>
        <v>1.1000000000000001</v>
      </c>
      <c r="M1682" s="11" t="str">
        <f>IF(K1682&gt;=Paramètres!$F$6,"Très forte",IF(K1682&gt;=Paramètres!$F$5,"Forte",IF(K1682&gt;=Paramètres!$F$4,"Modérée","Faible")))</f>
        <v>Modérée</v>
      </c>
    </row>
    <row r="1683" spans="1:13">
      <c r="A1683" t="s">
        <v>1752</v>
      </c>
      <c r="B1683" s="11">
        <v>77</v>
      </c>
      <c r="C1683" t="s">
        <v>132</v>
      </c>
      <c r="D1683" t="s">
        <v>1263</v>
      </c>
      <c r="E1683" t="s">
        <v>1464</v>
      </c>
      <c r="F1683" t="s">
        <v>92</v>
      </c>
      <c r="G1683" s="12">
        <v>60</v>
      </c>
      <c r="H1683" s="12">
        <v>863</v>
      </c>
      <c r="I1683" s="12">
        <v>62</v>
      </c>
      <c r="J1683" t="str">
        <f>VLOOKUP(B1683,Paramètres!$A$4:$C$11,3,FALSE)</f>
        <v>Grande couronne</v>
      </c>
      <c r="K1683" s="13">
        <f>IFERROR(H1683/G1683,"")</f>
        <v>14.383333333333333</v>
      </c>
      <c r="L1683" s="14">
        <f>IFERROR(I1683/G1683,"")</f>
        <v>1.0333333333333334</v>
      </c>
      <c r="M1683" s="11" t="str">
        <f>IF(K1683&gt;=Paramètres!$F$6,"Très forte",IF(K1683&gt;=Paramètres!$F$5,"Forte",IF(K1683&gt;=Paramètres!$F$4,"Modérée","Faible")))</f>
        <v>Modérée</v>
      </c>
    </row>
    <row r="1684" spans="1:13">
      <c r="A1684" t="s">
        <v>1424</v>
      </c>
      <c r="B1684" s="11">
        <v>75</v>
      </c>
      <c r="C1684" t="s">
        <v>86</v>
      </c>
      <c r="D1684" t="s">
        <v>1263</v>
      </c>
      <c r="E1684" t="s">
        <v>1283</v>
      </c>
      <c r="F1684" t="s">
        <v>92</v>
      </c>
      <c r="G1684" s="12">
        <v>35</v>
      </c>
      <c r="H1684" s="12">
        <v>493</v>
      </c>
      <c r="I1684" s="12">
        <v>34</v>
      </c>
      <c r="J1684" t="str">
        <f>VLOOKUP(B1684,Paramètres!$A$4:$C$11,3,FALSE)</f>
        <v>Paris</v>
      </c>
      <c r="K1684" s="13">
        <f>IFERROR(H1684/G1684,"")</f>
        <v>14.085714285714285</v>
      </c>
      <c r="L1684" s="14">
        <f>IFERROR(I1684/G1684,"")</f>
        <v>0.97142857142857142</v>
      </c>
      <c r="M1684" s="11" t="str">
        <f>IF(K1684&gt;=Paramètres!$F$6,"Très forte",IF(K1684&gt;=Paramètres!$F$5,"Forte",IF(K1684&gt;=Paramètres!$F$4,"Modérée","Faible")))</f>
        <v>Modérée</v>
      </c>
    </row>
    <row r="1685" spans="1:13">
      <c r="A1685" t="s">
        <v>1265</v>
      </c>
      <c r="B1685" s="11">
        <v>92</v>
      </c>
      <c r="C1685" t="s">
        <v>94</v>
      </c>
      <c r="D1685" t="s">
        <v>1263</v>
      </c>
      <c r="E1685" t="s">
        <v>1264</v>
      </c>
      <c r="F1685" t="s">
        <v>92</v>
      </c>
      <c r="G1685" s="12">
        <v>25</v>
      </c>
      <c r="H1685" s="12">
        <v>334</v>
      </c>
      <c r="I1685" s="12">
        <v>20</v>
      </c>
      <c r="J1685" t="str">
        <f>VLOOKUP(B1685,Paramètres!$A$4:$C$11,3,FALSE)</f>
        <v>Petite couronne</v>
      </c>
      <c r="K1685" s="13">
        <f>IFERROR(H1685/G1685,"")</f>
        <v>13.36</v>
      </c>
      <c r="L1685" s="14">
        <f>IFERROR(I1685/G1685,"")</f>
        <v>0.8</v>
      </c>
      <c r="M1685" s="11" t="str">
        <f>IF(K1685&gt;=Paramètres!$F$6,"Très forte",IF(K1685&gt;=Paramètres!$F$5,"Forte",IF(K1685&gt;=Paramètres!$F$4,"Modérée","Faible")))</f>
        <v>Modérée</v>
      </c>
    </row>
    <row r="1686" spans="1:13">
      <c r="A1686" t="s">
        <v>1311</v>
      </c>
      <c r="B1686" s="11">
        <v>75</v>
      </c>
      <c r="C1686" t="s">
        <v>86</v>
      </c>
      <c r="D1686" t="s">
        <v>1263</v>
      </c>
      <c r="E1686" t="s">
        <v>1364</v>
      </c>
      <c r="F1686" t="s">
        <v>92</v>
      </c>
      <c r="G1686" s="12">
        <v>495</v>
      </c>
      <c r="H1686" s="12">
        <v>6452</v>
      </c>
      <c r="I1686" s="12">
        <v>490</v>
      </c>
      <c r="J1686" t="str">
        <f>VLOOKUP(B1686,Paramètres!$A$4:$C$11,3,FALSE)</f>
        <v>Paris</v>
      </c>
      <c r="K1686" s="13">
        <f>IFERROR(H1686/G1686,"")</f>
        <v>13.034343434343434</v>
      </c>
      <c r="L1686" s="14">
        <f>IFERROR(I1686/G1686,"")</f>
        <v>0.98989898989898994</v>
      </c>
      <c r="M1686" s="11" t="str">
        <f>IF(K1686&gt;=Paramètres!$F$6,"Très forte",IF(K1686&gt;=Paramètres!$F$5,"Forte",IF(K1686&gt;=Paramètres!$F$4,"Modérée","Faible")))</f>
        <v>Modérée</v>
      </c>
    </row>
    <row r="1687" spans="1:13">
      <c r="A1687" t="s">
        <v>1318</v>
      </c>
      <c r="B1687" s="11">
        <v>94</v>
      </c>
      <c r="C1687" t="s">
        <v>116</v>
      </c>
      <c r="D1687" t="s">
        <v>1263</v>
      </c>
      <c r="E1687" t="s">
        <v>1366</v>
      </c>
      <c r="F1687" t="s">
        <v>92</v>
      </c>
      <c r="G1687" s="12">
        <v>240</v>
      </c>
      <c r="H1687" s="12">
        <v>2894</v>
      </c>
      <c r="I1687" s="12">
        <v>306</v>
      </c>
      <c r="J1687" t="str">
        <f>VLOOKUP(B1687,Paramètres!$A$4:$C$11,3,FALSE)</f>
        <v>Petite couronne</v>
      </c>
      <c r="K1687" s="13">
        <f>IFERROR(H1687/G1687,"")</f>
        <v>12.058333333333334</v>
      </c>
      <c r="L1687" s="14">
        <f>IFERROR(I1687/G1687,"")</f>
        <v>1.2749999999999999</v>
      </c>
      <c r="M1687" s="11" t="str">
        <f>IF(K1687&gt;=Paramètres!$F$6,"Très forte",IF(K1687&gt;=Paramètres!$F$5,"Forte",IF(K1687&gt;=Paramètres!$F$4,"Modérée","Faible")))</f>
        <v>Modérée</v>
      </c>
    </row>
    <row r="1688" spans="1:13">
      <c r="A1688" t="s">
        <v>1305</v>
      </c>
      <c r="B1688" s="11">
        <v>92</v>
      </c>
      <c r="C1688" t="s">
        <v>94</v>
      </c>
      <c r="D1688" t="s">
        <v>1263</v>
      </c>
      <c r="E1688" t="s">
        <v>1296</v>
      </c>
      <c r="F1688" t="s">
        <v>92</v>
      </c>
      <c r="G1688" s="12">
        <v>5</v>
      </c>
      <c r="H1688" s="12">
        <v>60</v>
      </c>
      <c r="I1688" s="12">
        <v>0</v>
      </c>
      <c r="J1688" t="str">
        <f>VLOOKUP(B1688,Paramètres!$A$4:$C$11,3,FALSE)</f>
        <v>Petite couronne</v>
      </c>
      <c r="K1688" s="13">
        <f>IFERROR(H1688/G1688,"")</f>
        <v>12</v>
      </c>
      <c r="L1688" s="14">
        <f>IFERROR(I1688/G1688,"")</f>
        <v>0</v>
      </c>
      <c r="M1688" s="11" t="str">
        <f>IF(K1688&gt;=Paramètres!$F$6,"Très forte",IF(K1688&gt;=Paramètres!$F$5,"Forte",IF(K1688&gt;=Paramètres!$F$4,"Modérée","Faible")))</f>
        <v>Modérée</v>
      </c>
    </row>
    <row r="1689" spans="1:13">
      <c r="A1689" t="s">
        <v>1497</v>
      </c>
      <c r="B1689" s="11">
        <v>75</v>
      </c>
      <c r="C1689" t="s">
        <v>86</v>
      </c>
      <c r="D1689" t="s">
        <v>1263</v>
      </c>
      <c r="E1689" t="s">
        <v>1498</v>
      </c>
      <c r="F1689" t="s">
        <v>92</v>
      </c>
      <c r="G1689" s="12">
        <v>25</v>
      </c>
      <c r="H1689" s="12">
        <v>294</v>
      </c>
      <c r="I1689" s="12">
        <v>12</v>
      </c>
      <c r="J1689" t="str">
        <f>VLOOKUP(B1689,Paramètres!$A$4:$C$11,3,FALSE)</f>
        <v>Paris</v>
      </c>
      <c r="K1689" s="13">
        <f>IFERROR(H1689/G1689,"")</f>
        <v>11.76</v>
      </c>
      <c r="L1689" s="14">
        <f>IFERROR(I1689/G1689,"")</f>
        <v>0.48</v>
      </c>
      <c r="M1689" s="11" t="str">
        <f>IF(K1689&gt;=Paramètres!$F$6,"Très forte",IF(K1689&gt;=Paramètres!$F$5,"Forte",IF(K1689&gt;=Paramètres!$F$4,"Modérée","Faible")))</f>
        <v>Modérée</v>
      </c>
    </row>
    <row r="1690" spans="1:13">
      <c r="A1690" t="s">
        <v>1265</v>
      </c>
      <c r="B1690" s="11">
        <v>92</v>
      </c>
      <c r="C1690" t="s">
        <v>94</v>
      </c>
      <c r="D1690" t="s">
        <v>1263</v>
      </c>
      <c r="E1690" t="s">
        <v>1264</v>
      </c>
      <c r="F1690" t="s">
        <v>92</v>
      </c>
      <c r="G1690" s="12">
        <v>55</v>
      </c>
      <c r="H1690" s="12">
        <v>575</v>
      </c>
      <c r="I1690" s="12">
        <v>64</v>
      </c>
      <c r="J1690" t="str">
        <f>VLOOKUP(B1690,Paramètres!$A$4:$C$11,3,FALSE)</f>
        <v>Petite couronne</v>
      </c>
      <c r="K1690" s="13">
        <f>IFERROR(H1690/G1690,"")</f>
        <v>10.454545454545455</v>
      </c>
      <c r="L1690" s="14">
        <f>IFERROR(I1690/G1690,"")</f>
        <v>1.1636363636363636</v>
      </c>
      <c r="M1690" s="11" t="str">
        <f>IF(K1690&gt;=Paramètres!$F$6,"Très forte",IF(K1690&gt;=Paramètres!$F$5,"Forte",IF(K1690&gt;=Paramètres!$F$4,"Modérée","Faible")))</f>
        <v>Modérée</v>
      </c>
    </row>
    <row r="1691" spans="1:13">
      <c r="A1691" t="s">
        <v>1292</v>
      </c>
      <c r="B1691" s="11">
        <v>93</v>
      </c>
      <c r="C1691" t="s">
        <v>100</v>
      </c>
      <c r="D1691" t="s">
        <v>1263</v>
      </c>
      <c r="E1691" t="s">
        <v>1341</v>
      </c>
      <c r="F1691" t="s">
        <v>92</v>
      </c>
      <c r="G1691" s="12">
        <v>15</v>
      </c>
      <c r="H1691" s="12">
        <v>154</v>
      </c>
      <c r="I1691" s="12">
        <v>15</v>
      </c>
      <c r="J1691" t="str">
        <f>VLOOKUP(B1691,Paramètres!$A$4:$C$11,3,FALSE)</f>
        <v>Petite couronne</v>
      </c>
      <c r="K1691" s="13">
        <f>IFERROR(H1691/G1691,"")</f>
        <v>10.266666666666667</v>
      </c>
      <c r="L1691" s="14">
        <f>IFERROR(I1691/G1691,"")</f>
        <v>1</v>
      </c>
      <c r="M1691" s="11" t="str">
        <f>IF(K1691&gt;=Paramètres!$F$6,"Très forte",IF(K1691&gt;=Paramètres!$F$5,"Forte",IF(K1691&gt;=Paramètres!$F$4,"Modérée","Faible")))</f>
        <v>Modérée</v>
      </c>
    </row>
    <row r="1692" spans="1:13">
      <c r="A1692" t="s">
        <v>1265</v>
      </c>
      <c r="B1692" s="11">
        <v>92</v>
      </c>
      <c r="C1692" t="s">
        <v>94</v>
      </c>
      <c r="D1692" t="s">
        <v>1263</v>
      </c>
      <c r="E1692" t="s">
        <v>1510</v>
      </c>
      <c r="F1692" t="s">
        <v>92</v>
      </c>
      <c r="G1692" s="12">
        <v>25</v>
      </c>
      <c r="H1692" s="12">
        <v>255</v>
      </c>
      <c r="I1692" s="12">
        <v>27</v>
      </c>
      <c r="J1692" t="str">
        <f>VLOOKUP(B1692,Paramètres!$A$4:$C$11,3,FALSE)</f>
        <v>Petite couronne</v>
      </c>
      <c r="K1692" s="13">
        <f>IFERROR(H1692/G1692,"")</f>
        <v>10.199999999999999</v>
      </c>
      <c r="L1692" s="14">
        <f>IFERROR(I1692/G1692,"")</f>
        <v>1.08</v>
      </c>
      <c r="M1692" s="11" t="str">
        <f>IF(K1692&gt;=Paramètres!$F$6,"Très forte",IF(K1692&gt;=Paramètres!$F$5,"Forte",IF(K1692&gt;=Paramètres!$F$4,"Modérée","Faible")))</f>
        <v>Modérée</v>
      </c>
    </row>
    <row r="1693" spans="1:13">
      <c r="A1693" t="s">
        <v>1292</v>
      </c>
      <c r="B1693" s="11">
        <v>93</v>
      </c>
      <c r="C1693" t="s">
        <v>100</v>
      </c>
      <c r="D1693" t="s">
        <v>1263</v>
      </c>
      <c r="E1693" t="s">
        <v>1296</v>
      </c>
      <c r="F1693" t="s">
        <v>92</v>
      </c>
      <c r="G1693" s="12">
        <v>10</v>
      </c>
      <c r="H1693" s="12">
        <v>101</v>
      </c>
      <c r="I1693" s="12">
        <v>6</v>
      </c>
      <c r="J1693" t="str">
        <f>VLOOKUP(B1693,Paramètres!$A$4:$C$11,3,FALSE)</f>
        <v>Petite couronne</v>
      </c>
      <c r="K1693" s="13">
        <f>IFERROR(H1693/G1693,"")</f>
        <v>10.1</v>
      </c>
      <c r="L1693" s="14">
        <f>IFERROR(I1693/G1693,"")</f>
        <v>0.6</v>
      </c>
      <c r="M1693" s="11" t="str">
        <f>IF(K1693&gt;=Paramètres!$F$6,"Très forte",IF(K1693&gt;=Paramètres!$F$5,"Forte",IF(K1693&gt;=Paramètres!$F$4,"Modérée","Faible")))</f>
        <v>Modérée</v>
      </c>
    </row>
    <row r="1694" spans="1:13">
      <c r="A1694" t="s">
        <v>1265</v>
      </c>
      <c r="B1694" s="11">
        <v>92</v>
      </c>
      <c r="C1694" t="s">
        <v>94</v>
      </c>
      <c r="D1694" t="s">
        <v>1263</v>
      </c>
      <c r="E1694" t="s">
        <v>1312</v>
      </c>
      <c r="F1694" t="s">
        <v>92</v>
      </c>
      <c r="G1694" s="12">
        <v>40</v>
      </c>
      <c r="H1694" s="12">
        <v>398</v>
      </c>
      <c r="I1694" s="12">
        <v>34</v>
      </c>
      <c r="J1694" t="str">
        <f>VLOOKUP(B1694,Paramètres!$A$4:$C$11,3,FALSE)</f>
        <v>Petite couronne</v>
      </c>
      <c r="K1694" s="13">
        <f>IFERROR(H1694/G1694,"")</f>
        <v>9.9499999999999993</v>
      </c>
      <c r="L1694" s="14">
        <f>IFERROR(I1694/G1694,"")</f>
        <v>0.85</v>
      </c>
      <c r="M1694" s="11" t="str">
        <f>IF(K1694&gt;=Paramètres!$F$6,"Très forte",IF(K1694&gt;=Paramètres!$F$5,"Forte",IF(K1694&gt;=Paramètres!$F$4,"Modérée","Faible")))</f>
        <v>Faible</v>
      </c>
    </row>
    <row r="1695" spans="1:13">
      <c r="A1695" t="s">
        <v>1599</v>
      </c>
      <c r="B1695" s="11">
        <v>95</v>
      </c>
      <c r="C1695" t="s">
        <v>90</v>
      </c>
      <c r="D1695" t="s">
        <v>1263</v>
      </c>
      <c r="E1695" t="s">
        <v>1464</v>
      </c>
      <c r="F1695" t="s">
        <v>92</v>
      </c>
      <c r="G1695" s="12">
        <v>70</v>
      </c>
      <c r="H1695" s="12">
        <v>671</v>
      </c>
      <c r="I1695" s="12">
        <v>46</v>
      </c>
      <c r="J1695" t="str">
        <f>VLOOKUP(B1695,Paramètres!$A$4:$C$11,3,FALSE)</f>
        <v>Grande couronne</v>
      </c>
      <c r="K1695" s="13">
        <f>IFERROR(H1695/G1695,"")</f>
        <v>9.5857142857142854</v>
      </c>
      <c r="L1695" s="14">
        <f>IFERROR(I1695/G1695,"")</f>
        <v>0.65714285714285714</v>
      </c>
      <c r="M1695" s="11" t="str">
        <f>IF(K1695&gt;=Paramètres!$F$6,"Très forte",IF(K1695&gt;=Paramètres!$F$5,"Forte",IF(K1695&gt;=Paramètres!$F$4,"Modérée","Faible")))</f>
        <v>Faible</v>
      </c>
    </row>
    <row r="1696" spans="1:13">
      <c r="A1696" t="s">
        <v>1424</v>
      </c>
      <c r="B1696" s="11">
        <v>75</v>
      </c>
      <c r="C1696" t="s">
        <v>86</v>
      </c>
      <c r="D1696" t="s">
        <v>1263</v>
      </c>
      <c r="E1696" t="s">
        <v>1283</v>
      </c>
      <c r="F1696" t="s">
        <v>92</v>
      </c>
      <c r="G1696" s="12">
        <v>25</v>
      </c>
      <c r="H1696" s="12">
        <v>237</v>
      </c>
      <c r="I1696" s="12">
        <v>16</v>
      </c>
      <c r="J1696" t="str">
        <f>VLOOKUP(B1696,Paramètres!$A$4:$C$11,3,FALSE)</f>
        <v>Paris</v>
      </c>
      <c r="K1696" s="13">
        <f>IFERROR(H1696/G1696,"")</f>
        <v>9.48</v>
      </c>
      <c r="L1696" s="14">
        <f>IFERROR(I1696/G1696,"")</f>
        <v>0.64</v>
      </c>
      <c r="M1696" s="11" t="str">
        <f>IF(K1696&gt;=Paramètres!$F$6,"Très forte",IF(K1696&gt;=Paramètres!$F$5,"Forte",IF(K1696&gt;=Paramètres!$F$4,"Modérée","Faible")))</f>
        <v>Faible</v>
      </c>
    </row>
    <row r="1697" spans="1:13">
      <c r="A1697" t="s">
        <v>1424</v>
      </c>
      <c r="B1697" s="11">
        <v>75</v>
      </c>
      <c r="C1697" t="s">
        <v>86</v>
      </c>
      <c r="D1697" t="s">
        <v>1263</v>
      </c>
      <c r="E1697" t="s">
        <v>1296</v>
      </c>
      <c r="F1697" t="s">
        <v>92</v>
      </c>
      <c r="G1697" s="12">
        <v>10</v>
      </c>
      <c r="H1697" s="12">
        <v>89</v>
      </c>
      <c r="I1697" s="12">
        <v>4</v>
      </c>
      <c r="J1697" t="str">
        <f>VLOOKUP(B1697,Paramètres!$A$4:$C$11,3,FALSE)</f>
        <v>Paris</v>
      </c>
      <c r="K1697" s="13">
        <f>IFERROR(H1697/G1697,"")</f>
        <v>8.9</v>
      </c>
      <c r="L1697" s="14">
        <f>IFERROR(I1697/G1697,"")</f>
        <v>0.4</v>
      </c>
      <c r="M1697" s="11" t="str">
        <f>IF(K1697&gt;=Paramètres!$F$6,"Très forte",IF(K1697&gt;=Paramètres!$F$5,"Forte",IF(K1697&gt;=Paramètres!$F$4,"Modérée","Faible")))</f>
        <v>Faible</v>
      </c>
    </row>
    <row r="1698" spans="1:13">
      <c r="A1698" t="s">
        <v>1557</v>
      </c>
      <c r="B1698" s="11">
        <v>92</v>
      </c>
      <c r="C1698" t="s">
        <v>94</v>
      </c>
      <c r="D1698" t="s">
        <v>1263</v>
      </c>
      <c r="E1698" t="s">
        <v>1558</v>
      </c>
      <c r="F1698" t="s">
        <v>92</v>
      </c>
      <c r="G1698" s="12">
        <v>170</v>
      </c>
      <c r="H1698" s="12">
        <v>1500</v>
      </c>
      <c r="I1698" s="12">
        <v>114</v>
      </c>
      <c r="J1698" t="str">
        <f>VLOOKUP(B1698,Paramètres!$A$4:$C$11,3,FALSE)</f>
        <v>Petite couronne</v>
      </c>
      <c r="K1698" s="13">
        <f>IFERROR(H1698/G1698,"")</f>
        <v>8.8235294117647065</v>
      </c>
      <c r="L1698" s="14">
        <f>IFERROR(I1698/G1698,"")</f>
        <v>0.6705882352941176</v>
      </c>
      <c r="M1698" s="11" t="str">
        <f>IF(K1698&gt;=Paramètres!$F$6,"Très forte",IF(K1698&gt;=Paramètres!$F$5,"Forte",IF(K1698&gt;=Paramètres!$F$4,"Modérée","Faible")))</f>
        <v>Faible</v>
      </c>
    </row>
    <row r="1699" spans="1:13">
      <c r="A1699" t="s">
        <v>1338</v>
      </c>
      <c r="B1699" s="11">
        <v>95</v>
      </c>
      <c r="C1699" t="s">
        <v>90</v>
      </c>
      <c r="D1699" t="s">
        <v>1263</v>
      </c>
      <c r="E1699" t="s">
        <v>1296</v>
      </c>
      <c r="F1699" t="s">
        <v>92</v>
      </c>
      <c r="G1699" s="12">
        <v>4</v>
      </c>
      <c r="H1699" s="12">
        <v>35</v>
      </c>
      <c r="I1699" s="12">
        <v>2</v>
      </c>
      <c r="J1699" t="str">
        <f>VLOOKUP(B1699,Paramètres!$A$4:$C$11,3,FALSE)</f>
        <v>Grande couronne</v>
      </c>
      <c r="K1699" s="13">
        <f>IFERROR(H1699/G1699,"")</f>
        <v>8.75</v>
      </c>
      <c r="L1699" s="14">
        <f>IFERROR(I1699/G1699,"")</f>
        <v>0.5</v>
      </c>
      <c r="M1699" s="11" t="str">
        <f>IF(K1699&gt;=Paramètres!$F$6,"Très forte",IF(K1699&gt;=Paramètres!$F$5,"Forte",IF(K1699&gt;=Paramètres!$F$4,"Modérée","Faible")))</f>
        <v>Faible</v>
      </c>
    </row>
    <row r="1700" spans="1:13">
      <c r="A1700" t="s">
        <v>1339</v>
      </c>
      <c r="B1700" s="11">
        <v>78</v>
      </c>
      <c r="C1700" t="s">
        <v>135</v>
      </c>
      <c r="D1700" t="s">
        <v>1263</v>
      </c>
      <c r="E1700" t="s">
        <v>1341</v>
      </c>
      <c r="F1700" t="s">
        <v>92</v>
      </c>
      <c r="G1700" s="12">
        <v>10</v>
      </c>
      <c r="H1700" s="12">
        <v>87</v>
      </c>
      <c r="I1700" s="12">
        <v>0</v>
      </c>
      <c r="J1700" t="str">
        <f>VLOOKUP(B1700,Paramètres!$A$4:$C$11,3,FALSE)</f>
        <v>Grande couronne</v>
      </c>
      <c r="K1700" s="13">
        <f>IFERROR(H1700/G1700,"")</f>
        <v>8.6999999999999993</v>
      </c>
      <c r="L1700" s="14">
        <f>IFERROR(I1700/G1700,"")</f>
        <v>0</v>
      </c>
      <c r="M1700" s="11" t="str">
        <f>IF(K1700&gt;=Paramètres!$F$6,"Très forte",IF(K1700&gt;=Paramètres!$F$5,"Forte",IF(K1700&gt;=Paramètres!$F$4,"Modérée","Faible")))</f>
        <v>Faible</v>
      </c>
    </row>
    <row r="1701" spans="1:13">
      <c r="A1701" t="s">
        <v>1004</v>
      </c>
      <c r="B1701" s="11">
        <v>94</v>
      </c>
      <c r="C1701" t="s">
        <v>116</v>
      </c>
      <c r="D1701" t="s">
        <v>1263</v>
      </c>
      <c r="E1701" t="s">
        <v>1298</v>
      </c>
      <c r="F1701" t="s">
        <v>92</v>
      </c>
      <c r="G1701" s="12">
        <v>70</v>
      </c>
      <c r="H1701" s="12">
        <v>598</v>
      </c>
      <c r="I1701" s="12">
        <v>68</v>
      </c>
      <c r="J1701" t="str">
        <f>VLOOKUP(B1701,Paramètres!$A$4:$C$11,3,FALSE)</f>
        <v>Petite couronne</v>
      </c>
      <c r="K1701" s="13">
        <f>IFERROR(H1701/G1701,"")</f>
        <v>8.5428571428571427</v>
      </c>
      <c r="L1701" s="14">
        <f>IFERROR(I1701/G1701,"")</f>
        <v>0.97142857142857142</v>
      </c>
      <c r="M1701" s="11" t="str">
        <f>IF(K1701&gt;=Paramètres!$F$6,"Très forte",IF(K1701&gt;=Paramètres!$F$5,"Forte",IF(K1701&gt;=Paramètres!$F$4,"Modérée","Faible")))</f>
        <v>Faible</v>
      </c>
    </row>
    <row r="1702" spans="1:13">
      <c r="A1702" t="s">
        <v>1463</v>
      </c>
      <c r="B1702" s="11">
        <v>95</v>
      </c>
      <c r="C1702" t="s">
        <v>90</v>
      </c>
      <c r="D1702" t="s">
        <v>1263</v>
      </c>
      <c r="E1702" t="s">
        <v>1464</v>
      </c>
      <c r="F1702" t="s">
        <v>92</v>
      </c>
      <c r="G1702" s="12">
        <v>111</v>
      </c>
      <c r="H1702" s="12">
        <v>932</v>
      </c>
      <c r="I1702" s="12">
        <v>116</v>
      </c>
      <c r="J1702" t="str">
        <f>VLOOKUP(B1702,Paramètres!$A$4:$C$11,3,FALSE)</f>
        <v>Grande couronne</v>
      </c>
      <c r="K1702" s="13">
        <f>IFERROR(H1702/G1702,"")</f>
        <v>8.3963963963963959</v>
      </c>
      <c r="L1702" s="14">
        <f>IFERROR(I1702/G1702,"")</f>
        <v>1.045045045045045</v>
      </c>
      <c r="M1702" s="11" t="str">
        <f>IF(K1702&gt;=Paramètres!$F$6,"Très forte",IF(K1702&gt;=Paramètres!$F$5,"Forte",IF(K1702&gt;=Paramètres!$F$4,"Modérée","Faible")))</f>
        <v>Faible</v>
      </c>
    </row>
    <row r="1703" spans="1:13">
      <c r="A1703" t="s">
        <v>1262</v>
      </c>
      <c r="B1703" s="11">
        <v>94</v>
      </c>
      <c r="C1703" t="s">
        <v>116</v>
      </c>
      <c r="D1703" t="s">
        <v>1263</v>
      </c>
      <c r="E1703" t="s">
        <v>1264</v>
      </c>
      <c r="F1703" t="s">
        <v>92</v>
      </c>
      <c r="G1703" s="12">
        <v>28</v>
      </c>
      <c r="H1703" s="12">
        <v>227</v>
      </c>
      <c r="I1703" s="12">
        <v>6</v>
      </c>
      <c r="J1703" t="str">
        <f>VLOOKUP(B1703,Paramètres!$A$4:$C$11,3,FALSE)</f>
        <v>Petite couronne</v>
      </c>
      <c r="K1703" s="13">
        <f>IFERROR(H1703/G1703,"")</f>
        <v>8.1071428571428577</v>
      </c>
      <c r="L1703" s="14">
        <f>IFERROR(I1703/G1703,"")</f>
        <v>0.21428571428571427</v>
      </c>
      <c r="M1703" s="11" t="str">
        <f>IF(K1703&gt;=Paramètres!$F$6,"Très forte",IF(K1703&gt;=Paramètres!$F$5,"Forte",IF(K1703&gt;=Paramètres!$F$4,"Modérée","Faible")))</f>
        <v>Faible</v>
      </c>
    </row>
    <row r="1704" spans="1:13">
      <c r="A1704" t="s">
        <v>1340</v>
      </c>
      <c r="B1704" s="11">
        <v>94</v>
      </c>
      <c r="C1704" t="s">
        <v>116</v>
      </c>
      <c r="D1704" t="s">
        <v>1263</v>
      </c>
      <c r="E1704" t="s">
        <v>1296</v>
      </c>
      <c r="F1704" t="s">
        <v>92</v>
      </c>
      <c r="G1704" s="12">
        <v>5</v>
      </c>
      <c r="H1704" s="12">
        <v>40</v>
      </c>
      <c r="I1704" s="12">
        <v>5</v>
      </c>
      <c r="J1704" t="str">
        <f>VLOOKUP(B1704,Paramètres!$A$4:$C$11,3,FALSE)</f>
        <v>Petite couronne</v>
      </c>
      <c r="K1704" s="13">
        <f>IFERROR(H1704/G1704,"")</f>
        <v>8</v>
      </c>
      <c r="L1704" s="14">
        <f>IFERROR(I1704/G1704,"")</f>
        <v>1</v>
      </c>
      <c r="M1704" s="11" t="str">
        <f>IF(K1704&gt;=Paramètres!$F$6,"Très forte",IF(K1704&gt;=Paramètres!$F$5,"Forte",IF(K1704&gt;=Paramètres!$F$4,"Modérée","Faible")))</f>
        <v>Faible</v>
      </c>
    </row>
    <row r="1705" spans="1:13">
      <c r="A1705" t="s">
        <v>1311</v>
      </c>
      <c r="B1705" s="11">
        <v>75</v>
      </c>
      <c r="C1705" t="s">
        <v>86</v>
      </c>
      <c r="D1705" t="s">
        <v>1263</v>
      </c>
      <c r="E1705" t="s">
        <v>1312</v>
      </c>
      <c r="F1705" t="s">
        <v>92</v>
      </c>
      <c r="G1705" s="12">
        <v>50</v>
      </c>
      <c r="H1705" s="12">
        <v>396</v>
      </c>
      <c r="I1705" s="12">
        <v>37</v>
      </c>
      <c r="J1705" t="str">
        <f>VLOOKUP(B1705,Paramètres!$A$4:$C$11,3,FALSE)</f>
        <v>Paris</v>
      </c>
      <c r="K1705" s="13">
        <f>IFERROR(H1705/G1705,"")</f>
        <v>7.92</v>
      </c>
      <c r="L1705" s="14">
        <f>IFERROR(I1705/G1705,"")</f>
        <v>0.74</v>
      </c>
      <c r="M1705" s="11" t="str">
        <f>IF(K1705&gt;=Paramètres!$F$6,"Très forte",IF(K1705&gt;=Paramètres!$F$5,"Forte",IF(K1705&gt;=Paramètres!$F$4,"Modérée","Faible")))</f>
        <v>Faible</v>
      </c>
    </row>
    <row r="1706" spans="1:13">
      <c r="A1706" t="s">
        <v>1422</v>
      </c>
      <c r="B1706" s="11">
        <v>78</v>
      </c>
      <c r="C1706" t="s">
        <v>135</v>
      </c>
      <c r="D1706" t="s">
        <v>1263</v>
      </c>
      <c r="E1706" t="s">
        <v>1287</v>
      </c>
      <c r="F1706" t="s">
        <v>92</v>
      </c>
      <c r="G1706" s="12">
        <v>25</v>
      </c>
      <c r="H1706" s="12">
        <v>196</v>
      </c>
      <c r="I1706" s="12">
        <v>12</v>
      </c>
      <c r="J1706" t="str">
        <f>VLOOKUP(B1706,Paramètres!$A$4:$C$11,3,FALSE)</f>
        <v>Grande couronne</v>
      </c>
      <c r="K1706" s="13">
        <f>IFERROR(H1706/G1706,"")</f>
        <v>7.84</v>
      </c>
      <c r="L1706" s="14">
        <f>IFERROR(I1706/G1706,"")</f>
        <v>0.48</v>
      </c>
      <c r="M1706" s="11" t="str">
        <f>IF(K1706&gt;=Paramètres!$F$6,"Très forte",IF(K1706&gt;=Paramètres!$F$5,"Forte",IF(K1706&gt;=Paramètres!$F$4,"Modérée","Faible")))</f>
        <v>Faible</v>
      </c>
    </row>
    <row r="1707" spans="1:13">
      <c r="A1707" t="s">
        <v>1338</v>
      </c>
      <c r="B1707" s="11">
        <v>95</v>
      </c>
      <c r="C1707" t="s">
        <v>90</v>
      </c>
      <c r="D1707" t="s">
        <v>1263</v>
      </c>
      <c r="E1707" t="s">
        <v>1283</v>
      </c>
      <c r="F1707" t="s">
        <v>92</v>
      </c>
      <c r="G1707" s="12">
        <v>25</v>
      </c>
      <c r="H1707" s="12">
        <v>190</v>
      </c>
      <c r="I1707" s="12">
        <v>10</v>
      </c>
      <c r="J1707" t="str">
        <f>VLOOKUP(B1707,Paramètres!$A$4:$C$11,3,FALSE)</f>
        <v>Grande couronne</v>
      </c>
      <c r="K1707" s="13">
        <f>IFERROR(H1707/G1707,"")</f>
        <v>7.6</v>
      </c>
      <c r="L1707" s="14">
        <f>IFERROR(I1707/G1707,"")</f>
        <v>0.4</v>
      </c>
      <c r="M1707" s="11" t="str">
        <f>IF(K1707&gt;=Paramètres!$F$6,"Très forte",IF(K1707&gt;=Paramètres!$F$5,"Forte",IF(K1707&gt;=Paramètres!$F$4,"Modérée","Faible")))</f>
        <v>Faible</v>
      </c>
    </row>
    <row r="1708" spans="1:13">
      <c r="A1708" t="s">
        <v>1265</v>
      </c>
      <c r="B1708" s="11">
        <v>92</v>
      </c>
      <c r="C1708" t="s">
        <v>94</v>
      </c>
      <c r="D1708" t="s">
        <v>1263</v>
      </c>
      <c r="E1708" t="s">
        <v>1607</v>
      </c>
      <c r="F1708" t="s">
        <v>92</v>
      </c>
      <c r="G1708" s="12">
        <v>10</v>
      </c>
      <c r="H1708" s="12">
        <v>76</v>
      </c>
      <c r="I1708" s="12">
        <v>7</v>
      </c>
      <c r="J1708" t="str">
        <f>VLOOKUP(B1708,Paramètres!$A$4:$C$11,3,FALSE)</f>
        <v>Petite couronne</v>
      </c>
      <c r="K1708" s="13">
        <f>IFERROR(H1708/G1708,"")</f>
        <v>7.6</v>
      </c>
      <c r="L1708" s="14">
        <f>IFERROR(I1708/G1708,"")</f>
        <v>0.7</v>
      </c>
      <c r="M1708" s="11" t="str">
        <f>IF(K1708&gt;=Paramètres!$F$6,"Très forte",IF(K1708&gt;=Paramètres!$F$5,"Forte",IF(K1708&gt;=Paramètres!$F$4,"Modérée","Faible")))</f>
        <v>Faible</v>
      </c>
    </row>
    <row r="1709" spans="1:13">
      <c r="A1709" t="s">
        <v>1311</v>
      </c>
      <c r="B1709" s="11">
        <v>75</v>
      </c>
      <c r="C1709" t="s">
        <v>86</v>
      </c>
      <c r="D1709" t="s">
        <v>1263</v>
      </c>
      <c r="E1709" t="s">
        <v>1510</v>
      </c>
      <c r="F1709" t="s">
        <v>92</v>
      </c>
      <c r="G1709" s="12">
        <v>30</v>
      </c>
      <c r="H1709" s="12">
        <v>226</v>
      </c>
      <c r="I1709" s="12">
        <v>32</v>
      </c>
      <c r="J1709" t="str">
        <f>VLOOKUP(B1709,Paramètres!$A$4:$C$11,3,FALSE)</f>
        <v>Paris</v>
      </c>
      <c r="K1709" s="13">
        <f>IFERROR(H1709/G1709,"")</f>
        <v>7.5333333333333332</v>
      </c>
      <c r="L1709" s="14">
        <f>IFERROR(I1709/G1709,"")</f>
        <v>1.0666666666666667</v>
      </c>
      <c r="M1709" s="11" t="str">
        <f>IF(K1709&gt;=Paramètres!$F$6,"Très forte",IF(K1709&gt;=Paramètres!$F$5,"Forte",IF(K1709&gt;=Paramètres!$F$4,"Modérée","Faible")))</f>
        <v>Faible</v>
      </c>
    </row>
    <row r="1710" spans="1:13">
      <c r="A1710" t="s">
        <v>1447</v>
      </c>
      <c r="B1710" s="11">
        <v>95</v>
      </c>
      <c r="C1710" t="s">
        <v>90</v>
      </c>
      <c r="D1710" t="s">
        <v>1263</v>
      </c>
      <c r="E1710" t="s">
        <v>1282</v>
      </c>
      <c r="F1710" t="s">
        <v>92</v>
      </c>
      <c r="G1710" s="12">
        <v>120</v>
      </c>
      <c r="H1710" s="12">
        <v>892</v>
      </c>
      <c r="I1710" s="12">
        <v>74</v>
      </c>
      <c r="J1710" t="str">
        <f>VLOOKUP(B1710,Paramètres!$A$4:$C$11,3,FALSE)</f>
        <v>Grande couronne</v>
      </c>
      <c r="K1710" s="13">
        <f>IFERROR(H1710/G1710,"")</f>
        <v>7.4333333333333336</v>
      </c>
      <c r="L1710" s="14">
        <f>IFERROR(I1710/G1710,"")</f>
        <v>0.6166666666666667</v>
      </c>
      <c r="M1710" s="11" t="str">
        <f>IF(K1710&gt;=Paramètres!$F$6,"Très forte",IF(K1710&gt;=Paramètres!$F$5,"Forte",IF(K1710&gt;=Paramètres!$F$4,"Modérée","Faible")))</f>
        <v>Faible</v>
      </c>
    </row>
    <row r="1711" spans="1:13">
      <c r="A1711" t="s">
        <v>1507</v>
      </c>
      <c r="B1711" s="11">
        <v>94</v>
      </c>
      <c r="C1711" t="s">
        <v>116</v>
      </c>
      <c r="D1711" t="s">
        <v>1263</v>
      </c>
      <c r="E1711" t="s">
        <v>1282</v>
      </c>
      <c r="F1711" t="s">
        <v>92</v>
      </c>
      <c r="G1711" s="12">
        <v>120</v>
      </c>
      <c r="H1711" s="12">
        <v>810</v>
      </c>
      <c r="I1711" s="12">
        <v>30</v>
      </c>
      <c r="J1711" t="str">
        <f>VLOOKUP(B1711,Paramètres!$A$4:$C$11,3,FALSE)</f>
        <v>Petite couronne</v>
      </c>
      <c r="K1711" s="13">
        <f>IFERROR(H1711/G1711,"")</f>
        <v>6.75</v>
      </c>
      <c r="L1711" s="14">
        <f>IFERROR(I1711/G1711,"")</f>
        <v>0.25</v>
      </c>
      <c r="M1711" s="11" t="str">
        <f>IF(K1711&gt;=Paramètres!$F$6,"Très forte",IF(K1711&gt;=Paramètres!$F$5,"Forte",IF(K1711&gt;=Paramètres!$F$4,"Modérée","Faible")))</f>
        <v>Faible</v>
      </c>
    </row>
    <row r="1712" spans="1:13">
      <c r="A1712" t="s">
        <v>1318</v>
      </c>
      <c r="B1712" s="11">
        <v>94</v>
      </c>
      <c r="C1712" t="s">
        <v>116</v>
      </c>
      <c r="D1712" t="s">
        <v>1263</v>
      </c>
      <c r="E1712" t="s">
        <v>1283</v>
      </c>
      <c r="F1712" t="s">
        <v>92</v>
      </c>
      <c r="G1712" s="12">
        <v>95</v>
      </c>
      <c r="H1712" s="12">
        <v>602</v>
      </c>
      <c r="I1712" s="12">
        <v>49</v>
      </c>
      <c r="J1712" t="str">
        <f>VLOOKUP(B1712,Paramètres!$A$4:$C$11,3,FALSE)</f>
        <v>Petite couronne</v>
      </c>
      <c r="K1712" s="13">
        <f>IFERROR(H1712/G1712,"")</f>
        <v>6.3368421052631581</v>
      </c>
      <c r="L1712" s="14">
        <f>IFERROR(I1712/G1712,"")</f>
        <v>0.51578947368421058</v>
      </c>
      <c r="M1712" s="11" t="str">
        <f>IF(K1712&gt;=Paramètres!$F$6,"Très forte",IF(K1712&gt;=Paramètres!$F$5,"Forte",IF(K1712&gt;=Paramètres!$F$4,"Modérée","Faible")))</f>
        <v>Faible</v>
      </c>
    </row>
    <row r="1713" spans="1:13">
      <c r="A1713" t="s">
        <v>1004</v>
      </c>
      <c r="B1713" s="11">
        <v>94</v>
      </c>
      <c r="C1713" t="s">
        <v>116</v>
      </c>
      <c r="D1713" t="s">
        <v>1263</v>
      </c>
      <c r="E1713" t="s">
        <v>1788</v>
      </c>
      <c r="F1713" t="s">
        <v>92</v>
      </c>
      <c r="G1713" s="12">
        <v>60</v>
      </c>
      <c r="H1713" s="12">
        <v>365</v>
      </c>
      <c r="I1713" s="12">
        <v>34</v>
      </c>
      <c r="J1713" t="str">
        <f>VLOOKUP(B1713,Paramètres!$A$4:$C$11,3,FALSE)</f>
        <v>Petite couronne</v>
      </c>
      <c r="K1713" s="13">
        <f>IFERROR(H1713/G1713,"")</f>
        <v>6.083333333333333</v>
      </c>
      <c r="L1713" s="14">
        <f>IFERROR(I1713/G1713,"")</f>
        <v>0.56666666666666665</v>
      </c>
      <c r="M1713" s="11" t="str">
        <f>IF(K1713&gt;=Paramètres!$F$6,"Très forte",IF(K1713&gt;=Paramètres!$F$5,"Forte",IF(K1713&gt;=Paramètres!$F$4,"Modérée","Faible")))</f>
        <v>Faible</v>
      </c>
    </row>
    <row r="1714" spans="1:13">
      <c r="A1714" t="s">
        <v>1262</v>
      </c>
      <c r="B1714" s="11">
        <v>94</v>
      </c>
      <c r="C1714" t="s">
        <v>116</v>
      </c>
      <c r="D1714" t="s">
        <v>1263</v>
      </c>
      <c r="E1714" t="s">
        <v>1607</v>
      </c>
      <c r="F1714" t="s">
        <v>92</v>
      </c>
      <c r="G1714" s="12">
        <v>5</v>
      </c>
      <c r="H1714" s="12">
        <v>30</v>
      </c>
      <c r="I1714" s="12">
        <v>0</v>
      </c>
      <c r="J1714" t="str">
        <f>VLOOKUP(B1714,Paramètres!$A$4:$C$11,3,FALSE)</f>
        <v>Petite couronne</v>
      </c>
      <c r="K1714" s="13">
        <f>IFERROR(H1714/G1714,"")</f>
        <v>6</v>
      </c>
      <c r="L1714" s="14">
        <f>IFERROR(I1714/G1714,"")</f>
        <v>0</v>
      </c>
      <c r="M1714" s="11" t="str">
        <f>IF(K1714&gt;=Paramètres!$F$6,"Très forte",IF(K1714&gt;=Paramètres!$F$5,"Forte",IF(K1714&gt;=Paramètres!$F$4,"Modérée","Faible")))</f>
        <v>Faible</v>
      </c>
    </row>
    <row r="1715" spans="1:13">
      <c r="A1715" t="s">
        <v>1497</v>
      </c>
      <c r="B1715" s="11">
        <v>75</v>
      </c>
      <c r="C1715" t="s">
        <v>86</v>
      </c>
      <c r="D1715" t="s">
        <v>1263</v>
      </c>
      <c r="E1715" t="s">
        <v>1498</v>
      </c>
      <c r="F1715" t="s">
        <v>92</v>
      </c>
      <c r="G1715" s="12">
        <v>40</v>
      </c>
      <c r="H1715" s="12">
        <v>232</v>
      </c>
      <c r="I1715" s="12">
        <v>6</v>
      </c>
      <c r="J1715" t="str">
        <f>VLOOKUP(B1715,Paramètres!$A$4:$C$11,3,FALSE)</f>
        <v>Paris</v>
      </c>
      <c r="K1715" s="13">
        <f>IFERROR(H1715/G1715,"")</f>
        <v>5.8</v>
      </c>
      <c r="L1715" s="14">
        <f>IFERROR(I1715/G1715,"")</f>
        <v>0.15</v>
      </c>
      <c r="M1715" s="11" t="str">
        <f>IF(K1715&gt;=Paramètres!$F$6,"Très forte",IF(K1715&gt;=Paramètres!$F$5,"Forte",IF(K1715&gt;=Paramètres!$F$4,"Modérée","Faible")))</f>
        <v>Faible</v>
      </c>
    </row>
    <row r="1716" spans="1:13">
      <c r="A1716" t="s">
        <v>937</v>
      </c>
      <c r="B1716" s="11">
        <v>92</v>
      </c>
      <c r="C1716" t="s">
        <v>94</v>
      </c>
      <c r="D1716" t="s">
        <v>1263</v>
      </c>
      <c r="E1716" t="s">
        <v>1281</v>
      </c>
      <c r="F1716" t="s">
        <v>92</v>
      </c>
      <c r="G1716" s="12">
        <v>24</v>
      </c>
      <c r="H1716" s="12">
        <v>136</v>
      </c>
      <c r="I1716" s="12">
        <v>18</v>
      </c>
      <c r="J1716" t="str">
        <f>VLOOKUP(B1716,Paramètres!$A$4:$C$11,3,FALSE)</f>
        <v>Petite couronne</v>
      </c>
      <c r="K1716" s="13">
        <f>IFERROR(H1716/G1716,"")</f>
        <v>5.666666666666667</v>
      </c>
      <c r="L1716" s="14">
        <f>IFERROR(I1716/G1716,"")</f>
        <v>0.75</v>
      </c>
      <c r="M1716" s="11" t="str">
        <f>IF(K1716&gt;=Paramètres!$F$6,"Très forte",IF(K1716&gt;=Paramètres!$F$5,"Forte",IF(K1716&gt;=Paramètres!$F$4,"Modérée","Faible")))</f>
        <v>Faible</v>
      </c>
    </row>
    <row r="1717" spans="1:13">
      <c r="A1717" t="s">
        <v>1512</v>
      </c>
      <c r="B1717" s="11">
        <v>94</v>
      </c>
      <c r="C1717" t="s">
        <v>116</v>
      </c>
      <c r="D1717" t="s">
        <v>1263</v>
      </c>
      <c r="E1717" t="s">
        <v>1698</v>
      </c>
      <c r="F1717" t="s">
        <v>92</v>
      </c>
      <c r="G1717" s="12">
        <v>30</v>
      </c>
      <c r="H1717" s="12">
        <v>167</v>
      </c>
      <c r="I1717" s="12">
        <v>24</v>
      </c>
      <c r="J1717" t="str">
        <f>VLOOKUP(B1717,Paramètres!$A$4:$C$11,3,FALSE)</f>
        <v>Petite couronne</v>
      </c>
      <c r="K1717" s="13">
        <f>IFERROR(H1717/G1717,"")</f>
        <v>5.5666666666666664</v>
      </c>
      <c r="L1717" s="14">
        <f>IFERROR(I1717/G1717,"")</f>
        <v>0.8</v>
      </c>
      <c r="M1717" s="11" t="str">
        <f>IF(K1717&gt;=Paramètres!$F$6,"Très forte",IF(K1717&gt;=Paramètres!$F$5,"Forte",IF(K1717&gt;=Paramètres!$F$4,"Modérée","Faible")))</f>
        <v>Faible</v>
      </c>
    </row>
    <row r="1718" spans="1:13">
      <c r="A1718" t="s">
        <v>1286</v>
      </c>
      <c r="B1718" s="11">
        <v>78</v>
      </c>
      <c r="C1718" t="s">
        <v>135</v>
      </c>
      <c r="D1718" t="s">
        <v>1263</v>
      </c>
      <c r="E1718" t="s">
        <v>1287</v>
      </c>
      <c r="F1718" t="s">
        <v>92</v>
      </c>
      <c r="G1718" s="12">
        <v>38</v>
      </c>
      <c r="H1718" s="12">
        <v>211</v>
      </c>
      <c r="I1718" s="12">
        <v>35</v>
      </c>
      <c r="J1718" t="str">
        <f>VLOOKUP(B1718,Paramètres!$A$4:$C$11,3,FALSE)</f>
        <v>Grande couronne</v>
      </c>
      <c r="K1718" s="13">
        <f>IFERROR(H1718/G1718,"")</f>
        <v>5.5526315789473681</v>
      </c>
      <c r="L1718" s="14">
        <f>IFERROR(I1718/G1718,"")</f>
        <v>0.92105263157894735</v>
      </c>
      <c r="M1718" s="11" t="str">
        <f>IF(K1718&gt;=Paramètres!$F$6,"Très forte",IF(K1718&gt;=Paramètres!$F$5,"Forte",IF(K1718&gt;=Paramètres!$F$4,"Modérée","Faible")))</f>
        <v>Faible</v>
      </c>
    </row>
    <row r="1719" spans="1:13">
      <c r="A1719" t="s">
        <v>1262</v>
      </c>
      <c r="B1719" s="11">
        <v>94</v>
      </c>
      <c r="C1719" t="s">
        <v>116</v>
      </c>
      <c r="D1719" t="s">
        <v>1263</v>
      </c>
      <c r="E1719" t="s">
        <v>1366</v>
      </c>
      <c r="F1719" t="s">
        <v>92</v>
      </c>
      <c r="G1719" s="12">
        <v>20</v>
      </c>
      <c r="H1719" s="12">
        <v>111</v>
      </c>
      <c r="I1719" s="12">
        <v>22</v>
      </c>
      <c r="J1719" t="str">
        <f>VLOOKUP(B1719,Paramètres!$A$4:$C$11,3,FALSE)</f>
        <v>Petite couronne</v>
      </c>
      <c r="K1719" s="13">
        <f>IFERROR(H1719/G1719,"")</f>
        <v>5.55</v>
      </c>
      <c r="L1719" s="14">
        <f>IFERROR(I1719/G1719,"")</f>
        <v>1.1000000000000001</v>
      </c>
      <c r="M1719" s="11" t="str">
        <f>IF(K1719&gt;=Paramètres!$F$6,"Très forte",IF(K1719&gt;=Paramètres!$F$5,"Forte",IF(K1719&gt;=Paramètres!$F$4,"Modérée","Faible")))</f>
        <v>Faible</v>
      </c>
    </row>
    <row r="1720" spans="1:13">
      <c r="A1720" t="s">
        <v>1262</v>
      </c>
      <c r="B1720" s="11">
        <v>94</v>
      </c>
      <c r="C1720" t="s">
        <v>116</v>
      </c>
      <c r="D1720" t="s">
        <v>1263</v>
      </c>
      <c r="E1720" t="s">
        <v>1342</v>
      </c>
      <c r="F1720" t="s">
        <v>92</v>
      </c>
      <c r="G1720" s="12">
        <v>15</v>
      </c>
      <c r="H1720" s="12">
        <v>81</v>
      </c>
      <c r="I1720" s="12">
        <v>6</v>
      </c>
      <c r="J1720" t="str">
        <f>VLOOKUP(B1720,Paramètres!$A$4:$C$11,3,FALSE)</f>
        <v>Petite couronne</v>
      </c>
      <c r="K1720" s="13">
        <f>IFERROR(H1720/G1720,"")</f>
        <v>5.4</v>
      </c>
      <c r="L1720" s="14">
        <f>IFERROR(I1720/G1720,"")</f>
        <v>0.4</v>
      </c>
      <c r="M1720" s="11" t="str">
        <f>IF(K1720&gt;=Paramètres!$F$6,"Très forte",IF(K1720&gt;=Paramètres!$F$5,"Forte",IF(K1720&gt;=Paramètres!$F$4,"Modérée","Faible")))</f>
        <v>Faible</v>
      </c>
    </row>
    <row r="1721" spans="1:13">
      <c r="A1721" t="s">
        <v>1004</v>
      </c>
      <c r="B1721" s="11">
        <v>94</v>
      </c>
      <c r="C1721" t="s">
        <v>116</v>
      </c>
      <c r="D1721" t="s">
        <v>1263</v>
      </c>
      <c r="E1721" t="s">
        <v>1341</v>
      </c>
      <c r="F1721" t="s">
        <v>92</v>
      </c>
      <c r="G1721" s="12">
        <v>32</v>
      </c>
      <c r="H1721" s="12">
        <v>158</v>
      </c>
      <c r="I1721" s="12">
        <v>20</v>
      </c>
      <c r="J1721" t="str">
        <f>VLOOKUP(B1721,Paramètres!$A$4:$C$11,3,FALSE)</f>
        <v>Petite couronne</v>
      </c>
      <c r="K1721" s="13">
        <f>IFERROR(H1721/G1721,"")</f>
        <v>4.9375</v>
      </c>
      <c r="L1721" s="14">
        <f>IFERROR(I1721/G1721,"")</f>
        <v>0.625</v>
      </c>
      <c r="M1721" s="11" t="str">
        <f>IF(K1721&gt;=Paramètres!$F$6,"Très forte",IF(K1721&gt;=Paramètres!$F$5,"Forte",IF(K1721&gt;=Paramètres!$F$4,"Modérée","Faible")))</f>
        <v>Faible</v>
      </c>
    </row>
    <row r="1722" spans="1:13">
      <c r="A1722" t="s">
        <v>1311</v>
      </c>
      <c r="B1722" s="11">
        <v>75</v>
      </c>
      <c r="C1722" t="s">
        <v>86</v>
      </c>
      <c r="D1722" t="s">
        <v>1263</v>
      </c>
      <c r="E1722" t="s">
        <v>1342</v>
      </c>
      <c r="F1722" t="s">
        <v>92</v>
      </c>
      <c r="G1722" s="12">
        <v>20</v>
      </c>
      <c r="H1722" s="12">
        <v>92</v>
      </c>
      <c r="I1722" s="12">
        <v>20</v>
      </c>
      <c r="J1722" t="str">
        <f>VLOOKUP(B1722,Paramètres!$A$4:$C$11,3,FALSE)</f>
        <v>Paris</v>
      </c>
      <c r="K1722" s="13">
        <f>IFERROR(H1722/G1722,"")</f>
        <v>4.5999999999999996</v>
      </c>
      <c r="L1722" s="14">
        <f>IFERROR(I1722/G1722,"")</f>
        <v>1</v>
      </c>
      <c r="M1722" s="11" t="str">
        <f>IF(K1722&gt;=Paramètres!$F$6,"Très forte",IF(K1722&gt;=Paramètres!$F$5,"Forte",IF(K1722&gt;=Paramètres!$F$4,"Modérée","Faible")))</f>
        <v>Faible</v>
      </c>
    </row>
    <row r="1723" spans="1:13">
      <c r="A1723" t="s">
        <v>1265</v>
      </c>
      <c r="B1723" s="11">
        <v>92</v>
      </c>
      <c r="C1723" t="s">
        <v>94</v>
      </c>
      <c r="D1723" t="s">
        <v>1263</v>
      </c>
      <c r="E1723" t="s">
        <v>1607</v>
      </c>
      <c r="F1723" t="s">
        <v>92</v>
      </c>
      <c r="G1723" s="12">
        <v>10</v>
      </c>
      <c r="H1723" s="12">
        <v>45</v>
      </c>
      <c r="I1723" s="12">
        <v>4</v>
      </c>
      <c r="J1723" t="str">
        <f>VLOOKUP(B1723,Paramètres!$A$4:$C$11,3,FALSE)</f>
        <v>Petite couronne</v>
      </c>
      <c r="K1723" s="13">
        <f>IFERROR(H1723/G1723,"")</f>
        <v>4.5</v>
      </c>
      <c r="L1723" s="14">
        <f>IFERROR(I1723/G1723,"")</f>
        <v>0.4</v>
      </c>
      <c r="M1723" s="11" t="str">
        <f>IF(K1723&gt;=Paramètres!$F$6,"Très forte",IF(K1723&gt;=Paramètres!$F$5,"Forte",IF(K1723&gt;=Paramètres!$F$4,"Modérée","Faible")))</f>
        <v>Faible</v>
      </c>
    </row>
    <row r="1724" spans="1:13">
      <c r="A1724" t="s">
        <v>1262</v>
      </c>
      <c r="B1724" s="11">
        <v>94</v>
      </c>
      <c r="C1724" t="s">
        <v>116</v>
      </c>
      <c r="D1724" t="s">
        <v>1263</v>
      </c>
      <c r="E1724" t="s">
        <v>1313</v>
      </c>
      <c r="F1724" t="s">
        <v>92</v>
      </c>
      <c r="G1724" s="12">
        <v>25</v>
      </c>
      <c r="H1724" s="12">
        <v>105</v>
      </c>
      <c r="I1724" s="12">
        <v>23</v>
      </c>
      <c r="J1724" t="str">
        <f>VLOOKUP(B1724,Paramètres!$A$4:$C$11,3,FALSE)</f>
        <v>Petite couronne</v>
      </c>
      <c r="K1724" s="13">
        <f>IFERROR(H1724/G1724,"")</f>
        <v>4.2</v>
      </c>
      <c r="L1724" s="14">
        <f>IFERROR(I1724/G1724,"")</f>
        <v>0.92</v>
      </c>
      <c r="M1724" s="11" t="str">
        <f>IF(K1724&gt;=Paramètres!$F$6,"Très forte",IF(K1724&gt;=Paramètres!$F$5,"Forte",IF(K1724&gt;=Paramètres!$F$4,"Modérée","Faible")))</f>
        <v>Faible</v>
      </c>
    </row>
    <row r="1725" spans="1:13">
      <c r="A1725" t="s">
        <v>1262</v>
      </c>
      <c r="B1725" s="11">
        <v>94</v>
      </c>
      <c r="C1725" t="s">
        <v>116</v>
      </c>
      <c r="D1725" t="s">
        <v>1263</v>
      </c>
      <c r="E1725" t="s">
        <v>1366</v>
      </c>
      <c r="F1725" t="s">
        <v>92</v>
      </c>
      <c r="G1725" s="12">
        <v>20</v>
      </c>
      <c r="H1725" s="12">
        <v>74</v>
      </c>
      <c r="I1725" s="12">
        <v>16</v>
      </c>
      <c r="J1725" t="str">
        <f>VLOOKUP(B1725,Paramètres!$A$4:$C$11,3,FALSE)</f>
        <v>Petite couronne</v>
      </c>
      <c r="K1725" s="13">
        <f>IFERROR(H1725/G1725,"")</f>
        <v>3.7</v>
      </c>
      <c r="L1725" s="14">
        <f>IFERROR(I1725/G1725,"")</f>
        <v>0.8</v>
      </c>
      <c r="M1725" s="11" t="str">
        <f>IF(K1725&gt;=Paramètres!$F$6,"Très forte",IF(K1725&gt;=Paramètres!$F$5,"Forte",IF(K1725&gt;=Paramètres!$F$4,"Modérée","Faible")))</f>
        <v>Faible</v>
      </c>
    </row>
    <row r="1726" spans="1:13">
      <c r="A1726" t="s">
        <v>1311</v>
      </c>
      <c r="B1726" s="11">
        <v>75</v>
      </c>
      <c r="C1726" t="s">
        <v>86</v>
      </c>
      <c r="D1726" t="s">
        <v>1263</v>
      </c>
      <c r="E1726" t="s">
        <v>1692</v>
      </c>
      <c r="F1726" t="s">
        <v>92</v>
      </c>
      <c r="G1726" s="12">
        <v>15</v>
      </c>
      <c r="H1726" s="12">
        <v>51</v>
      </c>
      <c r="I1726" s="12">
        <v>10</v>
      </c>
      <c r="J1726" t="str">
        <f>VLOOKUP(B1726,Paramètres!$A$4:$C$11,3,FALSE)</f>
        <v>Paris</v>
      </c>
      <c r="K1726" s="13">
        <f>IFERROR(H1726/G1726,"")</f>
        <v>3.4</v>
      </c>
      <c r="L1726" s="14">
        <f>IFERROR(I1726/G1726,"")</f>
        <v>0.66666666666666663</v>
      </c>
      <c r="M1726" s="11" t="str">
        <f>IF(K1726&gt;=Paramètres!$F$6,"Très forte",IF(K1726&gt;=Paramètres!$F$5,"Forte",IF(K1726&gt;=Paramètres!$F$4,"Modérée","Faible")))</f>
        <v>Faible</v>
      </c>
    </row>
    <row r="1727" spans="1:13">
      <c r="A1727" t="s">
        <v>1447</v>
      </c>
      <c r="B1727" s="11">
        <v>95</v>
      </c>
      <c r="C1727" t="s">
        <v>90</v>
      </c>
      <c r="D1727" t="s">
        <v>1263</v>
      </c>
      <c r="E1727" t="s">
        <v>1281</v>
      </c>
      <c r="F1727" t="s">
        <v>92</v>
      </c>
      <c r="G1727" s="12">
        <v>35</v>
      </c>
      <c r="H1727" s="12">
        <v>113</v>
      </c>
      <c r="I1727" s="12">
        <v>10</v>
      </c>
      <c r="J1727" t="str">
        <f>VLOOKUP(B1727,Paramètres!$A$4:$C$11,3,FALSE)</f>
        <v>Grande couronne</v>
      </c>
      <c r="K1727" s="13">
        <f>IFERROR(H1727/G1727,"")</f>
        <v>3.2285714285714286</v>
      </c>
      <c r="L1727" s="14">
        <f>IFERROR(I1727/G1727,"")</f>
        <v>0.2857142857142857</v>
      </c>
      <c r="M1727" s="11" t="str">
        <f>IF(K1727&gt;=Paramètres!$F$6,"Très forte",IF(K1727&gt;=Paramètres!$F$5,"Forte",IF(K1727&gt;=Paramètres!$F$4,"Modérée","Faible")))</f>
        <v>Faible</v>
      </c>
    </row>
    <row r="1728" spans="1:13">
      <c r="A1728" t="s">
        <v>1004</v>
      </c>
      <c r="B1728" s="11">
        <v>94</v>
      </c>
      <c r="C1728" t="s">
        <v>116</v>
      </c>
      <c r="D1728" t="s">
        <v>1263</v>
      </c>
      <c r="E1728" t="s">
        <v>1296</v>
      </c>
      <c r="F1728" t="s">
        <v>92</v>
      </c>
      <c r="G1728" s="12">
        <v>32</v>
      </c>
      <c r="H1728" s="12">
        <v>102</v>
      </c>
      <c r="I1728" s="12">
        <v>24</v>
      </c>
      <c r="J1728" t="str">
        <f>VLOOKUP(B1728,Paramètres!$A$4:$C$11,3,FALSE)</f>
        <v>Petite couronne</v>
      </c>
      <c r="K1728" s="13">
        <f>IFERROR(H1728/G1728,"")</f>
        <v>3.1875</v>
      </c>
      <c r="L1728" s="14">
        <f>IFERROR(I1728/G1728,"")</f>
        <v>0.75</v>
      </c>
      <c r="M1728" s="11" t="str">
        <f>IF(K1728&gt;=Paramètres!$F$6,"Très forte",IF(K1728&gt;=Paramètres!$F$5,"Forte",IF(K1728&gt;=Paramètres!$F$4,"Modérée","Faible")))</f>
        <v>Faible</v>
      </c>
    </row>
    <row r="1729" spans="1:13">
      <c r="A1729" t="s">
        <v>1507</v>
      </c>
      <c r="B1729" s="11">
        <v>94</v>
      </c>
      <c r="C1729" t="s">
        <v>116</v>
      </c>
      <c r="D1729" t="s">
        <v>1263</v>
      </c>
      <c r="E1729" t="s">
        <v>1281</v>
      </c>
      <c r="F1729" t="s">
        <v>92</v>
      </c>
      <c r="G1729" s="12">
        <v>35</v>
      </c>
      <c r="H1729" s="12">
        <v>100</v>
      </c>
      <c r="I1729" s="12">
        <v>8</v>
      </c>
      <c r="J1729" t="str">
        <f>VLOOKUP(B1729,Paramètres!$A$4:$C$11,3,FALSE)</f>
        <v>Petite couronne</v>
      </c>
      <c r="K1729" s="13">
        <f>IFERROR(H1729/G1729,"")</f>
        <v>2.8571428571428572</v>
      </c>
      <c r="L1729" s="14">
        <f>IFERROR(I1729/G1729,"")</f>
        <v>0.22857142857142856</v>
      </c>
      <c r="M1729" s="11" t="str">
        <f>IF(K1729&gt;=Paramètres!$F$6,"Très forte",IF(K1729&gt;=Paramètres!$F$5,"Forte",IF(K1729&gt;=Paramètres!$F$4,"Modérée","Faible")))</f>
        <v>Faible</v>
      </c>
    </row>
    <row r="1730" spans="1:13">
      <c r="A1730" t="s">
        <v>1608</v>
      </c>
      <c r="B1730" s="11">
        <v>78</v>
      </c>
      <c r="C1730" t="s">
        <v>135</v>
      </c>
      <c r="D1730" t="s">
        <v>1263</v>
      </c>
      <c r="E1730" t="s">
        <v>1609</v>
      </c>
      <c r="F1730" t="s">
        <v>92</v>
      </c>
      <c r="G1730" s="12">
        <v>80</v>
      </c>
      <c r="H1730" s="12">
        <v>207</v>
      </c>
      <c r="I1730" s="12">
        <v>14</v>
      </c>
      <c r="J1730" t="str">
        <f>VLOOKUP(B1730,Paramètres!$A$4:$C$11,3,FALSE)</f>
        <v>Grande couronne</v>
      </c>
      <c r="K1730" s="13">
        <f>IFERROR(H1730/G1730,"")</f>
        <v>2.5874999999999999</v>
      </c>
      <c r="L1730" s="14">
        <f>IFERROR(I1730/G1730,"")</f>
        <v>0.17499999999999999</v>
      </c>
      <c r="M1730" s="11" t="str">
        <f>IF(K1730&gt;=Paramètres!$F$6,"Très forte",IF(K1730&gt;=Paramètres!$F$5,"Forte",IF(K1730&gt;=Paramètres!$F$4,"Modérée","Faible")))</f>
        <v>Faible</v>
      </c>
    </row>
    <row r="1731" spans="1:13">
      <c r="A1731" t="s">
        <v>1512</v>
      </c>
      <c r="B1731" s="11">
        <v>94</v>
      </c>
      <c r="C1731" t="s">
        <v>116</v>
      </c>
      <c r="D1731" t="s">
        <v>1263</v>
      </c>
      <c r="E1731" t="s">
        <v>1513</v>
      </c>
      <c r="F1731" t="s">
        <v>92</v>
      </c>
      <c r="G1731" s="12">
        <v>10</v>
      </c>
      <c r="H1731" s="12">
        <v>24</v>
      </c>
      <c r="I1731" s="12">
        <v>4</v>
      </c>
      <c r="J1731" t="str">
        <f>VLOOKUP(B1731,Paramètres!$A$4:$C$11,3,FALSE)</f>
        <v>Petite couronne</v>
      </c>
      <c r="K1731" s="13">
        <f>IFERROR(H1731/G1731,"")</f>
        <v>2.4</v>
      </c>
      <c r="L1731" s="14">
        <f>IFERROR(I1731/G1731,"")</f>
        <v>0.4</v>
      </c>
      <c r="M1731" s="11" t="str">
        <f>IF(K1731&gt;=Paramètres!$F$6,"Très forte",IF(K1731&gt;=Paramètres!$F$5,"Forte",IF(K1731&gt;=Paramètres!$F$4,"Modérée","Faible")))</f>
        <v>Faible</v>
      </c>
    </row>
    <row r="1732" spans="1:13">
      <c r="A1732" t="s">
        <v>1608</v>
      </c>
      <c r="B1732" s="11">
        <v>78</v>
      </c>
      <c r="C1732" t="s">
        <v>135</v>
      </c>
      <c r="D1732" t="s">
        <v>1263</v>
      </c>
      <c r="E1732" t="s">
        <v>1610</v>
      </c>
      <c r="F1732" t="s">
        <v>92</v>
      </c>
      <c r="G1732" s="12">
        <v>25</v>
      </c>
      <c r="H1732" s="12">
        <v>57</v>
      </c>
      <c r="I1732" s="12">
        <v>0</v>
      </c>
      <c r="J1732" t="str">
        <f>VLOOKUP(B1732,Paramètres!$A$4:$C$11,3,FALSE)</f>
        <v>Grande couronne</v>
      </c>
      <c r="K1732" s="13">
        <f>IFERROR(H1732/G1732,"")</f>
        <v>2.2799999999999998</v>
      </c>
      <c r="L1732" s="14">
        <f>IFERROR(I1732/G1732,"")</f>
        <v>0</v>
      </c>
      <c r="M1732" s="11" t="str">
        <f>IF(K1732&gt;=Paramètres!$F$6,"Très forte",IF(K1732&gt;=Paramètres!$F$5,"Forte",IF(K1732&gt;=Paramètres!$F$4,"Modérée","Faible")))</f>
        <v>Faible</v>
      </c>
    </row>
    <row r="1733" spans="1:13">
      <c r="A1733" t="s">
        <v>1608</v>
      </c>
      <c r="B1733" s="11">
        <v>78</v>
      </c>
      <c r="C1733" t="s">
        <v>135</v>
      </c>
      <c r="D1733" t="s">
        <v>1263</v>
      </c>
      <c r="E1733" t="s">
        <v>1341</v>
      </c>
      <c r="F1733" t="s">
        <v>92</v>
      </c>
      <c r="G1733" s="12">
        <v>20</v>
      </c>
      <c r="H1733" s="12">
        <v>15</v>
      </c>
      <c r="I1733" s="12">
        <v>1</v>
      </c>
      <c r="J1733" t="str">
        <f>VLOOKUP(B1733,Paramètres!$A$4:$C$11,3,FALSE)</f>
        <v>Grande couronne</v>
      </c>
      <c r="K1733" s="13">
        <f>IFERROR(H1733/G1733,"")</f>
        <v>0.75</v>
      </c>
      <c r="L1733" s="14">
        <f>IFERROR(I1733/G1733,"")</f>
        <v>0.05</v>
      </c>
      <c r="M1733" s="11" t="str">
        <f>IF(K1733&gt;=Paramètres!$F$6,"Très forte",IF(K1733&gt;=Paramètres!$F$5,"Forte",IF(K1733&gt;=Paramètres!$F$4,"Modérée","Faible")))</f>
        <v>Faible</v>
      </c>
    </row>
    <row r="1734" spans="1:13">
      <c r="A1734" t="s">
        <v>937</v>
      </c>
      <c r="B1734" s="11">
        <v>92</v>
      </c>
      <c r="C1734" t="s">
        <v>94</v>
      </c>
      <c r="D1734" t="s">
        <v>1263</v>
      </c>
      <c r="E1734" t="s">
        <v>1448</v>
      </c>
      <c r="F1734" t="s">
        <v>92</v>
      </c>
      <c r="G1734" s="12">
        <v>4</v>
      </c>
      <c r="H1734" s="12">
        <v>2</v>
      </c>
      <c r="I1734" s="12">
        <v>0</v>
      </c>
      <c r="J1734" t="str">
        <f>VLOOKUP(B1734,Paramètres!$A$4:$C$11,3,FALSE)</f>
        <v>Petite couronne</v>
      </c>
      <c r="K1734" s="13">
        <f>IFERROR(H1734/G1734,"")</f>
        <v>0.5</v>
      </c>
      <c r="L1734" s="14">
        <f>IFERROR(I1734/G1734,"")</f>
        <v>0</v>
      </c>
      <c r="M1734" s="11" t="str">
        <f>IF(K1734&gt;=Paramètres!$F$6,"Très forte",IF(K1734&gt;=Paramètres!$F$5,"Forte",IF(K1734&gt;=Paramètres!$F$4,"Modérée","Faible")))</f>
        <v>Faible</v>
      </c>
    </row>
    <row r="1735" spans="1:13">
      <c r="A1735" t="s">
        <v>1447</v>
      </c>
      <c r="B1735" s="11">
        <v>95</v>
      </c>
      <c r="C1735" t="s">
        <v>90</v>
      </c>
      <c r="D1735" t="s">
        <v>1263</v>
      </c>
      <c r="E1735" t="s">
        <v>1448</v>
      </c>
      <c r="F1735" t="s">
        <v>92</v>
      </c>
      <c r="G1735" s="12">
        <v>20</v>
      </c>
      <c r="H1735" s="12">
        <v>2</v>
      </c>
      <c r="I1735" s="12">
        <v>0</v>
      </c>
      <c r="J1735" t="str">
        <f>VLOOKUP(B1735,Paramètres!$A$4:$C$11,3,FALSE)</f>
        <v>Grande couronne</v>
      </c>
      <c r="K1735" s="13">
        <f>IFERROR(H1735/G1735,"")</f>
        <v>0.1</v>
      </c>
      <c r="L1735" s="14">
        <f>IFERROR(I1735/G1735,"")</f>
        <v>0</v>
      </c>
      <c r="M1735" s="11" t="str">
        <f>IF(K1735&gt;=Paramètres!$F$6,"Très forte",IF(K1735&gt;=Paramètres!$F$5,"Forte",IF(K1735&gt;=Paramètres!$F$4,"Modérée","Faible")))</f>
        <v>Faible</v>
      </c>
    </row>
    <row r="1736" spans="1:13">
      <c r="A1736" t="s">
        <v>1507</v>
      </c>
      <c r="B1736" s="11">
        <v>94</v>
      </c>
      <c r="C1736" t="s">
        <v>116</v>
      </c>
      <c r="D1736" t="s">
        <v>1263</v>
      </c>
      <c r="E1736" t="s">
        <v>1448</v>
      </c>
      <c r="F1736" t="s">
        <v>92</v>
      </c>
      <c r="G1736" s="12">
        <v>20</v>
      </c>
      <c r="H1736" s="12">
        <v>2</v>
      </c>
      <c r="I1736" s="12">
        <v>0</v>
      </c>
      <c r="J1736" t="str">
        <f>VLOOKUP(B1736,Paramètres!$A$4:$C$11,3,FALSE)</f>
        <v>Petite couronne</v>
      </c>
      <c r="K1736" s="13">
        <f>IFERROR(H1736/G1736,"")</f>
        <v>0.1</v>
      </c>
      <c r="L1736" s="14">
        <f>IFERROR(I1736/G1736,"")</f>
        <v>0</v>
      </c>
      <c r="M1736" s="11" t="str">
        <f>IF(K1736&gt;=Paramètres!$F$6,"Très forte",IF(K1736&gt;=Paramètres!$F$5,"Forte",IF(K1736&gt;=Paramètres!$F$4,"Modérée","Faible")))</f>
        <v>Faible</v>
      </c>
    </row>
    <row r="1737" spans="1:13">
      <c r="A1737" t="s">
        <v>1550</v>
      </c>
      <c r="B1737" s="11">
        <v>94</v>
      </c>
      <c r="C1737" t="s">
        <v>116</v>
      </c>
      <c r="D1737" t="s">
        <v>1407</v>
      </c>
      <c r="E1737" t="s">
        <v>1410</v>
      </c>
      <c r="F1737" t="s">
        <v>92</v>
      </c>
      <c r="G1737" s="12">
        <v>18</v>
      </c>
      <c r="H1737" s="12">
        <v>1430</v>
      </c>
      <c r="I1737" s="12">
        <v>14</v>
      </c>
      <c r="J1737" t="str">
        <f>VLOOKUP(B1737,Paramètres!$A$4:$C$11,3,FALSE)</f>
        <v>Petite couronne</v>
      </c>
      <c r="K1737" s="13">
        <f>IFERROR(H1737/G1737,"")</f>
        <v>79.444444444444443</v>
      </c>
      <c r="L1737" s="14">
        <f>IFERROR(I1737/G1737,"")</f>
        <v>0.77777777777777779</v>
      </c>
      <c r="M1737" s="11" t="str">
        <f>IF(K1737&gt;=Paramètres!$F$6,"Très forte",IF(K1737&gt;=Paramètres!$F$5,"Forte",IF(K1737&gt;=Paramètres!$F$4,"Modérée","Faible")))</f>
        <v>Très forte</v>
      </c>
    </row>
    <row r="1738" spans="1:13">
      <c r="A1738" t="s">
        <v>1546</v>
      </c>
      <c r="B1738" s="11">
        <v>75</v>
      </c>
      <c r="C1738" t="s">
        <v>86</v>
      </c>
      <c r="D1738" t="s">
        <v>1407</v>
      </c>
      <c r="E1738" t="s">
        <v>1410</v>
      </c>
      <c r="F1738" t="s">
        <v>92</v>
      </c>
      <c r="G1738" s="12">
        <v>25</v>
      </c>
      <c r="H1738" s="12">
        <v>776</v>
      </c>
      <c r="I1738" s="12">
        <v>0</v>
      </c>
      <c r="J1738" t="str">
        <f>VLOOKUP(B1738,Paramètres!$A$4:$C$11,3,FALSE)</f>
        <v>Paris</v>
      </c>
      <c r="K1738" s="13">
        <f>IFERROR(H1738/G1738,"")</f>
        <v>31.04</v>
      </c>
      <c r="L1738" s="14">
        <f>IFERROR(I1738/G1738,"")</f>
        <v>0</v>
      </c>
      <c r="M1738" s="11" t="str">
        <f>IF(K1738&gt;=Paramètres!$F$6,"Très forte",IF(K1738&gt;=Paramètres!$F$5,"Forte",IF(K1738&gt;=Paramètres!$F$4,"Modérée","Faible")))</f>
        <v>Forte</v>
      </c>
    </row>
    <row r="1739" spans="1:13">
      <c r="A1739" t="s">
        <v>1836</v>
      </c>
      <c r="B1739" s="11">
        <v>75</v>
      </c>
      <c r="C1739" t="s">
        <v>86</v>
      </c>
      <c r="D1739" t="s">
        <v>1407</v>
      </c>
      <c r="E1739" t="s">
        <v>1418</v>
      </c>
      <c r="F1739" t="s">
        <v>92</v>
      </c>
      <c r="G1739" s="12">
        <v>15</v>
      </c>
      <c r="H1739" s="12">
        <v>339</v>
      </c>
      <c r="I1739" s="12">
        <v>11</v>
      </c>
      <c r="J1739" t="str">
        <f>VLOOKUP(B1739,Paramètres!$A$4:$C$11,3,FALSE)</f>
        <v>Paris</v>
      </c>
      <c r="K1739" s="13">
        <f>IFERROR(H1739/G1739,"")</f>
        <v>22.6</v>
      </c>
      <c r="L1739" s="14">
        <f>IFERROR(I1739/G1739,"")</f>
        <v>0.73333333333333328</v>
      </c>
      <c r="M1739" s="11" t="str">
        <f>IF(K1739&gt;=Paramètres!$F$6,"Très forte",IF(K1739&gt;=Paramètres!$F$5,"Forte",IF(K1739&gt;=Paramètres!$F$4,"Modérée","Faible")))</f>
        <v>Forte</v>
      </c>
    </row>
    <row r="1740" spans="1:13">
      <c r="A1740" t="s">
        <v>1416</v>
      </c>
      <c r="B1740" s="11">
        <v>92</v>
      </c>
      <c r="C1740" t="s">
        <v>94</v>
      </c>
      <c r="D1740" t="s">
        <v>1407</v>
      </c>
      <c r="E1740" t="s">
        <v>1408</v>
      </c>
      <c r="F1740" t="s">
        <v>92</v>
      </c>
      <c r="G1740" s="12">
        <v>30</v>
      </c>
      <c r="H1740" s="12">
        <v>495</v>
      </c>
      <c r="I1740" s="12">
        <v>25</v>
      </c>
      <c r="J1740" t="str">
        <f>VLOOKUP(B1740,Paramètres!$A$4:$C$11,3,FALSE)</f>
        <v>Petite couronne</v>
      </c>
      <c r="K1740" s="13">
        <f>IFERROR(H1740/G1740,"")</f>
        <v>16.5</v>
      </c>
      <c r="L1740" s="14">
        <f>IFERROR(I1740/G1740,"")</f>
        <v>0.83333333333333337</v>
      </c>
      <c r="M1740" s="11" t="str">
        <f>IF(K1740&gt;=Paramètres!$F$6,"Très forte",IF(K1740&gt;=Paramètres!$F$5,"Forte",IF(K1740&gt;=Paramètres!$F$4,"Modérée","Faible")))</f>
        <v>Modérée</v>
      </c>
    </row>
    <row r="1741" spans="1:13">
      <c r="A1741" t="s">
        <v>1750</v>
      </c>
      <c r="B1741" s="11">
        <v>75</v>
      </c>
      <c r="C1741" t="s">
        <v>86</v>
      </c>
      <c r="D1741" t="s">
        <v>1407</v>
      </c>
      <c r="E1741" t="s">
        <v>1410</v>
      </c>
      <c r="F1741" t="s">
        <v>92</v>
      </c>
      <c r="G1741" s="12">
        <v>45</v>
      </c>
      <c r="H1741" s="12">
        <v>723</v>
      </c>
      <c r="I1741" s="12">
        <v>44</v>
      </c>
      <c r="J1741" t="str">
        <f>VLOOKUP(B1741,Paramètres!$A$4:$C$11,3,FALSE)</f>
        <v>Paris</v>
      </c>
      <c r="K1741" s="13">
        <f>IFERROR(H1741/G1741,"")</f>
        <v>16.066666666666666</v>
      </c>
      <c r="L1741" s="14">
        <f>IFERROR(I1741/G1741,"")</f>
        <v>0.97777777777777775</v>
      </c>
      <c r="M1741" s="11" t="str">
        <f>IF(K1741&gt;=Paramètres!$F$6,"Très forte",IF(K1741&gt;=Paramètres!$F$5,"Forte",IF(K1741&gt;=Paramètres!$F$4,"Modérée","Faible")))</f>
        <v>Modérée</v>
      </c>
    </row>
    <row r="1742" spans="1:13">
      <c r="A1742" t="s">
        <v>1416</v>
      </c>
      <c r="B1742" s="11">
        <v>92</v>
      </c>
      <c r="C1742" t="s">
        <v>94</v>
      </c>
      <c r="D1742" t="s">
        <v>1407</v>
      </c>
      <c r="E1742" t="s">
        <v>1418</v>
      </c>
      <c r="F1742" t="s">
        <v>92</v>
      </c>
      <c r="G1742" s="12">
        <v>24</v>
      </c>
      <c r="H1742" s="12">
        <v>382</v>
      </c>
      <c r="I1742" s="12">
        <v>27</v>
      </c>
      <c r="J1742" t="str">
        <f>VLOOKUP(B1742,Paramètres!$A$4:$C$11,3,FALSE)</f>
        <v>Petite couronne</v>
      </c>
      <c r="K1742" s="13">
        <f>IFERROR(H1742/G1742,"")</f>
        <v>15.916666666666666</v>
      </c>
      <c r="L1742" s="14">
        <f>IFERROR(I1742/G1742,"")</f>
        <v>1.125</v>
      </c>
      <c r="M1742" s="11" t="str">
        <f>IF(K1742&gt;=Paramètres!$F$6,"Très forte",IF(K1742&gt;=Paramètres!$F$5,"Forte",IF(K1742&gt;=Paramètres!$F$4,"Modérée","Faible")))</f>
        <v>Modérée</v>
      </c>
    </row>
    <row r="1743" spans="1:13">
      <c r="A1743" t="s">
        <v>1546</v>
      </c>
      <c r="B1743" s="11">
        <v>75</v>
      </c>
      <c r="C1743" t="s">
        <v>86</v>
      </c>
      <c r="D1743" t="s">
        <v>1407</v>
      </c>
      <c r="E1743" t="s">
        <v>1780</v>
      </c>
      <c r="F1743" t="s">
        <v>92</v>
      </c>
      <c r="G1743" s="12">
        <v>10</v>
      </c>
      <c r="H1743" s="12">
        <v>155</v>
      </c>
      <c r="I1743" s="12">
        <v>0</v>
      </c>
      <c r="J1743" t="str">
        <f>VLOOKUP(B1743,Paramètres!$A$4:$C$11,3,FALSE)</f>
        <v>Paris</v>
      </c>
      <c r="K1743" s="13">
        <f>IFERROR(H1743/G1743,"")</f>
        <v>15.5</v>
      </c>
      <c r="L1743" s="14">
        <f>IFERROR(I1743/G1743,"")</f>
        <v>0</v>
      </c>
      <c r="M1743" s="11" t="str">
        <f>IF(K1743&gt;=Paramètres!$F$6,"Très forte",IF(K1743&gt;=Paramètres!$F$5,"Forte",IF(K1743&gt;=Paramètres!$F$4,"Modérée","Faible")))</f>
        <v>Modérée</v>
      </c>
    </row>
    <row r="1744" spans="1:13">
      <c r="A1744" t="s">
        <v>1417</v>
      </c>
      <c r="B1744" s="11">
        <v>93</v>
      </c>
      <c r="C1744" t="s">
        <v>100</v>
      </c>
      <c r="D1744" t="s">
        <v>1407</v>
      </c>
      <c r="E1744" t="s">
        <v>1418</v>
      </c>
      <c r="F1744" t="s">
        <v>92</v>
      </c>
      <c r="G1744" s="12">
        <v>24</v>
      </c>
      <c r="H1744" s="12">
        <v>357</v>
      </c>
      <c r="I1744" s="12">
        <v>23</v>
      </c>
      <c r="J1744" t="str">
        <f>VLOOKUP(B1744,Paramètres!$A$4:$C$11,3,FALSE)</f>
        <v>Petite couronne</v>
      </c>
      <c r="K1744" s="13">
        <f>IFERROR(H1744/G1744,"")</f>
        <v>14.875</v>
      </c>
      <c r="L1744" s="14">
        <f>IFERROR(I1744/G1744,"")</f>
        <v>0.95833333333333337</v>
      </c>
      <c r="M1744" s="11" t="str">
        <f>IF(K1744&gt;=Paramètres!$F$6,"Très forte",IF(K1744&gt;=Paramètres!$F$5,"Forte",IF(K1744&gt;=Paramètres!$F$4,"Modérée","Faible")))</f>
        <v>Modérée</v>
      </c>
    </row>
    <row r="1745" spans="1:13">
      <c r="A1745" t="s">
        <v>1409</v>
      </c>
      <c r="B1745" s="11">
        <v>93</v>
      </c>
      <c r="C1745" t="s">
        <v>100</v>
      </c>
      <c r="D1745" t="s">
        <v>1407</v>
      </c>
      <c r="E1745" t="s">
        <v>1410</v>
      </c>
      <c r="F1745" t="s">
        <v>92</v>
      </c>
      <c r="G1745" s="12">
        <v>38</v>
      </c>
      <c r="H1745" s="12">
        <v>519</v>
      </c>
      <c r="I1745" s="12">
        <v>38</v>
      </c>
      <c r="J1745" t="str">
        <f>VLOOKUP(B1745,Paramètres!$A$4:$C$11,3,FALSE)</f>
        <v>Petite couronne</v>
      </c>
      <c r="K1745" s="13">
        <f>IFERROR(H1745/G1745,"")</f>
        <v>13.657894736842104</v>
      </c>
      <c r="L1745" s="14">
        <f>IFERROR(I1745/G1745,"")</f>
        <v>1</v>
      </c>
      <c r="M1745" s="11" t="str">
        <f>IF(K1745&gt;=Paramètres!$F$6,"Très forte",IF(K1745&gt;=Paramètres!$F$5,"Forte",IF(K1745&gt;=Paramètres!$F$4,"Modérée","Faible")))</f>
        <v>Modérée</v>
      </c>
    </row>
    <row r="1746" spans="1:13">
      <c r="A1746" t="s">
        <v>1548</v>
      </c>
      <c r="B1746" s="11">
        <v>75</v>
      </c>
      <c r="C1746" t="s">
        <v>86</v>
      </c>
      <c r="D1746" t="s">
        <v>1407</v>
      </c>
      <c r="E1746" t="s">
        <v>1408</v>
      </c>
      <c r="F1746" t="s">
        <v>92</v>
      </c>
      <c r="G1746" s="12">
        <v>53</v>
      </c>
      <c r="H1746" s="12">
        <v>701</v>
      </c>
      <c r="I1746" s="12">
        <v>45</v>
      </c>
      <c r="J1746" t="str">
        <f>VLOOKUP(B1746,Paramètres!$A$4:$C$11,3,FALSE)</f>
        <v>Paris</v>
      </c>
      <c r="K1746" s="13">
        <f>IFERROR(H1746/G1746,"")</f>
        <v>13.226415094339623</v>
      </c>
      <c r="L1746" s="14">
        <f>IFERROR(I1746/G1746,"")</f>
        <v>0.84905660377358494</v>
      </c>
      <c r="M1746" s="11" t="str">
        <f>IF(K1746&gt;=Paramètres!$F$6,"Très forte",IF(K1746&gt;=Paramètres!$F$5,"Forte",IF(K1746&gt;=Paramètres!$F$4,"Modérée","Faible")))</f>
        <v>Modérée</v>
      </c>
    </row>
    <row r="1747" spans="1:13">
      <c r="A1747" t="s">
        <v>1416</v>
      </c>
      <c r="B1747" s="11">
        <v>92</v>
      </c>
      <c r="C1747" t="s">
        <v>94</v>
      </c>
      <c r="D1747" t="s">
        <v>1407</v>
      </c>
      <c r="E1747" t="s">
        <v>1410</v>
      </c>
      <c r="F1747" t="s">
        <v>92</v>
      </c>
      <c r="G1747" s="12">
        <v>83</v>
      </c>
      <c r="H1747" s="12">
        <v>1017</v>
      </c>
      <c r="I1747" s="12">
        <v>87</v>
      </c>
      <c r="J1747" t="str">
        <f>VLOOKUP(B1747,Paramètres!$A$4:$C$11,3,FALSE)</f>
        <v>Petite couronne</v>
      </c>
      <c r="K1747" s="13">
        <f>IFERROR(H1747/G1747,"")</f>
        <v>12.253012048192771</v>
      </c>
      <c r="L1747" s="14">
        <f>IFERROR(I1747/G1747,"")</f>
        <v>1.0481927710843373</v>
      </c>
      <c r="M1747" s="11" t="str">
        <f>IF(K1747&gt;=Paramètres!$F$6,"Très forte",IF(K1747&gt;=Paramètres!$F$5,"Forte",IF(K1747&gt;=Paramètres!$F$4,"Modérée","Faible")))</f>
        <v>Modérée</v>
      </c>
    </row>
    <row r="1748" spans="1:13">
      <c r="A1748" t="s">
        <v>1417</v>
      </c>
      <c r="B1748" s="11">
        <v>93</v>
      </c>
      <c r="C1748" t="s">
        <v>100</v>
      </c>
      <c r="D1748" t="s">
        <v>1407</v>
      </c>
      <c r="E1748" t="s">
        <v>1410</v>
      </c>
      <c r="F1748" t="s">
        <v>92</v>
      </c>
      <c r="G1748" s="12">
        <v>78</v>
      </c>
      <c r="H1748" s="12">
        <v>954</v>
      </c>
      <c r="I1748" s="12">
        <v>79</v>
      </c>
      <c r="J1748" t="str">
        <f>VLOOKUP(B1748,Paramètres!$A$4:$C$11,3,FALSE)</f>
        <v>Petite couronne</v>
      </c>
      <c r="K1748" s="13">
        <f>IFERROR(H1748/G1748,"")</f>
        <v>12.23076923076923</v>
      </c>
      <c r="L1748" s="14">
        <f>IFERROR(I1748/G1748,"")</f>
        <v>1.0128205128205128</v>
      </c>
      <c r="M1748" s="11" t="str">
        <f>IF(K1748&gt;=Paramètres!$F$6,"Très forte",IF(K1748&gt;=Paramètres!$F$5,"Forte",IF(K1748&gt;=Paramètres!$F$4,"Modérée","Faible")))</f>
        <v>Modérée</v>
      </c>
    </row>
    <row r="1749" spans="1:13">
      <c r="A1749" t="s">
        <v>1546</v>
      </c>
      <c r="B1749" s="11">
        <v>75</v>
      </c>
      <c r="C1749" t="s">
        <v>86</v>
      </c>
      <c r="D1749" t="s">
        <v>1407</v>
      </c>
      <c r="E1749" t="s">
        <v>1408</v>
      </c>
      <c r="F1749" t="s">
        <v>92</v>
      </c>
      <c r="G1749" s="12">
        <v>38</v>
      </c>
      <c r="H1749" s="12">
        <v>463</v>
      </c>
      <c r="I1749" s="12">
        <v>0</v>
      </c>
      <c r="J1749" t="str">
        <f>VLOOKUP(B1749,Paramètres!$A$4:$C$11,3,FALSE)</f>
        <v>Paris</v>
      </c>
      <c r="K1749" s="13">
        <f>IFERROR(H1749/G1749,"")</f>
        <v>12.184210526315789</v>
      </c>
      <c r="L1749" s="14">
        <f>IFERROR(I1749/G1749,"")</f>
        <v>0</v>
      </c>
      <c r="M1749" s="11" t="str">
        <f>IF(K1749&gt;=Paramètres!$F$6,"Très forte",IF(K1749&gt;=Paramètres!$F$5,"Forte",IF(K1749&gt;=Paramètres!$F$4,"Modérée","Faible")))</f>
        <v>Modérée</v>
      </c>
    </row>
    <row r="1750" spans="1:13">
      <c r="A1750" t="s">
        <v>1547</v>
      </c>
      <c r="B1750" s="11">
        <v>75</v>
      </c>
      <c r="C1750" t="s">
        <v>86</v>
      </c>
      <c r="D1750" t="s">
        <v>1407</v>
      </c>
      <c r="E1750" t="s">
        <v>1410</v>
      </c>
      <c r="F1750" t="s">
        <v>92</v>
      </c>
      <c r="G1750" s="12">
        <v>55</v>
      </c>
      <c r="H1750" s="12">
        <v>670</v>
      </c>
      <c r="I1750" s="12">
        <v>53</v>
      </c>
      <c r="J1750" t="str">
        <f>VLOOKUP(B1750,Paramètres!$A$4:$C$11,3,FALSE)</f>
        <v>Paris</v>
      </c>
      <c r="K1750" s="13">
        <f>IFERROR(H1750/G1750,"")</f>
        <v>12.181818181818182</v>
      </c>
      <c r="L1750" s="14">
        <f>IFERROR(I1750/G1750,"")</f>
        <v>0.96363636363636362</v>
      </c>
      <c r="M1750" s="11" t="str">
        <f>IF(K1750&gt;=Paramètres!$F$6,"Très forte",IF(K1750&gt;=Paramètres!$F$5,"Forte",IF(K1750&gt;=Paramètres!$F$4,"Modérée","Faible")))</f>
        <v>Modérée</v>
      </c>
    </row>
    <row r="1751" spans="1:13">
      <c r="A1751" t="s">
        <v>1547</v>
      </c>
      <c r="B1751" s="11">
        <v>75</v>
      </c>
      <c r="C1751" t="s">
        <v>86</v>
      </c>
      <c r="D1751" t="s">
        <v>1407</v>
      </c>
      <c r="E1751" t="s">
        <v>1408</v>
      </c>
      <c r="F1751" t="s">
        <v>92</v>
      </c>
      <c r="G1751" s="12">
        <v>43</v>
      </c>
      <c r="H1751" s="12">
        <v>505</v>
      </c>
      <c r="I1751" s="12">
        <v>32</v>
      </c>
      <c r="J1751" t="str">
        <f>VLOOKUP(B1751,Paramètres!$A$4:$C$11,3,FALSE)</f>
        <v>Paris</v>
      </c>
      <c r="K1751" s="13">
        <f>IFERROR(H1751/G1751,"")</f>
        <v>11.744186046511627</v>
      </c>
      <c r="L1751" s="14">
        <f>IFERROR(I1751/G1751,"")</f>
        <v>0.7441860465116279</v>
      </c>
      <c r="M1751" s="11" t="str">
        <f>IF(K1751&gt;=Paramètres!$F$6,"Très forte",IF(K1751&gt;=Paramètres!$F$5,"Forte",IF(K1751&gt;=Paramètres!$F$4,"Modérée","Faible")))</f>
        <v>Modérée</v>
      </c>
    </row>
    <row r="1752" spans="1:13">
      <c r="A1752" t="s">
        <v>1671</v>
      </c>
      <c r="B1752" s="11">
        <v>77</v>
      </c>
      <c r="C1752" t="s">
        <v>132</v>
      </c>
      <c r="D1752" t="s">
        <v>1407</v>
      </c>
      <c r="E1752" t="s">
        <v>1408</v>
      </c>
      <c r="F1752" t="s">
        <v>92</v>
      </c>
      <c r="G1752" s="12">
        <v>28</v>
      </c>
      <c r="H1752" s="12">
        <v>326</v>
      </c>
      <c r="I1752" s="12">
        <v>28</v>
      </c>
      <c r="J1752" t="str">
        <f>VLOOKUP(B1752,Paramètres!$A$4:$C$11,3,FALSE)</f>
        <v>Grande couronne</v>
      </c>
      <c r="K1752" s="13">
        <f>IFERROR(H1752/G1752,"")</f>
        <v>11.642857142857142</v>
      </c>
      <c r="L1752" s="14">
        <f>IFERROR(I1752/G1752,"")</f>
        <v>1</v>
      </c>
      <c r="M1752" s="11" t="str">
        <f>IF(K1752&gt;=Paramètres!$F$6,"Très forte",IF(K1752&gt;=Paramètres!$F$5,"Forte",IF(K1752&gt;=Paramètres!$F$4,"Modérée","Faible")))</f>
        <v>Modérée</v>
      </c>
    </row>
    <row r="1753" spans="1:13">
      <c r="A1753" t="s">
        <v>1839</v>
      </c>
      <c r="B1753" s="11">
        <v>75</v>
      </c>
      <c r="C1753" t="s">
        <v>86</v>
      </c>
      <c r="D1753" t="s">
        <v>1407</v>
      </c>
      <c r="E1753" t="s">
        <v>1418</v>
      </c>
      <c r="F1753" t="s">
        <v>92</v>
      </c>
      <c r="G1753" s="12">
        <v>45</v>
      </c>
      <c r="H1753" s="12">
        <v>489</v>
      </c>
      <c r="I1753" s="12">
        <v>27</v>
      </c>
      <c r="J1753" t="str">
        <f>VLOOKUP(B1753,Paramètres!$A$4:$C$11,3,FALSE)</f>
        <v>Paris</v>
      </c>
      <c r="K1753" s="13">
        <f>IFERROR(H1753/G1753,"")</f>
        <v>10.866666666666667</v>
      </c>
      <c r="L1753" s="14">
        <f>IFERROR(I1753/G1753,"")</f>
        <v>0.6</v>
      </c>
      <c r="M1753" s="11" t="str">
        <f>IF(K1753&gt;=Paramètres!$F$6,"Très forte",IF(K1753&gt;=Paramètres!$F$5,"Forte",IF(K1753&gt;=Paramètres!$F$4,"Modérée","Faible")))</f>
        <v>Modérée</v>
      </c>
    </row>
    <row r="1754" spans="1:13">
      <c r="A1754" t="s">
        <v>1413</v>
      </c>
      <c r="B1754" s="11">
        <v>95</v>
      </c>
      <c r="C1754" t="s">
        <v>90</v>
      </c>
      <c r="D1754" t="s">
        <v>1407</v>
      </c>
      <c r="E1754" t="s">
        <v>1408</v>
      </c>
      <c r="F1754" t="s">
        <v>92</v>
      </c>
      <c r="G1754" s="12">
        <v>40</v>
      </c>
      <c r="H1754" s="12">
        <v>430</v>
      </c>
      <c r="I1754" s="12">
        <v>33</v>
      </c>
      <c r="J1754" t="str">
        <f>VLOOKUP(B1754,Paramètres!$A$4:$C$11,3,FALSE)</f>
        <v>Grande couronne</v>
      </c>
      <c r="K1754" s="13">
        <f>IFERROR(H1754/G1754,"")</f>
        <v>10.75</v>
      </c>
      <c r="L1754" s="14">
        <f>IFERROR(I1754/G1754,"")</f>
        <v>0.82499999999999996</v>
      </c>
      <c r="M1754" s="11" t="str">
        <f>IF(K1754&gt;=Paramètres!$F$6,"Très forte",IF(K1754&gt;=Paramètres!$F$5,"Forte",IF(K1754&gt;=Paramètres!$F$4,"Modérée","Faible")))</f>
        <v>Modérée</v>
      </c>
    </row>
    <row r="1755" spans="1:13">
      <c r="A1755" t="s">
        <v>1548</v>
      </c>
      <c r="B1755" s="11">
        <v>75</v>
      </c>
      <c r="C1755" t="s">
        <v>86</v>
      </c>
      <c r="D1755" t="s">
        <v>1407</v>
      </c>
      <c r="E1755" t="s">
        <v>1410</v>
      </c>
      <c r="F1755" t="s">
        <v>92</v>
      </c>
      <c r="G1755" s="12">
        <v>117</v>
      </c>
      <c r="H1755" s="12">
        <v>1200</v>
      </c>
      <c r="I1755" s="12">
        <v>118</v>
      </c>
      <c r="J1755" t="str">
        <f>VLOOKUP(B1755,Paramètres!$A$4:$C$11,3,FALSE)</f>
        <v>Paris</v>
      </c>
      <c r="K1755" s="13">
        <f>IFERROR(H1755/G1755,"")</f>
        <v>10.256410256410257</v>
      </c>
      <c r="L1755" s="14">
        <f>IFERROR(I1755/G1755,"")</f>
        <v>1.0085470085470085</v>
      </c>
      <c r="M1755" s="11" t="str">
        <f>IF(K1755&gt;=Paramètres!$F$6,"Très forte",IF(K1755&gt;=Paramètres!$F$5,"Forte",IF(K1755&gt;=Paramètres!$F$4,"Modérée","Faible")))</f>
        <v>Modérée</v>
      </c>
    </row>
    <row r="1756" spans="1:13">
      <c r="A1756" t="s">
        <v>1671</v>
      </c>
      <c r="B1756" s="11">
        <v>77</v>
      </c>
      <c r="C1756" t="s">
        <v>132</v>
      </c>
      <c r="D1756" t="s">
        <v>1407</v>
      </c>
      <c r="E1756" t="s">
        <v>1410</v>
      </c>
      <c r="F1756" t="s">
        <v>92</v>
      </c>
      <c r="G1756" s="12">
        <v>52</v>
      </c>
      <c r="H1756" s="12">
        <v>522</v>
      </c>
      <c r="I1756" s="12">
        <v>49</v>
      </c>
      <c r="J1756" t="str">
        <f>VLOOKUP(B1756,Paramètres!$A$4:$C$11,3,FALSE)</f>
        <v>Grande couronne</v>
      </c>
      <c r="K1756" s="13">
        <f>IFERROR(H1756/G1756,"")</f>
        <v>10.038461538461538</v>
      </c>
      <c r="L1756" s="14">
        <f>IFERROR(I1756/G1756,"")</f>
        <v>0.94230769230769229</v>
      </c>
      <c r="M1756" s="11" t="str">
        <f>IF(K1756&gt;=Paramètres!$F$6,"Très forte",IF(K1756&gt;=Paramètres!$F$5,"Forte",IF(K1756&gt;=Paramètres!$F$4,"Modérée","Faible")))</f>
        <v>Modérée</v>
      </c>
    </row>
    <row r="1757" spans="1:13">
      <c r="A1757" t="s">
        <v>1413</v>
      </c>
      <c r="B1757" s="11">
        <v>95</v>
      </c>
      <c r="C1757" t="s">
        <v>90</v>
      </c>
      <c r="D1757" t="s">
        <v>1407</v>
      </c>
      <c r="E1757" t="s">
        <v>1410</v>
      </c>
      <c r="F1757" t="s">
        <v>92</v>
      </c>
      <c r="G1757" s="12">
        <v>60</v>
      </c>
      <c r="H1757" s="12">
        <v>570</v>
      </c>
      <c r="I1757" s="12">
        <v>54</v>
      </c>
      <c r="J1757" t="str">
        <f>VLOOKUP(B1757,Paramètres!$A$4:$C$11,3,FALSE)</f>
        <v>Grande couronne</v>
      </c>
      <c r="K1757" s="13">
        <f>IFERROR(H1757/G1757,"")</f>
        <v>9.5</v>
      </c>
      <c r="L1757" s="14">
        <f>IFERROR(I1757/G1757,"")</f>
        <v>0.9</v>
      </c>
      <c r="M1757" s="11" t="str">
        <f>IF(K1757&gt;=Paramètres!$F$6,"Très forte",IF(K1757&gt;=Paramètres!$F$5,"Forte",IF(K1757&gt;=Paramètres!$F$4,"Modérée","Faible")))</f>
        <v>Faible</v>
      </c>
    </row>
    <row r="1758" spans="1:13">
      <c r="A1758" t="s">
        <v>1476</v>
      </c>
      <c r="B1758" s="11">
        <v>78</v>
      </c>
      <c r="C1758" t="s">
        <v>135</v>
      </c>
      <c r="D1758" t="s">
        <v>1407</v>
      </c>
      <c r="E1758" t="s">
        <v>1408</v>
      </c>
      <c r="F1758" t="s">
        <v>92</v>
      </c>
      <c r="G1758" s="12">
        <v>23</v>
      </c>
      <c r="H1758" s="12">
        <v>209</v>
      </c>
      <c r="I1758" s="12">
        <v>24</v>
      </c>
      <c r="J1758" t="str">
        <f>VLOOKUP(B1758,Paramètres!$A$4:$C$11,3,FALSE)</f>
        <v>Grande couronne</v>
      </c>
      <c r="K1758" s="13">
        <f>IFERROR(H1758/G1758,"")</f>
        <v>9.0869565217391308</v>
      </c>
      <c r="L1758" s="14">
        <f>IFERROR(I1758/G1758,"")</f>
        <v>1.0434782608695652</v>
      </c>
      <c r="M1758" s="11" t="str">
        <f>IF(K1758&gt;=Paramètres!$F$6,"Très forte",IF(K1758&gt;=Paramètres!$F$5,"Forte",IF(K1758&gt;=Paramètres!$F$4,"Modérée","Faible")))</f>
        <v>Faible</v>
      </c>
    </row>
    <row r="1759" spans="1:13">
      <c r="A1759" t="s">
        <v>1671</v>
      </c>
      <c r="B1759" s="11">
        <v>77</v>
      </c>
      <c r="C1759" t="s">
        <v>132</v>
      </c>
      <c r="D1759" t="s">
        <v>1407</v>
      </c>
      <c r="E1759" t="s">
        <v>1418</v>
      </c>
      <c r="F1759" t="s">
        <v>92</v>
      </c>
      <c r="G1759" s="12">
        <v>23</v>
      </c>
      <c r="H1759" s="12">
        <v>202</v>
      </c>
      <c r="I1759" s="12">
        <v>23</v>
      </c>
      <c r="J1759" t="str">
        <f>VLOOKUP(B1759,Paramètres!$A$4:$C$11,3,FALSE)</f>
        <v>Grande couronne</v>
      </c>
      <c r="K1759" s="13">
        <f>IFERROR(H1759/G1759,"")</f>
        <v>8.7826086956521738</v>
      </c>
      <c r="L1759" s="14">
        <f>IFERROR(I1759/G1759,"")</f>
        <v>1</v>
      </c>
      <c r="M1759" s="11" t="str">
        <f>IF(K1759&gt;=Paramètres!$F$6,"Très forte",IF(K1759&gt;=Paramètres!$F$5,"Forte",IF(K1759&gt;=Paramètres!$F$4,"Modérée","Faible")))</f>
        <v>Faible</v>
      </c>
    </row>
    <row r="1760" spans="1:13">
      <c r="A1760" t="s">
        <v>1413</v>
      </c>
      <c r="B1760" s="11">
        <v>95</v>
      </c>
      <c r="C1760" t="s">
        <v>90</v>
      </c>
      <c r="D1760" t="s">
        <v>1407</v>
      </c>
      <c r="E1760" t="s">
        <v>1418</v>
      </c>
      <c r="F1760" t="s">
        <v>92</v>
      </c>
      <c r="G1760" s="12">
        <v>30</v>
      </c>
      <c r="H1760" s="12">
        <v>262</v>
      </c>
      <c r="I1760" s="12">
        <v>24</v>
      </c>
      <c r="J1760" t="str">
        <f>VLOOKUP(B1760,Paramètres!$A$4:$C$11,3,FALSE)</f>
        <v>Grande couronne</v>
      </c>
      <c r="K1760" s="13">
        <f>IFERROR(H1760/G1760,"")</f>
        <v>8.7333333333333325</v>
      </c>
      <c r="L1760" s="14">
        <f>IFERROR(I1760/G1760,"")</f>
        <v>0.8</v>
      </c>
      <c r="M1760" s="11" t="str">
        <f>IF(K1760&gt;=Paramètres!$F$6,"Très forte",IF(K1760&gt;=Paramètres!$F$5,"Forte",IF(K1760&gt;=Paramètres!$F$4,"Modérée","Faible")))</f>
        <v>Faible</v>
      </c>
    </row>
    <row r="1761" spans="1:13">
      <c r="A1761" t="s">
        <v>1417</v>
      </c>
      <c r="B1761" s="11">
        <v>93</v>
      </c>
      <c r="C1761" t="s">
        <v>100</v>
      </c>
      <c r="D1761" t="s">
        <v>1407</v>
      </c>
      <c r="E1761" t="s">
        <v>1408</v>
      </c>
      <c r="F1761" t="s">
        <v>92</v>
      </c>
      <c r="G1761" s="12">
        <v>49</v>
      </c>
      <c r="H1761" s="12">
        <v>422</v>
      </c>
      <c r="I1761" s="12">
        <v>42</v>
      </c>
      <c r="J1761" t="str">
        <f>VLOOKUP(B1761,Paramètres!$A$4:$C$11,3,FALSE)</f>
        <v>Petite couronne</v>
      </c>
      <c r="K1761" s="13">
        <f>IFERROR(H1761/G1761,"")</f>
        <v>8.612244897959183</v>
      </c>
      <c r="L1761" s="14">
        <f>IFERROR(I1761/G1761,"")</f>
        <v>0.8571428571428571</v>
      </c>
      <c r="M1761" s="11" t="str">
        <f>IF(K1761&gt;=Paramètres!$F$6,"Très forte",IF(K1761&gt;=Paramètres!$F$5,"Forte",IF(K1761&gt;=Paramètres!$F$4,"Modérée","Faible")))</f>
        <v>Faible</v>
      </c>
    </row>
    <row r="1762" spans="1:13">
      <c r="A1762" t="s">
        <v>1414</v>
      </c>
      <c r="B1762" s="11">
        <v>91</v>
      </c>
      <c r="C1762" t="s">
        <v>105</v>
      </c>
      <c r="D1762" t="s">
        <v>1407</v>
      </c>
      <c r="E1762" t="s">
        <v>1408</v>
      </c>
      <c r="F1762" t="s">
        <v>92</v>
      </c>
      <c r="G1762" s="12">
        <v>45</v>
      </c>
      <c r="H1762" s="12">
        <v>363</v>
      </c>
      <c r="I1762" s="12">
        <v>47</v>
      </c>
      <c r="J1762" t="str">
        <f>VLOOKUP(B1762,Paramètres!$A$4:$C$11,3,FALSE)</f>
        <v>Grande couronne</v>
      </c>
      <c r="K1762" s="13">
        <f>IFERROR(H1762/G1762,"")</f>
        <v>8.0666666666666664</v>
      </c>
      <c r="L1762" s="14">
        <f>IFERROR(I1762/G1762,"")</f>
        <v>1.0444444444444445</v>
      </c>
      <c r="M1762" s="11" t="str">
        <f>IF(K1762&gt;=Paramètres!$F$6,"Très forte",IF(K1762&gt;=Paramètres!$F$5,"Forte",IF(K1762&gt;=Paramètres!$F$4,"Modérée","Faible")))</f>
        <v>Faible</v>
      </c>
    </row>
    <row r="1763" spans="1:13">
      <c r="A1763" t="s">
        <v>1548</v>
      </c>
      <c r="B1763" s="11">
        <v>75</v>
      </c>
      <c r="C1763" t="s">
        <v>86</v>
      </c>
      <c r="D1763" t="s">
        <v>1407</v>
      </c>
      <c r="E1763" t="s">
        <v>1418</v>
      </c>
      <c r="F1763" t="s">
        <v>92</v>
      </c>
      <c r="G1763" s="12">
        <v>55</v>
      </c>
      <c r="H1763" s="12">
        <v>422</v>
      </c>
      <c r="I1763" s="12">
        <v>54</v>
      </c>
      <c r="J1763" t="str">
        <f>VLOOKUP(B1763,Paramètres!$A$4:$C$11,3,FALSE)</f>
        <v>Paris</v>
      </c>
      <c r="K1763" s="13">
        <f>IFERROR(H1763/G1763,"")</f>
        <v>7.6727272727272728</v>
      </c>
      <c r="L1763" s="14">
        <f>IFERROR(I1763/G1763,"")</f>
        <v>0.98181818181818181</v>
      </c>
      <c r="M1763" s="11" t="str">
        <f>IF(K1763&gt;=Paramètres!$F$6,"Très forte",IF(K1763&gt;=Paramètres!$F$5,"Forte",IF(K1763&gt;=Paramètres!$F$4,"Modérée","Faible")))</f>
        <v>Faible</v>
      </c>
    </row>
    <row r="1764" spans="1:13">
      <c r="A1764" t="s">
        <v>1406</v>
      </c>
      <c r="B1764" s="11">
        <v>93</v>
      </c>
      <c r="C1764" t="s">
        <v>100</v>
      </c>
      <c r="D1764" t="s">
        <v>1407</v>
      </c>
      <c r="E1764" t="s">
        <v>1408</v>
      </c>
      <c r="F1764" t="s">
        <v>92</v>
      </c>
      <c r="G1764" s="12">
        <v>55</v>
      </c>
      <c r="H1764" s="12">
        <v>407</v>
      </c>
      <c r="I1764" s="12">
        <v>49</v>
      </c>
      <c r="J1764" t="str">
        <f>VLOOKUP(B1764,Paramètres!$A$4:$C$11,3,FALSE)</f>
        <v>Petite couronne</v>
      </c>
      <c r="K1764" s="13">
        <f>IFERROR(H1764/G1764,"")</f>
        <v>7.4</v>
      </c>
      <c r="L1764" s="14">
        <f>IFERROR(I1764/G1764,"")</f>
        <v>0.89090909090909087</v>
      </c>
      <c r="M1764" s="11" t="str">
        <f>IF(K1764&gt;=Paramètres!$F$6,"Très forte",IF(K1764&gt;=Paramètres!$F$5,"Forte",IF(K1764&gt;=Paramètres!$F$4,"Modérée","Faible")))</f>
        <v>Faible</v>
      </c>
    </row>
    <row r="1765" spans="1:13">
      <c r="A1765" t="s">
        <v>1546</v>
      </c>
      <c r="B1765" s="11">
        <v>75</v>
      </c>
      <c r="C1765" t="s">
        <v>86</v>
      </c>
      <c r="D1765" t="s">
        <v>1407</v>
      </c>
      <c r="E1765" t="s">
        <v>1418</v>
      </c>
      <c r="F1765" t="s">
        <v>92</v>
      </c>
      <c r="G1765" s="12">
        <v>55</v>
      </c>
      <c r="H1765" s="12">
        <v>393</v>
      </c>
      <c r="I1765" s="12">
        <v>0</v>
      </c>
      <c r="J1765" t="str">
        <f>VLOOKUP(B1765,Paramètres!$A$4:$C$11,3,FALSE)</f>
        <v>Paris</v>
      </c>
      <c r="K1765" s="13">
        <f>IFERROR(H1765/G1765,"")</f>
        <v>7.1454545454545455</v>
      </c>
      <c r="L1765" s="14">
        <f>IFERROR(I1765/G1765,"")</f>
        <v>0</v>
      </c>
      <c r="M1765" s="11" t="str">
        <f>IF(K1765&gt;=Paramètres!$F$6,"Très forte",IF(K1765&gt;=Paramètres!$F$5,"Forte",IF(K1765&gt;=Paramètres!$F$4,"Modérée","Faible")))</f>
        <v>Faible</v>
      </c>
    </row>
    <row r="1766" spans="1:13">
      <c r="A1766" t="s">
        <v>1804</v>
      </c>
      <c r="B1766" s="11">
        <v>77</v>
      </c>
      <c r="C1766" t="s">
        <v>132</v>
      </c>
      <c r="D1766" t="s">
        <v>1407</v>
      </c>
      <c r="E1766" t="s">
        <v>1410</v>
      </c>
      <c r="F1766" t="s">
        <v>92</v>
      </c>
      <c r="G1766" s="12">
        <v>25</v>
      </c>
      <c r="H1766" s="12">
        <v>175</v>
      </c>
      <c r="I1766" s="12">
        <v>18</v>
      </c>
      <c r="J1766" t="str">
        <f>VLOOKUP(B1766,Paramètres!$A$4:$C$11,3,FALSE)</f>
        <v>Grande couronne</v>
      </c>
      <c r="K1766" s="13">
        <f>IFERROR(H1766/G1766,"")</f>
        <v>7</v>
      </c>
      <c r="L1766" s="14">
        <f>IFERROR(I1766/G1766,"")</f>
        <v>0.72</v>
      </c>
      <c r="M1766" s="11" t="str">
        <f>IF(K1766&gt;=Paramètres!$F$6,"Très forte",IF(K1766&gt;=Paramètres!$F$5,"Forte",IF(K1766&gt;=Paramètres!$F$4,"Modérée","Faible")))</f>
        <v>Faible</v>
      </c>
    </row>
    <row r="1767" spans="1:13">
      <c r="A1767" t="s">
        <v>1691</v>
      </c>
      <c r="B1767" s="11">
        <v>75</v>
      </c>
      <c r="C1767" t="s">
        <v>86</v>
      </c>
      <c r="D1767" t="s">
        <v>1407</v>
      </c>
      <c r="E1767" t="s">
        <v>1418</v>
      </c>
      <c r="F1767" t="s">
        <v>92</v>
      </c>
      <c r="G1767" s="12">
        <v>41</v>
      </c>
      <c r="H1767" s="12">
        <v>282</v>
      </c>
      <c r="I1767" s="12">
        <v>42</v>
      </c>
      <c r="J1767" t="str">
        <f>VLOOKUP(B1767,Paramètres!$A$4:$C$11,3,FALSE)</f>
        <v>Paris</v>
      </c>
      <c r="K1767" s="13">
        <f>IFERROR(H1767/G1767,"")</f>
        <v>6.8780487804878048</v>
      </c>
      <c r="L1767" s="14">
        <f>IFERROR(I1767/G1767,"")</f>
        <v>1.024390243902439</v>
      </c>
      <c r="M1767" s="11" t="str">
        <f>IF(K1767&gt;=Paramètres!$F$6,"Très forte",IF(K1767&gt;=Paramètres!$F$5,"Forte",IF(K1767&gt;=Paramètres!$F$4,"Modérée","Faible")))</f>
        <v>Faible</v>
      </c>
    </row>
    <row r="1768" spans="1:13">
      <c r="A1768" t="s">
        <v>1414</v>
      </c>
      <c r="B1768" s="11">
        <v>91</v>
      </c>
      <c r="C1768" t="s">
        <v>105</v>
      </c>
      <c r="D1768" t="s">
        <v>1407</v>
      </c>
      <c r="E1768" t="s">
        <v>1418</v>
      </c>
      <c r="F1768" t="s">
        <v>92</v>
      </c>
      <c r="G1768" s="12">
        <v>45</v>
      </c>
      <c r="H1768" s="12">
        <v>270</v>
      </c>
      <c r="I1768" s="12">
        <v>44</v>
      </c>
      <c r="J1768" t="str">
        <f>VLOOKUP(B1768,Paramètres!$A$4:$C$11,3,FALSE)</f>
        <v>Grande couronne</v>
      </c>
      <c r="K1768" s="13">
        <f>IFERROR(H1768/G1768,"")</f>
        <v>6</v>
      </c>
      <c r="L1768" s="14">
        <f>IFERROR(I1768/G1768,"")</f>
        <v>0.97777777777777775</v>
      </c>
      <c r="M1768" s="11" t="str">
        <f>IF(K1768&gt;=Paramètres!$F$6,"Très forte",IF(K1768&gt;=Paramètres!$F$5,"Forte",IF(K1768&gt;=Paramètres!$F$4,"Modérée","Faible")))</f>
        <v>Faible</v>
      </c>
    </row>
    <row r="1769" spans="1:13">
      <c r="A1769" t="s">
        <v>1750</v>
      </c>
      <c r="B1769" s="11">
        <v>75</v>
      </c>
      <c r="C1769" t="s">
        <v>86</v>
      </c>
      <c r="D1769" t="s">
        <v>1407</v>
      </c>
      <c r="E1769" t="s">
        <v>1408</v>
      </c>
      <c r="F1769" t="s">
        <v>92</v>
      </c>
      <c r="G1769" s="12">
        <v>110</v>
      </c>
      <c r="H1769" s="12">
        <v>652</v>
      </c>
      <c r="I1769" s="12">
        <v>98</v>
      </c>
      <c r="J1769" t="str">
        <f>VLOOKUP(B1769,Paramètres!$A$4:$C$11,3,FALSE)</f>
        <v>Paris</v>
      </c>
      <c r="K1769" s="13">
        <f>IFERROR(H1769/G1769,"")</f>
        <v>5.9272727272727277</v>
      </c>
      <c r="L1769" s="14">
        <f>IFERROR(I1769/G1769,"")</f>
        <v>0.89090909090909087</v>
      </c>
      <c r="M1769" s="11" t="str">
        <f>IF(K1769&gt;=Paramètres!$F$6,"Très forte",IF(K1769&gt;=Paramètres!$F$5,"Forte",IF(K1769&gt;=Paramètres!$F$4,"Modérée","Faible")))</f>
        <v>Faible</v>
      </c>
    </row>
    <row r="1770" spans="1:13">
      <c r="A1770" t="s">
        <v>1414</v>
      </c>
      <c r="B1770" s="11">
        <v>91</v>
      </c>
      <c r="C1770" t="s">
        <v>105</v>
      </c>
      <c r="D1770" t="s">
        <v>1407</v>
      </c>
      <c r="E1770" t="s">
        <v>1410</v>
      </c>
      <c r="F1770" t="s">
        <v>92</v>
      </c>
      <c r="G1770" s="12">
        <v>110</v>
      </c>
      <c r="H1770" s="12">
        <v>619</v>
      </c>
      <c r="I1770" s="12">
        <v>116</v>
      </c>
      <c r="J1770" t="str">
        <f>VLOOKUP(B1770,Paramètres!$A$4:$C$11,3,FALSE)</f>
        <v>Grande couronne</v>
      </c>
      <c r="K1770" s="13">
        <f>IFERROR(H1770/G1770,"")</f>
        <v>5.627272727272727</v>
      </c>
      <c r="L1770" s="14">
        <f>IFERROR(I1770/G1770,"")</f>
        <v>1.0545454545454545</v>
      </c>
      <c r="M1770" s="11" t="str">
        <f>IF(K1770&gt;=Paramètres!$F$6,"Très forte",IF(K1770&gt;=Paramètres!$F$5,"Forte",IF(K1770&gt;=Paramètres!$F$4,"Modérée","Faible")))</f>
        <v>Faible</v>
      </c>
    </row>
    <row r="1771" spans="1:13">
      <c r="A1771" t="s">
        <v>1476</v>
      </c>
      <c r="B1771" s="11">
        <v>78</v>
      </c>
      <c r="C1771" t="s">
        <v>135</v>
      </c>
      <c r="D1771" t="s">
        <v>1407</v>
      </c>
      <c r="E1771" t="s">
        <v>1418</v>
      </c>
      <c r="F1771" t="s">
        <v>92</v>
      </c>
      <c r="G1771" s="12">
        <v>35</v>
      </c>
      <c r="H1771" s="12">
        <v>174</v>
      </c>
      <c r="I1771" s="12">
        <v>18</v>
      </c>
      <c r="J1771" t="str">
        <f>VLOOKUP(B1771,Paramètres!$A$4:$C$11,3,FALSE)</f>
        <v>Grande couronne</v>
      </c>
      <c r="K1771" s="13">
        <f>IFERROR(H1771/G1771,"")</f>
        <v>4.9714285714285715</v>
      </c>
      <c r="L1771" s="14">
        <f>IFERROR(I1771/G1771,"")</f>
        <v>0.51428571428571423</v>
      </c>
      <c r="M1771" s="11" t="str">
        <f>IF(K1771&gt;=Paramètres!$F$6,"Très forte",IF(K1771&gt;=Paramètres!$F$5,"Forte",IF(K1771&gt;=Paramètres!$F$4,"Modérée","Faible")))</f>
        <v>Faible</v>
      </c>
    </row>
    <row r="1772" spans="1:13">
      <c r="A1772" t="s">
        <v>1670</v>
      </c>
      <c r="B1772" s="11">
        <v>92</v>
      </c>
      <c r="C1772" t="s">
        <v>94</v>
      </c>
      <c r="D1772" t="s">
        <v>1407</v>
      </c>
      <c r="E1772" t="s">
        <v>1408</v>
      </c>
      <c r="F1772" t="s">
        <v>92</v>
      </c>
      <c r="G1772" s="12">
        <v>70</v>
      </c>
      <c r="H1772" s="12">
        <v>345</v>
      </c>
      <c r="I1772" s="12">
        <v>48</v>
      </c>
      <c r="J1772" t="str">
        <f>VLOOKUP(B1772,Paramètres!$A$4:$C$11,3,FALSE)</f>
        <v>Petite couronne</v>
      </c>
      <c r="K1772" s="13">
        <f>IFERROR(H1772/G1772,"")</f>
        <v>4.9285714285714288</v>
      </c>
      <c r="L1772" s="14">
        <f>IFERROR(I1772/G1772,"")</f>
        <v>0.68571428571428572</v>
      </c>
      <c r="M1772" s="11" t="str">
        <f>IF(K1772&gt;=Paramètres!$F$6,"Très forte",IF(K1772&gt;=Paramètres!$F$5,"Forte",IF(K1772&gt;=Paramètres!$F$4,"Modérée","Faible")))</f>
        <v>Faible</v>
      </c>
    </row>
    <row r="1773" spans="1:13">
      <c r="A1773" t="s">
        <v>1476</v>
      </c>
      <c r="B1773" s="11">
        <v>78</v>
      </c>
      <c r="C1773" t="s">
        <v>135</v>
      </c>
      <c r="D1773" t="s">
        <v>1407</v>
      </c>
      <c r="E1773" t="s">
        <v>1410</v>
      </c>
      <c r="F1773" t="s">
        <v>92</v>
      </c>
      <c r="G1773" s="12">
        <v>116</v>
      </c>
      <c r="H1773" s="12">
        <v>562</v>
      </c>
      <c r="I1773" s="12">
        <v>87</v>
      </c>
      <c r="J1773" t="str">
        <f>VLOOKUP(B1773,Paramètres!$A$4:$C$11,3,FALSE)</f>
        <v>Grande couronne</v>
      </c>
      <c r="K1773" s="13">
        <f>IFERROR(H1773/G1773,"")</f>
        <v>4.8448275862068968</v>
      </c>
      <c r="L1773" s="14">
        <f>IFERROR(I1773/G1773,"")</f>
        <v>0.75</v>
      </c>
      <c r="M1773" s="11" t="str">
        <f>IF(K1773&gt;=Paramètres!$F$6,"Très forte",IF(K1773&gt;=Paramètres!$F$5,"Forte",IF(K1773&gt;=Paramètres!$F$4,"Modérée","Faible")))</f>
        <v>Faible</v>
      </c>
    </row>
    <row r="1774" spans="1:13">
      <c r="A1774" t="s">
        <v>1747</v>
      </c>
      <c r="B1774" s="11">
        <v>94</v>
      </c>
      <c r="C1774" t="s">
        <v>116</v>
      </c>
      <c r="D1774" t="s">
        <v>1395</v>
      </c>
      <c r="E1774" t="s">
        <v>1396</v>
      </c>
      <c r="F1774" t="s">
        <v>92</v>
      </c>
      <c r="G1774" s="12">
        <v>57</v>
      </c>
      <c r="H1774" s="12">
        <v>7668</v>
      </c>
      <c r="I1774" s="12">
        <v>55</v>
      </c>
      <c r="J1774" t="str">
        <f>VLOOKUP(B1774,Paramètres!$A$4:$C$11,3,FALSE)</f>
        <v>Petite couronne</v>
      </c>
      <c r="K1774" s="13">
        <f>IFERROR(H1774/G1774,"")</f>
        <v>134.52631578947367</v>
      </c>
      <c r="L1774" s="14">
        <f>IFERROR(I1774/G1774,"")</f>
        <v>0.96491228070175439</v>
      </c>
      <c r="M1774" s="11" t="str">
        <f>IF(K1774&gt;=Paramètres!$F$6,"Très forte",IF(K1774&gt;=Paramètres!$F$5,"Forte",IF(K1774&gt;=Paramètres!$F$4,"Modérée","Faible")))</f>
        <v>Très forte</v>
      </c>
    </row>
    <row r="1775" spans="1:13">
      <c r="A1775" t="s">
        <v>1590</v>
      </c>
      <c r="B1775" s="11">
        <v>75</v>
      </c>
      <c r="C1775" t="s">
        <v>86</v>
      </c>
      <c r="D1775" t="s">
        <v>1395</v>
      </c>
      <c r="E1775" t="s">
        <v>1396</v>
      </c>
      <c r="F1775" t="s">
        <v>92</v>
      </c>
      <c r="G1775" s="12">
        <v>75</v>
      </c>
      <c r="H1775" s="12">
        <v>9303</v>
      </c>
      <c r="I1775" s="12">
        <v>67</v>
      </c>
      <c r="J1775" t="str">
        <f>VLOOKUP(B1775,Paramètres!$A$4:$C$11,3,FALSE)</f>
        <v>Paris</v>
      </c>
      <c r="K1775" s="13">
        <f>IFERROR(H1775/G1775,"")</f>
        <v>124.04</v>
      </c>
      <c r="L1775" s="14">
        <f>IFERROR(I1775/G1775,"")</f>
        <v>0.89333333333333331</v>
      </c>
      <c r="M1775" s="11" t="str">
        <f>IF(K1775&gt;=Paramètres!$F$6,"Très forte",IF(K1775&gt;=Paramètres!$F$5,"Forte",IF(K1775&gt;=Paramètres!$F$4,"Modérée","Faible")))</f>
        <v>Très forte</v>
      </c>
    </row>
    <row r="1776" spans="1:13">
      <c r="A1776" t="s">
        <v>1397</v>
      </c>
      <c r="B1776" s="11">
        <v>75</v>
      </c>
      <c r="C1776" t="s">
        <v>86</v>
      </c>
      <c r="D1776" t="s">
        <v>1395</v>
      </c>
      <c r="E1776" t="s">
        <v>1396</v>
      </c>
      <c r="F1776" t="s">
        <v>92</v>
      </c>
      <c r="G1776" s="12">
        <v>77</v>
      </c>
      <c r="H1776" s="12">
        <v>8880</v>
      </c>
      <c r="I1776" s="12">
        <v>73</v>
      </c>
      <c r="J1776" t="str">
        <f>VLOOKUP(B1776,Paramètres!$A$4:$C$11,3,FALSE)</f>
        <v>Paris</v>
      </c>
      <c r="K1776" s="13">
        <f>IFERROR(H1776/G1776,"")</f>
        <v>115.32467532467533</v>
      </c>
      <c r="L1776" s="14">
        <f>IFERROR(I1776/G1776,"")</f>
        <v>0.94805194805194803</v>
      </c>
      <c r="M1776" s="11" t="str">
        <f>IF(K1776&gt;=Paramètres!$F$6,"Très forte",IF(K1776&gt;=Paramètres!$F$5,"Forte",IF(K1776&gt;=Paramètres!$F$4,"Modérée","Faible")))</f>
        <v>Très forte</v>
      </c>
    </row>
    <row r="1777" spans="1:13">
      <c r="A1777" t="s">
        <v>1738</v>
      </c>
      <c r="B1777" s="11">
        <v>95</v>
      </c>
      <c r="C1777" t="s">
        <v>90</v>
      </c>
      <c r="D1777" t="s">
        <v>1395</v>
      </c>
      <c r="E1777" t="s">
        <v>1396</v>
      </c>
      <c r="F1777" t="s">
        <v>92</v>
      </c>
      <c r="G1777" s="12">
        <v>70</v>
      </c>
      <c r="H1777" s="12">
        <v>6777</v>
      </c>
      <c r="I1777" s="12">
        <v>70</v>
      </c>
      <c r="J1777" t="str">
        <f>VLOOKUP(B1777,Paramètres!$A$4:$C$11,3,FALSE)</f>
        <v>Grande couronne</v>
      </c>
      <c r="K1777" s="13">
        <f>IFERROR(H1777/G1777,"")</f>
        <v>96.814285714285717</v>
      </c>
      <c r="L1777" s="14">
        <f>IFERROR(I1777/G1777,"")</f>
        <v>1</v>
      </c>
      <c r="M1777" s="11" t="str">
        <f>IF(K1777&gt;=Paramètres!$F$6,"Très forte",IF(K1777&gt;=Paramètres!$F$5,"Forte",IF(K1777&gt;=Paramètres!$F$4,"Modérée","Faible")))</f>
        <v>Très forte</v>
      </c>
    </row>
    <row r="1778" spans="1:13">
      <c r="A1778" t="s">
        <v>1741</v>
      </c>
      <c r="B1778" s="11">
        <v>92</v>
      </c>
      <c r="C1778" t="s">
        <v>94</v>
      </c>
      <c r="D1778" t="s">
        <v>1395</v>
      </c>
      <c r="E1778" t="s">
        <v>1396</v>
      </c>
      <c r="F1778" t="s">
        <v>92</v>
      </c>
      <c r="G1778" s="12">
        <v>90</v>
      </c>
      <c r="H1778" s="12">
        <v>8663</v>
      </c>
      <c r="I1778" s="12">
        <v>88</v>
      </c>
      <c r="J1778" t="str">
        <f>VLOOKUP(B1778,Paramètres!$A$4:$C$11,3,FALSE)</f>
        <v>Petite couronne</v>
      </c>
      <c r="K1778" s="13">
        <f>IFERROR(H1778/G1778,"")</f>
        <v>96.25555555555556</v>
      </c>
      <c r="L1778" s="14">
        <f>IFERROR(I1778/G1778,"")</f>
        <v>0.97777777777777775</v>
      </c>
      <c r="M1778" s="11" t="str">
        <f>IF(K1778&gt;=Paramètres!$F$6,"Très forte",IF(K1778&gt;=Paramètres!$F$5,"Forte",IF(K1778&gt;=Paramètres!$F$4,"Modérée","Faible")))</f>
        <v>Très forte</v>
      </c>
    </row>
    <row r="1779" spans="1:13">
      <c r="A1779" t="s">
        <v>1774</v>
      </c>
      <c r="B1779" s="11">
        <v>93</v>
      </c>
      <c r="C1779" t="s">
        <v>100</v>
      </c>
      <c r="D1779" t="s">
        <v>1395</v>
      </c>
      <c r="E1779" t="s">
        <v>1396</v>
      </c>
      <c r="F1779" t="s">
        <v>92</v>
      </c>
      <c r="G1779" s="12">
        <v>64</v>
      </c>
      <c r="H1779" s="12">
        <v>6114</v>
      </c>
      <c r="I1779" s="12">
        <v>61</v>
      </c>
      <c r="J1779" t="str">
        <f>VLOOKUP(B1779,Paramètres!$A$4:$C$11,3,FALSE)</f>
        <v>Petite couronne</v>
      </c>
      <c r="K1779" s="13">
        <f>IFERROR(H1779/G1779,"")</f>
        <v>95.53125</v>
      </c>
      <c r="L1779" s="14">
        <f>IFERROR(I1779/G1779,"")</f>
        <v>0.953125</v>
      </c>
      <c r="M1779" s="11" t="str">
        <f>IF(K1779&gt;=Paramètres!$F$6,"Très forte",IF(K1779&gt;=Paramètres!$F$5,"Forte",IF(K1779&gt;=Paramètres!$F$4,"Modérée","Faible")))</f>
        <v>Très forte</v>
      </c>
    </row>
    <row r="1780" spans="1:13">
      <c r="A1780" t="s">
        <v>1541</v>
      </c>
      <c r="B1780" s="11">
        <v>75</v>
      </c>
      <c r="C1780" t="s">
        <v>86</v>
      </c>
      <c r="D1780" t="s">
        <v>1395</v>
      </c>
      <c r="E1780" t="s">
        <v>1396</v>
      </c>
      <c r="F1780" t="s">
        <v>92</v>
      </c>
      <c r="G1780" s="12">
        <v>124</v>
      </c>
      <c r="H1780" s="12">
        <v>11757</v>
      </c>
      <c r="I1780" s="12">
        <v>122</v>
      </c>
      <c r="J1780" t="str">
        <f>VLOOKUP(B1780,Paramètres!$A$4:$C$11,3,FALSE)</f>
        <v>Paris</v>
      </c>
      <c r="K1780" s="13">
        <f>IFERROR(H1780/G1780,"")</f>
        <v>94.814516129032256</v>
      </c>
      <c r="L1780" s="14">
        <f>IFERROR(I1780/G1780,"")</f>
        <v>0.9838709677419355</v>
      </c>
      <c r="M1780" s="11" t="str">
        <f>IF(K1780&gt;=Paramètres!$F$6,"Très forte",IF(K1780&gt;=Paramètres!$F$5,"Forte",IF(K1780&gt;=Paramètres!$F$4,"Modérée","Faible")))</f>
        <v>Très forte</v>
      </c>
    </row>
    <row r="1781" spans="1:13">
      <c r="A1781" t="s">
        <v>1538</v>
      </c>
      <c r="B1781" s="11">
        <v>95</v>
      </c>
      <c r="C1781" t="s">
        <v>90</v>
      </c>
      <c r="D1781" t="s">
        <v>1395</v>
      </c>
      <c r="E1781" t="s">
        <v>1396</v>
      </c>
      <c r="F1781" t="s">
        <v>92</v>
      </c>
      <c r="G1781" s="12">
        <v>65</v>
      </c>
      <c r="H1781" s="12">
        <v>6146</v>
      </c>
      <c r="I1781" s="12">
        <v>64</v>
      </c>
      <c r="J1781" t="str">
        <f>VLOOKUP(B1781,Paramètres!$A$4:$C$11,3,FALSE)</f>
        <v>Grande couronne</v>
      </c>
      <c r="K1781" s="13">
        <f>IFERROR(H1781/G1781,"")</f>
        <v>94.553846153846152</v>
      </c>
      <c r="L1781" s="14">
        <f>IFERROR(I1781/G1781,"")</f>
        <v>0.98461538461538467</v>
      </c>
      <c r="M1781" s="11" t="str">
        <f>IF(K1781&gt;=Paramètres!$F$6,"Très forte",IF(K1781&gt;=Paramètres!$F$5,"Forte",IF(K1781&gt;=Paramètres!$F$4,"Modérée","Faible")))</f>
        <v>Très forte</v>
      </c>
    </row>
    <row r="1782" spans="1:13">
      <c r="A1782" t="s">
        <v>1740</v>
      </c>
      <c r="B1782" s="11">
        <v>75</v>
      </c>
      <c r="C1782" t="s">
        <v>86</v>
      </c>
      <c r="D1782" t="s">
        <v>1395</v>
      </c>
      <c r="E1782" t="s">
        <v>1396</v>
      </c>
      <c r="F1782" t="s">
        <v>92</v>
      </c>
      <c r="G1782" s="12">
        <v>102</v>
      </c>
      <c r="H1782" s="12">
        <v>9488</v>
      </c>
      <c r="I1782" s="12">
        <v>104</v>
      </c>
      <c r="J1782" t="str">
        <f>VLOOKUP(B1782,Paramètres!$A$4:$C$11,3,FALSE)</f>
        <v>Paris</v>
      </c>
      <c r="K1782" s="13">
        <f>IFERROR(H1782/G1782,"")</f>
        <v>93.019607843137251</v>
      </c>
      <c r="L1782" s="14">
        <f>IFERROR(I1782/G1782,"")</f>
        <v>1.0196078431372548</v>
      </c>
      <c r="M1782" s="11" t="str">
        <f>IF(K1782&gt;=Paramètres!$F$6,"Très forte",IF(K1782&gt;=Paramètres!$F$5,"Forte",IF(K1782&gt;=Paramètres!$F$4,"Modérée","Faible")))</f>
        <v>Très forte</v>
      </c>
    </row>
    <row r="1783" spans="1:13">
      <c r="A1783" t="s">
        <v>1656</v>
      </c>
      <c r="B1783" s="11">
        <v>95</v>
      </c>
      <c r="C1783" t="s">
        <v>90</v>
      </c>
      <c r="D1783" t="s">
        <v>1395</v>
      </c>
      <c r="E1783" t="s">
        <v>1396</v>
      </c>
      <c r="F1783" t="s">
        <v>92</v>
      </c>
      <c r="G1783" s="12">
        <v>80</v>
      </c>
      <c r="H1783" s="12">
        <v>7389</v>
      </c>
      <c r="I1783" s="12">
        <v>80</v>
      </c>
      <c r="J1783" t="str">
        <f>VLOOKUP(B1783,Paramètres!$A$4:$C$11,3,FALSE)</f>
        <v>Grande couronne</v>
      </c>
      <c r="K1783" s="13">
        <f>IFERROR(H1783/G1783,"")</f>
        <v>92.362499999999997</v>
      </c>
      <c r="L1783" s="14">
        <f>IFERROR(I1783/G1783,"")</f>
        <v>1</v>
      </c>
      <c r="M1783" s="11" t="str">
        <f>IF(K1783&gt;=Paramètres!$F$6,"Très forte",IF(K1783&gt;=Paramètres!$F$5,"Forte",IF(K1783&gt;=Paramètres!$F$4,"Modérée","Faible")))</f>
        <v>Très forte</v>
      </c>
    </row>
    <row r="1784" spans="1:13">
      <c r="A1784" t="s">
        <v>1394</v>
      </c>
      <c r="B1784" s="11">
        <v>95</v>
      </c>
      <c r="C1784" t="s">
        <v>90</v>
      </c>
      <c r="D1784" t="s">
        <v>1395</v>
      </c>
      <c r="E1784" t="s">
        <v>1396</v>
      </c>
      <c r="F1784" t="s">
        <v>92</v>
      </c>
      <c r="G1784" s="12">
        <v>75</v>
      </c>
      <c r="H1784" s="12">
        <v>6838</v>
      </c>
      <c r="I1784" s="12">
        <v>75</v>
      </c>
      <c r="J1784" t="str">
        <f>VLOOKUP(B1784,Paramètres!$A$4:$C$11,3,FALSE)</f>
        <v>Grande couronne</v>
      </c>
      <c r="K1784" s="13">
        <f>IFERROR(H1784/G1784,"")</f>
        <v>91.173333333333332</v>
      </c>
      <c r="L1784" s="14">
        <f>IFERROR(I1784/G1784,"")</f>
        <v>1</v>
      </c>
      <c r="M1784" s="11" t="str">
        <f>IF(K1784&gt;=Paramètres!$F$6,"Très forte",IF(K1784&gt;=Paramètres!$F$5,"Forte",IF(K1784&gt;=Paramètres!$F$4,"Modérée","Faible")))</f>
        <v>Très forte</v>
      </c>
    </row>
    <row r="1785" spans="1:13">
      <c r="A1785" t="s">
        <v>1537</v>
      </c>
      <c r="B1785" s="11">
        <v>75</v>
      </c>
      <c r="C1785" t="s">
        <v>86</v>
      </c>
      <c r="D1785" t="s">
        <v>1395</v>
      </c>
      <c r="E1785" t="s">
        <v>1396</v>
      </c>
      <c r="F1785" t="s">
        <v>92</v>
      </c>
      <c r="G1785" s="12">
        <v>120</v>
      </c>
      <c r="H1785" s="12">
        <v>10925</v>
      </c>
      <c r="I1785" s="12">
        <v>109</v>
      </c>
      <c r="J1785" t="str">
        <f>VLOOKUP(B1785,Paramètres!$A$4:$C$11,3,FALSE)</f>
        <v>Paris</v>
      </c>
      <c r="K1785" s="13">
        <f>IFERROR(H1785/G1785,"")</f>
        <v>91.041666666666671</v>
      </c>
      <c r="L1785" s="14">
        <f>IFERROR(I1785/G1785,"")</f>
        <v>0.90833333333333333</v>
      </c>
      <c r="M1785" s="11" t="str">
        <f>IF(K1785&gt;=Paramètres!$F$6,"Très forte",IF(K1785&gt;=Paramètres!$F$5,"Forte",IF(K1785&gt;=Paramètres!$F$4,"Modérée","Faible")))</f>
        <v>Très forte</v>
      </c>
    </row>
    <row r="1786" spans="1:13">
      <c r="A1786" t="s">
        <v>1657</v>
      </c>
      <c r="B1786" s="11">
        <v>93</v>
      </c>
      <c r="C1786" t="s">
        <v>100</v>
      </c>
      <c r="D1786" t="s">
        <v>1395</v>
      </c>
      <c r="E1786" t="s">
        <v>1396</v>
      </c>
      <c r="F1786" t="s">
        <v>92</v>
      </c>
      <c r="G1786" s="12">
        <v>72</v>
      </c>
      <c r="H1786" s="12">
        <v>6268</v>
      </c>
      <c r="I1786" s="12">
        <v>72</v>
      </c>
      <c r="J1786" t="str">
        <f>VLOOKUP(B1786,Paramètres!$A$4:$C$11,3,FALSE)</f>
        <v>Petite couronne</v>
      </c>
      <c r="K1786" s="13">
        <f>IFERROR(H1786/G1786,"")</f>
        <v>87.055555555555557</v>
      </c>
      <c r="L1786" s="14">
        <f>IFERROR(I1786/G1786,"")</f>
        <v>1</v>
      </c>
      <c r="M1786" s="11" t="str">
        <f>IF(K1786&gt;=Paramètres!$F$6,"Très forte",IF(K1786&gt;=Paramètres!$F$5,"Forte",IF(K1786&gt;=Paramètres!$F$4,"Modérée","Faible")))</f>
        <v>Très forte</v>
      </c>
    </row>
    <row r="1787" spans="1:13">
      <c r="A1787" t="s">
        <v>1661</v>
      </c>
      <c r="B1787" s="11">
        <v>75</v>
      </c>
      <c r="C1787" t="s">
        <v>86</v>
      </c>
      <c r="D1787" t="s">
        <v>1395</v>
      </c>
      <c r="E1787" t="s">
        <v>1396</v>
      </c>
      <c r="F1787" t="s">
        <v>92</v>
      </c>
      <c r="G1787" s="12">
        <v>121</v>
      </c>
      <c r="H1787" s="12">
        <v>10325</v>
      </c>
      <c r="I1787" s="12">
        <v>106</v>
      </c>
      <c r="J1787" t="str">
        <f>VLOOKUP(B1787,Paramètres!$A$4:$C$11,3,FALSE)</f>
        <v>Paris</v>
      </c>
      <c r="K1787" s="13">
        <f>IFERROR(H1787/G1787,"")</f>
        <v>85.330578512396698</v>
      </c>
      <c r="L1787" s="14">
        <f>IFERROR(I1787/G1787,"")</f>
        <v>0.87603305785123964</v>
      </c>
      <c r="M1787" s="11" t="str">
        <f>IF(K1787&gt;=Paramètres!$F$6,"Très forte",IF(K1787&gt;=Paramètres!$F$5,"Forte",IF(K1787&gt;=Paramètres!$F$4,"Modérée","Faible")))</f>
        <v>Très forte</v>
      </c>
    </row>
    <row r="1788" spans="1:13">
      <c r="A1788" t="s">
        <v>1401</v>
      </c>
      <c r="B1788" s="11">
        <v>92</v>
      </c>
      <c r="C1788" t="s">
        <v>94</v>
      </c>
      <c r="D1788" t="s">
        <v>1395</v>
      </c>
      <c r="E1788" t="s">
        <v>1396</v>
      </c>
      <c r="F1788" t="s">
        <v>92</v>
      </c>
      <c r="G1788" s="12">
        <v>89</v>
      </c>
      <c r="H1788" s="12">
        <v>7292</v>
      </c>
      <c r="I1788" s="12">
        <v>81</v>
      </c>
      <c r="J1788" t="str">
        <f>VLOOKUP(B1788,Paramètres!$A$4:$C$11,3,FALSE)</f>
        <v>Petite couronne</v>
      </c>
      <c r="K1788" s="13">
        <f>IFERROR(H1788/G1788,"")</f>
        <v>81.932584269662925</v>
      </c>
      <c r="L1788" s="14">
        <f>IFERROR(I1788/G1788,"")</f>
        <v>0.9101123595505618</v>
      </c>
      <c r="M1788" s="11" t="str">
        <f>IF(K1788&gt;=Paramètres!$F$6,"Très forte",IF(K1788&gt;=Paramètres!$F$5,"Forte",IF(K1788&gt;=Paramètres!$F$4,"Modérée","Faible")))</f>
        <v>Très forte</v>
      </c>
    </row>
    <row r="1789" spans="1:13">
      <c r="A1789" t="s">
        <v>1540</v>
      </c>
      <c r="B1789" s="11">
        <v>93</v>
      </c>
      <c r="C1789" t="s">
        <v>100</v>
      </c>
      <c r="D1789" t="s">
        <v>1395</v>
      </c>
      <c r="E1789" t="s">
        <v>1396</v>
      </c>
      <c r="F1789" t="s">
        <v>92</v>
      </c>
      <c r="G1789" s="12">
        <v>86</v>
      </c>
      <c r="H1789" s="12">
        <v>6801</v>
      </c>
      <c r="I1789" s="12">
        <v>83</v>
      </c>
      <c r="J1789" t="str">
        <f>VLOOKUP(B1789,Paramètres!$A$4:$C$11,3,FALSE)</f>
        <v>Petite couronne</v>
      </c>
      <c r="K1789" s="13">
        <f>IFERROR(H1789/G1789,"")</f>
        <v>79.081395348837205</v>
      </c>
      <c r="L1789" s="14">
        <f>IFERROR(I1789/G1789,"")</f>
        <v>0.96511627906976749</v>
      </c>
      <c r="M1789" s="11" t="str">
        <f>IF(K1789&gt;=Paramètres!$F$6,"Très forte",IF(K1789&gt;=Paramètres!$F$5,"Forte",IF(K1789&gt;=Paramètres!$F$4,"Modérée","Faible")))</f>
        <v>Très forte</v>
      </c>
    </row>
    <row r="1790" spans="1:13">
      <c r="A1790" t="s">
        <v>1542</v>
      </c>
      <c r="B1790" s="11">
        <v>93</v>
      </c>
      <c r="C1790" t="s">
        <v>100</v>
      </c>
      <c r="D1790" t="s">
        <v>1395</v>
      </c>
      <c r="E1790" t="s">
        <v>1396</v>
      </c>
      <c r="F1790" t="s">
        <v>92</v>
      </c>
      <c r="G1790" s="12">
        <v>100</v>
      </c>
      <c r="H1790" s="12">
        <v>7897</v>
      </c>
      <c r="I1790" s="12">
        <v>94</v>
      </c>
      <c r="J1790" t="str">
        <f>VLOOKUP(B1790,Paramètres!$A$4:$C$11,3,FALSE)</f>
        <v>Petite couronne</v>
      </c>
      <c r="K1790" s="13">
        <f>IFERROR(H1790/G1790,"")</f>
        <v>78.97</v>
      </c>
      <c r="L1790" s="14">
        <f>IFERROR(I1790/G1790,"")</f>
        <v>0.94</v>
      </c>
      <c r="M1790" s="11" t="str">
        <f>IF(K1790&gt;=Paramètres!$F$6,"Très forte",IF(K1790&gt;=Paramètres!$F$5,"Forte",IF(K1790&gt;=Paramètres!$F$4,"Modérée","Faible")))</f>
        <v>Très forte</v>
      </c>
    </row>
    <row r="1791" spans="1:13">
      <c r="A1791" t="s">
        <v>1827</v>
      </c>
      <c r="B1791" s="11">
        <v>92</v>
      </c>
      <c r="C1791" t="s">
        <v>94</v>
      </c>
      <c r="D1791" t="s">
        <v>1395</v>
      </c>
      <c r="E1791" t="s">
        <v>1396</v>
      </c>
      <c r="F1791" t="s">
        <v>92</v>
      </c>
      <c r="G1791" s="12">
        <v>102</v>
      </c>
      <c r="H1791" s="12">
        <v>8009</v>
      </c>
      <c r="I1791" s="12">
        <v>101</v>
      </c>
      <c r="J1791" t="str">
        <f>VLOOKUP(B1791,Paramètres!$A$4:$C$11,3,FALSE)</f>
        <v>Petite couronne</v>
      </c>
      <c r="K1791" s="13">
        <f>IFERROR(H1791/G1791,"")</f>
        <v>78.519607843137251</v>
      </c>
      <c r="L1791" s="14">
        <f>IFERROR(I1791/G1791,"")</f>
        <v>0.99019607843137258</v>
      </c>
      <c r="M1791" s="11" t="str">
        <f>IF(K1791&gt;=Paramètres!$F$6,"Très forte",IF(K1791&gt;=Paramètres!$F$5,"Forte",IF(K1791&gt;=Paramètres!$F$4,"Modérée","Faible")))</f>
        <v>Très forte</v>
      </c>
    </row>
    <row r="1792" spans="1:13">
      <c r="A1792" t="s">
        <v>1828</v>
      </c>
      <c r="B1792" s="11">
        <v>93</v>
      </c>
      <c r="C1792" t="s">
        <v>100</v>
      </c>
      <c r="D1792" t="s">
        <v>1395</v>
      </c>
      <c r="E1792" t="s">
        <v>1396</v>
      </c>
      <c r="F1792" t="s">
        <v>92</v>
      </c>
      <c r="G1792" s="12">
        <v>97</v>
      </c>
      <c r="H1792" s="12">
        <v>7460</v>
      </c>
      <c r="I1792" s="12">
        <v>96</v>
      </c>
      <c r="J1792" t="str">
        <f>VLOOKUP(B1792,Paramètres!$A$4:$C$11,3,FALSE)</f>
        <v>Petite couronne</v>
      </c>
      <c r="K1792" s="13">
        <f>IFERROR(H1792/G1792,"")</f>
        <v>76.907216494845358</v>
      </c>
      <c r="L1792" s="14">
        <f>IFERROR(I1792/G1792,"")</f>
        <v>0.98969072164948457</v>
      </c>
      <c r="M1792" s="11" t="str">
        <f>IF(K1792&gt;=Paramètres!$F$6,"Très forte",IF(K1792&gt;=Paramètres!$F$5,"Forte",IF(K1792&gt;=Paramètres!$F$4,"Modérée","Faible")))</f>
        <v>Très forte</v>
      </c>
    </row>
    <row r="1793" spans="1:13">
      <c r="A1793" t="s">
        <v>1683</v>
      </c>
      <c r="B1793" s="11">
        <v>92</v>
      </c>
      <c r="C1793" t="s">
        <v>94</v>
      </c>
      <c r="D1793" t="s">
        <v>1395</v>
      </c>
      <c r="E1793" t="s">
        <v>1396</v>
      </c>
      <c r="F1793" t="s">
        <v>92</v>
      </c>
      <c r="G1793" s="12">
        <v>94</v>
      </c>
      <c r="H1793" s="12">
        <v>7163</v>
      </c>
      <c r="I1793" s="12">
        <v>95</v>
      </c>
      <c r="J1793" t="str">
        <f>VLOOKUP(B1793,Paramètres!$A$4:$C$11,3,FALSE)</f>
        <v>Petite couronne</v>
      </c>
      <c r="K1793" s="13">
        <f>IFERROR(H1793/G1793,"")</f>
        <v>76.202127659574472</v>
      </c>
      <c r="L1793" s="14">
        <f>IFERROR(I1793/G1793,"")</f>
        <v>1.0106382978723405</v>
      </c>
      <c r="M1793" s="11" t="str">
        <f>IF(K1793&gt;=Paramètres!$F$6,"Très forte",IF(K1793&gt;=Paramètres!$F$5,"Forte",IF(K1793&gt;=Paramètres!$F$4,"Modérée","Faible")))</f>
        <v>Très forte</v>
      </c>
    </row>
    <row r="1794" spans="1:13">
      <c r="A1794" t="s">
        <v>1775</v>
      </c>
      <c r="B1794" s="11">
        <v>92</v>
      </c>
      <c r="C1794" t="s">
        <v>94</v>
      </c>
      <c r="D1794" t="s">
        <v>1395</v>
      </c>
      <c r="E1794" t="s">
        <v>1396</v>
      </c>
      <c r="F1794" t="s">
        <v>92</v>
      </c>
      <c r="G1794" s="12">
        <v>100</v>
      </c>
      <c r="H1794" s="12">
        <v>7415</v>
      </c>
      <c r="I1794" s="12">
        <v>101</v>
      </c>
      <c r="J1794" t="str">
        <f>VLOOKUP(B1794,Paramètres!$A$4:$C$11,3,FALSE)</f>
        <v>Petite couronne</v>
      </c>
      <c r="K1794" s="13">
        <f>IFERROR(H1794/G1794,"")</f>
        <v>74.150000000000006</v>
      </c>
      <c r="L1794" s="14">
        <f>IFERROR(I1794/G1794,"")</f>
        <v>1.01</v>
      </c>
      <c r="M1794" s="11" t="str">
        <f>IF(K1794&gt;=Paramètres!$F$6,"Très forte",IF(K1794&gt;=Paramètres!$F$5,"Forte",IF(K1794&gt;=Paramètres!$F$4,"Modérée","Faible")))</f>
        <v>Très forte</v>
      </c>
    </row>
    <row r="1795" spans="1:13">
      <c r="A1795" t="s">
        <v>1399</v>
      </c>
      <c r="B1795" s="11">
        <v>75</v>
      </c>
      <c r="C1795" t="s">
        <v>86</v>
      </c>
      <c r="D1795" t="s">
        <v>1395</v>
      </c>
      <c r="E1795" t="s">
        <v>1396</v>
      </c>
      <c r="F1795" t="s">
        <v>92</v>
      </c>
      <c r="G1795" s="12">
        <v>131</v>
      </c>
      <c r="H1795" s="12">
        <v>9555</v>
      </c>
      <c r="I1795" s="12">
        <v>131</v>
      </c>
      <c r="J1795" t="str">
        <f>VLOOKUP(B1795,Paramètres!$A$4:$C$11,3,FALSE)</f>
        <v>Paris</v>
      </c>
      <c r="K1795" s="13">
        <f>IFERROR(H1795/G1795,"")</f>
        <v>72.938931297709928</v>
      </c>
      <c r="L1795" s="14">
        <f>IFERROR(I1795/G1795,"")</f>
        <v>1</v>
      </c>
      <c r="M1795" s="11" t="str">
        <f>IF(K1795&gt;=Paramètres!$F$6,"Très forte",IF(K1795&gt;=Paramètres!$F$5,"Forte",IF(K1795&gt;=Paramètres!$F$4,"Modérée","Faible")))</f>
        <v>Très forte</v>
      </c>
    </row>
    <row r="1796" spans="1:13">
      <c r="A1796" t="s">
        <v>1742</v>
      </c>
      <c r="B1796" s="11">
        <v>94</v>
      </c>
      <c r="C1796" t="s">
        <v>116</v>
      </c>
      <c r="D1796" t="s">
        <v>1395</v>
      </c>
      <c r="E1796" t="s">
        <v>1396</v>
      </c>
      <c r="F1796" t="s">
        <v>92</v>
      </c>
      <c r="G1796" s="12">
        <v>87</v>
      </c>
      <c r="H1796" s="12">
        <v>6317</v>
      </c>
      <c r="I1796" s="12">
        <v>84</v>
      </c>
      <c r="J1796" t="str">
        <f>VLOOKUP(B1796,Paramètres!$A$4:$C$11,3,FALSE)</f>
        <v>Petite couronne</v>
      </c>
      <c r="K1796" s="13">
        <f>IFERROR(H1796/G1796,"")</f>
        <v>72.609195402298852</v>
      </c>
      <c r="L1796" s="14">
        <f>IFERROR(I1796/G1796,"")</f>
        <v>0.96551724137931039</v>
      </c>
      <c r="M1796" s="11" t="str">
        <f>IF(K1796&gt;=Paramètres!$F$6,"Très forte",IF(K1796&gt;=Paramètres!$F$5,"Forte",IF(K1796&gt;=Paramètres!$F$4,"Modérée","Faible")))</f>
        <v>Très forte</v>
      </c>
    </row>
    <row r="1797" spans="1:13">
      <c r="A1797" t="s">
        <v>1757</v>
      </c>
      <c r="B1797" s="11">
        <v>94</v>
      </c>
      <c r="C1797" t="s">
        <v>116</v>
      </c>
      <c r="D1797" t="s">
        <v>1395</v>
      </c>
      <c r="E1797" t="s">
        <v>1396</v>
      </c>
      <c r="F1797" t="s">
        <v>92</v>
      </c>
      <c r="G1797" s="12">
        <v>88</v>
      </c>
      <c r="H1797" s="12">
        <v>6275</v>
      </c>
      <c r="I1797" s="12">
        <v>79</v>
      </c>
      <c r="J1797" t="str">
        <f>VLOOKUP(B1797,Paramètres!$A$4:$C$11,3,FALSE)</f>
        <v>Petite couronne</v>
      </c>
      <c r="K1797" s="13">
        <f>IFERROR(H1797/G1797,"")</f>
        <v>71.306818181818187</v>
      </c>
      <c r="L1797" s="14">
        <f>IFERROR(I1797/G1797,"")</f>
        <v>0.89772727272727271</v>
      </c>
      <c r="M1797" s="11" t="str">
        <f>IF(K1797&gt;=Paramètres!$F$6,"Très forte",IF(K1797&gt;=Paramètres!$F$5,"Forte",IF(K1797&gt;=Paramètres!$F$4,"Modérée","Faible")))</f>
        <v>Très forte</v>
      </c>
    </row>
    <row r="1798" spans="1:13">
      <c r="A1798" t="s">
        <v>1676</v>
      </c>
      <c r="B1798" s="11">
        <v>95</v>
      </c>
      <c r="C1798" t="s">
        <v>90</v>
      </c>
      <c r="D1798" t="s">
        <v>1395</v>
      </c>
      <c r="E1798" t="s">
        <v>1396</v>
      </c>
      <c r="F1798" t="s">
        <v>92</v>
      </c>
      <c r="G1798" s="12">
        <v>91</v>
      </c>
      <c r="H1798" s="12">
        <v>6329</v>
      </c>
      <c r="I1798" s="12">
        <v>98</v>
      </c>
      <c r="J1798" t="str">
        <f>VLOOKUP(B1798,Paramètres!$A$4:$C$11,3,FALSE)</f>
        <v>Grande couronne</v>
      </c>
      <c r="K1798" s="13">
        <f>IFERROR(H1798/G1798,"")</f>
        <v>69.549450549450555</v>
      </c>
      <c r="L1798" s="14">
        <f>IFERROR(I1798/G1798,"")</f>
        <v>1.0769230769230769</v>
      </c>
      <c r="M1798" s="11" t="str">
        <f>IF(K1798&gt;=Paramètres!$F$6,"Très forte",IF(K1798&gt;=Paramètres!$F$5,"Forte",IF(K1798&gt;=Paramètres!$F$4,"Modérée","Faible")))</f>
        <v>Très forte</v>
      </c>
    </row>
    <row r="1799" spans="1:13">
      <c r="A1799" t="s">
        <v>1559</v>
      </c>
      <c r="B1799" s="11">
        <v>75</v>
      </c>
      <c r="C1799" t="s">
        <v>86</v>
      </c>
      <c r="D1799" t="s">
        <v>1395</v>
      </c>
      <c r="E1799" t="s">
        <v>1396</v>
      </c>
      <c r="F1799" t="s">
        <v>92</v>
      </c>
      <c r="G1799" s="12">
        <v>141</v>
      </c>
      <c r="H1799" s="12">
        <v>9744</v>
      </c>
      <c r="I1799" s="12">
        <v>151</v>
      </c>
      <c r="J1799" t="str">
        <f>VLOOKUP(B1799,Paramètres!$A$4:$C$11,3,FALSE)</f>
        <v>Paris</v>
      </c>
      <c r="K1799" s="13">
        <f>IFERROR(H1799/G1799,"")</f>
        <v>69.106382978723403</v>
      </c>
      <c r="L1799" s="14">
        <f>IFERROR(I1799/G1799,"")</f>
        <v>1.0709219858156029</v>
      </c>
      <c r="M1799" s="11" t="str">
        <f>IF(K1799&gt;=Paramètres!$F$6,"Très forte",IF(K1799&gt;=Paramètres!$F$5,"Forte",IF(K1799&gt;=Paramètres!$F$4,"Modérée","Faible")))</f>
        <v>Très forte</v>
      </c>
    </row>
    <row r="1800" spans="1:13">
      <c r="A1800" t="s">
        <v>1398</v>
      </c>
      <c r="B1800" s="11">
        <v>92</v>
      </c>
      <c r="C1800" t="s">
        <v>94</v>
      </c>
      <c r="D1800" t="s">
        <v>1395</v>
      </c>
      <c r="E1800" t="s">
        <v>1396</v>
      </c>
      <c r="F1800" t="s">
        <v>92</v>
      </c>
      <c r="G1800" s="12">
        <v>100</v>
      </c>
      <c r="H1800" s="12">
        <v>5740</v>
      </c>
      <c r="I1800" s="12">
        <v>103</v>
      </c>
      <c r="J1800" t="str">
        <f>VLOOKUP(B1800,Paramètres!$A$4:$C$11,3,FALSE)</f>
        <v>Petite couronne</v>
      </c>
      <c r="K1800" s="13">
        <f>IFERROR(H1800/G1800,"")</f>
        <v>57.4</v>
      </c>
      <c r="L1800" s="14">
        <f>IFERROR(I1800/G1800,"")</f>
        <v>1.03</v>
      </c>
      <c r="M1800" s="11" t="str">
        <f>IF(K1800&gt;=Paramètres!$F$6,"Très forte",IF(K1800&gt;=Paramètres!$F$5,"Forte",IF(K1800&gt;=Paramètres!$F$4,"Modérée","Faible")))</f>
        <v>Très forte</v>
      </c>
    </row>
    <row r="1801" spans="1:13">
      <c r="A1801" t="s">
        <v>1745</v>
      </c>
      <c r="B1801" s="11">
        <v>94</v>
      </c>
      <c r="C1801" t="s">
        <v>116</v>
      </c>
      <c r="D1801" t="s">
        <v>1395</v>
      </c>
      <c r="E1801" t="s">
        <v>1396</v>
      </c>
      <c r="F1801" t="s">
        <v>92</v>
      </c>
      <c r="G1801" s="12">
        <v>79</v>
      </c>
      <c r="H1801" s="12">
        <v>4303</v>
      </c>
      <c r="I1801" s="12">
        <v>79</v>
      </c>
      <c r="J1801" t="str">
        <f>VLOOKUP(B1801,Paramètres!$A$4:$C$11,3,FALSE)</f>
        <v>Petite couronne</v>
      </c>
      <c r="K1801" s="13">
        <f>IFERROR(H1801/G1801,"")</f>
        <v>54.468354430379748</v>
      </c>
      <c r="L1801" s="14">
        <f>IFERROR(I1801/G1801,"")</f>
        <v>1</v>
      </c>
      <c r="M1801" s="11" t="str">
        <f>IF(K1801&gt;=Paramètres!$F$6,"Très forte",IF(K1801&gt;=Paramètres!$F$5,"Forte",IF(K1801&gt;=Paramètres!$F$4,"Modérée","Faible")))</f>
        <v>Très forte</v>
      </c>
    </row>
    <row r="1802" spans="1:13">
      <c r="A1802" t="s">
        <v>1831</v>
      </c>
      <c r="B1802" s="11">
        <v>75</v>
      </c>
      <c r="C1802" t="s">
        <v>86</v>
      </c>
      <c r="D1802" t="s">
        <v>1395</v>
      </c>
      <c r="E1802" t="s">
        <v>1396</v>
      </c>
      <c r="F1802" t="s">
        <v>92</v>
      </c>
      <c r="G1802" s="12">
        <v>210</v>
      </c>
      <c r="H1802" s="12">
        <v>11399</v>
      </c>
      <c r="I1802" s="12">
        <v>205</v>
      </c>
      <c r="J1802" t="str">
        <f>VLOOKUP(B1802,Paramètres!$A$4:$C$11,3,FALSE)</f>
        <v>Paris</v>
      </c>
      <c r="K1802" s="13">
        <f>IFERROR(H1802/G1802,"")</f>
        <v>54.280952380952378</v>
      </c>
      <c r="L1802" s="14">
        <f>IFERROR(I1802/G1802,"")</f>
        <v>0.97619047619047616</v>
      </c>
      <c r="M1802" s="11" t="str">
        <f>IF(K1802&gt;=Paramètres!$F$6,"Très forte",IF(K1802&gt;=Paramètres!$F$5,"Forte",IF(K1802&gt;=Paramètres!$F$4,"Modérée","Faible")))</f>
        <v>Très forte</v>
      </c>
    </row>
    <row r="1803" spans="1:13">
      <c r="A1803" t="s">
        <v>1658</v>
      </c>
      <c r="B1803" s="11">
        <v>91</v>
      </c>
      <c r="C1803" t="s">
        <v>105</v>
      </c>
      <c r="D1803" t="s">
        <v>1395</v>
      </c>
      <c r="E1803" t="s">
        <v>1396</v>
      </c>
      <c r="F1803" t="s">
        <v>92</v>
      </c>
      <c r="G1803" s="12">
        <v>87</v>
      </c>
      <c r="H1803" s="12">
        <v>4595</v>
      </c>
      <c r="I1803" s="12">
        <v>83</v>
      </c>
      <c r="J1803" t="str">
        <f>VLOOKUP(B1803,Paramètres!$A$4:$C$11,3,FALSE)</f>
        <v>Grande couronne</v>
      </c>
      <c r="K1803" s="13">
        <f>IFERROR(H1803/G1803,"")</f>
        <v>52.816091954022987</v>
      </c>
      <c r="L1803" s="14">
        <f>IFERROR(I1803/G1803,"")</f>
        <v>0.95402298850574707</v>
      </c>
      <c r="M1803" s="11" t="str">
        <f>IF(K1803&gt;=Paramètres!$F$6,"Très forte",IF(K1803&gt;=Paramètres!$F$5,"Forte",IF(K1803&gt;=Paramètres!$F$4,"Modérée","Faible")))</f>
        <v>Très forte</v>
      </c>
    </row>
    <row r="1804" spans="1:13">
      <c r="A1804" t="s">
        <v>1551</v>
      </c>
      <c r="B1804" s="11">
        <v>91</v>
      </c>
      <c r="C1804" t="s">
        <v>105</v>
      </c>
      <c r="D1804" t="s">
        <v>1395</v>
      </c>
      <c r="E1804" t="s">
        <v>1396</v>
      </c>
      <c r="F1804" t="s">
        <v>92</v>
      </c>
      <c r="G1804" s="12">
        <v>105</v>
      </c>
      <c r="H1804" s="12">
        <v>5148</v>
      </c>
      <c r="I1804" s="12">
        <v>104</v>
      </c>
      <c r="J1804" t="str">
        <f>VLOOKUP(B1804,Paramètres!$A$4:$C$11,3,FALSE)</f>
        <v>Grande couronne</v>
      </c>
      <c r="K1804" s="13">
        <f>IFERROR(H1804/G1804,"")</f>
        <v>49.028571428571432</v>
      </c>
      <c r="L1804" s="14">
        <f>IFERROR(I1804/G1804,"")</f>
        <v>0.99047619047619051</v>
      </c>
      <c r="M1804" s="11" t="str">
        <f>IF(K1804&gt;=Paramètres!$F$6,"Très forte",IF(K1804&gt;=Paramètres!$F$5,"Forte",IF(K1804&gt;=Paramètres!$F$4,"Modérée","Faible")))</f>
        <v>Très forte</v>
      </c>
    </row>
    <row r="1805" spans="1:13">
      <c r="A1805" t="s">
        <v>1744</v>
      </c>
      <c r="B1805" s="11">
        <v>77</v>
      </c>
      <c r="C1805" t="s">
        <v>132</v>
      </c>
      <c r="D1805" t="s">
        <v>1395</v>
      </c>
      <c r="E1805" t="s">
        <v>1396</v>
      </c>
      <c r="F1805" t="s">
        <v>92</v>
      </c>
      <c r="G1805" s="12">
        <v>70</v>
      </c>
      <c r="H1805" s="12">
        <v>3317</v>
      </c>
      <c r="I1805" s="12">
        <v>64</v>
      </c>
      <c r="J1805" t="str">
        <f>VLOOKUP(B1805,Paramètres!$A$4:$C$11,3,FALSE)</f>
        <v>Grande couronne</v>
      </c>
      <c r="K1805" s="13">
        <f>IFERROR(H1805/G1805,"")</f>
        <v>47.385714285714286</v>
      </c>
      <c r="L1805" s="14">
        <f>IFERROR(I1805/G1805,"")</f>
        <v>0.91428571428571426</v>
      </c>
      <c r="M1805" s="11" t="str">
        <f>IF(K1805&gt;=Paramètres!$F$6,"Très forte",IF(K1805&gt;=Paramètres!$F$5,"Forte",IF(K1805&gt;=Paramètres!$F$4,"Modérée","Faible")))</f>
        <v>Très forte</v>
      </c>
    </row>
    <row r="1806" spans="1:13">
      <c r="A1806" t="s">
        <v>1746</v>
      </c>
      <c r="B1806" s="11">
        <v>75</v>
      </c>
      <c r="C1806" t="s">
        <v>86</v>
      </c>
      <c r="D1806" t="s">
        <v>1395</v>
      </c>
      <c r="E1806" t="s">
        <v>1396</v>
      </c>
      <c r="F1806" t="s">
        <v>92</v>
      </c>
      <c r="G1806" s="12">
        <v>278</v>
      </c>
      <c r="H1806" s="12">
        <v>13001</v>
      </c>
      <c r="I1806" s="12">
        <v>275</v>
      </c>
      <c r="J1806" t="str">
        <f>VLOOKUP(B1806,Paramètres!$A$4:$C$11,3,FALSE)</f>
        <v>Paris</v>
      </c>
      <c r="K1806" s="13">
        <f>IFERROR(H1806/G1806,"")</f>
        <v>46.766187050359711</v>
      </c>
      <c r="L1806" s="14">
        <f>IFERROR(I1806/G1806,"")</f>
        <v>0.98920863309352514</v>
      </c>
      <c r="M1806" s="11" t="str">
        <f>IF(K1806&gt;=Paramètres!$F$6,"Très forte",IF(K1806&gt;=Paramètres!$F$5,"Forte",IF(K1806&gt;=Paramètres!$F$4,"Modérée","Faible")))</f>
        <v>Très forte</v>
      </c>
    </row>
    <row r="1807" spans="1:13">
      <c r="A1807" t="s">
        <v>1833</v>
      </c>
      <c r="B1807" s="11">
        <v>77</v>
      </c>
      <c r="C1807" t="s">
        <v>132</v>
      </c>
      <c r="D1807" t="s">
        <v>1395</v>
      </c>
      <c r="E1807" t="s">
        <v>1396</v>
      </c>
      <c r="F1807" t="s">
        <v>92</v>
      </c>
      <c r="G1807" s="12">
        <v>85</v>
      </c>
      <c r="H1807" s="12">
        <v>3882</v>
      </c>
      <c r="I1807" s="12">
        <v>82</v>
      </c>
      <c r="J1807" t="str">
        <f>VLOOKUP(B1807,Paramètres!$A$4:$C$11,3,FALSE)</f>
        <v>Grande couronne</v>
      </c>
      <c r="K1807" s="13">
        <f>IFERROR(H1807/G1807,"")</f>
        <v>45.670588235294119</v>
      </c>
      <c r="L1807" s="14">
        <f>IFERROR(I1807/G1807,"")</f>
        <v>0.96470588235294119</v>
      </c>
      <c r="M1807" s="11" t="str">
        <f>IF(K1807&gt;=Paramètres!$F$6,"Très forte",IF(K1807&gt;=Paramètres!$F$5,"Forte",IF(K1807&gt;=Paramètres!$F$4,"Modérée","Faible")))</f>
        <v>Très forte</v>
      </c>
    </row>
    <row r="1808" spans="1:13">
      <c r="A1808" t="s">
        <v>1662</v>
      </c>
      <c r="B1808" s="11">
        <v>78</v>
      </c>
      <c r="C1808" t="s">
        <v>135</v>
      </c>
      <c r="D1808" t="s">
        <v>1395</v>
      </c>
      <c r="E1808" t="s">
        <v>1396</v>
      </c>
      <c r="F1808" t="s">
        <v>92</v>
      </c>
      <c r="G1808" s="12">
        <v>129</v>
      </c>
      <c r="H1808" s="12">
        <v>5841</v>
      </c>
      <c r="I1808" s="12">
        <v>117</v>
      </c>
      <c r="J1808" t="str">
        <f>VLOOKUP(B1808,Paramètres!$A$4:$C$11,3,FALSE)</f>
        <v>Grande couronne</v>
      </c>
      <c r="K1808" s="13">
        <f>IFERROR(H1808/G1808,"")</f>
        <v>45.279069767441861</v>
      </c>
      <c r="L1808" s="14">
        <f>IFERROR(I1808/G1808,"")</f>
        <v>0.90697674418604646</v>
      </c>
      <c r="M1808" s="11" t="str">
        <f>IF(K1808&gt;=Paramètres!$F$6,"Très forte",IF(K1808&gt;=Paramètres!$F$5,"Forte",IF(K1808&gt;=Paramètres!$F$4,"Modérée","Faible")))</f>
        <v>Très forte</v>
      </c>
    </row>
    <row r="1809" spans="1:13">
      <c r="A1809" t="s">
        <v>1403</v>
      </c>
      <c r="B1809" s="11">
        <v>78</v>
      </c>
      <c r="C1809" t="s">
        <v>135</v>
      </c>
      <c r="D1809" t="s">
        <v>1395</v>
      </c>
      <c r="E1809" t="s">
        <v>1396</v>
      </c>
      <c r="F1809" t="s">
        <v>92</v>
      </c>
      <c r="G1809" s="12">
        <v>75</v>
      </c>
      <c r="H1809" s="12">
        <v>3344</v>
      </c>
      <c r="I1809" s="12">
        <v>79</v>
      </c>
      <c r="J1809" t="str">
        <f>VLOOKUP(B1809,Paramètres!$A$4:$C$11,3,FALSE)</f>
        <v>Grande couronne</v>
      </c>
      <c r="K1809" s="13">
        <f>IFERROR(H1809/G1809,"")</f>
        <v>44.586666666666666</v>
      </c>
      <c r="L1809" s="14">
        <f>IFERROR(I1809/G1809,"")</f>
        <v>1.0533333333333332</v>
      </c>
      <c r="M1809" s="11" t="str">
        <f>IF(K1809&gt;=Paramètres!$F$6,"Très forte",IF(K1809&gt;=Paramètres!$F$5,"Forte",IF(K1809&gt;=Paramètres!$F$4,"Modérée","Faible")))</f>
        <v>Très forte</v>
      </c>
    </row>
    <row r="1810" spans="1:13">
      <c r="A1810" t="s">
        <v>1834</v>
      </c>
      <c r="B1810" s="11">
        <v>77</v>
      </c>
      <c r="C1810" t="s">
        <v>132</v>
      </c>
      <c r="D1810" t="s">
        <v>1395</v>
      </c>
      <c r="E1810" t="s">
        <v>1396</v>
      </c>
      <c r="F1810" t="s">
        <v>92</v>
      </c>
      <c r="G1810" s="12">
        <v>70</v>
      </c>
      <c r="H1810" s="12">
        <v>3120</v>
      </c>
      <c r="I1810" s="12">
        <v>69</v>
      </c>
      <c r="J1810" t="str">
        <f>VLOOKUP(B1810,Paramètres!$A$4:$C$11,3,FALSE)</f>
        <v>Grande couronne</v>
      </c>
      <c r="K1810" s="13">
        <f>IFERROR(H1810/G1810,"")</f>
        <v>44.571428571428569</v>
      </c>
      <c r="L1810" s="14">
        <f>IFERROR(I1810/G1810,"")</f>
        <v>0.98571428571428577</v>
      </c>
      <c r="M1810" s="11" t="str">
        <f>IF(K1810&gt;=Paramètres!$F$6,"Très forte",IF(K1810&gt;=Paramètres!$F$5,"Forte",IF(K1810&gt;=Paramètres!$F$4,"Modérée","Faible")))</f>
        <v>Très forte</v>
      </c>
    </row>
    <row r="1811" spans="1:13">
      <c r="A1811" t="s">
        <v>1773</v>
      </c>
      <c r="B1811" s="11">
        <v>94</v>
      </c>
      <c r="C1811" t="s">
        <v>116</v>
      </c>
      <c r="D1811" t="s">
        <v>1395</v>
      </c>
      <c r="E1811" t="s">
        <v>1396</v>
      </c>
      <c r="F1811" t="s">
        <v>92</v>
      </c>
      <c r="G1811" s="12">
        <v>105</v>
      </c>
      <c r="H1811" s="12">
        <v>4663</v>
      </c>
      <c r="I1811" s="12">
        <v>116</v>
      </c>
      <c r="J1811" t="str">
        <f>VLOOKUP(B1811,Paramètres!$A$4:$C$11,3,FALSE)</f>
        <v>Petite couronne</v>
      </c>
      <c r="K1811" s="13">
        <f>IFERROR(H1811/G1811,"")</f>
        <v>44.409523809523812</v>
      </c>
      <c r="L1811" s="14">
        <f>IFERROR(I1811/G1811,"")</f>
        <v>1.1047619047619048</v>
      </c>
      <c r="M1811" s="11" t="str">
        <f>IF(K1811&gt;=Paramètres!$F$6,"Très forte",IF(K1811&gt;=Paramètres!$F$5,"Forte",IF(K1811&gt;=Paramètres!$F$4,"Modérée","Faible")))</f>
        <v>Très forte</v>
      </c>
    </row>
    <row r="1812" spans="1:13">
      <c r="A1812" t="s">
        <v>1663</v>
      </c>
      <c r="B1812" s="11">
        <v>78</v>
      </c>
      <c r="C1812" t="s">
        <v>135</v>
      </c>
      <c r="D1812" t="s">
        <v>1395</v>
      </c>
      <c r="E1812" t="s">
        <v>1396</v>
      </c>
      <c r="F1812" t="s">
        <v>92</v>
      </c>
      <c r="G1812" s="12">
        <v>58</v>
      </c>
      <c r="H1812" s="12">
        <v>2516</v>
      </c>
      <c r="I1812" s="12">
        <v>58</v>
      </c>
      <c r="J1812" t="str">
        <f>VLOOKUP(B1812,Paramètres!$A$4:$C$11,3,FALSE)</f>
        <v>Grande couronne</v>
      </c>
      <c r="K1812" s="13">
        <f>IFERROR(H1812/G1812,"")</f>
        <v>43.379310344827587</v>
      </c>
      <c r="L1812" s="14">
        <f>IFERROR(I1812/G1812,"")</f>
        <v>1</v>
      </c>
      <c r="M1812" s="11" t="str">
        <f>IF(K1812&gt;=Paramètres!$F$6,"Très forte",IF(K1812&gt;=Paramètres!$F$5,"Forte",IF(K1812&gt;=Paramètres!$F$4,"Modérée","Faible")))</f>
        <v>Très forte</v>
      </c>
    </row>
    <row r="1813" spans="1:13">
      <c r="A1813" t="s">
        <v>1748</v>
      </c>
      <c r="B1813" s="11">
        <v>95</v>
      </c>
      <c r="C1813" t="s">
        <v>90</v>
      </c>
      <c r="D1813" t="s">
        <v>1395</v>
      </c>
      <c r="E1813" t="s">
        <v>1396</v>
      </c>
      <c r="F1813" t="s">
        <v>92</v>
      </c>
      <c r="G1813" s="12">
        <v>155</v>
      </c>
      <c r="H1813" s="12">
        <v>6680</v>
      </c>
      <c r="I1813" s="12">
        <v>149</v>
      </c>
      <c r="J1813" t="str">
        <f>VLOOKUP(B1813,Paramètres!$A$4:$C$11,3,FALSE)</f>
        <v>Grande couronne</v>
      </c>
      <c r="K1813" s="13">
        <f>IFERROR(H1813/G1813,"")</f>
        <v>43.096774193548384</v>
      </c>
      <c r="L1813" s="14">
        <f>IFERROR(I1813/G1813,"")</f>
        <v>0.96129032258064517</v>
      </c>
      <c r="M1813" s="11" t="str">
        <f>IF(K1813&gt;=Paramètres!$F$6,"Très forte",IF(K1813&gt;=Paramètres!$F$5,"Forte",IF(K1813&gt;=Paramètres!$F$4,"Modérée","Faible")))</f>
        <v>Très forte</v>
      </c>
    </row>
    <row r="1814" spans="1:13">
      <c r="A1814" t="s">
        <v>1539</v>
      </c>
      <c r="B1814" s="11">
        <v>93</v>
      </c>
      <c r="C1814" t="s">
        <v>100</v>
      </c>
      <c r="D1814" t="s">
        <v>1395</v>
      </c>
      <c r="E1814" t="s">
        <v>1396</v>
      </c>
      <c r="F1814" t="s">
        <v>92</v>
      </c>
      <c r="G1814" s="12">
        <v>175</v>
      </c>
      <c r="H1814" s="12">
        <v>7486</v>
      </c>
      <c r="I1814" s="12">
        <v>174</v>
      </c>
      <c r="J1814" t="str">
        <f>VLOOKUP(B1814,Paramètres!$A$4:$C$11,3,FALSE)</f>
        <v>Petite couronne</v>
      </c>
      <c r="K1814" s="13">
        <f>IFERROR(H1814/G1814,"")</f>
        <v>42.777142857142856</v>
      </c>
      <c r="L1814" s="14">
        <f>IFERROR(I1814/G1814,"")</f>
        <v>0.99428571428571433</v>
      </c>
      <c r="M1814" s="11" t="str">
        <f>IF(K1814&gt;=Paramètres!$F$6,"Très forte",IF(K1814&gt;=Paramètres!$F$5,"Forte",IF(K1814&gt;=Paramètres!$F$4,"Modérée","Faible")))</f>
        <v>Très forte</v>
      </c>
    </row>
    <row r="1815" spans="1:13">
      <c r="A1815" t="s">
        <v>1830</v>
      </c>
      <c r="B1815" s="11">
        <v>91</v>
      </c>
      <c r="C1815" t="s">
        <v>105</v>
      </c>
      <c r="D1815" t="s">
        <v>1395</v>
      </c>
      <c r="E1815" t="s">
        <v>1396</v>
      </c>
      <c r="F1815" t="s">
        <v>92</v>
      </c>
      <c r="G1815" s="12">
        <v>123</v>
      </c>
      <c r="H1815" s="12">
        <v>5251</v>
      </c>
      <c r="I1815" s="12">
        <v>119</v>
      </c>
      <c r="J1815" t="str">
        <f>VLOOKUP(B1815,Paramètres!$A$4:$C$11,3,FALSE)</f>
        <v>Grande couronne</v>
      </c>
      <c r="K1815" s="13">
        <f>IFERROR(H1815/G1815,"")</f>
        <v>42.691056910569102</v>
      </c>
      <c r="L1815" s="14">
        <f>IFERROR(I1815/G1815,"")</f>
        <v>0.96747967479674801</v>
      </c>
      <c r="M1815" s="11" t="str">
        <f>IF(K1815&gt;=Paramètres!$F$6,"Très forte",IF(K1815&gt;=Paramètres!$F$5,"Forte",IF(K1815&gt;=Paramètres!$F$4,"Modérée","Faible")))</f>
        <v>Très forte</v>
      </c>
    </row>
    <row r="1816" spans="1:13">
      <c r="A1816" t="s">
        <v>1832</v>
      </c>
      <c r="B1816" s="11">
        <v>77</v>
      </c>
      <c r="C1816" t="s">
        <v>132</v>
      </c>
      <c r="D1816" t="s">
        <v>1395</v>
      </c>
      <c r="E1816" t="s">
        <v>1396</v>
      </c>
      <c r="F1816" t="s">
        <v>92</v>
      </c>
      <c r="G1816" s="12">
        <v>102</v>
      </c>
      <c r="H1816" s="12">
        <v>4304</v>
      </c>
      <c r="I1816" s="12">
        <v>97</v>
      </c>
      <c r="J1816" t="str">
        <f>VLOOKUP(B1816,Paramètres!$A$4:$C$11,3,FALSE)</f>
        <v>Grande couronne</v>
      </c>
      <c r="K1816" s="13">
        <f>IFERROR(H1816/G1816,"")</f>
        <v>42.196078431372548</v>
      </c>
      <c r="L1816" s="14">
        <f>IFERROR(I1816/G1816,"")</f>
        <v>0.9509803921568627</v>
      </c>
      <c r="M1816" s="11" t="str">
        <f>IF(K1816&gt;=Paramètres!$F$6,"Très forte",IF(K1816&gt;=Paramètres!$F$5,"Forte",IF(K1816&gt;=Paramètres!$F$4,"Modérée","Faible")))</f>
        <v>Très forte</v>
      </c>
    </row>
    <row r="1817" spans="1:13">
      <c r="A1817" t="s">
        <v>1560</v>
      </c>
      <c r="B1817" s="11">
        <v>77</v>
      </c>
      <c r="C1817" t="s">
        <v>132</v>
      </c>
      <c r="D1817" t="s">
        <v>1395</v>
      </c>
      <c r="E1817" t="s">
        <v>1396</v>
      </c>
      <c r="F1817" t="s">
        <v>92</v>
      </c>
      <c r="G1817" s="12">
        <v>82</v>
      </c>
      <c r="H1817" s="12">
        <v>3438</v>
      </c>
      <c r="I1817" s="12">
        <v>70</v>
      </c>
      <c r="J1817" t="str">
        <f>VLOOKUP(B1817,Paramètres!$A$4:$C$11,3,FALSE)</f>
        <v>Grande couronne</v>
      </c>
      <c r="K1817" s="13">
        <f>IFERROR(H1817/G1817,"")</f>
        <v>41.926829268292686</v>
      </c>
      <c r="L1817" s="14">
        <f>IFERROR(I1817/G1817,"")</f>
        <v>0.85365853658536583</v>
      </c>
      <c r="M1817" s="11" t="str">
        <f>IF(K1817&gt;=Paramètres!$F$6,"Très forte",IF(K1817&gt;=Paramètres!$F$5,"Forte",IF(K1817&gt;=Paramètres!$F$4,"Modérée","Faible")))</f>
        <v>Très forte</v>
      </c>
    </row>
    <row r="1818" spans="1:13">
      <c r="A1818" t="s">
        <v>1544</v>
      </c>
      <c r="B1818" s="11">
        <v>92</v>
      </c>
      <c r="C1818" t="s">
        <v>94</v>
      </c>
      <c r="D1818" t="s">
        <v>1395</v>
      </c>
      <c r="E1818" t="s">
        <v>1396</v>
      </c>
      <c r="F1818" t="s">
        <v>92</v>
      </c>
      <c r="G1818" s="12">
        <v>85</v>
      </c>
      <c r="H1818" s="12">
        <v>3367</v>
      </c>
      <c r="I1818" s="12">
        <v>85</v>
      </c>
      <c r="J1818" t="str">
        <f>VLOOKUP(B1818,Paramètres!$A$4:$C$11,3,FALSE)</f>
        <v>Petite couronne</v>
      </c>
      <c r="K1818" s="13">
        <f>IFERROR(H1818/G1818,"")</f>
        <v>39.611764705882351</v>
      </c>
      <c r="L1818" s="14">
        <f>IFERROR(I1818/G1818,"")</f>
        <v>1</v>
      </c>
      <c r="M1818" s="11" t="str">
        <f>IF(K1818&gt;=Paramètres!$F$6,"Très forte",IF(K1818&gt;=Paramètres!$F$5,"Forte",IF(K1818&gt;=Paramètres!$F$4,"Modérée","Faible")))</f>
        <v>Forte</v>
      </c>
    </row>
    <row r="1819" spans="1:13">
      <c r="A1819" t="s">
        <v>1829</v>
      </c>
      <c r="B1819" s="11">
        <v>93</v>
      </c>
      <c r="C1819" t="s">
        <v>100</v>
      </c>
      <c r="D1819" t="s">
        <v>1395</v>
      </c>
      <c r="E1819" t="s">
        <v>1396</v>
      </c>
      <c r="F1819" t="s">
        <v>92</v>
      </c>
      <c r="G1819" s="12">
        <v>166</v>
      </c>
      <c r="H1819" s="12">
        <v>6378</v>
      </c>
      <c r="I1819" s="12">
        <v>164</v>
      </c>
      <c r="J1819" t="str">
        <f>VLOOKUP(B1819,Paramètres!$A$4:$C$11,3,FALSE)</f>
        <v>Petite couronne</v>
      </c>
      <c r="K1819" s="13">
        <f>IFERROR(H1819/G1819,"")</f>
        <v>38.421686746987952</v>
      </c>
      <c r="L1819" s="14">
        <f>IFERROR(I1819/G1819,"")</f>
        <v>0.98795180722891562</v>
      </c>
      <c r="M1819" s="11" t="str">
        <f>IF(K1819&gt;=Paramètres!$F$6,"Très forte",IF(K1819&gt;=Paramètres!$F$5,"Forte",IF(K1819&gt;=Paramètres!$F$4,"Modérée","Faible")))</f>
        <v>Forte</v>
      </c>
    </row>
    <row r="1820" spans="1:13">
      <c r="A1820" t="s">
        <v>1404</v>
      </c>
      <c r="B1820" s="11">
        <v>78</v>
      </c>
      <c r="C1820" t="s">
        <v>135</v>
      </c>
      <c r="D1820" t="s">
        <v>1395</v>
      </c>
      <c r="E1820" t="s">
        <v>1396</v>
      </c>
      <c r="F1820" t="s">
        <v>92</v>
      </c>
      <c r="G1820" s="12">
        <v>70</v>
      </c>
      <c r="H1820" s="12">
        <v>2644</v>
      </c>
      <c r="I1820" s="12">
        <v>74</v>
      </c>
      <c r="J1820" t="str">
        <f>VLOOKUP(B1820,Paramètres!$A$4:$C$11,3,FALSE)</f>
        <v>Grande couronne</v>
      </c>
      <c r="K1820" s="13">
        <f>IFERROR(H1820/G1820,"")</f>
        <v>37.771428571428572</v>
      </c>
      <c r="L1820" s="14">
        <f>IFERROR(I1820/G1820,"")</f>
        <v>1.0571428571428572</v>
      </c>
      <c r="M1820" s="11" t="str">
        <f>IF(K1820&gt;=Paramètres!$F$6,"Très forte",IF(K1820&gt;=Paramètres!$F$5,"Forte",IF(K1820&gt;=Paramètres!$F$4,"Modérée","Faible")))</f>
        <v>Forte</v>
      </c>
    </row>
    <row r="1821" spans="1:13">
      <c r="A1821" t="s">
        <v>1743</v>
      </c>
      <c r="B1821" s="11">
        <v>77</v>
      </c>
      <c r="C1821" t="s">
        <v>132</v>
      </c>
      <c r="D1821" t="s">
        <v>1395</v>
      </c>
      <c r="E1821" t="s">
        <v>1396</v>
      </c>
      <c r="F1821" t="s">
        <v>92</v>
      </c>
      <c r="G1821" s="12">
        <v>89</v>
      </c>
      <c r="H1821" s="12">
        <v>3349</v>
      </c>
      <c r="I1821" s="12">
        <v>82</v>
      </c>
      <c r="J1821" t="str">
        <f>VLOOKUP(B1821,Paramètres!$A$4:$C$11,3,FALSE)</f>
        <v>Grande couronne</v>
      </c>
      <c r="K1821" s="13">
        <f>IFERROR(H1821/G1821,"")</f>
        <v>37.629213483146067</v>
      </c>
      <c r="L1821" s="14">
        <f>IFERROR(I1821/G1821,"")</f>
        <v>0.9213483146067416</v>
      </c>
      <c r="M1821" s="11" t="str">
        <f>IF(K1821&gt;=Paramètres!$F$6,"Très forte",IF(K1821&gt;=Paramètres!$F$5,"Forte",IF(K1821&gt;=Paramètres!$F$4,"Modérée","Faible")))</f>
        <v>Forte</v>
      </c>
    </row>
    <row r="1822" spans="1:13">
      <c r="A1822" t="s">
        <v>1543</v>
      </c>
      <c r="B1822" s="11">
        <v>78</v>
      </c>
      <c r="C1822" t="s">
        <v>135</v>
      </c>
      <c r="D1822" t="s">
        <v>1395</v>
      </c>
      <c r="E1822" t="s">
        <v>1396</v>
      </c>
      <c r="F1822" t="s">
        <v>92</v>
      </c>
      <c r="G1822" s="12">
        <v>85</v>
      </c>
      <c r="H1822" s="12">
        <v>3197</v>
      </c>
      <c r="I1822" s="12">
        <v>89</v>
      </c>
      <c r="J1822" t="str">
        <f>VLOOKUP(B1822,Paramètres!$A$4:$C$11,3,FALSE)</f>
        <v>Grande couronne</v>
      </c>
      <c r="K1822" s="13">
        <f>IFERROR(H1822/G1822,"")</f>
        <v>37.611764705882351</v>
      </c>
      <c r="L1822" s="14">
        <f>IFERROR(I1822/G1822,"")</f>
        <v>1.0470588235294118</v>
      </c>
      <c r="M1822" s="11" t="str">
        <f>IF(K1822&gt;=Paramètres!$F$6,"Très forte",IF(K1822&gt;=Paramètres!$F$5,"Forte",IF(K1822&gt;=Paramètres!$F$4,"Modérée","Faible")))</f>
        <v>Forte</v>
      </c>
    </row>
    <row r="1823" spans="1:13">
      <c r="A1823" t="s">
        <v>1402</v>
      </c>
      <c r="B1823" s="11">
        <v>94</v>
      </c>
      <c r="C1823" t="s">
        <v>116</v>
      </c>
      <c r="D1823" t="s">
        <v>1395</v>
      </c>
      <c r="E1823" t="s">
        <v>1396</v>
      </c>
      <c r="F1823" t="s">
        <v>92</v>
      </c>
      <c r="G1823" s="12">
        <v>234</v>
      </c>
      <c r="H1823" s="12">
        <v>8485</v>
      </c>
      <c r="I1823" s="12">
        <v>222</v>
      </c>
      <c r="J1823" t="str">
        <f>VLOOKUP(B1823,Paramètres!$A$4:$C$11,3,FALSE)</f>
        <v>Petite couronne</v>
      </c>
      <c r="K1823" s="13">
        <f>IFERROR(H1823/G1823,"")</f>
        <v>36.260683760683762</v>
      </c>
      <c r="L1823" s="14">
        <f>IFERROR(I1823/G1823,"")</f>
        <v>0.94871794871794868</v>
      </c>
      <c r="M1823" s="11" t="str">
        <f>IF(K1823&gt;=Paramètres!$F$6,"Très forte",IF(K1823&gt;=Paramètres!$F$5,"Forte",IF(K1823&gt;=Paramètres!$F$4,"Modérée","Faible")))</f>
        <v>Forte</v>
      </c>
    </row>
    <row r="1824" spans="1:13">
      <c r="A1824" t="s">
        <v>1749</v>
      </c>
      <c r="B1824" s="11">
        <v>92</v>
      </c>
      <c r="C1824" t="s">
        <v>94</v>
      </c>
      <c r="D1824" t="s">
        <v>1395</v>
      </c>
      <c r="E1824" t="s">
        <v>1396</v>
      </c>
      <c r="F1824" t="s">
        <v>92</v>
      </c>
      <c r="G1824" s="12">
        <v>103</v>
      </c>
      <c r="H1824" s="12">
        <v>3659</v>
      </c>
      <c r="I1824" s="12">
        <v>103</v>
      </c>
      <c r="J1824" t="str">
        <f>VLOOKUP(B1824,Paramètres!$A$4:$C$11,3,FALSE)</f>
        <v>Petite couronne</v>
      </c>
      <c r="K1824" s="13">
        <f>IFERROR(H1824/G1824,"")</f>
        <v>35.524271844660191</v>
      </c>
      <c r="L1824" s="14">
        <f>IFERROR(I1824/G1824,"")</f>
        <v>1</v>
      </c>
      <c r="M1824" s="11" t="str">
        <f>IF(K1824&gt;=Paramètres!$F$6,"Très forte",IF(K1824&gt;=Paramètres!$F$5,"Forte",IF(K1824&gt;=Paramètres!$F$4,"Modérée","Faible")))</f>
        <v>Forte</v>
      </c>
    </row>
    <row r="1825" spans="1:13">
      <c r="A1825" t="s">
        <v>1835</v>
      </c>
      <c r="B1825" s="11">
        <v>78</v>
      </c>
      <c r="C1825" t="s">
        <v>135</v>
      </c>
      <c r="D1825" t="s">
        <v>1395</v>
      </c>
      <c r="E1825" t="s">
        <v>1396</v>
      </c>
      <c r="F1825" t="s">
        <v>92</v>
      </c>
      <c r="G1825" s="12">
        <v>69</v>
      </c>
      <c r="H1825" s="12">
        <v>2429</v>
      </c>
      <c r="I1825" s="12">
        <v>66</v>
      </c>
      <c r="J1825" t="str">
        <f>VLOOKUP(B1825,Paramètres!$A$4:$C$11,3,FALSE)</f>
        <v>Grande couronne</v>
      </c>
      <c r="K1825" s="13">
        <f>IFERROR(H1825/G1825,"")</f>
        <v>35.20289855072464</v>
      </c>
      <c r="L1825" s="14">
        <f>IFERROR(I1825/G1825,"")</f>
        <v>0.95652173913043481</v>
      </c>
      <c r="M1825" s="11" t="str">
        <f>IF(K1825&gt;=Paramètres!$F$6,"Très forte",IF(K1825&gt;=Paramètres!$F$5,"Forte",IF(K1825&gt;=Paramètres!$F$4,"Modérée","Faible")))</f>
        <v>Forte</v>
      </c>
    </row>
    <row r="1826" spans="1:13">
      <c r="A1826" t="s">
        <v>1739</v>
      </c>
      <c r="B1826" s="11">
        <v>91</v>
      </c>
      <c r="C1826" t="s">
        <v>105</v>
      </c>
      <c r="D1826" t="s">
        <v>1395</v>
      </c>
      <c r="E1826" t="s">
        <v>1396</v>
      </c>
      <c r="F1826" t="s">
        <v>92</v>
      </c>
      <c r="G1826" s="12">
        <v>177</v>
      </c>
      <c r="H1826" s="12">
        <v>5832</v>
      </c>
      <c r="I1826" s="12">
        <v>176</v>
      </c>
      <c r="J1826" t="str">
        <f>VLOOKUP(B1826,Paramètres!$A$4:$C$11,3,FALSE)</f>
        <v>Grande couronne</v>
      </c>
      <c r="K1826" s="13">
        <f>IFERROR(H1826/G1826,"")</f>
        <v>32.949152542372879</v>
      </c>
      <c r="L1826" s="14">
        <f>IFERROR(I1826/G1826,"")</f>
        <v>0.99435028248587576</v>
      </c>
      <c r="M1826" s="11" t="str">
        <f>IF(K1826&gt;=Paramètres!$F$6,"Très forte",IF(K1826&gt;=Paramètres!$F$5,"Forte",IF(K1826&gt;=Paramètres!$F$4,"Modérée","Faible")))</f>
        <v>Forte</v>
      </c>
    </row>
    <row r="1827" spans="1:13">
      <c r="A1827" t="s">
        <v>1659</v>
      </c>
      <c r="B1827" s="11">
        <v>94</v>
      </c>
      <c r="C1827" t="s">
        <v>116</v>
      </c>
      <c r="D1827" t="s">
        <v>1395</v>
      </c>
      <c r="E1827" t="s">
        <v>1396</v>
      </c>
      <c r="F1827" t="s">
        <v>92</v>
      </c>
      <c r="G1827" s="12">
        <v>224</v>
      </c>
      <c r="H1827" s="12">
        <v>6895</v>
      </c>
      <c r="I1827" s="12">
        <v>218</v>
      </c>
      <c r="J1827" t="str">
        <f>VLOOKUP(B1827,Paramètres!$A$4:$C$11,3,FALSE)</f>
        <v>Petite couronne</v>
      </c>
      <c r="K1827" s="13">
        <f>IFERROR(H1827/G1827,"")</f>
        <v>30.78125</v>
      </c>
      <c r="L1827" s="14">
        <f>IFERROR(I1827/G1827,"")</f>
        <v>0.9732142857142857</v>
      </c>
      <c r="M1827" s="11" t="str">
        <f>IF(K1827&gt;=Paramètres!$F$6,"Très forte",IF(K1827&gt;=Paramètres!$F$5,"Forte",IF(K1827&gt;=Paramètres!$F$4,"Modérée","Faible")))</f>
        <v>Forte</v>
      </c>
    </row>
    <row r="1828" spans="1:13">
      <c r="A1828" t="s">
        <v>1660</v>
      </c>
      <c r="B1828" s="11">
        <v>94</v>
      </c>
      <c r="C1828" t="s">
        <v>116</v>
      </c>
      <c r="D1828" t="s">
        <v>1395</v>
      </c>
      <c r="E1828" t="s">
        <v>1396</v>
      </c>
      <c r="F1828" t="s">
        <v>92</v>
      </c>
      <c r="G1828" s="12">
        <v>219</v>
      </c>
      <c r="H1828" s="12">
        <v>6679</v>
      </c>
      <c r="I1828" s="12">
        <v>221</v>
      </c>
      <c r="J1828" t="str">
        <f>VLOOKUP(B1828,Paramètres!$A$4:$C$11,3,FALSE)</f>
        <v>Petite couronne</v>
      </c>
      <c r="K1828" s="13">
        <f>IFERROR(H1828/G1828,"")</f>
        <v>30.49771689497717</v>
      </c>
      <c r="L1828" s="14">
        <f>IFERROR(I1828/G1828,"")</f>
        <v>1.0091324200913243</v>
      </c>
      <c r="M1828" s="11" t="str">
        <f>IF(K1828&gt;=Paramètres!$F$6,"Très forte",IF(K1828&gt;=Paramètres!$F$5,"Forte",IF(K1828&gt;=Paramètres!$F$4,"Modérée","Faible")))</f>
        <v>Forte</v>
      </c>
    </row>
    <row r="1829" spans="1:13">
      <c r="A1829" t="s">
        <v>1400</v>
      </c>
      <c r="B1829" s="11">
        <v>77</v>
      </c>
      <c r="C1829" t="s">
        <v>132</v>
      </c>
      <c r="D1829" t="s">
        <v>1395</v>
      </c>
      <c r="E1829" t="s">
        <v>1396</v>
      </c>
      <c r="F1829" t="s">
        <v>92</v>
      </c>
      <c r="G1829" s="12">
        <v>118</v>
      </c>
      <c r="H1829" s="12">
        <v>3589</v>
      </c>
      <c r="I1829" s="12">
        <v>121</v>
      </c>
      <c r="J1829" t="str">
        <f>VLOOKUP(B1829,Paramètres!$A$4:$C$11,3,FALSE)</f>
        <v>Grande couronne</v>
      </c>
      <c r="K1829" s="13">
        <f>IFERROR(H1829/G1829,"")</f>
        <v>30.415254237288135</v>
      </c>
      <c r="L1829" s="14">
        <f>IFERROR(I1829/G1829,"")</f>
        <v>1.0254237288135593</v>
      </c>
      <c r="M1829" s="11" t="str">
        <f>IF(K1829&gt;=Paramètres!$F$6,"Très forte",IF(K1829&gt;=Paramètres!$F$5,"Forte",IF(K1829&gt;=Paramètres!$F$4,"Modérée","Faible")))</f>
        <v>Forte</v>
      </c>
    </row>
    <row r="1830" spans="1:13">
      <c r="A1830" t="s">
        <v>1545</v>
      </c>
      <c r="B1830" s="11">
        <v>92</v>
      </c>
      <c r="C1830" t="s">
        <v>94</v>
      </c>
      <c r="D1830" t="s">
        <v>1395</v>
      </c>
      <c r="E1830" t="s">
        <v>1396</v>
      </c>
      <c r="F1830" t="s">
        <v>92</v>
      </c>
      <c r="G1830" s="12">
        <v>113</v>
      </c>
      <c r="H1830" s="12">
        <v>3151</v>
      </c>
      <c r="I1830" s="12">
        <v>113</v>
      </c>
      <c r="J1830" t="str">
        <f>VLOOKUP(B1830,Paramètres!$A$4:$C$11,3,FALSE)</f>
        <v>Petite couronne</v>
      </c>
      <c r="K1830" s="13">
        <f>IFERROR(H1830/G1830,"")</f>
        <v>27.884955752212388</v>
      </c>
      <c r="L1830" s="14">
        <f>IFERROR(I1830/G1830,"")</f>
        <v>1</v>
      </c>
      <c r="M1830" s="11" t="str">
        <f>IF(K1830&gt;=Paramètres!$F$6,"Très forte",IF(K1830&gt;=Paramètres!$F$5,"Forte",IF(K1830&gt;=Paramètres!$F$4,"Modérée","Faible")))</f>
        <v>Forte</v>
      </c>
    </row>
    <row r="1831" spans="1:13">
      <c r="A1831" t="s">
        <v>110</v>
      </c>
      <c r="B1831" s="11">
        <v>75</v>
      </c>
      <c r="C1831" t="s">
        <v>86</v>
      </c>
      <c r="D1831" t="s">
        <v>22</v>
      </c>
      <c r="E1831" t="s">
        <v>398</v>
      </c>
      <c r="F1831" t="s">
        <v>92</v>
      </c>
      <c r="G1831" s="12">
        <v>6</v>
      </c>
      <c r="H1831" s="12">
        <v>1492</v>
      </c>
      <c r="I1831" s="12">
        <v>6</v>
      </c>
      <c r="J1831" t="str">
        <f>VLOOKUP(B1831,Paramètres!$A$4:$C$11,3,FALSE)</f>
        <v>Paris</v>
      </c>
      <c r="K1831" s="13">
        <f>IFERROR(H1831/G1831,"")</f>
        <v>248.66666666666666</v>
      </c>
      <c r="L1831" s="14">
        <f>IFERROR(I1831/G1831,"")</f>
        <v>1</v>
      </c>
      <c r="M1831" s="11" t="str">
        <f>IF(K1831&gt;=Paramètres!$F$6,"Très forte",IF(K1831&gt;=Paramètres!$F$5,"Forte",IF(K1831&gt;=Paramètres!$F$4,"Modérée","Faible")))</f>
        <v>Très forte</v>
      </c>
    </row>
    <row r="1832" spans="1:13">
      <c r="A1832" t="s">
        <v>110</v>
      </c>
      <c r="B1832" s="11">
        <v>75</v>
      </c>
      <c r="C1832" t="s">
        <v>86</v>
      </c>
      <c r="D1832" t="s">
        <v>22</v>
      </c>
      <c r="E1832" t="s">
        <v>359</v>
      </c>
      <c r="F1832" t="s">
        <v>92</v>
      </c>
      <c r="G1832" s="12">
        <v>24</v>
      </c>
      <c r="H1832" s="12">
        <v>4944</v>
      </c>
      <c r="I1832" s="12">
        <v>22</v>
      </c>
      <c r="J1832" t="str">
        <f>VLOOKUP(B1832,Paramètres!$A$4:$C$11,3,FALSE)</f>
        <v>Paris</v>
      </c>
      <c r="K1832" s="13">
        <f>IFERROR(H1832/G1832,"")</f>
        <v>206</v>
      </c>
      <c r="L1832" s="14">
        <f>IFERROR(I1832/G1832,"")</f>
        <v>0.91666666666666663</v>
      </c>
      <c r="M1832" s="11" t="str">
        <f>IF(K1832&gt;=Paramètres!$F$6,"Très forte",IF(K1832&gt;=Paramètres!$F$5,"Forte",IF(K1832&gt;=Paramètres!$F$4,"Modérée","Faible")))</f>
        <v>Très forte</v>
      </c>
    </row>
    <row r="1833" spans="1:13">
      <c r="A1833" t="s">
        <v>265</v>
      </c>
      <c r="B1833" s="11">
        <v>93</v>
      </c>
      <c r="C1833" t="s">
        <v>100</v>
      </c>
      <c r="D1833" t="s">
        <v>22</v>
      </c>
      <c r="E1833" t="s">
        <v>758</v>
      </c>
      <c r="F1833" t="s">
        <v>92</v>
      </c>
      <c r="G1833" s="12">
        <v>14</v>
      </c>
      <c r="H1833" s="12">
        <v>2423</v>
      </c>
      <c r="I1833" s="12">
        <v>11</v>
      </c>
      <c r="J1833" t="str">
        <f>VLOOKUP(B1833,Paramètres!$A$4:$C$11,3,FALSE)</f>
        <v>Petite couronne</v>
      </c>
      <c r="K1833" s="13">
        <f>IFERROR(H1833/G1833,"")</f>
        <v>173.07142857142858</v>
      </c>
      <c r="L1833" s="14">
        <f>IFERROR(I1833/G1833,"")</f>
        <v>0.7857142857142857</v>
      </c>
      <c r="M1833" s="11" t="str">
        <f>IF(K1833&gt;=Paramètres!$F$6,"Très forte",IF(K1833&gt;=Paramètres!$F$5,"Forte",IF(K1833&gt;=Paramètres!$F$4,"Modérée","Faible")))</f>
        <v>Très forte</v>
      </c>
    </row>
    <row r="1834" spans="1:13">
      <c r="A1834" t="s">
        <v>110</v>
      </c>
      <c r="B1834" s="11">
        <v>75</v>
      </c>
      <c r="C1834" t="s">
        <v>86</v>
      </c>
      <c r="D1834" t="s">
        <v>22</v>
      </c>
      <c r="E1834" t="s">
        <v>210</v>
      </c>
      <c r="F1834" t="s">
        <v>92</v>
      </c>
      <c r="G1834" s="12">
        <v>10</v>
      </c>
      <c r="H1834" s="12">
        <v>1604</v>
      </c>
      <c r="I1834" s="12">
        <v>10</v>
      </c>
      <c r="J1834" t="str">
        <f>VLOOKUP(B1834,Paramètres!$A$4:$C$11,3,FALSE)</f>
        <v>Paris</v>
      </c>
      <c r="K1834" s="13">
        <f>IFERROR(H1834/G1834,"")</f>
        <v>160.4</v>
      </c>
      <c r="L1834" s="14">
        <f>IFERROR(I1834/G1834,"")</f>
        <v>1</v>
      </c>
      <c r="M1834" s="11" t="str">
        <f>IF(K1834&gt;=Paramètres!$F$6,"Très forte",IF(K1834&gt;=Paramètres!$F$5,"Forte",IF(K1834&gt;=Paramètres!$F$4,"Modérée","Faible")))</f>
        <v>Très forte</v>
      </c>
    </row>
    <row r="1835" spans="1:13">
      <c r="A1835" t="s">
        <v>265</v>
      </c>
      <c r="B1835" s="11">
        <v>93</v>
      </c>
      <c r="C1835" t="s">
        <v>100</v>
      </c>
      <c r="D1835" t="s">
        <v>22</v>
      </c>
      <c r="E1835" t="s">
        <v>714</v>
      </c>
      <c r="F1835" t="s">
        <v>92</v>
      </c>
      <c r="G1835" s="12">
        <v>32</v>
      </c>
      <c r="H1835" s="12">
        <v>4175</v>
      </c>
      <c r="I1835" s="12">
        <v>34</v>
      </c>
      <c r="J1835" t="str">
        <f>VLOOKUP(B1835,Paramètres!$A$4:$C$11,3,FALSE)</f>
        <v>Petite couronne</v>
      </c>
      <c r="K1835" s="13">
        <f>IFERROR(H1835/G1835,"")</f>
        <v>130.46875</v>
      </c>
      <c r="L1835" s="14">
        <f>IFERROR(I1835/G1835,"")</f>
        <v>1.0625</v>
      </c>
      <c r="M1835" s="11" t="str">
        <f>IF(K1835&gt;=Paramètres!$F$6,"Très forte",IF(K1835&gt;=Paramètres!$F$5,"Forte",IF(K1835&gt;=Paramètres!$F$4,"Modérée","Faible")))</f>
        <v>Très forte</v>
      </c>
    </row>
    <row r="1836" spans="1:13">
      <c r="A1836" t="s">
        <v>155</v>
      </c>
      <c r="B1836" s="11">
        <v>75</v>
      </c>
      <c r="C1836" t="s">
        <v>86</v>
      </c>
      <c r="D1836" t="s">
        <v>22</v>
      </c>
      <c r="E1836" t="s">
        <v>705</v>
      </c>
      <c r="F1836" t="s">
        <v>92</v>
      </c>
      <c r="G1836" s="12">
        <v>10</v>
      </c>
      <c r="H1836" s="12">
        <v>1301</v>
      </c>
      <c r="I1836" s="12">
        <v>10</v>
      </c>
      <c r="J1836" t="str">
        <f>VLOOKUP(B1836,Paramètres!$A$4:$C$11,3,FALSE)</f>
        <v>Paris</v>
      </c>
      <c r="K1836" s="13">
        <f>IFERROR(H1836/G1836,"")</f>
        <v>130.1</v>
      </c>
      <c r="L1836" s="14">
        <f>IFERROR(I1836/G1836,"")</f>
        <v>1</v>
      </c>
      <c r="M1836" s="11" t="str">
        <f>IF(K1836&gt;=Paramètres!$F$6,"Très forte",IF(K1836&gt;=Paramètres!$F$5,"Forte",IF(K1836&gt;=Paramètres!$F$4,"Modérée","Faible")))</f>
        <v>Très forte</v>
      </c>
    </row>
    <row r="1837" spans="1:13">
      <c r="A1837" t="s">
        <v>115</v>
      </c>
      <c r="B1837" s="11">
        <v>94</v>
      </c>
      <c r="C1837" t="s">
        <v>116</v>
      </c>
      <c r="D1837" t="s">
        <v>22</v>
      </c>
      <c r="E1837" t="s">
        <v>753</v>
      </c>
      <c r="F1837" t="s">
        <v>92</v>
      </c>
      <c r="G1837" s="12">
        <v>30</v>
      </c>
      <c r="H1837" s="12">
        <v>3598</v>
      </c>
      <c r="I1837" s="12">
        <v>30</v>
      </c>
      <c r="J1837" t="str">
        <f>VLOOKUP(B1837,Paramètres!$A$4:$C$11,3,FALSE)</f>
        <v>Petite couronne</v>
      </c>
      <c r="K1837" s="13">
        <f>IFERROR(H1837/G1837,"")</f>
        <v>119.93333333333334</v>
      </c>
      <c r="L1837" s="14">
        <f>IFERROR(I1837/G1837,"")</f>
        <v>1</v>
      </c>
      <c r="M1837" s="11" t="str">
        <f>IF(K1837&gt;=Paramètres!$F$6,"Très forte",IF(K1837&gt;=Paramètres!$F$5,"Forte",IF(K1837&gt;=Paramètres!$F$4,"Modérée","Faible")))</f>
        <v>Très forte</v>
      </c>
    </row>
    <row r="1838" spans="1:13">
      <c r="A1838" t="s">
        <v>152</v>
      </c>
      <c r="B1838" s="11">
        <v>75</v>
      </c>
      <c r="C1838" t="s">
        <v>86</v>
      </c>
      <c r="D1838" t="s">
        <v>22</v>
      </c>
      <c r="E1838" t="s">
        <v>412</v>
      </c>
      <c r="F1838" t="s">
        <v>92</v>
      </c>
      <c r="G1838" s="12">
        <v>30</v>
      </c>
      <c r="H1838" s="12">
        <v>3591</v>
      </c>
      <c r="I1838" s="12">
        <v>28</v>
      </c>
      <c r="J1838" t="str">
        <f>VLOOKUP(B1838,Paramètres!$A$4:$C$11,3,FALSE)</f>
        <v>Paris</v>
      </c>
      <c r="K1838" s="13">
        <f>IFERROR(H1838/G1838,"")</f>
        <v>119.7</v>
      </c>
      <c r="L1838" s="14">
        <f>IFERROR(I1838/G1838,"")</f>
        <v>0.93333333333333335</v>
      </c>
      <c r="M1838" s="11" t="str">
        <f>IF(K1838&gt;=Paramètres!$F$6,"Très forte",IF(K1838&gt;=Paramètres!$F$5,"Forte",IF(K1838&gt;=Paramètres!$F$4,"Modérée","Faible")))</f>
        <v>Très forte</v>
      </c>
    </row>
    <row r="1839" spans="1:13">
      <c r="A1839" t="s">
        <v>110</v>
      </c>
      <c r="B1839" s="11">
        <v>75</v>
      </c>
      <c r="C1839" t="s">
        <v>86</v>
      </c>
      <c r="D1839" t="s">
        <v>22</v>
      </c>
      <c r="E1839" t="s">
        <v>657</v>
      </c>
      <c r="F1839" t="s">
        <v>92</v>
      </c>
      <c r="G1839" s="12">
        <v>10</v>
      </c>
      <c r="H1839" s="12">
        <v>1171</v>
      </c>
      <c r="I1839" s="12">
        <v>9</v>
      </c>
      <c r="J1839" t="str">
        <f>VLOOKUP(B1839,Paramètres!$A$4:$C$11,3,FALSE)</f>
        <v>Paris</v>
      </c>
      <c r="K1839" s="13">
        <f>IFERROR(H1839/G1839,"")</f>
        <v>117.1</v>
      </c>
      <c r="L1839" s="14">
        <f>IFERROR(I1839/G1839,"")</f>
        <v>0.9</v>
      </c>
      <c r="M1839" s="11" t="str">
        <f>IF(K1839&gt;=Paramètres!$F$6,"Très forte",IF(K1839&gt;=Paramètres!$F$5,"Forte",IF(K1839&gt;=Paramètres!$F$4,"Modérée","Faible")))</f>
        <v>Très forte</v>
      </c>
    </row>
    <row r="1840" spans="1:13">
      <c r="A1840" t="s">
        <v>119</v>
      </c>
      <c r="B1840" s="11">
        <v>75</v>
      </c>
      <c r="C1840" t="s">
        <v>86</v>
      </c>
      <c r="D1840" t="s">
        <v>22</v>
      </c>
      <c r="E1840" t="s">
        <v>494</v>
      </c>
      <c r="F1840" t="s">
        <v>92</v>
      </c>
      <c r="G1840" s="12">
        <v>15</v>
      </c>
      <c r="H1840" s="12">
        <v>1729</v>
      </c>
      <c r="I1840" s="12">
        <v>11</v>
      </c>
      <c r="J1840" t="str">
        <f>VLOOKUP(B1840,Paramètres!$A$4:$C$11,3,FALSE)</f>
        <v>Paris</v>
      </c>
      <c r="K1840" s="13">
        <f>IFERROR(H1840/G1840,"")</f>
        <v>115.26666666666667</v>
      </c>
      <c r="L1840" s="14">
        <f>IFERROR(I1840/G1840,"")</f>
        <v>0.73333333333333328</v>
      </c>
      <c r="M1840" s="11" t="str">
        <f>IF(K1840&gt;=Paramètres!$F$6,"Très forte",IF(K1840&gt;=Paramètres!$F$5,"Forte",IF(K1840&gt;=Paramètres!$F$4,"Modérée","Faible")))</f>
        <v>Très forte</v>
      </c>
    </row>
    <row r="1841" spans="1:13">
      <c r="A1841" t="s">
        <v>155</v>
      </c>
      <c r="B1841" s="11">
        <v>75</v>
      </c>
      <c r="C1841" t="s">
        <v>86</v>
      </c>
      <c r="D1841" t="s">
        <v>22</v>
      </c>
      <c r="E1841" t="s">
        <v>529</v>
      </c>
      <c r="F1841" t="s">
        <v>92</v>
      </c>
      <c r="G1841" s="12">
        <v>35</v>
      </c>
      <c r="H1841" s="12">
        <v>4023</v>
      </c>
      <c r="I1841" s="12">
        <v>35</v>
      </c>
      <c r="J1841" t="str">
        <f>VLOOKUP(B1841,Paramètres!$A$4:$C$11,3,FALSE)</f>
        <v>Paris</v>
      </c>
      <c r="K1841" s="13">
        <f>IFERROR(H1841/G1841,"")</f>
        <v>114.94285714285714</v>
      </c>
      <c r="L1841" s="14">
        <f>IFERROR(I1841/G1841,"")</f>
        <v>1</v>
      </c>
      <c r="M1841" s="11" t="str">
        <f>IF(K1841&gt;=Paramètres!$F$6,"Très forte",IF(K1841&gt;=Paramètres!$F$5,"Forte",IF(K1841&gt;=Paramètres!$F$4,"Modérée","Faible")))</f>
        <v>Très forte</v>
      </c>
    </row>
    <row r="1842" spans="1:13">
      <c r="A1842" t="s">
        <v>152</v>
      </c>
      <c r="B1842" s="11">
        <v>75</v>
      </c>
      <c r="C1842" t="s">
        <v>86</v>
      </c>
      <c r="D1842" t="s">
        <v>22</v>
      </c>
      <c r="E1842" t="s">
        <v>656</v>
      </c>
      <c r="F1842" t="s">
        <v>92</v>
      </c>
      <c r="G1842" s="12">
        <v>60</v>
      </c>
      <c r="H1842" s="12">
        <v>6655</v>
      </c>
      <c r="I1842" s="12">
        <v>60</v>
      </c>
      <c r="J1842" t="str">
        <f>VLOOKUP(B1842,Paramètres!$A$4:$C$11,3,FALSE)</f>
        <v>Paris</v>
      </c>
      <c r="K1842" s="13">
        <f>IFERROR(H1842/G1842,"")</f>
        <v>110.91666666666667</v>
      </c>
      <c r="L1842" s="14">
        <f>IFERROR(I1842/G1842,"")</f>
        <v>1</v>
      </c>
      <c r="M1842" s="11" t="str">
        <f>IF(K1842&gt;=Paramètres!$F$6,"Très forte",IF(K1842&gt;=Paramètres!$F$5,"Forte",IF(K1842&gt;=Paramètres!$F$4,"Modérée","Faible")))</f>
        <v>Très forte</v>
      </c>
    </row>
    <row r="1843" spans="1:13">
      <c r="A1843" t="s">
        <v>344</v>
      </c>
      <c r="B1843" s="11">
        <v>78</v>
      </c>
      <c r="C1843" t="s">
        <v>135</v>
      </c>
      <c r="D1843" t="s">
        <v>22</v>
      </c>
      <c r="E1843" t="s">
        <v>730</v>
      </c>
      <c r="F1843" t="s">
        <v>92</v>
      </c>
      <c r="G1843" s="12">
        <v>35</v>
      </c>
      <c r="H1843" s="12">
        <v>3661</v>
      </c>
      <c r="I1843" s="12">
        <v>31</v>
      </c>
      <c r="J1843" t="str">
        <f>VLOOKUP(B1843,Paramètres!$A$4:$C$11,3,FALSE)</f>
        <v>Grande couronne</v>
      </c>
      <c r="K1843" s="13">
        <f>IFERROR(H1843/G1843,"")</f>
        <v>104.6</v>
      </c>
      <c r="L1843" s="14">
        <f>IFERROR(I1843/G1843,"")</f>
        <v>0.88571428571428568</v>
      </c>
      <c r="M1843" s="11" t="str">
        <f>IF(K1843&gt;=Paramètres!$F$6,"Très forte",IF(K1843&gt;=Paramètres!$F$5,"Forte",IF(K1843&gt;=Paramètres!$F$4,"Modérée","Faible")))</f>
        <v>Très forte</v>
      </c>
    </row>
    <row r="1844" spans="1:13">
      <c r="A1844" t="s">
        <v>110</v>
      </c>
      <c r="B1844" s="11">
        <v>75</v>
      </c>
      <c r="C1844" t="s">
        <v>86</v>
      </c>
      <c r="D1844" t="s">
        <v>22</v>
      </c>
      <c r="E1844" t="s">
        <v>697</v>
      </c>
      <c r="F1844" t="s">
        <v>92</v>
      </c>
      <c r="G1844" s="12">
        <v>6</v>
      </c>
      <c r="H1844" s="12">
        <v>616</v>
      </c>
      <c r="I1844" s="12">
        <v>6</v>
      </c>
      <c r="J1844" t="str">
        <f>VLOOKUP(B1844,Paramètres!$A$4:$C$11,3,FALSE)</f>
        <v>Paris</v>
      </c>
      <c r="K1844" s="13">
        <f>IFERROR(H1844/G1844,"")</f>
        <v>102.66666666666667</v>
      </c>
      <c r="L1844" s="14">
        <f>IFERROR(I1844/G1844,"")</f>
        <v>1</v>
      </c>
      <c r="M1844" s="11" t="str">
        <f>IF(K1844&gt;=Paramètres!$F$6,"Très forte",IF(K1844&gt;=Paramètres!$F$5,"Forte",IF(K1844&gt;=Paramètres!$F$4,"Modérée","Faible")))</f>
        <v>Très forte</v>
      </c>
    </row>
    <row r="1845" spans="1:13">
      <c r="A1845" t="s">
        <v>242</v>
      </c>
      <c r="B1845" s="11">
        <v>95</v>
      </c>
      <c r="C1845" t="s">
        <v>90</v>
      </c>
      <c r="D1845" t="s">
        <v>22</v>
      </c>
      <c r="E1845" t="s">
        <v>623</v>
      </c>
      <c r="F1845" t="s">
        <v>92</v>
      </c>
      <c r="G1845" s="12">
        <v>25</v>
      </c>
      <c r="H1845" s="12">
        <v>2455</v>
      </c>
      <c r="I1845" s="12">
        <v>19</v>
      </c>
      <c r="J1845" t="str">
        <f>VLOOKUP(B1845,Paramètres!$A$4:$C$11,3,FALSE)</f>
        <v>Grande couronne</v>
      </c>
      <c r="K1845" s="13">
        <f>IFERROR(H1845/G1845,"")</f>
        <v>98.2</v>
      </c>
      <c r="L1845" s="14">
        <f>IFERROR(I1845/G1845,"")</f>
        <v>0.76</v>
      </c>
      <c r="M1845" s="11" t="str">
        <f>IF(K1845&gt;=Paramètres!$F$6,"Très forte",IF(K1845&gt;=Paramètres!$F$5,"Forte",IF(K1845&gt;=Paramètres!$F$4,"Modérée","Faible")))</f>
        <v>Très forte</v>
      </c>
    </row>
    <row r="1846" spans="1:13">
      <c r="A1846" t="s">
        <v>152</v>
      </c>
      <c r="B1846" s="11">
        <v>75</v>
      </c>
      <c r="C1846" t="s">
        <v>86</v>
      </c>
      <c r="D1846" t="s">
        <v>22</v>
      </c>
      <c r="E1846" t="s">
        <v>740</v>
      </c>
      <c r="F1846" t="s">
        <v>92</v>
      </c>
      <c r="G1846" s="12">
        <v>30</v>
      </c>
      <c r="H1846" s="12">
        <v>2879</v>
      </c>
      <c r="I1846" s="12">
        <v>29</v>
      </c>
      <c r="J1846" t="str">
        <f>VLOOKUP(B1846,Paramètres!$A$4:$C$11,3,FALSE)</f>
        <v>Paris</v>
      </c>
      <c r="K1846" s="13">
        <f>IFERROR(H1846/G1846,"")</f>
        <v>95.966666666666669</v>
      </c>
      <c r="L1846" s="14">
        <f>IFERROR(I1846/G1846,"")</f>
        <v>0.96666666666666667</v>
      </c>
      <c r="M1846" s="11" t="str">
        <f>IF(K1846&gt;=Paramètres!$F$6,"Très forte",IF(K1846&gt;=Paramètres!$F$5,"Forte",IF(K1846&gt;=Paramètres!$F$4,"Modérée","Faible")))</f>
        <v>Très forte</v>
      </c>
    </row>
    <row r="1847" spans="1:13">
      <c r="A1847" t="s">
        <v>152</v>
      </c>
      <c r="B1847" s="11">
        <v>75</v>
      </c>
      <c r="C1847" t="s">
        <v>86</v>
      </c>
      <c r="D1847" t="s">
        <v>22</v>
      </c>
      <c r="E1847" t="s">
        <v>447</v>
      </c>
      <c r="F1847" t="s">
        <v>88</v>
      </c>
      <c r="G1847" s="12">
        <v>90</v>
      </c>
      <c r="H1847" s="12">
        <v>8456</v>
      </c>
      <c r="I1847" s="12">
        <v>90</v>
      </c>
      <c r="J1847" t="str">
        <f>VLOOKUP(B1847,Paramètres!$A$4:$C$11,3,FALSE)</f>
        <v>Paris</v>
      </c>
      <c r="K1847" s="13">
        <f>IFERROR(H1847/G1847,"")</f>
        <v>93.955555555555549</v>
      </c>
      <c r="L1847" s="14">
        <f>IFERROR(I1847/G1847,"")</f>
        <v>1</v>
      </c>
      <c r="M1847" s="11" t="str">
        <f>IF(K1847&gt;=Paramètres!$F$6,"Très forte",IF(K1847&gt;=Paramètres!$F$5,"Forte",IF(K1847&gt;=Paramètres!$F$4,"Modérée","Faible")))</f>
        <v>Très forte</v>
      </c>
    </row>
    <row r="1848" spans="1:13">
      <c r="A1848" t="s">
        <v>152</v>
      </c>
      <c r="B1848" s="11">
        <v>75</v>
      </c>
      <c r="C1848" t="s">
        <v>86</v>
      </c>
      <c r="D1848" t="s">
        <v>22</v>
      </c>
      <c r="E1848" t="s">
        <v>581</v>
      </c>
      <c r="F1848" t="s">
        <v>92</v>
      </c>
      <c r="G1848" s="12">
        <v>30</v>
      </c>
      <c r="H1848" s="12">
        <v>2752</v>
      </c>
      <c r="I1848" s="12">
        <v>30</v>
      </c>
      <c r="J1848" t="str">
        <f>VLOOKUP(B1848,Paramètres!$A$4:$C$11,3,FALSE)</f>
        <v>Paris</v>
      </c>
      <c r="K1848" s="13">
        <f>IFERROR(H1848/G1848,"")</f>
        <v>91.733333333333334</v>
      </c>
      <c r="L1848" s="14">
        <f>IFERROR(I1848/G1848,"")</f>
        <v>1</v>
      </c>
      <c r="M1848" s="11" t="str">
        <f>IF(K1848&gt;=Paramètres!$F$6,"Très forte",IF(K1848&gt;=Paramètres!$F$5,"Forte",IF(K1848&gt;=Paramètres!$F$4,"Modérée","Faible")))</f>
        <v>Très forte</v>
      </c>
    </row>
    <row r="1849" spans="1:13">
      <c r="A1849" t="s">
        <v>115</v>
      </c>
      <c r="B1849" s="11">
        <v>94</v>
      </c>
      <c r="C1849" t="s">
        <v>116</v>
      </c>
      <c r="D1849" t="s">
        <v>22</v>
      </c>
      <c r="E1849" t="s">
        <v>749</v>
      </c>
      <c r="F1849" t="s">
        <v>92</v>
      </c>
      <c r="G1849" s="12">
        <v>20</v>
      </c>
      <c r="H1849" s="12">
        <v>1776</v>
      </c>
      <c r="I1849" s="12">
        <v>20</v>
      </c>
      <c r="J1849" t="str">
        <f>VLOOKUP(B1849,Paramètres!$A$4:$C$11,3,FALSE)</f>
        <v>Petite couronne</v>
      </c>
      <c r="K1849" s="13">
        <f>IFERROR(H1849/G1849,"")</f>
        <v>88.8</v>
      </c>
      <c r="L1849" s="14">
        <f>IFERROR(I1849/G1849,"")</f>
        <v>1</v>
      </c>
      <c r="M1849" s="11" t="str">
        <f>IF(K1849&gt;=Paramètres!$F$6,"Très forte",IF(K1849&gt;=Paramètres!$F$5,"Forte",IF(K1849&gt;=Paramètres!$F$4,"Modérée","Faible")))</f>
        <v>Très forte</v>
      </c>
    </row>
    <row r="1850" spans="1:13">
      <c r="A1850" t="s">
        <v>97</v>
      </c>
      <c r="B1850" s="11">
        <v>92</v>
      </c>
      <c r="C1850" t="s">
        <v>94</v>
      </c>
      <c r="D1850" t="s">
        <v>22</v>
      </c>
      <c r="E1850" t="s">
        <v>630</v>
      </c>
      <c r="F1850" t="s">
        <v>92</v>
      </c>
      <c r="G1850" s="12">
        <v>20</v>
      </c>
      <c r="H1850" s="12">
        <v>1752</v>
      </c>
      <c r="I1850" s="12">
        <v>20</v>
      </c>
      <c r="J1850" t="str">
        <f>VLOOKUP(B1850,Paramètres!$A$4:$C$11,3,FALSE)</f>
        <v>Petite couronne</v>
      </c>
      <c r="K1850" s="13">
        <f>IFERROR(H1850/G1850,"")</f>
        <v>87.6</v>
      </c>
      <c r="L1850" s="14">
        <f>IFERROR(I1850/G1850,"")</f>
        <v>1</v>
      </c>
      <c r="M1850" s="11" t="str">
        <f>IF(K1850&gt;=Paramètres!$F$6,"Très forte",IF(K1850&gt;=Paramètres!$F$5,"Forte",IF(K1850&gt;=Paramètres!$F$4,"Modérée","Faible")))</f>
        <v>Très forte</v>
      </c>
    </row>
    <row r="1851" spans="1:13">
      <c r="A1851" t="s">
        <v>129</v>
      </c>
      <c r="B1851" s="11">
        <v>91</v>
      </c>
      <c r="C1851" t="s">
        <v>105</v>
      </c>
      <c r="D1851" t="s">
        <v>22</v>
      </c>
      <c r="E1851" t="s">
        <v>347</v>
      </c>
      <c r="F1851" t="s">
        <v>92</v>
      </c>
      <c r="G1851" s="12">
        <v>50</v>
      </c>
      <c r="H1851" s="12">
        <v>4167</v>
      </c>
      <c r="I1851" s="12">
        <v>51</v>
      </c>
      <c r="J1851" t="str">
        <f>VLOOKUP(B1851,Paramètres!$A$4:$C$11,3,FALSE)</f>
        <v>Grande couronne</v>
      </c>
      <c r="K1851" s="13">
        <f>IFERROR(H1851/G1851,"")</f>
        <v>83.34</v>
      </c>
      <c r="L1851" s="14">
        <f>IFERROR(I1851/G1851,"")</f>
        <v>1.02</v>
      </c>
      <c r="M1851" s="11" t="str">
        <f>IF(K1851&gt;=Paramètres!$F$6,"Très forte",IF(K1851&gt;=Paramètres!$F$5,"Forte",IF(K1851&gt;=Paramètres!$F$4,"Modérée","Faible")))</f>
        <v>Très forte</v>
      </c>
    </row>
    <row r="1852" spans="1:13">
      <c r="A1852" t="s">
        <v>110</v>
      </c>
      <c r="B1852" s="11">
        <v>75</v>
      </c>
      <c r="C1852" t="s">
        <v>86</v>
      </c>
      <c r="D1852" t="s">
        <v>22</v>
      </c>
      <c r="E1852" t="s">
        <v>211</v>
      </c>
      <c r="F1852" t="s">
        <v>92</v>
      </c>
      <c r="G1852" s="12">
        <v>6</v>
      </c>
      <c r="H1852" s="12">
        <v>498</v>
      </c>
      <c r="I1852" s="12">
        <v>6</v>
      </c>
      <c r="J1852" t="str">
        <f>VLOOKUP(B1852,Paramètres!$A$4:$C$11,3,FALSE)</f>
        <v>Paris</v>
      </c>
      <c r="K1852" s="13">
        <f>IFERROR(H1852/G1852,"")</f>
        <v>83</v>
      </c>
      <c r="L1852" s="14">
        <f>IFERROR(I1852/G1852,"")</f>
        <v>1</v>
      </c>
      <c r="M1852" s="11" t="str">
        <f>IF(K1852&gt;=Paramètres!$F$6,"Très forte",IF(K1852&gt;=Paramètres!$F$5,"Forte",IF(K1852&gt;=Paramètres!$F$4,"Modérée","Faible")))</f>
        <v>Très forte</v>
      </c>
    </row>
    <row r="1853" spans="1:13">
      <c r="A1853" t="s">
        <v>119</v>
      </c>
      <c r="B1853" s="11">
        <v>75</v>
      </c>
      <c r="C1853" t="s">
        <v>86</v>
      </c>
      <c r="D1853" t="s">
        <v>22</v>
      </c>
      <c r="E1853" t="s">
        <v>601</v>
      </c>
      <c r="F1853" t="s">
        <v>92</v>
      </c>
      <c r="G1853" s="12">
        <v>16</v>
      </c>
      <c r="H1853" s="12">
        <v>1328</v>
      </c>
      <c r="I1853" s="12">
        <v>14</v>
      </c>
      <c r="J1853" t="str">
        <f>VLOOKUP(B1853,Paramètres!$A$4:$C$11,3,FALSE)</f>
        <v>Paris</v>
      </c>
      <c r="K1853" s="13">
        <f>IFERROR(H1853/G1853,"")</f>
        <v>83</v>
      </c>
      <c r="L1853" s="14">
        <f>IFERROR(I1853/G1853,"")</f>
        <v>0.875</v>
      </c>
      <c r="M1853" s="11" t="str">
        <f>IF(K1853&gt;=Paramètres!$F$6,"Très forte",IF(K1853&gt;=Paramètres!$F$5,"Forte",IF(K1853&gt;=Paramètres!$F$4,"Modérée","Faible")))</f>
        <v>Très forte</v>
      </c>
    </row>
    <row r="1854" spans="1:13">
      <c r="A1854" t="s">
        <v>127</v>
      </c>
      <c r="B1854" s="11">
        <v>75</v>
      </c>
      <c r="C1854" t="s">
        <v>86</v>
      </c>
      <c r="D1854" t="s">
        <v>22</v>
      </c>
      <c r="E1854" t="s">
        <v>228</v>
      </c>
      <c r="F1854" t="s">
        <v>88</v>
      </c>
      <c r="G1854" s="12">
        <v>2</v>
      </c>
      <c r="H1854" s="12">
        <v>165</v>
      </c>
      <c r="I1854" s="12">
        <v>2</v>
      </c>
      <c r="J1854" t="str">
        <f>VLOOKUP(B1854,Paramètres!$A$4:$C$11,3,FALSE)</f>
        <v>Paris</v>
      </c>
      <c r="K1854" s="13">
        <f>IFERROR(H1854/G1854,"")</f>
        <v>82.5</v>
      </c>
      <c r="L1854" s="14">
        <f>IFERROR(I1854/G1854,"")</f>
        <v>1</v>
      </c>
      <c r="M1854" s="11" t="str">
        <f>IF(K1854&gt;=Paramètres!$F$6,"Très forte",IF(K1854&gt;=Paramètres!$F$5,"Forte",IF(K1854&gt;=Paramètres!$F$4,"Modérée","Faible")))</f>
        <v>Très forte</v>
      </c>
    </row>
    <row r="1855" spans="1:13">
      <c r="A1855" t="s">
        <v>127</v>
      </c>
      <c r="B1855" s="11">
        <v>75</v>
      </c>
      <c r="C1855" t="s">
        <v>86</v>
      </c>
      <c r="D1855" t="s">
        <v>22</v>
      </c>
      <c r="E1855" t="s">
        <v>774</v>
      </c>
      <c r="F1855" t="s">
        <v>88</v>
      </c>
      <c r="G1855" s="12">
        <v>40</v>
      </c>
      <c r="H1855" s="12">
        <v>3250</v>
      </c>
      <c r="I1855" s="12">
        <v>40</v>
      </c>
      <c r="J1855" t="str">
        <f>VLOOKUP(B1855,Paramètres!$A$4:$C$11,3,FALSE)</f>
        <v>Paris</v>
      </c>
      <c r="K1855" s="13">
        <f>IFERROR(H1855/G1855,"")</f>
        <v>81.25</v>
      </c>
      <c r="L1855" s="14">
        <f>IFERROR(I1855/G1855,"")</f>
        <v>1</v>
      </c>
      <c r="M1855" s="11" t="str">
        <f>IF(K1855&gt;=Paramètres!$F$6,"Très forte",IF(K1855&gt;=Paramètres!$F$5,"Forte",IF(K1855&gt;=Paramètres!$F$4,"Modérée","Faible")))</f>
        <v>Très forte</v>
      </c>
    </row>
    <row r="1856" spans="1:13">
      <c r="A1856" t="s">
        <v>97</v>
      </c>
      <c r="B1856" s="11">
        <v>92</v>
      </c>
      <c r="C1856" t="s">
        <v>94</v>
      </c>
      <c r="D1856" t="s">
        <v>22</v>
      </c>
      <c r="E1856" t="s">
        <v>768</v>
      </c>
      <c r="F1856" t="s">
        <v>92</v>
      </c>
      <c r="G1856" s="12">
        <v>10</v>
      </c>
      <c r="H1856" s="12">
        <v>811</v>
      </c>
      <c r="I1856" s="12">
        <v>10</v>
      </c>
      <c r="J1856" t="str">
        <f>VLOOKUP(B1856,Paramètres!$A$4:$C$11,3,FALSE)</f>
        <v>Petite couronne</v>
      </c>
      <c r="K1856" s="13">
        <f>IFERROR(H1856/G1856,"")</f>
        <v>81.099999999999994</v>
      </c>
      <c r="L1856" s="14">
        <f>IFERROR(I1856/G1856,"")</f>
        <v>1</v>
      </c>
      <c r="M1856" s="11" t="str">
        <f>IF(K1856&gt;=Paramètres!$F$6,"Très forte",IF(K1856&gt;=Paramètres!$F$5,"Forte",IF(K1856&gt;=Paramètres!$F$4,"Modérée","Faible")))</f>
        <v>Très forte</v>
      </c>
    </row>
    <row r="1857" spans="1:13">
      <c r="A1857" t="s">
        <v>242</v>
      </c>
      <c r="B1857" s="11">
        <v>95</v>
      </c>
      <c r="C1857" t="s">
        <v>90</v>
      </c>
      <c r="D1857" t="s">
        <v>22</v>
      </c>
      <c r="E1857" t="s">
        <v>624</v>
      </c>
      <c r="F1857" t="s">
        <v>92</v>
      </c>
      <c r="G1857" s="12">
        <v>15</v>
      </c>
      <c r="H1857" s="12">
        <v>1187</v>
      </c>
      <c r="I1857" s="12">
        <v>12</v>
      </c>
      <c r="J1857" t="str">
        <f>VLOOKUP(B1857,Paramètres!$A$4:$C$11,3,FALSE)</f>
        <v>Grande couronne</v>
      </c>
      <c r="K1857" s="13">
        <f>IFERROR(H1857/G1857,"")</f>
        <v>79.13333333333334</v>
      </c>
      <c r="L1857" s="14">
        <f>IFERROR(I1857/G1857,"")</f>
        <v>0.8</v>
      </c>
      <c r="M1857" s="11" t="str">
        <f>IF(K1857&gt;=Paramètres!$F$6,"Très forte",IF(K1857&gt;=Paramètres!$F$5,"Forte",IF(K1857&gt;=Paramètres!$F$4,"Modérée","Faible")))</f>
        <v>Très forte</v>
      </c>
    </row>
    <row r="1858" spans="1:13">
      <c r="A1858" t="s">
        <v>115</v>
      </c>
      <c r="B1858" s="11">
        <v>94</v>
      </c>
      <c r="C1858" t="s">
        <v>116</v>
      </c>
      <c r="D1858" t="s">
        <v>22</v>
      </c>
      <c r="E1858" t="s">
        <v>747</v>
      </c>
      <c r="F1858" t="s">
        <v>92</v>
      </c>
      <c r="G1858" s="12">
        <v>30</v>
      </c>
      <c r="H1858" s="12">
        <v>2373</v>
      </c>
      <c r="I1858" s="12">
        <v>29</v>
      </c>
      <c r="J1858" t="str">
        <f>VLOOKUP(B1858,Paramètres!$A$4:$C$11,3,FALSE)</f>
        <v>Petite couronne</v>
      </c>
      <c r="K1858" s="13">
        <f>IFERROR(H1858/G1858,"")</f>
        <v>79.099999999999994</v>
      </c>
      <c r="L1858" s="14">
        <f>IFERROR(I1858/G1858,"")</f>
        <v>0.96666666666666667</v>
      </c>
      <c r="M1858" s="11" t="str">
        <f>IF(K1858&gt;=Paramètres!$F$6,"Très forte",IF(K1858&gt;=Paramètres!$F$5,"Forte",IF(K1858&gt;=Paramètres!$F$4,"Modérée","Faible")))</f>
        <v>Très forte</v>
      </c>
    </row>
    <row r="1859" spans="1:13">
      <c r="A1859" t="s">
        <v>131</v>
      </c>
      <c r="B1859" s="11">
        <v>77</v>
      </c>
      <c r="C1859" t="s">
        <v>132</v>
      </c>
      <c r="D1859" t="s">
        <v>22</v>
      </c>
      <c r="E1859" t="s">
        <v>329</v>
      </c>
      <c r="F1859" t="s">
        <v>92</v>
      </c>
      <c r="G1859" s="12">
        <v>13</v>
      </c>
      <c r="H1859" s="12">
        <v>1026</v>
      </c>
      <c r="I1859" s="12">
        <v>14</v>
      </c>
      <c r="J1859" t="str">
        <f>VLOOKUP(B1859,Paramètres!$A$4:$C$11,3,FALSE)</f>
        <v>Grande couronne</v>
      </c>
      <c r="K1859" s="13">
        <f>IFERROR(H1859/G1859,"")</f>
        <v>78.92307692307692</v>
      </c>
      <c r="L1859" s="14">
        <f>IFERROR(I1859/G1859,"")</f>
        <v>1.0769230769230769</v>
      </c>
      <c r="M1859" s="11" t="str">
        <f>IF(K1859&gt;=Paramètres!$F$6,"Très forte",IF(K1859&gt;=Paramètres!$F$5,"Forte",IF(K1859&gt;=Paramètres!$F$4,"Modérée","Faible")))</f>
        <v>Très forte</v>
      </c>
    </row>
    <row r="1860" spans="1:13">
      <c r="A1860" t="s">
        <v>349</v>
      </c>
      <c r="B1860" s="11">
        <v>91</v>
      </c>
      <c r="C1860" t="s">
        <v>105</v>
      </c>
      <c r="D1860" t="s">
        <v>22</v>
      </c>
      <c r="E1860" t="s">
        <v>479</v>
      </c>
      <c r="F1860" t="s">
        <v>92</v>
      </c>
      <c r="G1860" s="12">
        <v>45</v>
      </c>
      <c r="H1860" s="12">
        <v>3512</v>
      </c>
      <c r="I1860" s="12">
        <v>40</v>
      </c>
      <c r="J1860" t="str">
        <f>VLOOKUP(B1860,Paramètres!$A$4:$C$11,3,FALSE)</f>
        <v>Grande couronne</v>
      </c>
      <c r="K1860" s="13">
        <f>IFERROR(H1860/G1860,"")</f>
        <v>78.044444444444451</v>
      </c>
      <c r="L1860" s="14">
        <f>IFERROR(I1860/G1860,"")</f>
        <v>0.88888888888888884</v>
      </c>
      <c r="M1860" s="11" t="str">
        <f>IF(K1860&gt;=Paramètres!$F$6,"Très forte",IF(K1860&gt;=Paramètres!$F$5,"Forte",IF(K1860&gt;=Paramètres!$F$4,"Modérée","Faible")))</f>
        <v>Très forte</v>
      </c>
    </row>
    <row r="1861" spans="1:13">
      <c r="A1861" t="s">
        <v>115</v>
      </c>
      <c r="B1861" s="11">
        <v>94</v>
      </c>
      <c r="C1861" t="s">
        <v>116</v>
      </c>
      <c r="D1861" t="s">
        <v>22</v>
      </c>
      <c r="E1861" t="s">
        <v>765</v>
      </c>
      <c r="F1861" t="s">
        <v>92</v>
      </c>
      <c r="G1861" s="12">
        <v>25</v>
      </c>
      <c r="H1861" s="12">
        <v>1947</v>
      </c>
      <c r="I1861" s="12">
        <v>25</v>
      </c>
      <c r="J1861" t="str">
        <f>VLOOKUP(B1861,Paramètres!$A$4:$C$11,3,FALSE)</f>
        <v>Petite couronne</v>
      </c>
      <c r="K1861" s="13">
        <f>IFERROR(H1861/G1861,"")</f>
        <v>77.88</v>
      </c>
      <c r="L1861" s="14">
        <f>IFERROR(I1861/G1861,"")</f>
        <v>1</v>
      </c>
      <c r="M1861" s="11" t="str">
        <f>IF(K1861&gt;=Paramètres!$F$6,"Très forte",IF(K1861&gt;=Paramètres!$F$5,"Forte",IF(K1861&gt;=Paramètres!$F$4,"Modérée","Faible")))</f>
        <v>Très forte</v>
      </c>
    </row>
    <row r="1862" spans="1:13">
      <c r="A1862" t="s">
        <v>349</v>
      </c>
      <c r="B1862" s="11">
        <v>91</v>
      </c>
      <c r="C1862" t="s">
        <v>105</v>
      </c>
      <c r="D1862" t="s">
        <v>22</v>
      </c>
      <c r="E1862" t="s">
        <v>350</v>
      </c>
      <c r="F1862" t="s">
        <v>92</v>
      </c>
      <c r="G1862" s="12">
        <v>30</v>
      </c>
      <c r="H1862" s="12">
        <v>2333</v>
      </c>
      <c r="I1862" s="12">
        <v>29</v>
      </c>
      <c r="J1862" t="str">
        <f>VLOOKUP(B1862,Paramètres!$A$4:$C$11,3,FALSE)</f>
        <v>Grande couronne</v>
      </c>
      <c r="K1862" s="13">
        <f>IFERROR(H1862/G1862,"")</f>
        <v>77.766666666666666</v>
      </c>
      <c r="L1862" s="14">
        <f>IFERROR(I1862/G1862,"")</f>
        <v>0.96666666666666667</v>
      </c>
      <c r="M1862" s="11" t="str">
        <f>IF(K1862&gt;=Paramètres!$F$6,"Très forte",IF(K1862&gt;=Paramètres!$F$5,"Forte",IF(K1862&gt;=Paramètres!$F$4,"Modérée","Faible")))</f>
        <v>Très forte</v>
      </c>
    </row>
    <row r="1863" spans="1:13">
      <c r="A1863" t="s">
        <v>119</v>
      </c>
      <c r="B1863" s="11">
        <v>75</v>
      </c>
      <c r="C1863" t="s">
        <v>86</v>
      </c>
      <c r="D1863" t="s">
        <v>22</v>
      </c>
      <c r="E1863" t="s">
        <v>561</v>
      </c>
      <c r="F1863" t="s">
        <v>92</v>
      </c>
      <c r="G1863" s="12">
        <v>20</v>
      </c>
      <c r="H1863" s="12">
        <v>1547</v>
      </c>
      <c r="I1863" s="12">
        <v>19</v>
      </c>
      <c r="J1863" t="str">
        <f>VLOOKUP(B1863,Paramètres!$A$4:$C$11,3,FALSE)</f>
        <v>Paris</v>
      </c>
      <c r="K1863" s="13">
        <f>IFERROR(H1863/G1863,"")</f>
        <v>77.349999999999994</v>
      </c>
      <c r="L1863" s="14">
        <f>IFERROR(I1863/G1863,"")</f>
        <v>0.95</v>
      </c>
      <c r="M1863" s="11" t="str">
        <f>IF(K1863&gt;=Paramètres!$F$6,"Très forte",IF(K1863&gt;=Paramètres!$F$5,"Forte",IF(K1863&gt;=Paramètres!$F$4,"Modérée","Faible")))</f>
        <v>Très forte</v>
      </c>
    </row>
    <row r="1864" spans="1:13">
      <c r="A1864" t="s">
        <v>152</v>
      </c>
      <c r="B1864" s="11">
        <v>75</v>
      </c>
      <c r="C1864" t="s">
        <v>86</v>
      </c>
      <c r="D1864" t="s">
        <v>22</v>
      </c>
      <c r="E1864" t="s">
        <v>312</v>
      </c>
      <c r="F1864" t="s">
        <v>92</v>
      </c>
      <c r="G1864" s="12">
        <v>15</v>
      </c>
      <c r="H1864" s="12">
        <v>1116</v>
      </c>
      <c r="I1864" s="12">
        <v>14</v>
      </c>
      <c r="J1864" t="str">
        <f>VLOOKUP(B1864,Paramètres!$A$4:$C$11,3,FALSE)</f>
        <v>Paris</v>
      </c>
      <c r="K1864" s="13">
        <f>IFERROR(H1864/G1864,"")</f>
        <v>74.400000000000006</v>
      </c>
      <c r="L1864" s="14">
        <f>IFERROR(I1864/G1864,"")</f>
        <v>0.93333333333333335</v>
      </c>
      <c r="M1864" s="11" t="str">
        <f>IF(K1864&gt;=Paramètres!$F$6,"Très forte",IF(K1864&gt;=Paramètres!$F$5,"Forte",IF(K1864&gt;=Paramètres!$F$4,"Modérée","Faible")))</f>
        <v>Très forte</v>
      </c>
    </row>
    <row r="1865" spans="1:13">
      <c r="A1865" t="s">
        <v>97</v>
      </c>
      <c r="B1865" s="11">
        <v>92</v>
      </c>
      <c r="C1865" t="s">
        <v>94</v>
      </c>
      <c r="D1865" t="s">
        <v>22</v>
      </c>
      <c r="E1865" t="s">
        <v>708</v>
      </c>
      <c r="F1865" t="s">
        <v>92</v>
      </c>
      <c r="G1865" s="12">
        <v>35</v>
      </c>
      <c r="H1865" s="12">
        <v>2586</v>
      </c>
      <c r="I1865" s="12">
        <v>34</v>
      </c>
      <c r="J1865" t="str">
        <f>VLOOKUP(B1865,Paramètres!$A$4:$C$11,3,FALSE)</f>
        <v>Petite couronne</v>
      </c>
      <c r="K1865" s="13">
        <f>IFERROR(H1865/G1865,"")</f>
        <v>73.885714285714286</v>
      </c>
      <c r="L1865" s="14">
        <f>IFERROR(I1865/G1865,"")</f>
        <v>0.97142857142857142</v>
      </c>
      <c r="M1865" s="11" t="str">
        <f>IF(K1865&gt;=Paramètres!$F$6,"Très forte",IF(K1865&gt;=Paramètres!$F$5,"Forte",IF(K1865&gt;=Paramètres!$F$4,"Modérée","Faible")))</f>
        <v>Très forte</v>
      </c>
    </row>
    <row r="1866" spans="1:13">
      <c r="A1866" t="s">
        <v>110</v>
      </c>
      <c r="B1866" s="11">
        <v>75</v>
      </c>
      <c r="C1866" t="s">
        <v>86</v>
      </c>
      <c r="D1866" t="s">
        <v>22</v>
      </c>
      <c r="E1866" t="s">
        <v>102</v>
      </c>
      <c r="F1866" t="s">
        <v>88</v>
      </c>
      <c r="G1866" s="12">
        <v>130</v>
      </c>
      <c r="H1866" s="12">
        <v>9520</v>
      </c>
      <c r="I1866" s="12">
        <v>130</v>
      </c>
      <c r="J1866" t="str">
        <f>VLOOKUP(B1866,Paramètres!$A$4:$C$11,3,FALSE)</f>
        <v>Paris</v>
      </c>
      <c r="K1866" s="13">
        <f>IFERROR(H1866/G1866,"")</f>
        <v>73.230769230769226</v>
      </c>
      <c r="L1866" s="14">
        <f>IFERROR(I1866/G1866,"")</f>
        <v>1</v>
      </c>
      <c r="M1866" s="11" t="str">
        <f>IF(K1866&gt;=Paramètres!$F$6,"Très forte",IF(K1866&gt;=Paramètres!$F$5,"Forte",IF(K1866&gt;=Paramètres!$F$4,"Modérée","Faible")))</f>
        <v>Très forte</v>
      </c>
    </row>
    <row r="1867" spans="1:13">
      <c r="A1867" t="s">
        <v>110</v>
      </c>
      <c r="B1867" s="11">
        <v>75</v>
      </c>
      <c r="C1867" t="s">
        <v>86</v>
      </c>
      <c r="D1867" t="s">
        <v>22</v>
      </c>
      <c r="E1867" t="s">
        <v>304</v>
      </c>
      <c r="F1867" t="s">
        <v>92</v>
      </c>
      <c r="G1867" s="12">
        <v>32</v>
      </c>
      <c r="H1867" s="12">
        <v>2289</v>
      </c>
      <c r="I1867" s="12">
        <v>30</v>
      </c>
      <c r="J1867" t="str">
        <f>VLOOKUP(B1867,Paramètres!$A$4:$C$11,3,FALSE)</f>
        <v>Paris</v>
      </c>
      <c r="K1867" s="13">
        <f>IFERROR(H1867/G1867,"")</f>
        <v>71.53125</v>
      </c>
      <c r="L1867" s="14">
        <f>IFERROR(I1867/G1867,"")</f>
        <v>0.9375</v>
      </c>
      <c r="M1867" s="11" t="str">
        <f>IF(K1867&gt;=Paramètres!$F$6,"Très forte",IF(K1867&gt;=Paramètres!$F$5,"Forte",IF(K1867&gt;=Paramètres!$F$4,"Modérée","Faible")))</f>
        <v>Très forte</v>
      </c>
    </row>
    <row r="1868" spans="1:13">
      <c r="A1868" t="s">
        <v>115</v>
      </c>
      <c r="B1868" s="11">
        <v>94</v>
      </c>
      <c r="C1868" t="s">
        <v>116</v>
      </c>
      <c r="D1868" t="s">
        <v>22</v>
      </c>
      <c r="E1868" t="s">
        <v>316</v>
      </c>
      <c r="F1868" t="s">
        <v>88</v>
      </c>
      <c r="G1868" s="12">
        <v>58</v>
      </c>
      <c r="H1868" s="12">
        <v>4091</v>
      </c>
      <c r="I1868" s="12">
        <v>58</v>
      </c>
      <c r="J1868" t="str">
        <f>VLOOKUP(B1868,Paramètres!$A$4:$C$11,3,FALSE)</f>
        <v>Petite couronne</v>
      </c>
      <c r="K1868" s="13">
        <f>IFERROR(H1868/G1868,"")</f>
        <v>70.534482758620683</v>
      </c>
      <c r="L1868" s="14">
        <f>IFERROR(I1868/G1868,"")</f>
        <v>1</v>
      </c>
      <c r="M1868" s="11" t="str">
        <f>IF(K1868&gt;=Paramètres!$F$6,"Très forte",IF(K1868&gt;=Paramètres!$F$5,"Forte",IF(K1868&gt;=Paramètres!$F$4,"Modérée","Faible")))</f>
        <v>Très forte</v>
      </c>
    </row>
    <row r="1869" spans="1:13">
      <c r="A1869" t="s">
        <v>155</v>
      </c>
      <c r="B1869" s="11">
        <v>75</v>
      </c>
      <c r="C1869" t="s">
        <v>86</v>
      </c>
      <c r="D1869" t="s">
        <v>22</v>
      </c>
      <c r="E1869" t="s">
        <v>447</v>
      </c>
      <c r="F1869" t="s">
        <v>88</v>
      </c>
      <c r="G1869" s="12">
        <v>120</v>
      </c>
      <c r="H1869" s="12">
        <v>8319</v>
      </c>
      <c r="I1869" s="12">
        <v>119</v>
      </c>
      <c r="J1869" t="str">
        <f>VLOOKUP(B1869,Paramètres!$A$4:$C$11,3,FALSE)</f>
        <v>Paris</v>
      </c>
      <c r="K1869" s="13">
        <f>IFERROR(H1869/G1869,"")</f>
        <v>69.325000000000003</v>
      </c>
      <c r="L1869" s="14">
        <f>IFERROR(I1869/G1869,"")</f>
        <v>0.9916666666666667</v>
      </c>
      <c r="M1869" s="11" t="str">
        <f>IF(K1869&gt;=Paramètres!$F$6,"Très forte",IF(K1869&gt;=Paramètres!$F$5,"Forte",IF(K1869&gt;=Paramètres!$F$4,"Modérée","Faible")))</f>
        <v>Très forte</v>
      </c>
    </row>
    <row r="1870" spans="1:13">
      <c r="A1870" t="s">
        <v>110</v>
      </c>
      <c r="B1870" s="11">
        <v>75</v>
      </c>
      <c r="C1870" t="s">
        <v>86</v>
      </c>
      <c r="D1870" t="s">
        <v>22</v>
      </c>
      <c r="E1870" t="s">
        <v>356</v>
      </c>
      <c r="F1870" t="s">
        <v>92</v>
      </c>
      <c r="G1870" s="12">
        <v>20</v>
      </c>
      <c r="H1870" s="12">
        <v>1385</v>
      </c>
      <c r="I1870" s="12">
        <v>20</v>
      </c>
      <c r="J1870" t="str">
        <f>VLOOKUP(B1870,Paramètres!$A$4:$C$11,3,FALSE)</f>
        <v>Paris</v>
      </c>
      <c r="K1870" s="13">
        <f>IFERROR(H1870/G1870,"")</f>
        <v>69.25</v>
      </c>
      <c r="L1870" s="14">
        <f>IFERROR(I1870/G1870,"")</f>
        <v>1</v>
      </c>
      <c r="M1870" s="11" t="str">
        <f>IF(K1870&gt;=Paramètres!$F$6,"Très forte",IF(K1870&gt;=Paramètres!$F$5,"Forte",IF(K1870&gt;=Paramètres!$F$4,"Modérée","Faible")))</f>
        <v>Très forte</v>
      </c>
    </row>
    <row r="1871" spans="1:13">
      <c r="A1871" t="s">
        <v>115</v>
      </c>
      <c r="B1871" s="11">
        <v>94</v>
      </c>
      <c r="C1871" t="s">
        <v>116</v>
      </c>
      <c r="D1871" t="s">
        <v>22</v>
      </c>
      <c r="E1871" t="s">
        <v>361</v>
      </c>
      <c r="F1871" t="s">
        <v>92</v>
      </c>
      <c r="G1871" s="12">
        <v>20</v>
      </c>
      <c r="H1871" s="12">
        <v>1336</v>
      </c>
      <c r="I1871" s="12">
        <v>20</v>
      </c>
      <c r="J1871" t="str">
        <f>VLOOKUP(B1871,Paramètres!$A$4:$C$11,3,FALSE)</f>
        <v>Petite couronne</v>
      </c>
      <c r="K1871" s="13">
        <f>IFERROR(H1871/G1871,"")</f>
        <v>66.8</v>
      </c>
      <c r="L1871" s="14">
        <f>IFERROR(I1871/G1871,"")</f>
        <v>1</v>
      </c>
      <c r="M1871" s="11" t="str">
        <f>IF(K1871&gt;=Paramètres!$F$6,"Très forte",IF(K1871&gt;=Paramètres!$F$5,"Forte",IF(K1871&gt;=Paramètres!$F$4,"Modérée","Faible")))</f>
        <v>Très forte</v>
      </c>
    </row>
    <row r="1872" spans="1:13">
      <c r="A1872" t="s">
        <v>155</v>
      </c>
      <c r="B1872" s="11">
        <v>75</v>
      </c>
      <c r="C1872" t="s">
        <v>86</v>
      </c>
      <c r="D1872" t="s">
        <v>22</v>
      </c>
      <c r="E1872" t="s">
        <v>317</v>
      </c>
      <c r="F1872" t="s">
        <v>92</v>
      </c>
      <c r="G1872" s="12">
        <v>35</v>
      </c>
      <c r="H1872" s="12">
        <v>2241</v>
      </c>
      <c r="I1872" s="12">
        <v>35</v>
      </c>
      <c r="J1872" t="str">
        <f>VLOOKUP(B1872,Paramètres!$A$4:$C$11,3,FALSE)</f>
        <v>Paris</v>
      </c>
      <c r="K1872" s="13">
        <f>IFERROR(H1872/G1872,"")</f>
        <v>64.028571428571425</v>
      </c>
      <c r="L1872" s="14">
        <f>IFERROR(I1872/G1872,"")</f>
        <v>1</v>
      </c>
      <c r="M1872" s="11" t="str">
        <f>IF(K1872&gt;=Paramètres!$F$6,"Très forte",IF(K1872&gt;=Paramètres!$F$5,"Forte",IF(K1872&gt;=Paramètres!$F$4,"Modérée","Faible")))</f>
        <v>Très forte</v>
      </c>
    </row>
    <row r="1873" spans="1:13">
      <c r="A1873" t="s">
        <v>127</v>
      </c>
      <c r="B1873" s="11">
        <v>75</v>
      </c>
      <c r="C1873" t="s">
        <v>86</v>
      </c>
      <c r="D1873" t="s">
        <v>22</v>
      </c>
      <c r="E1873" t="s">
        <v>582</v>
      </c>
      <c r="F1873" t="s">
        <v>88</v>
      </c>
      <c r="G1873" s="12">
        <v>30</v>
      </c>
      <c r="H1873" s="12">
        <v>1918</v>
      </c>
      <c r="I1873" s="12">
        <v>28</v>
      </c>
      <c r="J1873" t="str">
        <f>VLOOKUP(B1873,Paramètres!$A$4:$C$11,3,FALSE)</f>
        <v>Paris</v>
      </c>
      <c r="K1873" s="13">
        <f>IFERROR(H1873/G1873,"")</f>
        <v>63.93333333333333</v>
      </c>
      <c r="L1873" s="14">
        <f>IFERROR(I1873/G1873,"")</f>
        <v>0.93333333333333335</v>
      </c>
      <c r="M1873" s="11" t="str">
        <f>IF(K1873&gt;=Paramètres!$F$6,"Très forte",IF(K1873&gt;=Paramètres!$F$5,"Forte",IF(K1873&gt;=Paramètres!$F$4,"Modérée","Faible")))</f>
        <v>Très forte</v>
      </c>
    </row>
    <row r="1874" spans="1:13">
      <c r="A1874" t="s">
        <v>259</v>
      </c>
      <c r="B1874" s="11">
        <v>92</v>
      </c>
      <c r="C1874" t="s">
        <v>94</v>
      </c>
      <c r="D1874" t="s">
        <v>22</v>
      </c>
      <c r="E1874" t="s">
        <v>260</v>
      </c>
      <c r="F1874" t="s">
        <v>88</v>
      </c>
      <c r="G1874" s="12">
        <v>24</v>
      </c>
      <c r="H1874" s="12">
        <v>1513</v>
      </c>
      <c r="I1874" s="12">
        <v>24</v>
      </c>
      <c r="J1874" t="str">
        <f>VLOOKUP(B1874,Paramètres!$A$4:$C$11,3,FALSE)</f>
        <v>Petite couronne</v>
      </c>
      <c r="K1874" s="13">
        <f>IFERROR(H1874/G1874,"")</f>
        <v>63.041666666666664</v>
      </c>
      <c r="L1874" s="14">
        <f>IFERROR(I1874/G1874,"")</f>
        <v>1</v>
      </c>
      <c r="M1874" s="11" t="str">
        <f>IF(K1874&gt;=Paramètres!$F$6,"Très forte",IF(K1874&gt;=Paramètres!$F$5,"Forte",IF(K1874&gt;=Paramètres!$F$4,"Modérée","Faible")))</f>
        <v>Très forte</v>
      </c>
    </row>
    <row r="1875" spans="1:13">
      <c r="A1875" t="s">
        <v>110</v>
      </c>
      <c r="B1875" s="11">
        <v>75</v>
      </c>
      <c r="C1875" t="s">
        <v>86</v>
      </c>
      <c r="D1875" t="s">
        <v>22</v>
      </c>
      <c r="E1875" t="s">
        <v>508</v>
      </c>
      <c r="F1875" t="s">
        <v>88</v>
      </c>
      <c r="G1875" s="12">
        <v>160</v>
      </c>
      <c r="H1875" s="12">
        <v>9996</v>
      </c>
      <c r="I1875" s="12">
        <v>157</v>
      </c>
      <c r="J1875" t="str">
        <f>VLOOKUP(B1875,Paramètres!$A$4:$C$11,3,FALSE)</f>
        <v>Paris</v>
      </c>
      <c r="K1875" s="13">
        <f>IFERROR(H1875/G1875,"")</f>
        <v>62.475000000000001</v>
      </c>
      <c r="L1875" s="14">
        <f>IFERROR(I1875/G1875,"")</f>
        <v>0.98124999999999996</v>
      </c>
      <c r="M1875" s="11" t="str">
        <f>IF(K1875&gt;=Paramètres!$F$6,"Très forte",IF(K1875&gt;=Paramètres!$F$5,"Forte",IF(K1875&gt;=Paramètres!$F$4,"Modérée","Faible")))</f>
        <v>Très forte</v>
      </c>
    </row>
    <row r="1876" spans="1:13">
      <c r="A1876" t="s">
        <v>265</v>
      </c>
      <c r="B1876" s="11">
        <v>93</v>
      </c>
      <c r="C1876" t="s">
        <v>100</v>
      </c>
      <c r="D1876" t="s">
        <v>22</v>
      </c>
      <c r="E1876" t="s">
        <v>311</v>
      </c>
      <c r="F1876" t="s">
        <v>92</v>
      </c>
      <c r="G1876" s="12">
        <v>45</v>
      </c>
      <c r="H1876" s="12">
        <v>2721</v>
      </c>
      <c r="I1876" s="12">
        <v>39</v>
      </c>
      <c r="J1876" t="str">
        <f>VLOOKUP(B1876,Paramètres!$A$4:$C$11,3,FALSE)</f>
        <v>Petite couronne</v>
      </c>
      <c r="K1876" s="13">
        <f>IFERROR(H1876/G1876,"")</f>
        <v>60.466666666666669</v>
      </c>
      <c r="L1876" s="14">
        <f>IFERROR(I1876/G1876,"")</f>
        <v>0.8666666666666667</v>
      </c>
      <c r="M1876" s="11" t="str">
        <f>IF(K1876&gt;=Paramètres!$F$6,"Très forte",IF(K1876&gt;=Paramètres!$F$5,"Forte",IF(K1876&gt;=Paramètres!$F$4,"Modérée","Faible")))</f>
        <v>Très forte</v>
      </c>
    </row>
    <row r="1877" spans="1:13">
      <c r="A1877" t="s">
        <v>115</v>
      </c>
      <c r="B1877" s="11">
        <v>94</v>
      </c>
      <c r="C1877" t="s">
        <v>116</v>
      </c>
      <c r="D1877" t="s">
        <v>22</v>
      </c>
      <c r="E1877" t="s">
        <v>467</v>
      </c>
      <c r="F1877" t="s">
        <v>88</v>
      </c>
      <c r="G1877" s="12">
        <v>14</v>
      </c>
      <c r="H1877" s="12">
        <v>846</v>
      </c>
      <c r="I1877" s="12">
        <v>14</v>
      </c>
      <c r="J1877" t="str">
        <f>VLOOKUP(B1877,Paramètres!$A$4:$C$11,3,FALSE)</f>
        <v>Petite couronne</v>
      </c>
      <c r="K1877" s="13">
        <f>IFERROR(H1877/G1877,"")</f>
        <v>60.428571428571431</v>
      </c>
      <c r="L1877" s="14">
        <f>IFERROR(I1877/G1877,"")</f>
        <v>1</v>
      </c>
      <c r="M1877" s="11" t="str">
        <f>IF(K1877&gt;=Paramètres!$F$6,"Très forte",IF(K1877&gt;=Paramètres!$F$5,"Forte",IF(K1877&gt;=Paramètres!$F$4,"Modérée","Faible")))</f>
        <v>Très forte</v>
      </c>
    </row>
    <row r="1878" spans="1:13">
      <c r="A1878" t="s">
        <v>108</v>
      </c>
      <c r="B1878" s="11">
        <v>93</v>
      </c>
      <c r="C1878" t="s">
        <v>100</v>
      </c>
      <c r="D1878" t="s">
        <v>22</v>
      </c>
      <c r="E1878" t="s">
        <v>316</v>
      </c>
      <c r="F1878" t="s">
        <v>88</v>
      </c>
      <c r="G1878" s="12">
        <v>65</v>
      </c>
      <c r="H1878" s="12">
        <v>3904</v>
      </c>
      <c r="I1878" s="12">
        <v>64</v>
      </c>
      <c r="J1878" t="str">
        <f>VLOOKUP(B1878,Paramètres!$A$4:$C$11,3,FALSE)</f>
        <v>Petite couronne</v>
      </c>
      <c r="K1878" s="13">
        <f>IFERROR(H1878/G1878,"")</f>
        <v>60.061538461538461</v>
      </c>
      <c r="L1878" s="14">
        <f>IFERROR(I1878/G1878,"")</f>
        <v>0.98461538461538467</v>
      </c>
      <c r="M1878" s="11" t="str">
        <f>IF(K1878&gt;=Paramètres!$F$6,"Très forte",IF(K1878&gt;=Paramètres!$F$5,"Forte",IF(K1878&gt;=Paramètres!$F$4,"Modérée","Faible")))</f>
        <v>Très forte</v>
      </c>
    </row>
    <row r="1879" spans="1:13">
      <c r="A1879" t="s">
        <v>110</v>
      </c>
      <c r="B1879" s="11">
        <v>75</v>
      </c>
      <c r="C1879" t="s">
        <v>86</v>
      </c>
      <c r="D1879" t="s">
        <v>22</v>
      </c>
      <c r="E1879" t="s">
        <v>528</v>
      </c>
      <c r="F1879" t="s">
        <v>88</v>
      </c>
      <c r="G1879" s="12">
        <v>60</v>
      </c>
      <c r="H1879" s="12">
        <v>3585</v>
      </c>
      <c r="I1879" s="12">
        <v>60</v>
      </c>
      <c r="J1879" t="str">
        <f>VLOOKUP(B1879,Paramètres!$A$4:$C$11,3,FALSE)</f>
        <v>Paris</v>
      </c>
      <c r="K1879" s="13">
        <f>IFERROR(H1879/G1879,"")</f>
        <v>59.75</v>
      </c>
      <c r="L1879" s="14">
        <f>IFERROR(I1879/G1879,"")</f>
        <v>1</v>
      </c>
      <c r="M1879" s="11" t="str">
        <f>IF(K1879&gt;=Paramètres!$F$6,"Très forte",IF(K1879&gt;=Paramètres!$F$5,"Forte",IF(K1879&gt;=Paramètres!$F$4,"Modérée","Faible")))</f>
        <v>Très forte</v>
      </c>
    </row>
    <row r="1880" spans="1:13">
      <c r="A1880" t="s">
        <v>110</v>
      </c>
      <c r="B1880" s="11">
        <v>75</v>
      </c>
      <c r="C1880" t="s">
        <v>86</v>
      </c>
      <c r="D1880" t="s">
        <v>22</v>
      </c>
      <c r="E1880" t="s">
        <v>209</v>
      </c>
      <c r="F1880" t="s">
        <v>92</v>
      </c>
      <c r="G1880" s="12">
        <v>57</v>
      </c>
      <c r="H1880" s="12">
        <v>3390</v>
      </c>
      <c r="I1880" s="12">
        <v>59</v>
      </c>
      <c r="J1880" t="str">
        <f>VLOOKUP(B1880,Paramètres!$A$4:$C$11,3,FALSE)</f>
        <v>Paris</v>
      </c>
      <c r="K1880" s="13">
        <f>IFERROR(H1880/G1880,"")</f>
        <v>59.473684210526315</v>
      </c>
      <c r="L1880" s="14">
        <f>IFERROR(I1880/G1880,"")</f>
        <v>1.0350877192982457</v>
      </c>
      <c r="M1880" s="11" t="str">
        <f>IF(K1880&gt;=Paramètres!$F$6,"Très forte",IF(K1880&gt;=Paramètres!$F$5,"Forte",IF(K1880&gt;=Paramètres!$F$4,"Modérée","Faible")))</f>
        <v>Très forte</v>
      </c>
    </row>
    <row r="1881" spans="1:13">
      <c r="A1881" t="s">
        <v>152</v>
      </c>
      <c r="B1881" s="11">
        <v>75</v>
      </c>
      <c r="C1881" t="s">
        <v>86</v>
      </c>
      <c r="D1881" t="s">
        <v>22</v>
      </c>
      <c r="E1881" t="s">
        <v>649</v>
      </c>
      <c r="F1881" t="s">
        <v>92</v>
      </c>
      <c r="G1881" s="12">
        <v>30</v>
      </c>
      <c r="H1881" s="12">
        <v>1778</v>
      </c>
      <c r="I1881" s="12">
        <v>30</v>
      </c>
      <c r="J1881" t="str">
        <f>VLOOKUP(B1881,Paramètres!$A$4:$C$11,3,FALSE)</f>
        <v>Paris</v>
      </c>
      <c r="K1881" s="13">
        <f>IFERROR(H1881/G1881,"")</f>
        <v>59.266666666666666</v>
      </c>
      <c r="L1881" s="14">
        <f>IFERROR(I1881/G1881,"")</f>
        <v>1</v>
      </c>
      <c r="M1881" s="11" t="str">
        <f>IF(K1881&gt;=Paramètres!$F$6,"Très forte",IF(K1881&gt;=Paramètres!$F$5,"Forte",IF(K1881&gt;=Paramètres!$F$4,"Modérée","Faible")))</f>
        <v>Très forte</v>
      </c>
    </row>
    <row r="1882" spans="1:13">
      <c r="A1882" t="s">
        <v>155</v>
      </c>
      <c r="B1882" s="11">
        <v>75</v>
      </c>
      <c r="C1882" t="s">
        <v>86</v>
      </c>
      <c r="D1882" t="s">
        <v>22</v>
      </c>
      <c r="E1882" t="s">
        <v>237</v>
      </c>
      <c r="F1882" t="s">
        <v>92</v>
      </c>
      <c r="G1882" s="12">
        <v>35</v>
      </c>
      <c r="H1882" s="12">
        <v>2046</v>
      </c>
      <c r="I1882" s="12">
        <v>36</v>
      </c>
      <c r="J1882" t="str">
        <f>VLOOKUP(B1882,Paramètres!$A$4:$C$11,3,FALSE)</f>
        <v>Paris</v>
      </c>
      <c r="K1882" s="13">
        <f>IFERROR(H1882/G1882,"")</f>
        <v>58.457142857142856</v>
      </c>
      <c r="L1882" s="14">
        <f>IFERROR(I1882/G1882,"")</f>
        <v>1.0285714285714285</v>
      </c>
      <c r="M1882" s="11" t="str">
        <f>IF(K1882&gt;=Paramètres!$F$6,"Très forte",IF(K1882&gt;=Paramètres!$F$5,"Forte",IF(K1882&gt;=Paramètres!$F$4,"Modérée","Faible")))</f>
        <v>Très forte</v>
      </c>
    </row>
    <row r="1883" spans="1:13">
      <c r="A1883" t="s">
        <v>110</v>
      </c>
      <c r="B1883" s="11">
        <v>75</v>
      </c>
      <c r="C1883" t="s">
        <v>86</v>
      </c>
      <c r="D1883" t="s">
        <v>22</v>
      </c>
      <c r="E1883" t="s">
        <v>313</v>
      </c>
      <c r="F1883" t="s">
        <v>88</v>
      </c>
      <c r="G1883" s="12">
        <v>43</v>
      </c>
      <c r="H1883" s="12">
        <v>2511</v>
      </c>
      <c r="I1883" s="12">
        <v>40</v>
      </c>
      <c r="J1883" t="str">
        <f>VLOOKUP(B1883,Paramètres!$A$4:$C$11,3,FALSE)</f>
        <v>Paris</v>
      </c>
      <c r="K1883" s="13">
        <f>IFERROR(H1883/G1883,"")</f>
        <v>58.395348837209305</v>
      </c>
      <c r="L1883" s="14">
        <f>IFERROR(I1883/G1883,"")</f>
        <v>0.93023255813953487</v>
      </c>
      <c r="M1883" s="11" t="str">
        <f>IF(K1883&gt;=Paramètres!$F$6,"Très forte",IF(K1883&gt;=Paramètres!$F$5,"Forte",IF(K1883&gt;=Paramètres!$F$4,"Modérée","Faible")))</f>
        <v>Très forte</v>
      </c>
    </row>
    <row r="1884" spans="1:13">
      <c r="A1884" t="s">
        <v>119</v>
      </c>
      <c r="B1884" s="11">
        <v>75</v>
      </c>
      <c r="C1884" t="s">
        <v>86</v>
      </c>
      <c r="D1884" t="s">
        <v>22</v>
      </c>
      <c r="E1884" t="s">
        <v>158</v>
      </c>
      <c r="F1884" t="s">
        <v>92</v>
      </c>
      <c r="G1884" s="12">
        <v>25</v>
      </c>
      <c r="H1884" s="12">
        <v>1446</v>
      </c>
      <c r="I1884" s="12">
        <v>24</v>
      </c>
      <c r="J1884" t="str">
        <f>VLOOKUP(B1884,Paramètres!$A$4:$C$11,3,FALSE)</f>
        <v>Paris</v>
      </c>
      <c r="K1884" s="13">
        <f>IFERROR(H1884/G1884,"")</f>
        <v>57.84</v>
      </c>
      <c r="L1884" s="14">
        <f>IFERROR(I1884/G1884,"")</f>
        <v>0.96</v>
      </c>
      <c r="M1884" s="11" t="str">
        <f>IF(K1884&gt;=Paramètres!$F$6,"Très forte",IF(K1884&gt;=Paramètres!$F$5,"Forte",IF(K1884&gt;=Paramètres!$F$4,"Modérée","Faible")))</f>
        <v>Très forte</v>
      </c>
    </row>
    <row r="1885" spans="1:13">
      <c r="A1885" t="s">
        <v>119</v>
      </c>
      <c r="B1885" s="11">
        <v>75</v>
      </c>
      <c r="C1885" t="s">
        <v>86</v>
      </c>
      <c r="D1885" t="s">
        <v>22</v>
      </c>
      <c r="E1885" t="s">
        <v>143</v>
      </c>
      <c r="F1885" t="s">
        <v>92</v>
      </c>
      <c r="G1885" s="12">
        <v>12</v>
      </c>
      <c r="H1885" s="12">
        <v>686</v>
      </c>
      <c r="I1885" s="12">
        <v>12</v>
      </c>
      <c r="J1885" t="str">
        <f>VLOOKUP(B1885,Paramètres!$A$4:$C$11,3,FALSE)</f>
        <v>Paris</v>
      </c>
      <c r="K1885" s="13">
        <f>IFERROR(H1885/G1885,"")</f>
        <v>57.166666666666664</v>
      </c>
      <c r="L1885" s="14">
        <f>IFERROR(I1885/G1885,"")</f>
        <v>1</v>
      </c>
      <c r="M1885" s="11" t="str">
        <f>IF(K1885&gt;=Paramètres!$F$6,"Très forte",IF(K1885&gt;=Paramètres!$F$5,"Forte",IF(K1885&gt;=Paramètres!$F$4,"Modérée","Faible")))</f>
        <v>Très forte</v>
      </c>
    </row>
    <row r="1886" spans="1:13">
      <c r="A1886" t="s">
        <v>152</v>
      </c>
      <c r="B1886" s="11">
        <v>75</v>
      </c>
      <c r="C1886" t="s">
        <v>86</v>
      </c>
      <c r="D1886" t="s">
        <v>22</v>
      </c>
      <c r="E1886" t="s">
        <v>365</v>
      </c>
      <c r="F1886" t="s">
        <v>92</v>
      </c>
      <c r="G1886" s="12">
        <v>100</v>
      </c>
      <c r="H1886" s="12">
        <v>5684</v>
      </c>
      <c r="I1886" s="12">
        <v>102</v>
      </c>
      <c r="J1886" t="str">
        <f>VLOOKUP(B1886,Paramètres!$A$4:$C$11,3,FALSE)</f>
        <v>Paris</v>
      </c>
      <c r="K1886" s="13">
        <f>IFERROR(H1886/G1886,"")</f>
        <v>56.84</v>
      </c>
      <c r="L1886" s="14">
        <f>IFERROR(I1886/G1886,"")</f>
        <v>1.02</v>
      </c>
      <c r="M1886" s="11" t="str">
        <f>IF(K1886&gt;=Paramètres!$F$6,"Très forte",IF(K1886&gt;=Paramètres!$F$5,"Forte",IF(K1886&gt;=Paramètres!$F$4,"Modérée","Faible")))</f>
        <v>Très forte</v>
      </c>
    </row>
    <row r="1887" spans="1:13">
      <c r="A1887" t="s">
        <v>155</v>
      </c>
      <c r="B1887" s="11">
        <v>75</v>
      </c>
      <c r="C1887" t="s">
        <v>86</v>
      </c>
      <c r="D1887" t="s">
        <v>22</v>
      </c>
      <c r="E1887" t="s">
        <v>367</v>
      </c>
      <c r="F1887" t="s">
        <v>88</v>
      </c>
      <c r="G1887" s="12">
        <v>32</v>
      </c>
      <c r="H1887" s="12">
        <v>1814</v>
      </c>
      <c r="I1887" s="12">
        <v>32</v>
      </c>
      <c r="J1887" t="str">
        <f>VLOOKUP(B1887,Paramètres!$A$4:$C$11,3,FALSE)</f>
        <v>Paris</v>
      </c>
      <c r="K1887" s="13">
        <f>IFERROR(H1887/G1887,"")</f>
        <v>56.6875</v>
      </c>
      <c r="L1887" s="14">
        <f>IFERROR(I1887/G1887,"")</f>
        <v>1</v>
      </c>
      <c r="M1887" s="11" t="str">
        <f>IF(K1887&gt;=Paramètres!$F$6,"Très forte",IF(K1887&gt;=Paramètres!$F$5,"Forte",IF(K1887&gt;=Paramètres!$F$4,"Modérée","Faible")))</f>
        <v>Très forte</v>
      </c>
    </row>
    <row r="1888" spans="1:13">
      <c r="A1888" t="s">
        <v>110</v>
      </c>
      <c r="B1888" s="11">
        <v>75</v>
      </c>
      <c r="C1888" t="s">
        <v>86</v>
      </c>
      <c r="D1888" t="s">
        <v>22</v>
      </c>
      <c r="E1888" t="s">
        <v>213</v>
      </c>
      <c r="F1888" t="s">
        <v>88</v>
      </c>
      <c r="G1888" s="12">
        <v>25</v>
      </c>
      <c r="H1888" s="12">
        <v>1416</v>
      </c>
      <c r="I1888" s="12">
        <v>25</v>
      </c>
      <c r="J1888" t="str">
        <f>VLOOKUP(B1888,Paramètres!$A$4:$C$11,3,FALSE)</f>
        <v>Paris</v>
      </c>
      <c r="K1888" s="13">
        <f>IFERROR(H1888/G1888,"")</f>
        <v>56.64</v>
      </c>
      <c r="L1888" s="14">
        <f>IFERROR(I1888/G1888,"")</f>
        <v>1</v>
      </c>
      <c r="M1888" s="11" t="str">
        <f>IF(K1888&gt;=Paramètres!$F$6,"Très forte",IF(K1888&gt;=Paramètres!$F$5,"Forte",IF(K1888&gt;=Paramètres!$F$4,"Modérée","Faible")))</f>
        <v>Très forte</v>
      </c>
    </row>
    <row r="1889" spans="1:13">
      <c r="A1889" t="s">
        <v>104</v>
      </c>
      <c r="B1889" s="11">
        <v>91</v>
      </c>
      <c r="C1889" t="s">
        <v>105</v>
      </c>
      <c r="D1889" t="s">
        <v>22</v>
      </c>
      <c r="E1889" t="s">
        <v>728</v>
      </c>
      <c r="F1889" t="s">
        <v>88</v>
      </c>
      <c r="G1889" s="12">
        <v>20</v>
      </c>
      <c r="H1889" s="12">
        <v>1130</v>
      </c>
      <c r="I1889" s="12">
        <v>19</v>
      </c>
      <c r="J1889" t="str">
        <f>VLOOKUP(B1889,Paramètres!$A$4:$C$11,3,FALSE)</f>
        <v>Grande couronne</v>
      </c>
      <c r="K1889" s="13">
        <f>IFERROR(H1889/G1889,"")</f>
        <v>56.5</v>
      </c>
      <c r="L1889" s="14">
        <f>IFERROR(I1889/G1889,"")</f>
        <v>0.95</v>
      </c>
      <c r="M1889" s="11" t="str">
        <f>IF(K1889&gt;=Paramètres!$F$6,"Très forte",IF(K1889&gt;=Paramètres!$F$5,"Forte",IF(K1889&gt;=Paramètres!$F$4,"Modérée","Faible")))</f>
        <v>Très forte</v>
      </c>
    </row>
    <row r="1890" spans="1:13">
      <c r="A1890" t="s">
        <v>155</v>
      </c>
      <c r="B1890" s="11">
        <v>75</v>
      </c>
      <c r="C1890" t="s">
        <v>86</v>
      </c>
      <c r="D1890" t="s">
        <v>22</v>
      </c>
      <c r="E1890" t="s">
        <v>327</v>
      </c>
      <c r="F1890" t="s">
        <v>88</v>
      </c>
      <c r="G1890" s="12">
        <v>65</v>
      </c>
      <c r="H1890" s="12">
        <v>3660</v>
      </c>
      <c r="I1890" s="12">
        <v>65</v>
      </c>
      <c r="J1890" t="str">
        <f>VLOOKUP(B1890,Paramètres!$A$4:$C$11,3,FALSE)</f>
        <v>Paris</v>
      </c>
      <c r="K1890" s="13">
        <f>IFERROR(H1890/G1890,"")</f>
        <v>56.307692307692307</v>
      </c>
      <c r="L1890" s="14">
        <f>IFERROR(I1890/G1890,"")</f>
        <v>1</v>
      </c>
      <c r="M1890" s="11" t="str">
        <f>IF(K1890&gt;=Paramètres!$F$6,"Très forte",IF(K1890&gt;=Paramètres!$F$5,"Forte",IF(K1890&gt;=Paramètres!$F$4,"Modérée","Faible")))</f>
        <v>Très forte</v>
      </c>
    </row>
    <row r="1891" spans="1:13">
      <c r="A1891" t="s">
        <v>127</v>
      </c>
      <c r="B1891" s="11">
        <v>75</v>
      </c>
      <c r="C1891" t="s">
        <v>86</v>
      </c>
      <c r="D1891" t="s">
        <v>22</v>
      </c>
      <c r="E1891" t="s">
        <v>776</v>
      </c>
      <c r="F1891" t="s">
        <v>88</v>
      </c>
      <c r="G1891" s="12">
        <v>30</v>
      </c>
      <c r="H1891" s="12">
        <v>1681</v>
      </c>
      <c r="I1891" s="12">
        <v>30</v>
      </c>
      <c r="J1891" t="str">
        <f>VLOOKUP(B1891,Paramètres!$A$4:$C$11,3,FALSE)</f>
        <v>Paris</v>
      </c>
      <c r="K1891" s="13">
        <f>IFERROR(H1891/G1891,"")</f>
        <v>56.033333333333331</v>
      </c>
      <c r="L1891" s="14">
        <f>IFERROR(I1891/G1891,"")</f>
        <v>1</v>
      </c>
      <c r="M1891" s="11" t="str">
        <f>IF(K1891&gt;=Paramètres!$F$6,"Très forte",IF(K1891&gt;=Paramètres!$F$5,"Forte",IF(K1891&gt;=Paramètres!$F$4,"Modérée","Faible")))</f>
        <v>Très forte</v>
      </c>
    </row>
    <row r="1892" spans="1:13">
      <c r="A1892" t="s">
        <v>127</v>
      </c>
      <c r="B1892" s="11">
        <v>75</v>
      </c>
      <c r="C1892" t="s">
        <v>86</v>
      </c>
      <c r="D1892" t="s">
        <v>22</v>
      </c>
      <c r="E1892" t="s">
        <v>235</v>
      </c>
      <c r="F1892" t="s">
        <v>88</v>
      </c>
      <c r="G1892" s="12">
        <v>27</v>
      </c>
      <c r="H1892" s="12">
        <v>1496</v>
      </c>
      <c r="I1892" s="12">
        <v>26</v>
      </c>
      <c r="J1892" t="str">
        <f>VLOOKUP(B1892,Paramètres!$A$4:$C$11,3,FALSE)</f>
        <v>Paris</v>
      </c>
      <c r="K1892" s="13">
        <f>IFERROR(H1892/G1892,"")</f>
        <v>55.407407407407405</v>
      </c>
      <c r="L1892" s="14">
        <f>IFERROR(I1892/G1892,"")</f>
        <v>0.96296296296296291</v>
      </c>
      <c r="M1892" s="11" t="str">
        <f>IF(K1892&gt;=Paramètres!$F$6,"Très forte",IF(K1892&gt;=Paramètres!$F$5,"Forte",IF(K1892&gt;=Paramètres!$F$4,"Modérée","Faible")))</f>
        <v>Très forte</v>
      </c>
    </row>
    <row r="1893" spans="1:13">
      <c r="A1893" t="s">
        <v>349</v>
      </c>
      <c r="B1893" s="11">
        <v>91</v>
      </c>
      <c r="C1893" t="s">
        <v>105</v>
      </c>
      <c r="D1893" t="s">
        <v>22</v>
      </c>
      <c r="E1893" t="s">
        <v>351</v>
      </c>
      <c r="F1893" t="s">
        <v>92</v>
      </c>
      <c r="G1893" s="12">
        <v>30</v>
      </c>
      <c r="H1893" s="12">
        <v>1644</v>
      </c>
      <c r="I1893" s="12">
        <v>33</v>
      </c>
      <c r="J1893" t="str">
        <f>VLOOKUP(B1893,Paramètres!$A$4:$C$11,3,FALSE)</f>
        <v>Grande couronne</v>
      </c>
      <c r="K1893" s="13">
        <f>IFERROR(H1893/G1893,"")</f>
        <v>54.8</v>
      </c>
      <c r="L1893" s="14">
        <f>IFERROR(I1893/G1893,"")</f>
        <v>1.1000000000000001</v>
      </c>
      <c r="M1893" s="11" t="str">
        <f>IF(K1893&gt;=Paramètres!$F$6,"Très forte",IF(K1893&gt;=Paramètres!$F$5,"Forte",IF(K1893&gt;=Paramètres!$F$4,"Modérée","Faible")))</f>
        <v>Très forte</v>
      </c>
    </row>
    <row r="1894" spans="1:13">
      <c r="A1894" t="s">
        <v>110</v>
      </c>
      <c r="B1894" s="11">
        <v>75</v>
      </c>
      <c r="C1894" t="s">
        <v>86</v>
      </c>
      <c r="D1894" t="s">
        <v>22</v>
      </c>
      <c r="E1894" t="s">
        <v>315</v>
      </c>
      <c r="F1894" t="s">
        <v>88</v>
      </c>
      <c r="G1894" s="12">
        <v>64</v>
      </c>
      <c r="H1894" s="12">
        <v>3469</v>
      </c>
      <c r="I1894" s="12">
        <v>72</v>
      </c>
      <c r="J1894" t="str">
        <f>VLOOKUP(B1894,Paramètres!$A$4:$C$11,3,FALSE)</f>
        <v>Paris</v>
      </c>
      <c r="K1894" s="13">
        <f>IFERROR(H1894/G1894,"")</f>
        <v>54.203125</v>
      </c>
      <c r="L1894" s="14">
        <f>IFERROR(I1894/G1894,"")</f>
        <v>1.125</v>
      </c>
      <c r="M1894" s="11" t="str">
        <f>IF(K1894&gt;=Paramètres!$F$6,"Très forte",IF(K1894&gt;=Paramètres!$F$5,"Forte",IF(K1894&gt;=Paramètres!$F$4,"Modérée","Faible")))</f>
        <v>Très forte</v>
      </c>
    </row>
    <row r="1895" spans="1:13">
      <c r="A1895" t="s">
        <v>242</v>
      </c>
      <c r="B1895" s="11">
        <v>95</v>
      </c>
      <c r="C1895" t="s">
        <v>90</v>
      </c>
      <c r="D1895" t="s">
        <v>22</v>
      </c>
      <c r="E1895" t="s">
        <v>417</v>
      </c>
      <c r="F1895" t="s">
        <v>92</v>
      </c>
      <c r="G1895" s="12">
        <v>21</v>
      </c>
      <c r="H1895" s="12">
        <v>1130</v>
      </c>
      <c r="I1895" s="12">
        <v>23</v>
      </c>
      <c r="J1895" t="str">
        <f>VLOOKUP(B1895,Paramètres!$A$4:$C$11,3,FALSE)</f>
        <v>Grande couronne</v>
      </c>
      <c r="K1895" s="13">
        <f>IFERROR(H1895/G1895,"")</f>
        <v>53.80952380952381</v>
      </c>
      <c r="L1895" s="14">
        <f>IFERROR(I1895/G1895,"")</f>
        <v>1.0952380952380953</v>
      </c>
      <c r="M1895" s="11" t="str">
        <f>IF(K1895&gt;=Paramètres!$F$6,"Très forte",IF(K1895&gt;=Paramètres!$F$5,"Forte",IF(K1895&gt;=Paramètres!$F$4,"Modérée","Faible")))</f>
        <v>Très forte</v>
      </c>
    </row>
    <row r="1896" spans="1:13">
      <c r="A1896" t="s">
        <v>110</v>
      </c>
      <c r="B1896" s="11">
        <v>75</v>
      </c>
      <c r="C1896" t="s">
        <v>86</v>
      </c>
      <c r="D1896" t="s">
        <v>22</v>
      </c>
      <c r="E1896" t="s">
        <v>696</v>
      </c>
      <c r="F1896" t="s">
        <v>92</v>
      </c>
      <c r="G1896" s="12">
        <v>20</v>
      </c>
      <c r="H1896" s="12">
        <v>1074</v>
      </c>
      <c r="I1896" s="12">
        <v>20</v>
      </c>
      <c r="J1896" t="str">
        <f>VLOOKUP(B1896,Paramètres!$A$4:$C$11,3,FALSE)</f>
        <v>Paris</v>
      </c>
      <c r="K1896" s="13">
        <f>IFERROR(H1896/G1896,"")</f>
        <v>53.7</v>
      </c>
      <c r="L1896" s="14">
        <f>IFERROR(I1896/G1896,"")</f>
        <v>1</v>
      </c>
      <c r="M1896" s="11" t="str">
        <f>IF(K1896&gt;=Paramètres!$F$6,"Très forte",IF(K1896&gt;=Paramètres!$F$5,"Forte",IF(K1896&gt;=Paramètres!$F$4,"Modérée","Faible")))</f>
        <v>Très forte</v>
      </c>
    </row>
    <row r="1897" spans="1:13">
      <c r="A1897" t="s">
        <v>110</v>
      </c>
      <c r="B1897" s="11">
        <v>75</v>
      </c>
      <c r="C1897" t="s">
        <v>86</v>
      </c>
      <c r="D1897" t="s">
        <v>22</v>
      </c>
      <c r="E1897" t="s">
        <v>733</v>
      </c>
      <c r="F1897" t="s">
        <v>92</v>
      </c>
      <c r="G1897" s="12">
        <v>33</v>
      </c>
      <c r="H1897" s="12">
        <v>1769</v>
      </c>
      <c r="I1897" s="12">
        <v>34</v>
      </c>
      <c r="J1897" t="str">
        <f>VLOOKUP(B1897,Paramètres!$A$4:$C$11,3,FALSE)</f>
        <v>Paris</v>
      </c>
      <c r="K1897" s="13">
        <f>IFERROR(H1897/G1897,"")</f>
        <v>53.606060606060609</v>
      </c>
      <c r="L1897" s="14">
        <f>IFERROR(I1897/G1897,"")</f>
        <v>1.0303030303030303</v>
      </c>
      <c r="M1897" s="11" t="str">
        <f>IF(K1897&gt;=Paramètres!$F$6,"Très forte",IF(K1897&gt;=Paramètres!$F$5,"Forte",IF(K1897&gt;=Paramètres!$F$4,"Modérée","Faible")))</f>
        <v>Très forte</v>
      </c>
    </row>
    <row r="1898" spans="1:13">
      <c r="A1898" t="s">
        <v>104</v>
      </c>
      <c r="B1898" s="11">
        <v>91</v>
      </c>
      <c r="C1898" t="s">
        <v>105</v>
      </c>
      <c r="D1898" t="s">
        <v>22</v>
      </c>
      <c r="E1898" t="s">
        <v>539</v>
      </c>
      <c r="F1898" t="s">
        <v>88</v>
      </c>
      <c r="G1898" s="12">
        <v>105</v>
      </c>
      <c r="H1898" s="12">
        <v>5616</v>
      </c>
      <c r="I1898" s="12">
        <v>108</v>
      </c>
      <c r="J1898" t="str">
        <f>VLOOKUP(B1898,Paramètres!$A$4:$C$11,3,FALSE)</f>
        <v>Grande couronne</v>
      </c>
      <c r="K1898" s="13">
        <f>IFERROR(H1898/G1898,"")</f>
        <v>53.485714285714288</v>
      </c>
      <c r="L1898" s="14">
        <f>IFERROR(I1898/G1898,"")</f>
        <v>1.0285714285714285</v>
      </c>
      <c r="M1898" s="11" t="str">
        <f>IF(K1898&gt;=Paramètres!$F$6,"Très forte",IF(K1898&gt;=Paramètres!$F$5,"Forte",IF(K1898&gt;=Paramètres!$F$4,"Modérée","Faible")))</f>
        <v>Très forte</v>
      </c>
    </row>
    <row r="1899" spans="1:13">
      <c r="A1899" t="s">
        <v>115</v>
      </c>
      <c r="B1899" s="11">
        <v>94</v>
      </c>
      <c r="C1899" t="s">
        <v>116</v>
      </c>
      <c r="D1899" t="s">
        <v>22</v>
      </c>
      <c r="E1899" t="s">
        <v>723</v>
      </c>
      <c r="F1899" t="s">
        <v>88</v>
      </c>
      <c r="G1899" s="12">
        <v>35</v>
      </c>
      <c r="H1899" s="12">
        <v>1867</v>
      </c>
      <c r="I1899" s="12">
        <v>35</v>
      </c>
      <c r="J1899" t="str">
        <f>VLOOKUP(B1899,Paramètres!$A$4:$C$11,3,FALSE)</f>
        <v>Petite couronne</v>
      </c>
      <c r="K1899" s="13">
        <f>IFERROR(H1899/G1899,"")</f>
        <v>53.342857142857142</v>
      </c>
      <c r="L1899" s="14">
        <f>IFERROR(I1899/G1899,"")</f>
        <v>1</v>
      </c>
      <c r="M1899" s="11" t="str">
        <f>IF(K1899&gt;=Paramètres!$F$6,"Très forte",IF(K1899&gt;=Paramètres!$F$5,"Forte",IF(K1899&gt;=Paramètres!$F$4,"Modérée","Faible")))</f>
        <v>Très forte</v>
      </c>
    </row>
    <row r="1900" spans="1:13">
      <c r="A1900" t="s">
        <v>155</v>
      </c>
      <c r="B1900" s="11">
        <v>75</v>
      </c>
      <c r="C1900" t="s">
        <v>86</v>
      </c>
      <c r="D1900" t="s">
        <v>22</v>
      </c>
      <c r="E1900" t="s">
        <v>156</v>
      </c>
      <c r="F1900" t="s">
        <v>92</v>
      </c>
      <c r="G1900" s="12">
        <v>35</v>
      </c>
      <c r="H1900" s="12">
        <v>1865</v>
      </c>
      <c r="I1900" s="12">
        <v>34</v>
      </c>
      <c r="J1900" t="str">
        <f>VLOOKUP(B1900,Paramètres!$A$4:$C$11,3,FALSE)</f>
        <v>Paris</v>
      </c>
      <c r="K1900" s="13">
        <f>IFERROR(H1900/G1900,"")</f>
        <v>53.285714285714285</v>
      </c>
      <c r="L1900" s="14">
        <f>IFERROR(I1900/G1900,"")</f>
        <v>0.97142857142857142</v>
      </c>
      <c r="M1900" s="11" t="str">
        <f>IF(K1900&gt;=Paramètres!$F$6,"Très forte",IF(K1900&gt;=Paramètres!$F$5,"Forte",IF(K1900&gt;=Paramètres!$F$4,"Modérée","Faible")))</f>
        <v>Très forte</v>
      </c>
    </row>
    <row r="1901" spans="1:13">
      <c r="A1901" t="s">
        <v>110</v>
      </c>
      <c r="B1901" s="11">
        <v>75</v>
      </c>
      <c r="C1901" t="s">
        <v>86</v>
      </c>
      <c r="D1901" t="s">
        <v>22</v>
      </c>
      <c r="E1901" t="s">
        <v>121</v>
      </c>
      <c r="F1901" t="s">
        <v>88</v>
      </c>
      <c r="G1901" s="12">
        <v>223</v>
      </c>
      <c r="H1901" s="12">
        <v>11806</v>
      </c>
      <c r="I1901" s="12">
        <v>221</v>
      </c>
      <c r="J1901" t="str">
        <f>VLOOKUP(B1901,Paramètres!$A$4:$C$11,3,FALSE)</f>
        <v>Paris</v>
      </c>
      <c r="K1901" s="13">
        <f>IFERROR(H1901/G1901,"")</f>
        <v>52.941704035874437</v>
      </c>
      <c r="L1901" s="14">
        <f>IFERROR(I1901/G1901,"")</f>
        <v>0.99103139013452912</v>
      </c>
      <c r="M1901" s="11" t="str">
        <f>IF(K1901&gt;=Paramètres!$F$6,"Très forte",IF(K1901&gt;=Paramètres!$F$5,"Forte",IF(K1901&gt;=Paramètres!$F$4,"Modérée","Faible")))</f>
        <v>Très forte</v>
      </c>
    </row>
    <row r="1902" spans="1:13">
      <c r="A1902" t="s">
        <v>129</v>
      </c>
      <c r="B1902" s="11">
        <v>91</v>
      </c>
      <c r="C1902" t="s">
        <v>105</v>
      </c>
      <c r="D1902" t="s">
        <v>22</v>
      </c>
      <c r="E1902" t="s">
        <v>480</v>
      </c>
      <c r="F1902" t="s">
        <v>92</v>
      </c>
      <c r="G1902" s="12">
        <v>25</v>
      </c>
      <c r="H1902" s="12">
        <v>1311</v>
      </c>
      <c r="I1902" s="12">
        <v>25</v>
      </c>
      <c r="J1902" t="str">
        <f>VLOOKUP(B1902,Paramètres!$A$4:$C$11,3,FALSE)</f>
        <v>Grande couronne</v>
      </c>
      <c r="K1902" s="13">
        <f>IFERROR(H1902/G1902,"")</f>
        <v>52.44</v>
      </c>
      <c r="L1902" s="14">
        <f>IFERROR(I1902/G1902,"")</f>
        <v>1</v>
      </c>
      <c r="M1902" s="11" t="str">
        <f>IF(K1902&gt;=Paramètres!$F$6,"Très forte",IF(K1902&gt;=Paramètres!$F$5,"Forte",IF(K1902&gt;=Paramètres!$F$4,"Modérée","Faible")))</f>
        <v>Très forte</v>
      </c>
    </row>
    <row r="1903" spans="1:13">
      <c r="A1903" t="s">
        <v>110</v>
      </c>
      <c r="B1903" s="11">
        <v>75</v>
      </c>
      <c r="C1903" t="s">
        <v>86</v>
      </c>
      <c r="D1903" t="s">
        <v>22</v>
      </c>
      <c r="E1903" t="s">
        <v>124</v>
      </c>
      <c r="F1903" t="s">
        <v>88</v>
      </c>
      <c r="G1903" s="12">
        <v>160</v>
      </c>
      <c r="H1903" s="12">
        <v>8384</v>
      </c>
      <c r="I1903" s="12">
        <v>162</v>
      </c>
      <c r="J1903" t="str">
        <f>VLOOKUP(B1903,Paramètres!$A$4:$C$11,3,FALSE)</f>
        <v>Paris</v>
      </c>
      <c r="K1903" s="13">
        <f>IFERROR(H1903/G1903,"")</f>
        <v>52.4</v>
      </c>
      <c r="L1903" s="14">
        <f>IFERROR(I1903/G1903,"")</f>
        <v>1.0125</v>
      </c>
      <c r="M1903" s="11" t="str">
        <f>IF(K1903&gt;=Paramètres!$F$6,"Très forte",IF(K1903&gt;=Paramètres!$F$5,"Forte",IF(K1903&gt;=Paramètres!$F$4,"Modérée","Faible")))</f>
        <v>Très forte</v>
      </c>
    </row>
    <row r="1904" spans="1:13">
      <c r="A1904" t="s">
        <v>152</v>
      </c>
      <c r="B1904" s="11">
        <v>75</v>
      </c>
      <c r="C1904" t="s">
        <v>86</v>
      </c>
      <c r="D1904" t="s">
        <v>22</v>
      </c>
      <c r="E1904" t="s">
        <v>756</v>
      </c>
      <c r="F1904" t="s">
        <v>92</v>
      </c>
      <c r="G1904" s="12">
        <v>35</v>
      </c>
      <c r="H1904" s="12">
        <v>1830</v>
      </c>
      <c r="I1904" s="12">
        <v>34</v>
      </c>
      <c r="J1904" t="str">
        <f>VLOOKUP(B1904,Paramètres!$A$4:$C$11,3,FALSE)</f>
        <v>Paris</v>
      </c>
      <c r="K1904" s="13">
        <f>IFERROR(H1904/G1904,"")</f>
        <v>52.285714285714285</v>
      </c>
      <c r="L1904" s="14">
        <f>IFERROR(I1904/G1904,"")</f>
        <v>0.97142857142857142</v>
      </c>
      <c r="M1904" s="11" t="str">
        <f>IF(K1904&gt;=Paramètres!$F$6,"Très forte",IF(K1904&gt;=Paramètres!$F$5,"Forte",IF(K1904&gt;=Paramètres!$F$4,"Modérée","Faible")))</f>
        <v>Très forte</v>
      </c>
    </row>
    <row r="1905" spans="1:13">
      <c r="A1905" t="s">
        <v>119</v>
      </c>
      <c r="B1905" s="11">
        <v>75</v>
      </c>
      <c r="C1905" t="s">
        <v>86</v>
      </c>
      <c r="D1905" t="s">
        <v>22</v>
      </c>
      <c r="E1905" t="s">
        <v>404</v>
      </c>
      <c r="F1905" t="s">
        <v>88</v>
      </c>
      <c r="G1905" s="12">
        <v>155</v>
      </c>
      <c r="H1905" s="12">
        <v>8038</v>
      </c>
      <c r="I1905" s="12">
        <v>153</v>
      </c>
      <c r="J1905" t="str">
        <f>VLOOKUP(B1905,Paramètres!$A$4:$C$11,3,FALSE)</f>
        <v>Paris</v>
      </c>
      <c r="K1905" s="13">
        <f>IFERROR(H1905/G1905,"")</f>
        <v>51.858064516129033</v>
      </c>
      <c r="L1905" s="14">
        <f>IFERROR(I1905/G1905,"")</f>
        <v>0.98709677419354835</v>
      </c>
      <c r="M1905" s="11" t="str">
        <f>IF(K1905&gt;=Paramètres!$F$6,"Très forte",IF(K1905&gt;=Paramètres!$F$5,"Forte",IF(K1905&gt;=Paramètres!$F$4,"Modérée","Faible")))</f>
        <v>Très forte</v>
      </c>
    </row>
    <row r="1906" spans="1:13">
      <c r="A1906" t="s">
        <v>155</v>
      </c>
      <c r="B1906" s="11">
        <v>75</v>
      </c>
      <c r="C1906" t="s">
        <v>86</v>
      </c>
      <c r="D1906" t="s">
        <v>22</v>
      </c>
      <c r="E1906" t="s">
        <v>406</v>
      </c>
      <c r="F1906" t="s">
        <v>92</v>
      </c>
      <c r="G1906" s="12">
        <v>35</v>
      </c>
      <c r="H1906" s="12">
        <v>1815</v>
      </c>
      <c r="I1906" s="12">
        <v>35</v>
      </c>
      <c r="J1906" t="str">
        <f>VLOOKUP(B1906,Paramètres!$A$4:$C$11,3,FALSE)</f>
        <v>Paris</v>
      </c>
      <c r="K1906" s="13">
        <f>IFERROR(H1906/G1906,"")</f>
        <v>51.857142857142854</v>
      </c>
      <c r="L1906" s="14">
        <f>IFERROR(I1906/G1906,"")</f>
        <v>1</v>
      </c>
      <c r="M1906" s="11" t="str">
        <f>IF(K1906&gt;=Paramètres!$F$6,"Très forte",IF(K1906&gt;=Paramètres!$F$5,"Forte",IF(K1906&gt;=Paramètres!$F$4,"Modérée","Faible")))</f>
        <v>Très forte</v>
      </c>
    </row>
    <row r="1907" spans="1:13">
      <c r="A1907" t="s">
        <v>110</v>
      </c>
      <c r="B1907" s="11">
        <v>75</v>
      </c>
      <c r="C1907" t="s">
        <v>86</v>
      </c>
      <c r="D1907" t="s">
        <v>22</v>
      </c>
      <c r="E1907" t="s">
        <v>580</v>
      </c>
      <c r="F1907" t="s">
        <v>92</v>
      </c>
      <c r="G1907" s="12">
        <v>16</v>
      </c>
      <c r="H1907" s="12">
        <v>824</v>
      </c>
      <c r="I1907" s="12">
        <v>15</v>
      </c>
      <c r="J1907" t="str">
        <f>VLOOKUP(B1907,Paramètres!$A$4:$C$11,3,FALSE)</f>
        <v>Paris</v>
      </c>
      <c r="K1907" s="13">
        <f>IFERROR(H1907/G1907,"")</f>
        <v>51.5</v>
      </c>
      <c r="L1907" s="14">
        <f>IFERROR(I1907/G1907,"")</f>
        <v>0.9375</v>
      </c>
      <c r="M1907" s="11" t="str">
        <f>IF(K1907&gt;=Paramètres!$F$6,"Très forte",IF(K1907&gt;=Paramètres!$F$5,"Forte",IF(K1907&gt;=Paramètres!$F$4,"Modérée","Faible")))</f>
        <v>Très forte</v>
      </c>
    </row>
    <row r="1908" spans="1:13">
      <c r="A1908" t="s">
        <v>129</v>
      </c>
      <c r="B1908" s="11">
        <v>91</v>
      </c>
      <c r="C1908" t="s">
        <v>105</v>
      </c>
      <c r="D1908" t="s">
        <v>22</v>
      </c>
      <c r="E1908" t="s">
        <v>604</v>
      </c>
      <c r="F1908" t="s">
        <v>92</v>
      </c>
      <c r="G1908" s="12">
        <v>30</v>
      </c>
      <c r="H1908" s="12">
        <v>1539</v>
      </c>
      <c r="I1908" s="12">
        <v>30</v>
      </c>
      <c r="J1908" t="str">
        <f>VLOOKUP(B1908,Paramètres!$A$4:$C$11,3,FALSE)</f>
        <v>Grande couronne</v>
      </c>
      <c r="K1908" s="13">
        <f>IFERROR(H1908/G1908,"")</f>
        <v>51.3</v>
      </c>
      <c r="L1908" s="14">
        <f>IFERROR(I1908/G1908,"")</f>
        <v>1</v>
      </c>
      <c r="M1908" s="11" t="str">
        <f>IF(K1908&gt;=Paramètres!$F$6,"Très forte",IF(K1908&gt;=Paramètres!$F$5,"Forte",IF(K1908&gt;=Paramètres!$F$4,"Modérée","Faible")))</f>
        <v>Très forte</v>
      </c>
    </row>
    <row r="1909" spans="1:13">
      <c r="A1909" t="s">
        <v>115</v>
      </c>
      <c r="B1909" s="11">
        <v>94</v>
      </c>
      <c r="C1909" t="s">
        <v>116</v>
      </c>
      <c r="D1909" t="s">
        <v>22</v>
      </c>
      <c r="E1909" t="s">
        <v>572</v>
      </c>
      <c r="F1909" t="s">
        <v>92</v>
      </c>
      <c r="G1909" s="12">
        <v>33</v>
      </c>
      <c r="H1909" s="12">
        <v>1687</v>
      </c>
      <c r="I1909" s="12">
        <v>35</v>
      </c>
      <c r="J1909" t="str">
        <f>VLOOKUP(B1909,Paramètres!$A$4:$C$11,3,FALSE)</f>
        <v>Petite couronne</v>
      </c>
      <c r="K1909" s="13">
        <f>IFERROR(H1909/G1909,"")</f>
        <v>51.121212121212125</v>
      </c>
      <c r="L1909" s="14">
        <f>IFERROR(I1909/G1909,"")</f>
        <v>1.0606060606060606</v>
      </c>
      <c r="M1909" s="11" t="str">
        <f>IF(K1909&gt;=Paramètres!$F$6,"Très forte",IF(K1909&gt;=Paramètres!$F$5,"Forte",IF(K1909&gt;=Paramètres!$F$4,"Modérée","Faible")))</f>
        <v>Très forte</v>
      </c>
    </row>
    <row r="1910" spans="1:13">
      <c r="A1910" t="s">
        <v>97</v>
      </c>
      <c r="B1910" s="11">
        <v>92</v>
      </c>
      <c r="C1910" t="s">
        <v>94</v>
      </c>
      <c r="D1910" t="s">
        <v>22</v>
      </c>
      <c r="E1910" t="s">
        <v>327</v>
      </c>
      <c r="F1910" t="s">
        <v>88</v>
      </c>
      <c r="G1910" s="12">
        <v>50</v>
      </c>
      <c r="H1910" s="12">
        <v>2517</v>
      </c>
      <c r="I1910" s="12">
        <v>49</v>
      </c>
      <c r="J1910" t="str">
        <f>VLOOKUP(B1910,Paramètres!$A$4:$C$11,3,FALSE)</f>
        <v>Petite couronne</v>
      </c>
      <c r="K1910" s="13">
        <f>IFERROR(H1910/G1910,"")</f>
        <v>50.34</v>
      </c>
      <c r="L1910" s="14">
        <f>IFERROR(I1910/G1910,"")</f>
        <v>0.98</v>
      </c>
      <c r="M1910" s="11" t="str">
        <f>IF(K1910&gt;=Paramètres!$F$6,"Très forte",IF(K1910&gt;=Paramètres!$F$5,"Forte",IF(K1910&gt;=Paramètres!$F$4,"Modérée","Faible")))</f>
        <v>Très forte</v>
      </c>
    </row>
    <row r="1911" spans="1:13">
      <c r="A1911" t="s">
        <v>97</v>
      </c>
      <c r="B1911" s="11">
        <v>92</v>
      </c>
      <c r="C1911" t="s">
        <v>94</v>
      </c>
      <c r="D1911" t="s">
        <v>22</v>
      </c>
      <c r="E1911" t="s">
        <v>447</v>
      </c>
      <c r="F1911" t="s">
        <v>88</v>
      </c>
      <c r="G1911" s="12">
        <v>130</v>
      </c>
      <c r="H1911" s="12">
        <v>6508</v>
      </c>
      <c r="I1911" s="12">
        <v>131</v>
      </c>
      <c r="J1911" t="str">
        <f>VLOOKUP(B1911,Paramètres!$A$4:$C$11,3,FALSE)</f>
        <v>Petite couronne</v>
      </c>
      <c r="K1911" s="13">
        <f>IFERROR(H1911/G1911,"")</f>
        <v>50.061538461538461</v>
      </c>
      <c r="L1911" s="14">
        <f>IFERROR(I1911/G1911,"")</f>
        <v>1.0076923076923077</v>
      </c>
      <c r="M1911" s="11" t="str">
        <f>IF(K1911&gt;=Paramètres!$F$6,"Très forte",IF(K1911&gt;=Paramètres!$F$5,"Forte",IF(K1911&gt;=Paramètres!$F$4,"Modérée","Faible")))</f>
        <v>Très forte</v>
      </c>
    </row>
    <row r="1912" spans="1:13">
      <c r="A1912" t="s">
        <v>110</v>
      </c>
      <c r="B1912" s="11">
        <v>75</v>
      </c>
      <c r="C1912" t="s">
        <v>86</v>
      </c>
      <c r="D1912" t="s">
        <v>22</v>
      </c>
      <c r="E1912" t="s">
        <v>214</v>
      </c>
      <c r="F1912" t="s">
        <v>88</v>
      </c>
      <c r="G1912" s="12">
        <v>63</v>
      </c>
      <c r="H1912" s="12">
        <v>3153</v>
      </c>
      <c r="I1912" s="12">
        <v>58</v>
      </c>
      <c r="J1912" t="str">
        <f>VLOOKUP(B1912,Paramètres!$A$4:$C$11,3,FALSE)</f>
        <v>Paris</v>
      </c>
      <c r="K1912" s="13">
        <f>IFERROR(H1912/G1912,"")</f>
        <v>50.047619047619051</v>
      </c>
      <c r="L1912" s="14">
        <f>IFERROR(I1912/G1912,"")</f>
        <v>0.92063492063492058</v>
      </c>
      <c r="M1912" s="11" t="str">
        <f>IF(K1912&gt;=Paramètres!$F$6,"Très forte",IF(K1912&gt;=Paramètres!$F$5,"Forte",IF(K1912&gt;=Paramètres!$F$4,"Modérée","Faible")))</f>
        <v>Très forte</v>
      </c>
    </row>
    <row r="1913" spans="1:13">
      <c r="A1913" t="s">
        <v>110</v>
      </c>
      <c r="B1913" s="11">
        <v>75</v>
      </c>
      <c r="C1913" t="s">
        <v>86</v>
      </c>
      <c r="D1913" t="s">
        <v>22</v>
      </c>
      <c r="E1913" t="s">
        <v>307</v>
      </c>
      <c r="F1913" t="s">
        <v>92</v>
      </c>
      <c r="G1913" s="12">
        <v>15</v>
      </c>
      <c r="H1913" s="12">
        <v>748</v>
      </c>
      <c r="I1913" s="12">
        <v>5</v>
      </c>
      <c r="J1913" t="str">
        <f>VLOOKUP(B1913,Paramètres!$A$4:$C$11,3,FALSE)</f>
        <v>Paris</v>
      </c>
      <c r="K1913" s="13">
        <f>IFERROR(H1913/G1913,"")</f>
        <v>49.866666666666667</v>
      </c>
      <c r="L1913" s="14">
        <f>IFERROR(I1913/G1913,"")</f>
        <v>0.33333333333333331</v>
      </c>
      <c r="M1913" s="11" t="str">
        <f>IF(K1913&gt;=Paramètres!$F$6,"Très forte",IF(K1913&gt;=Paramètres!$F$5,"Forte",IF(K1913&gt;=Paramètres!$F$4,"Modérée","Faible")))</f>
        <v>Très forte</v>
      </c>
    </row>
    <row r="1914" spans="1:13">
      <c r="A1914" t="s">
        <v>97</v>
      </c>
      <c r="B1914" s="11">
        <v>92</v>
      </c>
      <c r="C1914" t="s">
        <v>94</v>
      </c>
      <c r="D1914" t="s">
        <v>22</v>
      </c>
      <c r="E1914" t="s">
        <v>490</v>
      </c>
      <c r="F1914" t="s">
        <v>92</v>
      </c>
      <c r="G1914" s="12">
        <v>25</v>
      </c>
      <c r="H1914" s="12">
        <v>1243</v>
      </c>
      <c r="I1914" s="12">
        <v>25</v>
      </c>
      <c r="J1914" t="str">
        <f>VLOOKUP(B1914,Paramètres!$A$4:$C$11,3,FALSE)</f>
        <v>Petite couronne</v>
      </c>
      <c r="K1914" s="13">
        <f>IFERROR(H1914/G1914,"")</f>
        <v>49.72</v>
      </c>
      <c r="L1914" s="14">
        <f>IFERROR(I1914/G1914,"")</f>
        <v>1</v>
      </c>
      <c r="M1914" s="11" t="str">
        <f>IF(K1914&gt;=Paramètres!$F$6,"Très forte",IF(K1914&gt;=Paramètres!$F$5,"Forte",IF(K1914&gt;=Paramètres!$F$4,"Modérée","Faible")))</f>
        <v>Très forte</v>
      </c>
    </row>
    <row r="1915" spans="1:13">
      <c r="A1915" t="s">
        <v>108</v>
      </c>
      <c r="B1915" s="11">
        <v>93</v>
      </c>
      <c r="C1915" t="s">
        <v>100</v>
      </c>
      <c r="D1915" t="s">
        <v>22</v>
      </c>
      <c r="E1915" t="s">
        <v>310</v>
      </c>
      <c r="F1915" t="s">
        <v>92</v>
      </c>
      <c r="G1915" s="12">
        <v>35</v>
      </c>
      <c r="H1915" s="12">
        <v>1698</v>
      </c>
      <c r="I1915" s="12">
        <v>42</v>
      </c>
      <c r="J1915" t="str">
        <f>VLOOKUP(B1915,Paramètres!$A$4:$C$11,3,FALSE)</f>
        <v>Petite couronne</v>
      </c>
      <c r="K1915" s="13">
        <f>IFERROR(H1915/G1915,"")</f>
        <v>48.514285714285712</v>
      </c>
      <c r="L1915" s="14">
        <f>IFERROR(I1915/G1915,"")</f>
        <v>1.2</v>
      </c>
      <c r="M1915" s="11" t="str">
        <f>IF(K1915&gt;=Paramètres!$F$6,"Très forte",IF(K1915&gt;=Paramètres!$F$5,"Forte",IF(K1915&gt;=Paramètres!$F$4,"Modérée","Faible")))</f>
        <v>Très forte</v>
      </c>
    </row>
    <row r="1916" spans="1:13">
      <c r="A1916" t="s">
        <v>155</v>
      </c>
      <c r="B1916" s="11">
        <v>75</v>
      </c>
      <c r="C1916" t="s">
        <v>86</v>
      </c>
      <c r="D1916" t="s">
        <v>22</v>
      </c>
      <c r="E1916" t="s">
        <v>471</v>
      </c>
      <c r="F1916" t="s">
        <v>92</v>
      </c>
      <c r="G1916" s="12">
        <v>14</v>
      </c>
      <c r="H1916" s="12">
        <v>675</v>
      </c>
      <c r="I1916" s="12">
        <v>14</v>
      </c>
      <c r="J1916" t="str">
        <f>VLOOKUP(B1916,Paramètres!$A$4:$C$11,3,FALSE)</f>
        <v>Paris</v>
      </c>
      <c r="K1916" s="13">
        <f>IFERROR(H1916/G1916,"")</f>
        <v>48.214285714285715</v>
      </c>
      <c r="L1916" s="14">
        <f>IFERROR(I1916/G1916,"")</f>
        <v>1</v>
      </c>
      <c r="M1916" s="11" t="str">
        <f>IF(K1916&gt;=Paramètres!$F$6,"Très forte",IF(K1916&gt;=Paramètres!$F$5,"Forte",IF(K1916&gt;=Paramètres!$F$4,"Modérée","Faible")))</f>
        <v>Très forte</v>
      </c>
    </row>
    <row r="1917" spans="1:13">
      <c r="A1917" t="s">
        <v>115</v>
      </c>
      <c r="B1917" s="11">
        <v>94</v>
      </c>
      <c r="C1917" t="s">
        <v>116</v>
      </c>
      <c r="D1917" t="s">
        <v>22</v>
      </c>
      <c r="E1917" t="s">
        <v>554</v>
      </c>
      <c r="F1917" t="s">
        <v>92</v>
      </c>
      <c r="G1917" s="12">
        <v>24</v>
      </c>
      <c r="H1917" s="12">
        <v>1156</v>
      </c>
      <c r="I1917" s="12">
        <v>22</v>
      </c>
      <c r="J1917" t="str">
        <f>VLOOKUP(B1917,Paramètres!$A$4:$C$11,3,FALSE)</f>
        <v>Petite couronne</v>
      </c>
      <c r="K1917" s="13">
        <f>IFERROR(H1917/G1917,"")</f>
        <v>48.166666666666664</v>
      </c>
      <c r="L1917" s="14">
        <f>IFERROR(I1917/G1917,"")</f>
        <v>0.91666666666666663</v>
      </c>
      <c r="M1917" s="11" t="str">
        <f>IF(K1917&gt;=Paramètres!$F$6,"Très forte",IF(K1917&gt;=Paramètres!$F$5,"Forte",IF(K1917&gt;=Paramètres!$F$4,"Modérée","Faible")))</f>
        <v>Très forte</v>
      </c>
    </row>
    <row r="1918" spans="1:13">
      <c r="A1918" t="s">
        <v>104</v>
      </c>
      <c r="B1918" s="11">
        <v>91</v>
      </c>
      <c r="C1918" t="s">
        <v>105</v>
      </c>
      <c r="D1918" t="s">
        <v>22</v>
      </c>
      <c r="E1918" t="s">
        <v>123</v>
      </c>
      <c r="F1918" t="s">
        <v>88</v>
      </c>
      <c r="G1918" s="12">
        <v>75</v>
      </c>
      <c r="H1918" s="12">
        <v>3591</v>
      </c>
      <c r="I1918" s="12">
        <v>93</v>
      </c>
      <c r="J1918" t="str">
        <f>VLOOKUP(B1918,Paramètres!$A$4:$C$11,3,FALSE)</f>
        <v>Grande couronne</v>
      </c>
      <c r="K1918" s="13">
        <f>IFERROR(H1918/G1918,"")</f>
        <v>47.88</v>
      </c>
      <c r="L1918" s="14">
        <f>IFERROR(I1918/G1918,"")</f>
        <v>1.24</v>
      </c>
      <c r="M1918" s="11" t="str">
        <f>IF(K1918&gt;=Paramètres!$F$6,"Très forte",IF(K1918&gt;=Paramètres!$F$5,"Forte",IF(K1918&gt;=Paramètres!$F$4,"Modérée","Faible")))</f>
        <v>Très forte</v>
      </c>
    </row>
    <row r="1919" spans="1:13">
      <c r="A1919" t="s">
        <v>129</v>
      </c>
      <c r="B1919" s="11">
        <v>91</v>
      </c>
      <c r="C1919" t="s">
        <v>105</v>
      </c>
      <c r="D1919" t="s">
        <v>22</v>
      </c>
      <c r="E1919" t="s">
        <v>348</v>
      </c>
      <c r="F1919" t="s">
        <v>92</v>
      </c>
      <c r="G1919" s="12">
        <v>50</v>
      </c>
      <c r="H1919" s="12">
        <v>2355</v>
      </c>
      <c r="I1919" s="12">
        <v>50</v>
      </c>
      <c r="J1919" t="str">
        <f>VLOOKUP(B1919,Paramètres!$A$4:$C$11,3,FALSE)</f>
        <v>Grande couronne</v>
      </c>
      <c r="K1919" s="13">
        <f>IFERROR(H1919/G1919,"")</f>
        <v>47.1</v>
      </c>
      <c r="L1919" s="14">
        <f>IFERROR(I1919/G1919,"")</f>
        <v>1</v>
      </c>
      <c r="M1919" s="11" t="str">
        <f>IF(K1919&gt;=Paramètres!$F$6,"Très forte",IF(K1919&gt;=Paramètres!$F$5,"Forte",IF(K1919&gt;=Paramètres!$F$4,"Modérée","Faible")))</f>
        <v>Très forte</v>
      </c>
    </row>
    <row r="1920" spans="1:13">
      <c r="A1920" t="s">
        <v>115</v>
      </c>
      <c r="B1920" s="11">
        <v>94</v>
      </c>
      <c r="C1920" t="s">
        <v>116</v>
      </c>
      <c r="D1920" t="s">
        <v>22</v>
      </c>
      <c r="E1920" t="s">
        <v>342</v>
      </c>
      <c r="F1920" t="s">
        <v>92</v>
      </c>
      <c r="G1920" s="12">
        <v>25</v>
      </c>
      <c r="H1920" s="12">
        <v>1176</v>
      </c>
      <c r="I1920" s="12">
        <v>25</v>
      </c>
      <c r="J1920" t="str">
        <f>VLOOKUP(B1920,Paramètres!$A$4:$C$11,3,FALSE)</f>
        <v>Petite couronne</v>
      </c>
      <c r="K1920" s="13">
        <f>IFERROR(H1920/G1920,"")</f>
        <v>47.04</v>
      </c>
      <c r="L1920" s="14">
        <f>IFERROR(I1920/G1920,"")</f>
        <v>1</v>
      </c>
      <c r="M1920" s="11" t="str">
        <f>IF(K1920&gt;=Paramètres!$F$6,"Très forte",IF(K1920&gt;=Paramètres!$F$5,"Forte",IF(K1920&gt;=Paramètres!$F$4,"Modérée","Faible")))</f>
        <v>Très forte</v>
      </c>
    </row>
    <row r="1921" spans="1:13">
      <c r="A1921" t="s">
        <v>127</v>
      </c>
      <c r="B1921" s="11">
        <v>75</v>
      </c>
      <c r="C1921" t="s">
        <v>86</v>
      </c>
      <c r="D1921" t="s">
        <v>22</v>
      </c>
      <c r="E1921" t="s">
        <v>231</v>
      </c>
      <c r="F1921" t="s">
        <v>88</v>
      </c>
      <c r="G1921" s="12">
        <v>20</v>
      </c>
      <c r="H1921" s="12">
        <v>937</v>
      </c>
      <c r="I1921" s="12">
        <v>20</v>
      </c>
      <c r="J1921" t="str">
        <f>VLOOKUP(B1921,Paramètres!$A$4:$C$11,3,FALSE)</f>
        <v>Paris</v>
      </c>
      <c r="K1921" s="13">
        <f>IFERROR(H1921/G1921,"")</f>
        <v>46.85</v>
      </c>
      <c r="L1921" s="14">
        <f>IFERROR(I1921/G1921,"")</f>
        <v>1</v>
      </c>
      <c r="M1921" s="11" t="str">
        <f>IF(K1921&gt;=Paramètres!$F$6,"Très forte",IF(K1921&gt;=Paramètres!$F$5,"Forte",IF(K1921&gt;=Paramètres!$F$4,"Modérée","Faible")))</f>
        <v>Très forte</v>
      </c>
    </row>
    <row r="1922" spans="1:13">
      <c r="A1922" t="s">
        <v>129</v>
      </c>
      <c r="B1922" s="11">
        <v>91</v>
      </c>
      <c r="C1922" t="s">
        <v>105</v>
      </c>
      <c r="D1922" t="s">
        <v>22</v>
      </c>
      <c r="E1922" t="s">
        <v>352</v>
      </c>
      <c r="F1922" t="s">
        <v>92</v>
      </c>
      <c r="G1922" s="12">
        <v>25</v>
      </c>
      <c r="H1922" s="12">
        <v>1165</v>
      </c>
      <c r="I1922" s="12">
        <v>22</v>
      </c>
      <c r="J1922" t="str">
        <f>VLOOKUP(B1922,Paramètres!$A$4:$C$11,3,FALSE)</f>
        <v>Grande couronne</v>
      </c>
      <c r="K1922" s="13">
        <f>IFERROR(H1922/G1922,"")</f>
        <v>46.6</v>
      </c>
      <c r="L1922" s="14">
        <f>IFERROR(I1922/G1922,"")</f>
        <v>0.88</v>
      </c>
      <c r="M1922" s="11" t="str">
        <f>IF(K1922&gt;=Paramètres!$F$6,"Très forte",IF(K1922&gt;=Paramètres!$F$5,"Forte",IF(K1922&gt;=Paramètres!$F$4,"Modérée","Faible")))</f>
        <v>Très forte</v>
      </c>
    </row>
    <row r="1923" spans="1:13">
      <c r="A1923" t="s">
        <v>190</v>
      </c>
      <c r="B1923" s="11">
        <v>75</v>
      </c>
      <c r="C1923" t="s">
        <v>86</v>
      </c>
      <c r="D1923" t="s">
        <v>22</v>
      </c>
      <c r="E1923" t="s">
        <v>527</v>
      </c>
      <c r="F1923" t="s">
        <v>92</v>
      </c>
      <c r="G1923" s="12">
        <v>40</v>
      </c>
      <c r="H1923" s="12">
        <v>1856</v>
      </c>
      <c r="I1923" s="12">
        <v>38</v>
      </c>
      <c r="J1923" t="str">
        <f>VLOOKUP(B1923,Paramètres!$A$4:$C$11,3,FALSE)</f>
        <v>Paris</v>
      </c>
      <c r="K1923" s="13">
        <f>IFERROR(H1923/G1923,"")</f>
        <v>46.4</v>
      </c>
      <c r="L1923" s="14">
        <f>IFERROR(I1923/G1923,"")</f>
        <v>0.95</v>
      </c>
      <c r="M1923" s="11" t="str">
        <f>IF(K1923&gt;=Paramètres!$F$6,"Très forte",IF(K1923&gt;=Paramètres!$F$5,"Forte",IF(K1923&gt;=Paramètres!$F$4,"Modérée","Faible")))</f>
        <v>Très forte</v>
      </c>
    </row>
    <row r="1924" spans="1:13">
      <c r="A1924" t="s">
        <v>152</v>
      </c>
      <c r="B1924" s="11">
        <v>75</v>
      </c>
      <c r="C1924" t="s">
        <v>86</v>
      </c>
      <c r="D1924" t="s">
        <v>22</v>
      </c>
      <c r="E1924" t="s">
        <v>665</v>
      </c>
      <c r="F1924" t="s">
        <v>92</v>
      </c>
      <c r="G1924" s="12">
        <v>60</v>
      </c>
      <c r="H1924" s="12">
        <v>2718</v>
      </c>
      <c r="I1924" s="12">
        <v>58</v>
      </c>
      <c r="J1924" t="str">
        <f>VLOOKUP(B1924,Paramètres!$A$4:$C$11,3,FALSE)</f>
        <v>Paris</v>
      </c>
      <c r="K1924" s="13">
        <f>IFERROR(H1924/G1924,"")</f>
        <v>45.3</v>
      </c>
      <c r="L1924" s="14">
        <f>IFERROR(I1924/G1924,"")</f>
        <v>0.96666666666666667</v>
      </c>
      <c r="M1924" s="11" t="str">
        <f>IF(K1924&gt;=Paramètres!$F$6,"Très forte",IF(K1924&gt;=Paramètres!$F$5,"Forte",IF(K1924&gt;=Paramètres!$F$4,"Modérée","Faible")))</f>
        <v>Très forte</v>
      </c>
    </row>
    <row r="1925" spans="1:13">
      <c r="A1925" t="s">
        <v>155</v>
      </c>
      <c r="B1925" s="11">
        <v>75</v>
      </c>
      <c r="C1925" t="s">
        <v>86</v>
      </c>
      <c r="D1925" t="s">
        <v>22</v>
      </c>
      <c r="E1925" t="s">
        <v>238</v>
      </c>
      <c r="F1925" t="s">
        <v>92</v>
      </c>
      <c r="G1925" s="12">
        <v>35</v>
      </c>
      <c r="H1925" s="12">
        <v>1576</v>
      </c>
      <c r="I1925" s="12">
        <v>35</v>
      </c>
      <c r="J1925" t="str">
        <f>VLOOKUP(B1925,Paramètres!$A$4:$C$11,3,FALSE)</f>
        <v>Paris</v>
      </c>
      <c r="K1925" s="13">
        <f>IFERROR(H1925/G1925,"")</f>
        <v>45.028571428571432</v>
      </c>
      <c r="L1925" s="14">
        <f>IFERROR(I1925/G1925,"")</f>
        <v>1</v>
      </c>
      <c r="M1925" s="11" t="str">
        <f>IF(K1925&gt;=Paramètres!$F$6,"Très forte",IF(K1925&gt;=Paramètres!$F$5,"Forte",IF(K1925&gt;=Paramètres!$F$4,"Modérée","Faible")))</f>
        <v>Très forte</v>
      </c>
    </row>
    <row r="1926" spans="1:13">
      <c r="A1926" t="s">
        <v>152</v>
      </c>
      <c r="B1926" s="11">
        <v>75</v>
      </c>
      <c r="C1926" t="s">
        <v>86</v>
      </c>
      <c r="D1926" t="s">
        <v>22</v>
      </c>
      <c r="E1926" t="s">
        <v>763</v>
      </c>
      <c r="F1926" t="s">
        <v>92</v>
      </c>
      <c r="G1926" s="12">
        <v>50</v>
      </c>
      <c r="H1926" s="12">
        <v>2246</v>
      </c>
      <c r="I1926" s="12">
        <v>50</v>
      </c>
      <c r="J1926" t="str">
        <f>VLOOKUP(B1926,Paramètres!$A$4:$C$11,3,FALSE)</f>
        <v>Paris</v>
      </c>
      <c r="K1926" s="13">
        <f>IFERROR(H1926/G1926,"")</f>
        <v>44.92</v>
      </c>
      <c r="L1926" s="14">
        <f>IFERROR(I1926/G1926,"")</f>
        <v>1</v>
      </c>
      <c r="M1926" s="11" t="str">
        <f>IF(K1926&gt;=Paramètres!$F$6,"Très forte",IF(K1926&gt;=Paramètres!$F$5,"Forte",IF(K1926&gt;=Paramètres!$F$4,"Modérée","Faible")))</f>
        <v>Très forte</v>
      </c>
    </row>
    <row r="1927" spans="1:13">
      <c r="A1927" t="s">
        <v>225</v>
      </c>
      <c r="B1927" s="11">
        <v>77</v>
      </c>
      <c r="C1927" t="s">
        <v>132</v>
      </c>
      <c r="D1927" t="s">
        <v>22</v>
      </c>
      <c r="E1927" t="s">
        <v>227</v>
      </c>
      <c r="F1927" t="s">
        <v>92</v>
      </c>
      <c r="G1927" s="12">
        <v>20</v>
      </c>
      <c r="H1927" s="12">
        <v>896</v>
      </c>
      <c r="I1927" s="12">
        <v>20</v>
      </c>
      <c r="J1927" t="str">
        <f>VLOOKUP(B1927,Paramètres!$A$4:$C$11,3,FALSE)</f>
        <v>Grande couronne</v>
      </c>
      <c r="K1927" s="13">
        <f>IFERROR(H1927/G1927,"")</f>
        <v>44.8</v>
      </c>
      <c r="L1927" s="14">
        <f>IFERROR(I1927/G1927,"")</f>
        <v>1</v>
      </c>
      <c r="M1927" s="11" t="str">
        <f>IF(K1927&gt;=Paramètres!$F$6,"Très forte",IF(K1927&gt;=Paramètres!$F$5,"Forte",IF(K1927&gt;=Paramètres!$F$4,"Modérée","Faible")))</f>
        <v>Très forte</v>
      </c>
    </row>
    <row r="1928" spans="1:13">
      <c r="A1928" t="s">
        <v>127</v>
      </c>
      <c r="B1928" s="11">
        <v>75</v>
      </c>
      <c r="C1928" t="s">
        <v>86</v>
      </c>
      <c r="D1928" t="s">
        <v>22</v>
      </c>
      <c r="E1928" t="s">
        <v>413</v>
      </c>
      <c r="F1928" t="s">
        <v>88</v>
      </c>
      <c r="G1928" s="12">
        <v>9</v>
      </c>
      <c r="H1928" s="12">
        <v>398</v>
      </c>
      <c r="I1928" s="12">
        <v>9</v>
      </c>
      <c r="J1928" t="str">
        <f>VLOOKUP(B1928,Paramètres!$A$4:$C$11,3,FALSE)</f>
        <v>Paris</v>
      </c>
      <c r="K1928" s="13">
        <f>IFERROR(H1928/G1928,"")</f>
        <v>44.222222222222221</v>
      </c>
      <c r="L1928" s="14">
        <f>IFERROR(I1928/G1928,"")</f>
        <v>1</v>
      </c>
      <c r="M1928" s="11" t="str">
        <f>IF(K1928&gt;=Paramètres!$F$6,"Très forte",IF(K1928&gt;=Paramètres!$F$5,"Forte",IF(K1928&gt;=Paramètres!$F$4,"Modérée","Faible")))</f>
        <v>Très forte</v>
      </c>
    </row>
    <row r="1929" spans="1:13">
      <c r="A1929" t="s">
        <v>127</v>
      </c>
      <c r="B1929" s="11">
        <v>75</v>
      </c>
      <c r="C1929" t="s">
        <v>86</v>
      </c>
      <c r="D1929" t="s">
        <v>22</v>
      </c>
      <c r="E1929" t="s">
        <v>236</v>
      </c>
      <c r="F1929" t="s">
        <v>88</v>
      </c>
      <c r="G1929" s="12">
        <v>70</v>
      </c>
      <c r="H1929" s="12">
        <v>3080</v>
      </c>
      <c r="I1929" s="12">
        <v>69</v>
      </c>
      <c r="J1929" t="str">
        <f>VLOOKUP(B1929,Paramètres!$A$4:$C$11,3,FALSE)</f>
        <v>Paris</v>
      </c>
      <c r="K1929" s="13">
        <f>IFERROR(H1929/G1929,"")</f>
        <v>44</v>
      </c>
      <c r="L1929" s="14">
        <f>IFERROR(I1929/G1929,"")</f>
        <v>0.98571428571428577</v>
      </c>
      <c r="M1929" s="11" t="str">
        <f>IF(K1929&gt;=Paramètres!$F$6,"Très forte",IF(K1929&gt;=Paramètres!$F$5,"Forte",IF(K1929&gt;=Paramètres!$F$4,"Modérée","Faible")))</f>
        <v>Très forte</v>
      </c>
    </row>
    <row r="1930" spans="1:13">
      <c r="A1930" t="s">
        <v>119</v>
      </c>
      <c r="B1930" s="11">
        <v>75</v>
      </c>
      <c r="C1930" t="s">
        <v>86</v>
      </c>
      <c r="D1930" t="s">
        <v>22</v>
      </c>
      <c r="E1930" t="s">
        <v>719</v>
      </c>
      <c r="F1930" t="s">
        <v>92</v>
      </c>
      <c r="G1930" s="12">
        <v>24</v>
      </c>
      <c r="H1930" s="12">
        <v>1042</v>
      </c>
      <c r="I1930" s="12">
        <v>24</v>
      </c>
      <c r="J1930" t="str">
        <f>VLOOKUP(B1930,Paramètres!$A$4:$C$11,3,FALSE)</f>
        <v>Paris</v>
      </c>
      <c r="K1930" s="13">
        <f>IFERROR(H1930/G1930,"")</f>
        <v>43.416666666666664</v>
      </c>
      <c r="L1930" s="14">
        <f>IFERROR(I1930/G1930,"")</f>
        <v>1</v>
      </c>
      <c r="M1930" s="11" t="str">
        <f>IF(K1930&gt;=Paramètres!$F$6,"Très forte",IF(K1930&gt;=Paramètres!$F$5,"Forte",IF(K1930&gt;=Paramètres!$F$4,"Modérée","Faible")))</f>
        <v>Très forte</v>
      </c>
    </row>
    <row r="1931" spans="1:13">
      <c r="A1931" t="s">
        <v>115</v>
      </c>
      <c r="B1931" s="11">
        <v>94</v>
      </c>
      <c r="C1931" t="s">
        <v>116</v>
      </c>
      <c r="D1931" t="s">
        <v>22</v>
      </c>
      <c r="E1931" t="s">
        <v>444</v>
      </c>
      <c r="F1931" t="s">
        <v>88</v>
      </c>
      <c r="G1931" s="12">
        <v>65</v>
      </c>
      <c r="H1931" s="12">
        <v>2822</v>
      </c>
      <c r="I1931" s="12">
        <v>65</v>
      </c>
      <c r="J1931" t="str">
        <f>VLOOKUP(B1931,Paramètres!$A$4:$C$11,3,FALSE)</f>
        <v>Petite couronne</v>
      </c>
      <c r="K1931" s="13">
        <f>IFERROR(H1931/G1931,"")</f>
        <v>43.415384615384617</v>
      </c>
      <c r="L1931" s="14">
        <f>IFERROR(I1931/G1931,"")</f>
        <v>1</v>
      </c>
      <c r="M1931" s="11" t="str">
        <f>IF(K1931&gt;=Paramètres!$F$6,"Très forte",IF(K1931&gt;=Paramètres!$F$5,"Forte",IF(K1931&gt;=Paramètres!$F$4,"Modérée","Faible")))</f>
        <v>Très forte</v>
      </c>
    </row>
    <row r="1932" spans="1:13">
      <c r="A1932" t="s">
        <v>119</v>
      </c>
      <c r="B1932" s="11">
        <v>75</v>
      </c>
      <c r="C1932" t="s">
        <v>86</v>
      </c>
      <c r="D1932" t="s">
        <v>22</v>
      </c>
      <c r="E1932" t="s">
        <v>492</v>
      </c>
      <c r="F1932" t="s">
        <v>92</v>
      </c>
      <c r="G1932" s="12">
        <v>16</v>
      </c>
      <c r="H1932" s="12">
        <v>691</v>
      </c>
      <c r="I1932" s="12">
        <v>18</v>
      </c>
      <c r="J1932" t="str">
        <f>VLOOKUP(B1932,Paramètres!$A$4:$C$11,3,FALSE)</f>
        <v>Paris</v>
      </c>
      <c r="K1932" s="13">
        <f>IFERROR(H1932/G1932,"")</f>
        <v>43.1875</v>
      </c>
      <c r="L1932" s="14">
        <f>IFERROR(I1932/G1932,"")</f>
        <v>1.125</v>
      </c>
      <c r="M1932" s="11" t="str">
        <f>IF(K1932&gt;=Paramètres!$F$6,"Très forte",IF(K1932&gt;=Paramètres!$F$5,"Forte",IF(K1932&gt;=Paramètres!$F$4,"Modérée","Faible")))</f>
        <v>Très forte</v>
      </c>
    </row>
    <row r="1933" spans="1:13">
      <c r="A1933" t="s">
        <v>129</v>
      </c>
      <c r="B1933" s="11">
        <v>91</v>
      </c>
      <c r="C1933" t="s">
        <v>105</v>
      </c>
      <c r="D1933" t="s">
        <v>22</v>
      </c>
      <c r="E1933" t="s">
        <v>607</v>
      </c>
      <c r="F1933" t="s">
        <v>92</v>
      </c>
      <c r="G1933" s="12">
        <v>25</v>
      </c>
      <c r="H1933" s="12">
        <v>1074</v>
      </c>
      <c r="I1933" s="12">
        <v>25</v>
      </c>
      <c r="J1933" t="str">
        <f>VLOOKUP(B1933,Paramètres!$A$4:$C$11,3,FALSE)</f>
        <v>Grande couronne</v>
      </c>
      <c r="K1933" s="13">
        <f>IFERROR(H1933/G1933,"")</f>
        <v>42.96</v>
      </c>
      <c r="L1933" s="14">
        <f>IFERROR(I1933/G1933,"")</f>
        <v>1</v>
      </c>
      <c r="M1933" s="11" t="str">
        <f>IF(K1933&gt;=Paramètres!$F$6,"Très forte",IF(K1933&gt;=Paramètres!$F$5,"Forte",IF(K1933&gt;=Paramètres!$F$4,"Modérée","Faible")))</f>
        <v>Très forte</v>
      </c>
    </row>
    <row r="1934" spans="1:13">
      <c r="A1934" t="s">
        <v>378</v>
      </c>
      <c r="B1934" s="11">
        <v>75</v>
      </c>
      <c r="C1934" t="s">
        <v>86</v>
      </c>
      <c r="D1934" t="s">
        <v>22</v>
      </c>
      <c r="E1934" t="s">
        <v>266</v>
      </c>
      <c r="F1934" t="s">
        <v>92</v>
      </c>
      <c r="G1934" s="12">
        <v>50</v>
      </c>
      <c r="H1934" s="12">
        <v>2131</v>
      </c>
      <c r="I1934" s="12">
        <v>47</v>
      </c>
      <c r="J1934" t="str">
        <f>VLOOKUP(B1934,Paramètres!$A$4:$C$11,3,FALSE)</f>
        <v>Paris</v>
      </c>
      <c r="K1934" s="13">
        <f>IFERROR(H1934/G1934,"")</f>
        <v>42.62</v>
      </c>
      <c r="L1934" s="14">
        <f>IFERROR(I1934/G1934,"")</f>
        <v>0.94</v>
      </c>
      <c r="M1934" s="11" t="str">
        <f>IF(K1934&gt;=Paramètres!$F$6,"Très forte",IF(K1934&gt;=Paramètres!$F$5,"Forte",IF(K1934&gt;=Paramètres!$F$4,"Modérée","Faible")))</f>
        <v>Très forte</v>
      </c>
    </row>
    <row r="1935" spans="1:13">
      <c r="A1935" t="s">
        <v>115</v>
      </c>
      <c r="B1935" s="11">
        <v>94</v>
      </c>
      <c r="C1935" t="s">
        <v>116</v>
      </c>
      <c r="D1935" t="s">
        <v>22</v>
      </c>
      <c r="E1935" t="s">
        <v>315</v>
      </c>
      <c r="F1935" t="s">
        <v>88</v>
      </c>
      <c r="G1935" s="12">
        <v>28</v>
      </c>
      <c r="H1935" s="12">
        <v>1193</v>
      </c>
      <c r="I1935" s="12">
        <v>27</v>
      </c>
      <c r="J1935" t="str">
        <f>VLOOKUP(B1935,Paramètres!$A$4:$C$11,3,FALSE)</f>
        <v>Petite couronne</v>
      </c>
      <c r="K1935" s="13">
        <f>IFERROR(H1935/G1935,"")</f>
        <v>42.607142857142854</v>
      </c>
      <c r="L1935" s="14">
        <f>IFERROR(I1935/G1935,"")</f>
        <v>0.9642857142857143</v>
      </c>
      <c r="M1935" s="11" t="str">
        <f>IF(K1935&gt;=Paramètres!$F$6,"Très forte",IF(K1935&gt;=Paramètres!$F$5,"Forte",IF(K1935&gt;=Paramètres!$F$4,"Modérée","Faible")))</f>
        <v>Très forte</v>
      </c>
    </row>
    <row r="1936" spans="1:13">
      <c r="A1936" t="s">
        <v>162</v>
      </c>
      <c r="B1936" s="11">
        <v>91</v>
      </c>
      <c r="C1936" t="s">
        <v>105</v>
      </c>
      <c r="D1936" t="s">
        <v>22</v>
      </c>
      <c r="E1936" t="s">
        <v>566</v>
      </c>
      <c r="F1936" t="s">
        <v>92</v>
      </c>
      <c r="G1936" s="12">
        <v>35</v>
      </c>
      <c r="H1936" s="12">
        <v>1488</v>
      </c>
      <c r="I1936" s="12">
        <v>32</v>
      </c>
      <c r="J1936" t="str">
        <f>VLOOKUP(B1936,Paramètres!$A$4:$C$11,3,FALSE)</f>
        <v>Grande couronne</v>
      </c>
      <c r="K1936" s="13">
        <f>IFERROR(H1936/G1936,"")</f>
        <v>42.514285714285712</v>
      </c>
      <c r="L1936" s="14">
        <f>IFERROR(I1936/G1936,"")</f>
        <v>0.91428571428571426</v>
      </c>
      <c r="M1936" s="11" t="str">
        <f>IF(K1936&gt;=Paramètres!$F$6,"Très forte",IF(K1936&gt;=Paramètres!$F$5,"Forte",IF(K1936&gt;=Paramètres!$F$4,"Modérée","Faible")))</f>
        <v>Très forte</v>
      </c>
    </row>
    <row r="1937" spans="1:13">
      <c r="A1937" t="s">
        <v>97</v>
      </c>
      <c r="B1937" s="11">
        <v>92</v>
      </c>
      <c r="C1937" t="s">
        <v>94</v>
      </c>
      <c r="D1937" t="s">
        <v>22</v>
      </c>
      <c r="E1937" t="s">
        <v>346</v>
      </c>
      <c r="F1937" t="s">
        <v>88</v>
      </c>
      <c r="G1937" s="12">
        <v>35</v>
      </c>
      <c r="H1937" s="12">
        <v>1482</v>
      </c>
      <c r="I1937" s="12">
        <v>35</v>
      </c>
      <c r="J1937" t="str">
        <f>VLOOKUP(B1937,Paramètres!$A$4:$C$11,3,FALSE)</f>
        <v>Petite couronne</v>
      </c>
      <c r="K1937" s="13">
        <f>IFERROR(H1937/G1937,"")</f>
        <v>42.342857142857142</v>
      </c>
      <c r="L1937" s="14">
        <f>IFERROR(I1937/G1937,"")</f>
        <v>1</v>
      </c>
      <c r="M1937" s="11" t="str">
        <f>IF(K1937&gt;=Paramètres!$F$6,"Très forte",IF(K1937&gt;=Paramètres!$F$5,"Forte",IF(K1937&gt;=Paramètres!$F$4,"Modérée","Faible")))</f>
        <v>Très forte</v>
      </c>
    </row>
    <row r="1938" spans="1:13">
      <c r="A1938" t="s">
        <v>190</v>
      </c>
      <c r="B1938" s="11">
        <v>75</v>
      </c>
      <c r="C1938" t="s">
        <v>86</v>
      </c>
      <c r="D1938" t="s">
        <v>22</v>
      </c>
      <c r="E1938" t="s">
        <v>223</v>
      </c>
      <c r="F1938" t="s">
        <v>92</v>
      </c>
      <c r="G1938" s="12">
        <v>40</v>
      </c>
      <c r="H1938" s="12">
        <v>1692</v>
      </c>
      <c r="I1938" s="12">
        <v>38</v>
      </c>
      <c r="J1938" t="str">
        <f>VLOOKUP(B1938,Paramètres!$A$4:$C$11,3,FALSE)</f>
        <v>Paris</v>
      </c>
      <c r="K1938" s="13">
        <f>IFERROR(H1938/G1938,"")</f>
        <v>42.3</v>
      </c>
      <c r="L1938" s="14">
        <f>IFERROR(I1938/G1938,"")</f>
        <v>0.95</v>
      </c>
      <c r="M1938" s="11" t="str">
        <f>IF(K1938&gt;=Paramètres!$F$6,"Très forte",IF(K1938&gt;=Paramètres!$F$5,"Forte",IF(K1938&gt;=Paramètres!$F$4,"Modérée","Faible")))</f>
        <v>Très forte</v>
      </c>
    </row>
    <row r="1939" spans="1:13">
      <c r="A1939" t="s">
        <v>110</v>
      </c>
      <c r="B1939" s="11">
        <v>75</v>
      </c>
      <c r="C1939" t="s">
        <v>86</v>
      </c>
      <c r="D1939" t="s">
        <v>22</v>
      </c>
      <c r="E1939" t="s">
        <v>399</v>
      </c>
      <c r="F1939" t="s">
        <v>92</v>
      </c>
      <c r="G1939" s="12">
        <v>6</v>
      </c>
      <c r="H1939" s="12">
        <v>253</v>
      </c>
      <c r="I1939" s="12">
        <v>5</v>
      </c>
      <c r="J1939" t="str">
        <f>VLOOKUP(B1939,Paramètres!$A$4:$C$11,3,FALSE)</f>
        <v>Paris</v>
      </c>
      <c r="K1939" s="13">
        <f>IFERROR(H1939/G1939,"")</f>
        <v>42.166666666666664</v>
      </c>
      <c r="L1939" s="14">
        <f>IFERROR(I1939/G1939,"")</f>
        <v>0.83333333333333337</v>
      </c>
      <c r="M1939" s="11" t="str">
        <f>IF(K1939&gt;=Paramètres!$F$6,"Très forte",IF(K1939&gt;=Paramètres!$F$5,"Forte",IF(K1939&gt;=Paramètres!$F$4,"Modérée","Faible")))</f>
        <v>Très forte</v>
      </c>
    </row>
    <row r="1940" spans="1:13">
      <c r="A1940" t="s">
        <v>265</v>
      </c>
      <c r="B1940" s="11">
        <v>93</v>
      </c>
      <c r="C1940" t="s">
        <v>100</v>
      </c>
      <c r="D1940" t="s">
        <v>22</v>
      </c>
      <c r="E1940" t="s">
        <v>326</v>
      </c>
      <c r="F1940" t="s">
        <v>92</v>
      </c>
      <c r="G1940" s="12">
        <v>25</v>
      </c>
      <c r="H1940" s="12">
        <v>1048</v>
      </c>
      <c r="I1940" s="12">
        <v>21</v>
      </c>
      <c r="J1940" t="str">
        <f>VLOOKUP(B1940,Paramètres!$A$4:$C$11,3,FALSE)</f>
        <v>Petite couronne</v>
      </c>
      <c r="K1940" s="13">
        <f>IFERROR(H1940/G1940,"")</f>
        <v>41.92</v>
      </c>
      <c r="L1940" s="14">
        <f>IFERROR(I1940/G1940,"")</f>
        <v>0.84</v>
      </c>
      <c r="M1940" s="11" t="str">
        <f>IF(K1940&gt;=Paramètres!$F$6,"Très forte",IF(K1940&gt;=Paramètres!$F$5,"Forte",IF(K1940&gt;=Paramètres!$F$4,"Modérée","Faible")))</f>
        <v>Très forte</v>
      </c>
    </row>
    <row r="1941" spans="1:13">
      <c r="A1941" t="s">
        <v>127</v>
      </c>
      <c r="B1941" s="11">
        <v>75</v>
      </c>
      <c r="C1941" t="s">
        <v>86</v>
      </c>
      <c r="D1941" t="s">
        <v>22</v>
      </c>
      <c r="E1941" t="s">
        <v>234</v>
      </c>
      <c r="F1941" t="s">
        <v>88</v>
      </c>
      <c r="G1941" s="12">
        <v>20</v>
      </c>
      <c r="H1941" s="12">
        <v>836</v>
      </c>
      <c r="I1941" s="12">
        <v>20</v>
      </c>
      <c r="J1941" t="str">
        <f>VLOOKUP(B1941,Paramètres!$A$4:$C$11,3,FALSE)</f>
        <v>Paris</v>
      </c>
      <c r="K1941" s="13">
        <f>IFERROR(H1941/G1941,"")</f>
        <v>41.8</v>
      </c>
      <c r="L1941" s="14">
        <f>IFERROR(I1941/G1941,"")</f>
        <v>1</v>
      </c>
      <c r="M1941" s="11" t="str">
        <f>IF(K1941&gt;=Paramètres!$F$6,"Très forte",IF(K1941&gt;=Paramètres!$F$5,"Forte",IF(K1941&gt;=Paramètres!$F$4,"Modérée","Faible")))</f>
        <v>Très forte</v>
      </c>
    </row>
    <row r="1942" spans="1:13">
      <c r="A1942" t="s">
        <v>119</v>
      </c>
      <c r="B1942" s="11">
        <v>75</v>
      </c>
      <c r="C1942" t="s">
        <v>86</v>
      </c>
      <c r="D1942" t="s">
        <v>22</v>
      </c>
      <c r="E1942" t="s">
        <v>220</v>
      </c>
      <c r="F1942" t="s">
        <v>88</v>
      </c>
      <c r="G1942" s="12">
        <v>200</v>
      </c>
      <c r="H1942" s="12">
        <v>8360</v>
      </c>
      <c r="I1942" s="12">
        <v>197</v>
      </c>
      <c r="J1942" t="str">
        <f>VLOOKUP(B1942,Paramètres!$A$4:$C$11,3,FALSE)</f>
        <v>Paris</v>
      </c>
      <c r="K1942" s="13">
        <f>IFERROR(H1942/G1942,"")</f>
        <v>41.8</v>
      </c>
      <c r="L1942" s="14">
        <f>IFERROR(I1942/G1942,"")</f>
        <v>0.98499999999999999</v>
      </c>
      <c r="M1942" s="11" t="str">
        <f>IF(K1942&gt;=Paramètres!$F$6,"Très forte",IF(K1942&gt;=Paramètres!$F$5,"Forte",IF(K1942&gt;=Paramètres!$F$4,"Modérée","Faible")))</f>
        <v>Très forte</v>
      </c>
    </row>
    <row r="1943" spans="1:13">
      <c r="A1943" t="s">
        <v>115</v>
      </c>
      <c r="B1943" s="11">
        <v>94</v>
      </c>
      <c r="C1943" t="s">
        <v>116</v>
      </c>
      <c r="D1943" t="s">
        <v>22</v>
      </c>
      <c r="E1943" t="s">
        <v>556</v>
      </c>
      <c r="F1943" t="s">
        <v>92</v>
      </c>
      <c r="G1943" s="12">
        <v>5</v>
      </c>
      <c r="H1943" s="12">
        <v>208</v>
      </c>
      <c r="I1943" s="12">
        <v>5</v>
      </c>
      <c r="J1943" t="str">
        <f>VLOOKUP(B1943,Paramètres!$A$4:$C$11,3,FALSE)</f>
        <v>Petite couronne</v>
      </c>
      <c r="K1943" s="13">
        <f>IFERROR(H1943/G1943,"")</f>
        <v>41.6</v>
      </c>
      <c r="L1943" s="14">
        <f>IFERROR(I1943/G1943,"")</f>
        <v>1</v>
      </c>
      <c r="M1943" s="11" t="str">
        <f>IF(K1943&gt;=Paramètres!$F$6,"Très forte",IF(K1943&gt;=Paramètres!$F$5,"Forte",IF(K1943&gt;=Paramètres!$F$4,"Modérée","Faible")))</f>
        <v>Très forte</v>
      </c>
    </row>
    <row r="1944" spans="1:13">
      <c r="A1944" t="s">
        <v>108</v>
      </c>
      <c r="B1944" s="11">
        <v>93</v>
      </c>
      <c r="C1944" t="s">
        <v>100</v>
      </c>
      <c r="D1944" t="s">
        <v>22</v>
      </c>
      <c r="E1944" t="s">
        <v>361</v>
      </c>
      <c r="F1944" t="s">
        <v>92</v>
      </c>
      <c r="G1944" s="12">
        <v>36</v>
      </c>
      <c r="H1944" s="12">
        <v>1497</v>
      </c>
      <c r="I1944" s="12">
        <v>35</v>
      </c>
      <c r="J1944" t="str">
        <f>VLOOKUP(B1944,Paramètres!$A$4:$C$11,3,FALSE)</f>
        <v>Petite couronne</v>
      </c>
      <c r="K1944" s="13">
        <f>IFERROR(H1944/G1944,"")</f>
        <v>41.583333333333336</v>
      </c>
      <c r="L1944" s="14">
        <f>IFERROR(I1944/G1944,"")</f>
        <v>0.97222222222222221</v>
      </c>
      <c r="M1944" s="11" t="str">
        <f>IF(K1944&gt;=Paramètres!$F$6,"Très forte",IF(K1944&gt;=Paramètres!$F$5,"Forte",IF(K1944&gt;=Paramètres!$F$4,"Modérée","Faible")))</f>
        <v>Très forte</v>
      </c>
    </row>
    <row r="1945" spans="1:13">
      <c r="A1945" t="s">
        <v>155</v>
      </c>
      <c r="B1945" s="11">
        <v>75</v>
      </c>
      <c r="C1945" t="s">
        <v>86</v>
      </c>
      <c r="D1945" t="s">
        <v>22</v>
      </c>
      <c r="E1945" t="s">
        <v>725</v>
      </c>
      <c r="F1945" t="s">
        <v>92</v>
      </c>
      <c r="G1945" s="12">
        <v>35</v>
      </c>
      <c r="H1945" s="12">
        <v>1455</v>
      </c>
      <c r="I1945" s="12">
        <v>35</v>
      </c>
      <c r="J1945" t="str">
        <f>VLOOKUP(B1945,Paramètres!$A$4:$C$11,3,FALSE)</f>
        <v>Paris</v>
      </c>
      <c r="K1945" s="13">
        <f>IFERROR(H1945/G1945,"")</f>
        <v>41.571428571428569</v>
      </c>
      <c r="L1945" s="14">
        <f>IFERROR(I1945/G1945,"")</f>
        <v>1</v>
      </c>
      <c r="M1945" s="11" t="str">
        <f>IF(K1945&gt;=Paramètres!$F$6,"Très forte",IF(K1945&gt;=Paramètres!$F$5,"Forte",IF(K1945&gt;=Paramètres!$F$4,"Modérée","Faible")))</f>
        <v>Très forte</v>
      </c>
    </row>
    <row r="1946" spans="1:13">
      <c r="A1946" t="s">
        <v>110</v>
      </c>
      <c r="B1946" s="11">
        <v>75</v>
      </c>
      <c r="C1946" t="s">
        <v>86</v>
      </c>
      <c r="D1946" t="s">
        <v>22</v>
      </c>
      <c r="E1946" t="s">
        <v>377</v>
      </c>
      <c r="F1946" t="s">
        <v>88</v>
      </c>
      <c r="G1946" s="12">
        <v>85</v>
      </c>
      <c r="H1946" s="12">
        <v>3530</v>
      </c>
      <c r="I1946" s="12">
        <v>86</v>
      </c>
      <c r="J1946" t="str">
        <f>VLOOKUP(B1946,Paramètres!$A$4:$C$11,3,FALSE)</f>
        <v>Paris</v>
      </c>
      <c r="K1946" s="13">
        <f>IFERROR(H1946/G1946,"")</f>
        <v>41.529411764705884</v>
      </c>
      <c r="L1946" s="14">
        <f>IFERROR(I1946/G1946,"")</f>
        <v>1.0117647058823529</v>
      </c>
      <c r="M1946" s="11" t="str">
        <f>IF(K1946&gt;=Paramètres!$F$6,"Très forte",IF(K1946&gt;=Paramètres!$F$5,"Forte",IF(K1946&gt;=Paramètres!$F$4,"Modérée","Faible")))</f>
        <v>Très forte</v>
      </c>
    </row>
    <row r="1947" spans="1:13">
      <c r="A1947" t="s">
        <v>119</v>
      </c>
      <c r="B1947" s="11">
        <v>75</v>
      </c>
      <c r="C1947" t="s">
        <v>86</v>
      </c>
      <c r="D1947" t="s">
        <v>22</v>
      </c>
      <c r="E1947" t="s">
        <v>484</v>
      </c>
      <c r="F1947" t="s">
        <v>92</v>
      </c>
      <c r="G1947" s="12">
        <v>20</v>
      </c>
      <c r="H1947" s="12">
        <v>829</v>
      </c>
      <c r="I1947" s="12">
        <v>19</v>
      </c>
      <c r="J1947" t="str">
        <f>VLOOKUP(B1947,Paramètres!$A$4:$C$11,3,FALSE)</f>
        <v>Paris</v>
      </c>
      <c r="K1947" s="13">
        <f>IFERROR(H1947/G1947,"")</f>
        <v>41.45</v>
      </c>
      <c r="L1947" s="14">
        <f>IFERROR(I1947/G1947,"")</f>
        <v>0.95</v>
      </c>
      <c r="M1947" s="11" t="str">
        <f>IF(K1947&gt;=Paramètres!$F$6,"Très forte",IF(K1947&gt;=Paramètres!$F$5,"Forte",IF(K1947&gt;=Paramètres!$F$4,"Modérée","Faible")))</f>
        <v>Très forte</v>
      </c>
    </row>
    <row r="1948" spans="1:13">
      <c r="A1948" t="s">
        <v>155</v>
      </c>
      <c r="B1948" s="11">
        <v>75</v>
      </c>
      <c r="C1948" t="s">
        <v>86</v>
      </c>
      <c r="D1948" t="s">
        <v>22</v>
      </c>
      <c r="E1948" t="s">
        <v>392</v>
      </c>
      <c r="F1948" t="s">
        <v>88</v>
      </c>
      <c r="G1948" s="12">
        <v>410</v>
      </c>
      <c r="H1948" s="12">
        <v>16868</v>
      </c>
      <c r="I1948" s="12">
        <v>410</v>
      </c>
      <c r="J1948" t="str">
        <f>VLOOKUP(B1948,Paramètres!$A$4:$C$11,3,FALSE)</f>
        <v>Paris</v>
      </c>
      <c r="K1948" s="13">
        <f>IFERROR(H1948/G1948,"")</f>
        <v>41.141463414634146</v>
      </c>
      <c r="L1948" s="14">
        <f>IFERROR(I1948/G1948,"")</f>
        <v>1</v>
      </c>
      <c r="M1948" s="11" t="str">
        <f>IF(K1948&gt;=Paramètres!$F$6,"Très forte",IF(K1948&gt;=Paramètres!$F$5,"Forte",IF(K1948&gt;=Paramètres!$F$4,"Modérée","Faible")))</f>
        <v>Très forte</v>
      </c>
    </row>
    <row r="1949" spans="1:13">
      <c r="A1949" t="s">
        <v>127</v>
      </c>
      <c r="B1949" s="11">
        <v>75</v>
      </c>
      <c r="C1949" t="s">
        <v>86</v>
      </c>
      <c r="D1949" t="s">
        <v>22</v>
      </c>
      <c r="E1949" t="s">
        <v>369</v>
      </c>
      <c r="F1949" t="s">
        <v>88</v>
      </c>
      <c r="G1949" s="12">
        <v>120</v>
      </c>
      <c r="H1949" s="12">
        <v>4932</v>
      </c>
      <c r="I1949" s="12">
        <v>119</v>
      </c>
      <c r="J1949" t="str">
        <f>VLOOKUP(B1949,Paramètres!$A$4:$C$11,3,FALSE)</f>
        <v>Paris</v>
      </c>
      <c r="K1949" s="13">
        <f>IFERROR(H1949/G1949,"")</f>
        <v>41.1</v>
      </c>
      <c r="L1949" s="14">
        <f>IFERROR(I1949/G1949,"")</f>
        <v>0.9916666666666667</v>
      </c>
      <c r="M1949" s="11" t="str">
        <f>IF(K1949&gt;=Paramètres!$F$6,"Très forte",IF(K1949&gt;=Paramètres!$F$5,"Forte",IF(K1949&gt;=Paramètres!$F$4,"Modérée","Faible")))</f>
        <v>Très forte</v>
      </c>
    </row>
    <row r="1950" spans="1:13">
      <c r="A1950" t="s">
        <v>242</v>
      </c>
      <c r="B1950" s="11">
        <v>95</v>
      </c>
      <c r="C1950" t="s">
        <v>90</v>
      </c>
      <c r="D1950" t="s">
        <v>22</v>
      </c>
      <c r="E1950" t="s">
        <v>491</v>
      </c>
      <c r="F1950" t="s">
        <v>88</v>
      </c>
      <c r="G1950" s="12">
        <v>18</v>
      </c>
      <c r="H1950" s="12">
        <v>738</v>
      </c>
      <c r="I1950" s="12">
        <v>18</v>
      </c>
      <c r="J1950" t="str">
        <f>VLOOKUP(B1950,Paramètres!$A$4:$C$11,3,FALSE)</f>
        <v>Grande couronne</v>
      </c>
      <c r="K1950" s="13">
        <f>IFERROR(H1950/G1950,"")</f>
        <v>41</v>
      </c>
      <c r="L1950" s="14">
        <f>IFERROR(I1950/G1950,"")</f>
        <v>1</v>
      </c>
      <c r="M1950" s="11" t="str">
        <f>IF(K1950&gt;=Paramètres!$F$6,"Très forte",IF(K1950&gt;=Paramètres!$F$5,"Forte",IF(K1950&gt;=Paramètres!$F$4,"Modérée","Faible")))</f>
        <v>Très forte</v>
      </c>
    </row>
    <row r="1951" spans="1:13">
      <c r="A1951" t="s">
        <v>155</v>
      </c>
      <c r="B1951" s="11">
        <v>75</v>
      </c>
      <c r="C1951" t="s">
        <v>86</v>
      </c>
      <c r="D1951" t="s">
        <v>22</v>
      </c>
      <c r="E1951" t="s">
        <v>707</v>
      </c>
      <c r="F1951" t="s">
        <v>92</v>
      </c>
      <c r="G1951" s="12">
        <v>15</v>
      </c>
      <c r="H1951" s="12">
        <v>612</v>
      </c>
      <c r="I1951" s="12">
        <v>14</v>
      </c>
      <c r="J1951" t="str">
        <f>VLOOKUP(B1951,Paramètres!$A$4:$C$11,3,FALSE)</f>
        <v>Paris</v>
      </c>
      <c r="K1951" s="13">
        <f>IFERROR(H1951/G1951,"")</f>
        <v>40.799999999999997</v>
      </c>
      <c r="L1951" s="14">
        <f>IFERROR(I1951/G1951,"")</f>
        <v>0.93333333333333335</v>
      </c>
      <c r="M1951" s="11" t="str">
        <f>IF(K1951&gt;=Paramètres!$F$6,"Très forte",IF(K1951&gt;=Paramètres!$F$5,"Forte",IF(K1951&gt;=Paramètres!$F$4,"Modérée","Faible")))</f>
        <v>Très forte</v>
      </c>
    </row>
    <row r="1952" spans="1:13">
      <c r="A1952" t="s">
        <v>127</v>
      </c>
      <c r="B1952" s="11">
        <v>75</v>
      </c>
      <c r="C1952" t="s">
        <v>86</v>
      </c>
      <c r="D1952" t="s">
        <v>22</v>
      </c>
      <c r="E1952" t="s">
        <v>569</v>
      </c>
      <c r="F1952" t="s">
        <v>88</v>
      </c>
      <c r="G1952" s="12">
        <v>85</v>
      </c>
      <c r="H1952" s="12">
        <v>3404</v>
      </c>
      <c r="I1952" s="12">
        <v>85</v>
      </c>
      <c r="J1952" t="str">
        <f>VLOOKUP(B1952,Paramètres!$A$4:$C$11,3,FALSE)</f>
        <v>Paris</v>
      </c>
      <c r="K1952" s="13">
        <f>IFERROR(H1952/G1952,"")</f>
        <v>40.047058823529412</v>
      </c>
      <c r="L1952" s="14">
        <f>IFERROR(I1952/G1952,"")</f>
        <v>1</v>
      </c>
      <c r="M1952" s="11" t="str">
        <f>IF(K1952&gt;=Paramètres!$F$6,"Très forte",IF(K1952&gt;=Paramètres!$F$5,"Forte",IF(K1952&gt;=Paramètres!$F$4,"Modérée","Faible")))</f>
        <v>Très forte</v>
      </c>
    </row>
    <row r="1953" spans="1:13">
      <c r="A1953" t="s">
        <v>110</v>
      </c>
      <c r="B1953" s="11">
        <v>75</v>
      </c>
      <c r="C1953" t="s">
        <v>86</v>
      </c>
      <c r="D1953" t="s">
        <v>22</v>
      </c>
      <c r="E1953" t="s">
        <v>672</v>
      </c>
      <c r="F1953" t="s">
        <v>88</v>
      </c>
      <c r="G1953" s="12">
        <v>90</v>
      </c>
      <c r="H1953" s="12">
        <v>3588</v>
      </c>
      <c r="I1953" s="12">
        <v>85</v>
      </c>
      <c r="J1953" t="str">
        <f>VLOOKUP(B1953,Paramètres!$A$4:$C$11,3,FALSE)</f>
        <v>Paris</v>
      </c>
      <c r="K1953" s="13">
        <f>IFERROR(H1953/G1953,"")</f>
        <v>39.866666666666667</v>
      </c>
      <c r="L1953" s="14">
        <f>IFERROR(I1953/G1953,"")</f>
        <v>0.94444444444444442</v>
      </c>
      <c r="M1953" s="11" t="str">
        <f>IF(K1953&gt;=Paramètres!$F$6,"Très forte",IF(K1953&gt;=Paramètres!$F$5,"Forte",IF(K1953&gt;=Paramètres!$F$4,"Modérée","Faible")))</f>
        <v>Forte</v>
      </c>
    </row>
    <row r="1954" spans="1:13">
      <c r="A1954" t="s">
        <v>115</v>
      </c>
      <c r="B1954" s="11">
        <v>94</v>
      </c>
      <c r="C1954" t="s">
        <v>116</v>
      </c>
      <c r="D1954" t="s">
        <v>22</v>
      </c>
      <c r="E1954" t="s">
        <v>455</v>
      </c>
      <c r="F1954" t="s">
        <v>92</v>
      </c>
      <c r="G1954" s="12">
        <v>90</v>
      </c>
      <c r="H1954" s="12">
        <v>3583</v>
      </c>
      <c r="I1954" s="12">
        <v>89</v>
      </c>
      <c r="J1954" t="str">
        <f>VLOOKUP(B1954,Paramètres!$A$4:$C$11,3,FALSE)</f>
        <v>Petite couronne</v>
      </c>
      <c r="K1954" s="13">
        <f>IFERROR(H1954/G1954,"")</f>
        <v>39.81111111111111</v>
      </c>
      <c r="L1954" s="14">
        <f>IFERROR(I1954/G1954,"")</f>
        <v>0.98888888888888893</v>
      </c>
      <c r="M1954" s="11" t="str">
        <f>IF(K1954&gt;=Paramètres!$F$6,"Très forte",IF(K1954&gt;=Paramètres!$F$5,"Forte",IF(K1954&gt;=Paramètres!$F$4,"Modérée","Faible")))</f>
        <v>Forte</v>
      </c>
    </row>
    <row r="1955" spans="1:13">
      <c r="A1955" t="s">
        <v>119</v>
      </c>
      <c r="B1955" s="11">
        <v>75</v>
      </c>
      <c r="C1955" t="s">
        <v>86</v>
      </c>
      <c r="D1955" t="s">
        <v>22</v>
      </c>
      <c r="E1955" t="s">
        <v>157</v>
      </c>
      <c r="F1955" t="s">
        <v>92</v>
      </c>
      <c r="G1955" s="12">
        <v>32</v>
      </c>
      <c r="H1955" s="12">
        <v>1265</v>
      </c>
      <c r="I1955" s="12">
        <v>30</v>
      </c>
      <c r="J1955" t="str">
        <f>VLOOKUP(B1955,Paramètres!$A$4:$C$11,3,FALSE)</f>
        <v>Paris</v>
      </c>
      <c r="K1955" s="13">
        <f>IFERROR(H1955/G1955,"")</f>
        <v>39.53125</v>
      </c>
      <c r="L1955" s="14">
        <f>IFERROR(I1955/G1955,"")</f>
        <v>0.9375</v>
      </c>
      <c r="M1955" s="11" t="str">
        <f>IF(K1955&gt;=Paramètres!$F$6,"Très forte",IF(K1955&gt;=Paramètres!$F$5,"Forte",IF(K1955&gt;=Paramètres!$F$4,"Modérée","Faible")))</f>
        <v>Forte</v>
      </c>
    </row>
    <row r="1956" spans="1:13">
      <c r="A1956" t="s">
        <v>119</v>
      </c>
      <c r="B1956" s="11">
        <v>75</v>
      </c>
      <c r="C1956" t="s">
        <v>86</v>
      </c>
      <c r="D1956" t="s">
        <v>22</v>
      </c>
      <c r="E1956" t="s">
        <v>219</v>
      </c>
      <c r="F1956" t="s">
        <v>88</v>
      </c>
      <c r="G1956" s="12">
        <v>65</v>
      </c>
      <c r="H1956" s="12">
        <v>2560</v>
      </c>
      <c r="I1956" s="12">
        <v>65</v>
      </c>
      <c r="J1956" t="str">
        <f>VLOOKUP(B1956,Paramètres!$A$4:$C$11,3,FALSE)</f>
        <v>Paris</v>
      </c>
      <c r="K1956" s="13">
        <f>IFERROR(H1956/G1956,"")</f>
        <v>39.384615384615387</v>
      </c>
      <c r="L1956" s="14">
        <f>IFERROR(I1956/G1956,"")</f>
        <v>1</v>
      </c>
      <c r="M1956" s="11" t="str">
        <f>IF(K1956&gt;=Paramètres!$F$6,"Très forte",IF(K1956&gt;=Paramètres!$F$5,"Forte",IF(K1956&gt;=Paramètres!$F$4,"Modérée","Faible")))</f>
        <v>Forte</v>
      </c>
    </row>
    <row r="1957" spans="1:13">
      <c r="A1957" t="s">
        <v>155</v>
      </c>
      <c r="B1957" s="11">
        <v>75</v>
      </c>
      <c r="C1957" t="s">
        <v>86</v>
      </c>
      <c r="D1957" t="s">
        <v>22</v>
      </c>
      <c r="E1957" t="s">
        <v>706</v>
      </c>
      <c r="F1957" t="s">
        <v>92</v>
      </c>
      <c r="G1957" s="12">
        <v>15</v>
      </c>
      <c r="H1957" s="12">
        <v>590</v>
      </c>
      <c r="I1957" s="12">
        <v>15</v>
      </c>
      <c r="J1957" t="str">
        <f>VLOOKUP(B1957,Paramètres!$A$4:$C$11,3,FALSE)</f>
        <v>Paris</v>
      </c>
      <c r="K1957" s="13">
        <f>IFERROR(H1957/G1957,"")</f>
        <v>39.333333333333336</v>
      </c>
      <c r="L1957" s="14">
        <f>IFERROR(I1957/G1957,"")</f>
        <v>1</v>
      </c>
      <c r="M1957" s="11" t="str">
        <f>IF(K1957&gt;=Paramètres!$F$6,"Très forte",IF(K1957&gt;=Paramètres!$F$5,"Forte",IF(K1957&gt;=Paramètres!$F$4,"Modérée","Faible")))</f>
        <v>Forte</v>
      </c>
    </row>
    <row r="1958" spans="1:13">
      <c r="A1958" t="s">
        <v>110</v>
      </c>
      <c r="B1958" s="11">
        <v>75</v>
      </c>
      <c r="C1958" t="s">
        <v>86</v>
      </c>
      <c r="D1958" t="s">
        <v>22</v>
      </c>
      <c r="E1958" t="s">
        <v>402</v>
      </c>
      <c r="F1958" t="s">
        <v>88</v>
      </c>
      <c r="G1958" s="12">
        <v>32</v>
      </c>
      <c r="H1958" s="12">
        <v>1251</v>
      </c>
      <c r="I1958" s="12">
        <v>31</v>
      </c>
      <c r="J1958" t="str">
        <f>VLOOKUP(B1958,Paramètres!$A$4:$C$11,3,FALSE)</f>
        <v>Paris</v>
      </c>
      <c r="K1958" s="13">
        <f>IFERROR(H1958/G1958,"")</f>
        <v>39.09375</v>
      </c>
      <c r="L1958" s="14">
        <f>IFERROR(I1958/G1958,"")</f>
        <v>0.96875</v>
      </c>
      <c r="M1958" s="11" t="str">
        <f>IF(K1958&gt;=Paramètres!$F$6,"Très forte",IF(K1958&gt;=Paramètres!$F$5,"Forte",IF(K1958&gt;=Paramètres!$F$4,"Modérée","Faible")))</f>
        <v>Forte</v>
      </c>
    </row>
    <row r="1959" spans="1:13">
      <c r="A1959" t="s">
        <v>127</v>
      </c>
      <c r="B1959" s="11">
        <v>75</v>
      </c>
      <c r="C1959" t="s">
        <v>86</v>
      </c>
      <c r="D1959" t="s">
        <v>22</v>
      </c>
      <c r="E1959" t="s">
        <v>414</v>
      </c>
      <c r="F1959" t="s">
        <v>88</v>
      </c>
      <c r="G1959" s="12">
        <v>40</v>
      </c>
      <c r="H1959" s="12">
        <v>1550</v>
      </c>
      <c r="I1959" s="12">
        <v>39</v>
      </c>
      <c r="J1959" t="str">
        <f>VLOOKUP(B1959,Paramètres!$A$4:$C$11,3,FALSE)</f>
        <v>Paris</v>
      </c>
      <c r="K1959" s="13">
        <f>IFERROR(H1959/G1959,"")</f>
        <v>38.75</v>
      </c>
      <c r="L1959" s="14">
        <f>IFERROR(I1959/G1959,"")</f>
        <v>0.97499999999999998</v>
      </c>
      <c r="M1959" s="11" t="str">
        <f>IF(K1959&gt;=Paramètres!$F$6,"Très forte",IF(K1959&gt;=Paramètres!$F$5,"Forte",IF(K1959&gt;=Paramètres!$F$4,"Modérée","Faible")))</f>
        <v>Forte</v>
      </c>
    </row>
    <row r="1960" spans="1:13">
      <c r="A1960" t="s">
        <v>265</v>
      </c>
      <c r="B1960" s="11">
        <v>93</v>
      </c>
      <c r="C1960" t="s">
        <v>100</v>
      </c>
      <c r="D1960" t="s">
        <v>22</v>
      </c>
      <c r="E1960" t="s">
        <v>316</v>
      </c>
      <c r="F1960" t="s">
        <v>88</v>
      </c>
      <c r="G1960" s="12">
        <v>145</v>
      </c>
      <c r="H1960" s="12">
        <v>5597</v>
      </c>
      <c r="I1960" s="12">
        <v>136</v>
      </c>
      <c r="J1960" t="str">
        <f>VLOOKUP(B1960,Paramètres!$A$4:$C$11,3,FALSE)</f>
        <v>Petite couronne</v>
      </c>
      <c r="K1960" s="13">
        <f>IFERROR(H1960/G1960,"")</f>
        <v>38.6</v>
      </c>
      <c r="L1960" s="14">
        <f>IFERROR(I1960/G1960,"")</f>
        <v>0.93793103448275861</v>
      </c>
      <c r="M1960" s="11" t="str">
        <f>IF(K1960&gt;=Paramètres!$F$6,"Très forte",IF(K1960&gt;=Paramètres!$F$5,"Forte",IF(K1960&gt;=Paramètres!$F$4,"Modérée","Faible")))</f>
        <v>Forte</v>
      </c>
    </row>
    <row r="1961" spans="1:13">
      <c r="A1961" t="s">
        <v>115</v>
      </c>
      <c r="B1961" s="11">
        <v>94</v>
      </c>
      <c r="C1961" t="s">
        <v>116</v>
      </c>
      <c r="D1961" t="s">
        <v>22</v>
      </c>
      <c r="E1961" t="s">
        <v>748</v>
      </c>
      <c r="F1961" t="s">
        <v>92</v>
      </c>
      <c r="G1961" s="12">
        <v>38</v>
      </c>
      <c r="H1961" s="12">
        <v>1457</v>
      </c>
      <c r="I1961" s="12">
        <v>35</v>
      </c>
      <c r="J1961" t="str">
        <f>VLOOKUP(B1961,Paramètres!$A$4:$C$11,3,FALSE)</f>
        <v>Petite couronne</v>
      </c>
      <c r="K1961" s="13">
        <f>IFERROR(H1961/G1961,"")</f>
        <v>38.342105263157897</v>
      </c>
      <c r="L1961" s="14">
        <f>IFERROR(I1961/G1961,"")</f>
        <v>0.92105263157894735</v>
      </c>
      <c r="M1961" s="11" t="str">
        <f>IF(K1961&gt;=Paramètres!$F$6,"Très forte",IF(K1961&gt;=Paramètres!$F$5,"Forte",IF(K1961&gt;=Paramètres!$F$4,"Modérée","Faible")))</f>
        <v>Forte</v>
      </c>
    </row>
    <row r="1962" spans="1:13">
      <c r="A1962" t="s">
        <v>127</v>
      </c>
      <c r="B1962" s="11">
        <v>75</v>
      </c>
      <c r="C1962" t="s">
        <v>86</v>
      </c>
      <c r="D1962" t="s">
        <v>22</v>
      </c>
      <c r="E1962" t="s">
        <v>234</v>
      </c>
      <c r="F1962" t="s">
        <v>88</v>
      </c>
      <c r="G1962" s="12">
        <v>19</v>
      </c>
      <c r="H1962" s="12">
        <v>728</v>
      </c>
      <c r="I1962" s="12">
        <v>18</v>
      </c>
      <c r="J1962" t="str">
        <f>VLOOKUP(B1962,Paramètres!$A$4:$C$11,3,FALSE)</f>
        <v>Paris</v>
      </c>
      <c r="K1962" s="13">
        <f>IFERROR(H1962/G1962,"")</f>
        <v>38.315789473684212</v>
      </c>
      <c r="L1962" s="14">
        <f>IFERROR(I1962/G1962,"")</f>
        <v>0.94736842105263153</v>
      </c>
      <c r="M1962" s="11" t="str">
        <f>IF(K1962&gt;=Paramètres!$F$6,"Très forte",IF(K1962&gt;=Paramètres!$F$5,"Forte",IF(K1962&gt;=Paramètres!$F$4,"Modérée","Faible")))</f>
        <v>Forte</v>
      </c>
    </row>
    <row r="1963" spans="1:13">
      <c r="A1963" t="s">
        <v>242</v>
      </c>
      <c r="B1963" s="11">
        <v>95</v>
      </c>
      <c r="C1963" t="s">
        <v>90</v>
      </c>
      <c r="D1963" t="s">
        <v>22</v>
      </c>
      <c r="E1963" t="s">
        <v>626</v>
      </c>
      <c r="F1963" t="s">
        <v>92</v>
      </c>
      <c r="G1963" s="12">
        <v>70</v>
      </c>
      <c r="H1963" s="12">
        <v>2671</v>
      </c>
      <c r="I1963" s="12">
        <v>68</v>
      </c>
      <c r="J1963" t="str">
        <f>VLOOKUP(B1963,Paramètres!$A$4:$C$11,3,FALSE)</f>
        <v>Grande couronne</v>
      </c>
      <c r="K1963" s="13">
        <f>IFERROR(H1963/G1963,"")</f>
        <v>38.157142857142858</v>
      </c>
      <c r="L1963" s="14">
        <f>IFERROR(I1963/G1963,"")</f>
        <v>0.97142857142857142</v>
      </c>
      <c r="M1963" s="11" t="str">
        <f>IF(K1963&gt;=Paramètres!$F$6,"Très forte",IF(K1963&gt;=Paramètres!$F$5,"Forte",IF(K1963&gt;=Paramètres!$F$4,"Modérée","Faible")))</f>
        <v>Forte</v>
      </c>
    </row>
    <row r="1964" spans="1:13">
      <c r="A1964" t="s">
        <v>131</v>
      </c>
      <c r="B1964" s="11">
        <v>77</v>
      </c>
      <c r="C1964" t="s">
        <v>132</v>
      </c>
      <c r="D1964" t="s">
        <v>22</v>
      </c>
      <c r="E1964" t="s">
        <v>244</v>
      </c>
      <c r="F1964" t="s">
        <v>88</v>
      </c>
      <c r="G1964" s="12">
        <v>18</v>
      </c>
      <c r="H1964" s="12">
        <v>683</v>
      </c>
      <c r="I1964" s="12">
        <v>18</v>
      </c>
      <c r="J1964" t="str">
        <f>VLOOKUP(B1964,Paramètres!$A$4:$C$11,3,FALSE)</f>
        <v>Grande couronne</v>
      </c>
      <c r="K1964" s="13">
        <f>IFERROR(H1964/G1964,"")</f>
        <v>37.944444444444443</v>
      </c>
      <c r="L1964" s="14">
        <f>IFERROR(I1964/G1964,"")</f>
        <v>1</v>
      </c>
      <c r="M1964" s="11" t="str">
        <f>IF(K1964&gt;=Paramètres!$F$6,"Très forte",IF(K1964&gt;=Paramètres!$F$5,"Forte",IF(K1964&gt;=Paramètres!$F$4,"Modérée","Faible")))</f>
        <v>Forte</v>
      </c>
    </row>
    <row r="1965" spans="1:13">
      <c r="A1965" t="s">
        <v>97</v>
      </c>
      <c r="B1965" s="11">
        <v>92</v>
      </c>
      <c r="C1965" t="s">
        <v>94</v>
      </c>
      <c r="D1965" t="s">
        <v>22</v>
      </c>
      <c r="E1965" t="s">
        <v>710</v>
      </c>
      <c r="F1965" t="s">
        <v>92</v>
      </c>
      <c r="G1965" s="12">
        <v>10</v>
      </c>
      <c r="H1965" s="12">
        <v>369</v>
      </c>
      <c r="I1965" s="12">
        <v>10</v>
      </c>
      <c r="J1965" t="str">
        <f>VLOOKUP(B1965,Paramètres!$A$4:$C$11,3,FALSE)</f>
        <v>Petite couronne</v>
      </c>
      <c r="K1965" s="13">
        <f>IFERROR(H1965/G1965,"")</f>
        <v>36.9</v>
      </c>
      <c r="L1965" s="14">
        <f>IFERROR(I1965/G1965,"")</f>
        <v>1</v>
      </c>
      <c r="M1965" s="11" t="str">
        <f>IF(K1965&gt;=Paramètres!$F$6,"Très forte",IF(K1965&gt;=Paramètres!$F$5,"Forte",IF(K1965&gt;=Paramètres!$F$4,"Modérée","Faible")))</f>
        <v>Forte</v>
      </c>
    </row>
    <row r="1966" spans="1:13">
      <c r="A1966" t="s">
        <v>344</v>
      </c>
      <c r="B1966" s="11">
        <v>78</v>
      </c>
      <c r="C1966" t="s">
        <v>135</v>
      </c>
      <c r="D1966" t="s">
        <v>22</v>
      </c>
      <c r="E1966" t="s">
        <v>352</v>
      </c>
      <c r="F1966" t="s">
        <v>92</v>
      </c>
      <c r="G1966" s="12">
        <v>32</v>
      </c>
      <c r="H1966" s="12">
        <v>1180</v>
      </c>
      <c r="I1966" s="12">
        <v>29</v>
      </c>
      <c r="J1966" t="str">
        <f>VLOOKUP(B1966,Paramètres!$A$4:$C$11,3,FALSE)</f>
        <v>Grande couronne</v>
      </c>
      <c r="K1966" s="13">
        <f>IFERROR(H1966/G1966,"")</f>
        <v>36.875</v>
      </c>
      <c r="L1966" s="14">
        <f>IFERROR(I1966/G1966,"")</f>
        <v>0.90625</v>
      </c>
      <c r="M1966" s="11" t="str">
        <f>IF(K1966&gt;=Paramètres!$F$6,"Très forte",IF(K1966&gt;=Paramètres!$F$5,"Forte",IF(K1966&gt;=Paramètres!$F$4,"Modérée","Faible")))</f>
        <v>Forte</v>
      </c>
    </row>
    <row r="1967" spans="1:13">
      <c r="A1967" t="s">
        <v>127</v>
      </c>
      <c r="B1967" s="11">
        <v>75</v>
      </c>
      <c r="C1967" t="s">
        <v>86</v>
      </c>
      <c r="D1967" t="s">
        <v>22</v>
      </c>
      <c r="E1967" t="s">
        <v>231</v>
      </c>
      <c r="F1967" t="s">
        <v>88</v>
      </c>
      <c r="G1967" s="12">
        <v>50</v>
      </c>
      <c r="H1967" s="12">
        <v>1800</v>
      </c>
      <c r="I1967" s="12">
        <v>50</v>
      </c>
      <c r="J1967" t="str">
        <f>VLOOKUP(B1967,Paramètres!$A$4:$C$11,3,FALSE)</f>
        <v>Paris</v>
      </c>
      <c r="K1967" s="13">
        <f>IFERROR(H1967/G1967,"")</f>
        <v>36</v>
      </c>
      <c r="L1967" s="14">
        <f>IFERROR(I1967/G1967,"")</f>
        <v>1</v>
      </c>
      <c r="M1967" s="11" t="str">
        <f>IF(K1967&gt;=Paramètres!$F$6,"Très forte",IF(K1967&gt;=Paramètres!$F$5,"Forte",IF(K1967&gt;=Paramètres!$F$4,"Modérée","Faible")))</f>
        <v>Forte</v>
      </c>
    </row>
    <row r="1968" spans="1:13">
      <c r="A1968" t="s">
        <v>97</v>
      </c>
      <c r="B1968" s="11">
        <v>92</v>
      </c>
      <c r="C1968" t="s">
        <v>94</v>
      </c>
      <c r="D1968" t="s">
        <v>22</v>
      </c>
      <c r="E1968" t="s">
        <v>767</v>
      </c>
      <c r="F1968" t="s">
        <v>92</v>
      </c>
      <c r="G1968" s="12">
        <v>35</v>
      </c>
      <c r="H1968" s="12">
        <v>1256</v>
      </c>
      <c r="I1968" s="12">
        <v>33</v>
      </c>
      <c r="J1968" t="str">
        <f>VLOOKUP(B1968,Paramètres!$A$4:$C$11,3,FALSE)</f>
        <v>Petite couronne</v>
      </c>
      <c r="K1968" s="13">
        <f>IFERROR(H1968/G1968,"")</f>
        <v>35.885714285714286</v>
      </c>
      <c r="L1968" s="14">
        <f>IFERROR(I1968/G1968,"")</f>
        <v>0.94285714285714284</v>
      </c>
      <c r="M1968" s="11" t="str">
        <f>IF(K1968&gt;=Paramètres!$F$6,"Très forte",IF(K1968&gt;=Paramètres!$F$5,"Forte",IF(K1968&gt;=Paramètres!$F$4,"Modérée","Faible")))</f>
        <v>Forte</v>
      </c>
    </row>
    <row r="1969" spans="1:13">
      <c r="A1969" t="s">
        <v>242</v>
      </c>
      <c r="B1969" s="11">
        <v>95</v>
      </c>
      <c r="C1969" t="s">
        <v>90</v>
      </c>
      <c r="D1969" t="s">
        <v>22</v>
      </c>
      <c r="E1969" t="s">
        <v>243</v>
      </c>
      <c r="F1969" t="s">
        <v>92</v>
      </c>
      <c r="G1969" s="12">
        <v>40</v>
      </c>
      <c r="H1969" s="12">
        <v>1415</v>
      </c>
      <c r="I1969" s="12">
        <v>33</v>
      </c>
      <c r="J1969" t="str">
        <f>VLOOKUP(B1969,Paramètres!$A$4:$C$11,3,FALSE)</f>
        <v>Grande couronne</v>
      </c>
      <c r="K1969" s="13">
        <f>IFERROR(H1969/G1969,"")</f>
        <v>35.375</v>
      </c>
      <c r="L1969" s="14">
        <f>IFERROR(I1969/G1969,"")</f>
        <v>0.82499999999999996</v>
      </c>
      <c r="M1969" s="11" t="str">
        <f>IF(K1969&gt;=Paramètres!$F$6,"Très forte",IF(K1969&gt;=Paramètres!$F$5,"Forte",IF(K1969&gt;=Paramètres!$F$4,"Modérée","Faible")))</f>
        <v>Forte</v>
      </c>
    </row>
    <row r="1970" spans="1:13">
      <c r="A1970" t="s">
        <v>533</v>
      </c>
      <c r="B1970" s="11">
        <v>92</v>
      </c>
      <c r="C1970" t="s">
        <v>94</v>
      </c>
      <c r="D1970" t="s">
        <v>22</v>
      </c>
      <c r="E1970" t="s">
        <v>723</v>
      </c>
      <c r="F1970" t="s">
        <v>88</v>
      </c>
      <c r="G1970" s="12">
        <v>34</v>
      </c>
      <c r="H1970" s="12">
        <v>1195</v>
      </c>
      <c r="I1970" s="12">
        <v>31</v>
      </c>
      <c r="J1970" t="str">
        <f>VLOOKUP(B1970,Paramètres!$A$4:$C$11,3,FALSE)</f>
        <v>Petite couronne</v>
      </c>
      <c r="K1970" s="13">
        <f>IFERROR(H1970/G1970,"")</f>
        <v>35.147058823529413</v>
      </c>
      <c r="L1970" s="14">
        <f>IFERROR(I1970/G1970,"")</f>
        <v>0.91176470588235292</v>
      </c>
      <c r="M1970" s="11" t="str">
        <f>IF(K1970&gt;=Paramètres!$F$6,"Très forte",IF(K1970&gt;=Paramètres!$F$5,"Forte",IF(K1970&gt;=Paramètres!$F$4,"Modérée","Faible")))</f>
        <v>Forte</v>
      </c>
    </row>
    <row r="1971" spans="1:13">
      <c r="A1971" t="s">
        <v>110</v>
      </c>
      <c r="B1971" s="11">
        <v>75</v>
      </c>
      <c r="C1971" t="s">
        <v>86</v>
      </c>
      <c r="D1971" t="s">
        <v>22</v>
      </c>
      <c r="E1971" t="s">
        <v>400</v>
      </c>
      <c r="F1971" t="s">
        <v>92</v>
      </c>
      <c r="G1971" s="12">
        <v>30</v>
      </c>
      <c r="H1971" s="12">
        <v>1029</v>
      </c>
      <c r="I1971" s="12">
        <v>29</v>
      </c>
      <c r="J1971" t="str">
        <f>VLOOKUP(B1971,Paramètres!$A$4:$C$11,3,FALSE)</f>
        <v>Paris</v>
      </c>
      <c r="K1971" s="13">
        <f>IFERROR(H1971/G1971,"")</f>
        <v>34.299999999999997</v>
      </c>
      <c r="L1971" s="14">
        <f>IFERROR(I1971/G1971,"")</f>
        <v>0.96666666666666667</v>
      </c>
      <c r="M1971" s="11" t="str">
        <f>IF(K1971&gt;=Paramètres!$F$6,"Très forte",IF(K1971&gt;=Paramètres!$F$5,"Forte",IF(K1971&gt;=Paramètres!$F$4,"Modérée","Faible")))</f>
        <v>Forte</v>
      </c>
    </row>
    <row r="1972" spans="1:13">
      <c r="A1972" t="s">
        <v>152</v>
      </c>
      <c r="B1972" s="11">
        <v>75</v>
      </c>
      <c r="C1972" t="s">
        <v>86</v>
      </c>
      <c r="D1972" t="s">
        <v>22</v>
      </c>
      <c r="E1972" t="s">
        <v>576</v>
      </c>
      <c r="F1972" t="s">
        <v>92</v>
      </c>
      <c r="G1972" s="12">
        <v>20</v>
      </c>
      <c r="H1972" s="12">
        <v>675</v>
      </c>
      <c r="I1972" s="12">
        <v>19</v>
      </c>
      <c r="J1972" t="str">
        <f>VLOOKUP(B1972,Paramètres!$A$4:$C$11,3,FALSE)</f>
        <v>Paris</v>
      </c>
      <c r="K1972" s="13">
        <f>IFERROR(H1972/G1972,"")</f>
        <v>33.75</v>
      </c>
      <c r="L1972" s="14">
        <f>IFERROR(I1972/G1972,"")</f>
        <v>0.95</v>
      </c>
      <c r="M1972" s="11" t="str">
        <f>IF(K1972&gt;=Paramètres!$F$6,"Très forte",IF(K1972&gt;=Paramètres!$F$5,"Forte",IF(K1972&gt;=Paramètres!$F$4,"Modérée","Faible")))</f>
        <v>Forte</v>
      </c>
    </row>
    <row r="1973" spans="1:13">
      <c r="A1973" t="s">
        <v>134</v>
      </c>
      <c r="B1973" s="11">
        <v>78</v>
      </c>
      <c r="C1973" t="s">
        <v>135</v>
      </c>
      <c r="D1973" t="s">
        <v>22</v>
      </c>
      <c r="E1973" t="s">
        <v>409</v>
      </c>
      <c r="F1973" t="s">
        <v>88</v>
      </c>
      <c r="G1973" s="12">
        <v>30</v>
      </c>
      <c r="H1973" s="12">
        <v>1001</v>
      </c>
      <c r="I1973" s="12">
        <v>30</v>
      </c>
      <c r="J1973" t="str">
        <f>VLOOKUP(B1973,Paramètres!$A$4:$C$11,3,FALSE)</f>
        <v>Grande couronne</v>
      </c>
      <c r="K1973" s="13">
        <f>IFERROR(H1973/G1973,"")</f>
        <v>33.366666666666667</v>
      </c>
      <c r="L1973" s="14">
        <f>IFERROR(I1973/G1973,"")</f>
        <v>1</v>
      </c>
      <c r="M1973" s="11" t="str">
        <f>IF(K1973&gt;=Paramètres!$F$6,"Très forte",IF(K1973&gt;=Paramètres!$F$5,"Forte",IF(K1973&gt;=Paramètres!$F$4,"Modérée","Faible")))</f>
        <v>Forte</v>
      </c>
    </row>
    <row r="1974" spans="1:13">
      <c r="A1974" t="s">
        <v>97</v>
      </c>
      <c r="B1974" s="11">
        <v>92</v>
      </c>
      <c r="C1974" t="s">
        <v>94</v>
      </c>
      <c r="D1974" t="s">
        <v>22</v>
      </c>
      <c r="E1974" t="s">
        <v>425</v>
      </c>
      <c r="F1974" t="s">
        <v>92</v>
      </c>
      <c r="G1974" s="12">
        <v>30</v>
      </c>
      <c r="H1974" s="12">
        <v>994</v>
      </c>
      <c r="I1974" s="12">
        <v>30</v>
      </c>
      <c r="J1974" t="str">
        <f>VLOOKUP(B1974,Paramètres!$A$4:$C$11,3,FALSE)</f>
        <v>Petite couronne</v>
      </c>
      <c r="K1974" s="13">
        <f>IFERROR(H1974/G1974,"")</f>
        <v>33.133333333333333</v>
      </c>
      <c r="L1974" s="14">
        <f>IFERROR(I1974/G1974,"")</f>
        <v>1</v>
      </c>
      <c r="M1974" s="11" t="str">
        <f>IF(K1974&gt;=Paramètres!$F$6,"Très forte",IF(K1974&gt;=Paramètres!$F$5,"Forte",IF(K1974&gt;=Paramètres!$F$4,"Modérée","Faible")))</f>
        <v>Forte</v>
      </c>
    </row>
    <row r="1975" spans="1:13">
      <c r="A1975" t="s">
        <v>119</v>
      </c>
      <c r="B1975" s="11">
        <v>75</v>
      </c>
      <c r="C1975" t="s">
        <v>86</v>
      </c>
      <c r="D1975" t="s">
        <v>22</v>
      </c>
      <c r="E1975" t="s">
        <v>221</v>
      </c>
      <c r="F1975" t="s">
        <v>88</v>
      </c>
      <c r="G1975" s="12">
        <v>165</v>
      </c>
      <c r="H1975" s="12">
        <v>5462</v>
      </c>
      <c r="I1975" s="12">
        <v>162</v>
      </c>
      <c r="J1975" t="str">
        <f>VLOOKUP(B1975,Paramètres!$A$4:$C$11,3,FALSE)</f>
        <v>Paris</v>
      </c>
      <c r="K1975" s="13">
        <f>IFERROR(H1975/G1975,"")</f>
        <v>33.103030303030302</v>
      </c>
      <c r="L1975" s="14">
        <f>IFERROR(I1975/G1975,"")</f>
        <v>0.98181818181818181</v>
      </c>
      <c r="M1975" s="11" t="str">
        <f>IF(K1975&gt;=Paramètres!$F$6,"Très forte",IF(K1975&gt;=Paramètres!$F$5,"Forte",IF(K1975&gt;=Paramètres!$F$4,"Modérée","Faible")))</f>
        <v>Forte</v>
      </c>
    </row>
    <row r="1976" spans="1:13">
      <c r="A1976" t="s">
        <v>152</v>
      </c>
      <c r="B1976" s="11">
        <v>75</v>
      </c>
      <c r="C1976" t="s">
        <v>86</v>
      </c>
      <c r="D1976" t="s">
        <v>22</v>
      </c>
      <c r="E1976" t="s">
        <v>664</v>
      </c>
      <c r="F1976" t="s">
        <v>88</v>
      </c>
      <c r="G1976" s="12">
        <v>122</v>
      </c>
      <c r="H1976" s="12">
        <v>3993</v>
      </c>
      <c r="I1976" s="12">
        <v>122</v>
      </c>
      <c r="J1976" t="str">
        <f>VLOOKUP(B1976,Paramètres!$A$4:$C$11,3,FALSE)</f>
        <v>Paris</v>
      </c>
      <c r="K1976" s="13">
        <f>IFERROR(H1976/G1976,"")</f>
        <v>32.729508196721312</v>
      </c>
      <c r="L1976" s="14">
        <f>IFERROR(I1976/G1976,"")</f>
        <v>1</v>
      </c>
      <c r="M1976" s="11" t="str">
        <f>IF(K1976&gt;=Paramètres!$F$6,"Très forte",IF(K1976&gt;=Paramètres!$F$5,"Forte",IF(K1976&gt;=Paramètres!$F$4,"Modérée","Faible")))</f>
        <v>Forte</v>
      </c>
    </row>
    <row r="1977" spans="1:13">
      <c r="A1977" t="s">
        <v>97</v>
      </c>
      <c r="B1977" s="11">
        <v>92</v>
      </c>
      <c r="C1977" t="s">
        <v>94</v>
      </c>
      <c r="D1977" t="s">
        <v>22</v>
      </c>
      <c r="E1977" t="s">
        <v>743</v>
      </c>
      <c r="F1977" t="s">
        <v>92</v>
      </c>
      <c r="G1977" s="12">
        <v>90</v>
      </c>
      <c r="H1977" s="12">
        <v>2925</v>
      </c>
      <c r="I1977" s="12">
        <v>88</v>
      </c>
      <c r="J1977" t="str">
        <f>VLOOKUP(B1977,Paramètres!$A$4:$C$11,3,FALSE)</f>
        <v>Petite couronne</v>
      </c>
      <c r="K1977" s="13">
        <f>IFERROR(H1977/G1977,"")</f>
        <v>32.5</v>
      </c>
      <c r="L1977" s="14">
        <f>IFERROR(I1977/G1977,"")</f>
        <v>0.97777777777777775</v>
      </c>
      <c r="M1977" s="11" t="str">
        <f>IF(K1977&gt;=Paramètres!$F$6,"Très forte",IF(K1977&gt;=Paramètres!$F$5,"Forte",IF(K1977&gt;=Paramètres!$F$4,"Modérée","Faible")))</f>
        <v>Forte</v>
      </c>
    </row>
    <row r="1978" spans="1:13">
      <c r="A1978" t="s">
        <v>99</v>
      </c>
      <c r="B1978" s="11">
        <v>93</v>
      </c>
      <c r="C1978" t="s">
        <v>100</v>
      </c>
      <c r="D1978" t="s">
        <v>22</v>
      </c>
      <c r="E1978" t="s">
        <v>102</v>
      </c>
      <c r="F1978" t="s">
        <v>88</v>
      </c>
      <c r="G1978" s="12">
        <v>165</v>
      </c>
      <c r="H1978" s="12">
        <v>5344</v>
      </c>
      <c r="I1978" s="12">
        <v>162</v>
      </c>
      <c r="J1978" t="str">
        <f>VLOOKUP(B1978,Paramètres!$A$4:$C$11,3,FALSE)</f>
        <v>Petite couronne</v>
      </c>
      <c r="K1978" s="13">
        <f>IFERROR(H1978/G1978,"")</f>
        <v>32.38787878787879</v>
      </c>
      <c r="L1978" s="14">
        <f>IFERROR(I1978/G1978,"")</f>
        <v>0.98181818181818181</v>
      </c>
      <c r="M1978" s="11" t="str">
        <f>IF(K1978&gt;=Paramètres!$F$6,"Très forte",IF(K1978&gt;=Paramètres!$F$5,"Forte",IF(K1978&gt;=Paramètres!$F$4,"Modérée","Faible")))</f>
        <v>Forte</v>
      </c>
    </row>
    <row r="1979" spans="1:13">
      <c r="A1979" t="s">
        <v>134</v>
      </c>
      <c r="B1979" s="11">
        <v>78</v>
      </c>
      <c r="C1979" t="s">
        <v>135</v>
      </c>
      <c r="D1979" t="s">
        <v>22</v>
      </c>
      <c r="E1979" t="s">
        <v>662</v>
      </c>
      <c r="F1979" t="s">
        <v>92</v>
      </c>
      <c r="G1979" s="12">
        <v>48</v>
      </c>
      <c r="H1979" s="12">
        <v>1552</v>
      </c>
      <c r="I1979" s="12">
        <v>48</v>
      </c>
      <c r="J1979" t="str">
        <f>VLOOKUP(B1979,Paramètres!$A$4:$C$11,3,FALSE)</f>
        <v>Grande couronne</v>
      </c>
      <c r="K1979" s="13">
        <f>IFERROR(H1979/G1979,"")</f>
        <v>32.333333333333336</v>
      </c>
      <c r="L1979" s="14">
        <f>IFERROR(I1979/G1979,"")</f>
        <v>1</v>
      </c>
      <c r="M1979" s="11" t="str">
        <f>IF(K1979&gt;=Paramètres!$F$6,"Très forte",IF(K1979&gt;=Paramètres!$F$5,"Forte",IF(K1979&gt;=Paramètres!$F$4,"Modérée","Faible")))</f>
        <v>Forte</v>
      </c>
    </row>
    <row r="1980" spans="1:13">
      <c r="A1980" t="s">
        <v>104</v>
      </c>
      <c r="B1980" s="11">
        <v>91</v>
      </c>
      <c r="C1980" t="s">
        <v>105</v>
      </c>
      <c r="D1980" t="s">
        <v>22</v>
      </c>
      <c r="E1980" t="s">
        <v>121</v>
      </c>
      <c r="F1980" t="s">
        <v>88</v>
      </c>
      <c r="G1980" s="12">
        <v>170</v>
      </c>
      <c r="H1980" s="12">
        <v>5493</v>
      </c>
      <c r="I1980" s="12">
        <v>169</v>
      </c>
      <c r="J1980" t="str">
        <f>VLOOKUP(B1980,Paramètres!$A$4:$C$11,3,FALSE)</f>
        <v>Grande couronne</v>
      </c>
      <c r="K1980" s="13">
        <f>IFERROR(H1980/G1980,"")</f>
        <v>32.311764705882354</v>
      </c>
      <c r="L1980" s="14">
        <f>IFERROR(I1980/G1980,"")</f>
        <v>0.99411764705882355</v>
      </c>
      <c r="M1980" s="11" t="str">
        <f>IF(K1980&gt;=Paramètres!$F$6,"Très forte",IF(K1980&gt;=Paramètres!$F$5,"Forte",IF(K1980&gt;=Paramètres!$F$4,"Modérée","Faible")))</f>
        <v>Forte</v>
      </c>
    </row>
    <row r="1981" spans="1:13">
      <c r="A1981" t="s">
        <v>127</v>
      </c>
      <c r="B1981" s="11">
        <v>75</v>
      </c>
      <c r="C1981" t="s">
        <v>86</v>
      </c>
      <c r="D1981" t="s">
        <v>22</v>
      </c>
      <c r="E1981" t="s">
        <v>235</v>
      </c>
      <c r="F1981" t="s">
        <v>88</v>
      </c>
      <c r="G1981" s="12">
        <v>14</v>
      </c>
      <c r="H1981" s="12">
        <v>452</v>
      </c>
      <c r="I1981" s="12">
        <v>14</v>
      </c>
      <c r="J1981" t="str">
        <f>VLOOKUP(B1981,Paramètres!$A$4:$C$11,3,FALSE)</f>
        <v>Paris</v>
      </c>
      <c r="K1981" s="13">
        <f>IFERROR(H1981/G1981,"")</f>
        <v>32.285714285714285</v>
      </c>
      <c r="L1981" s="14">
        <f>IFERROR(I1981/G1981,"")</f>
        <v>1</v>
      </c>
      <c r="M1981" s="11" t="str">
        <f>IF(K1981&gt;=Paramètres!$F$6,"Très forte",IF(K1981&gt;=Paramètres!$F$5,"Forte",IF(K1981&gt;=Paramètres!$F$4,"Modérée","Faible")))</f>
        <v>Forte</v>
      </c>
    </row>
    <row r="1982" spans="1:13">
      <c r="A1982" t="s">
        <v>302</v>
      </c>
      <c r="B1982" s="11">
        <v>77</v>
      </c>
      <c r="C1982" t="s">
        <v>132</v>
      </c>
      <c r="D1982" t="s">
        <v>22</v>
      </c>
      <c r="E1982" t="s">
        <v>303</v>
      </c>
      <c r="F1982" t="s">
        <v>88</v>
      </c>
      <c r="G1982" s="12">
        <v>75</v>
      </c>
      <c r="H1982" s="12">
        <v>2408</v>
      </c>
      <c r="I1982" s="12">
        <v>74</v>
      </c>
      <c r="J1982" t="str">
        <f>VLOOKUP(B1982,Paramètres!$A$4:$C$11,3,FALSE)</f>
        <v>Grande couronne</v>
      </c>
      <c r="K1982" s="13">
        <f>IFERROR(H1982/G1982,"")</f>
        <v>32.106666666666669</v>
      </c>
      <c r="L1982" s="14">
        <f>IFERROR(I1982/G1982,"")</f>
        <v>0.98666666666666669</v>
      </c>
      <c r="M1982" s="11" t="str">
        <f>IF(K1982&gt;=Paramètres!$F$6,"Très forte",IF(K1982&gt;=Paramètres!$F$5,"Forte",IF(K1982&gt;=Paramètres!$F$4,"Modérée","Faible")))</f>
        <v>Forte</v>
      </c>
    </row>
    <row r="1983" spans="1:13">
      <c r="A1983" t="s">
        <v>110</v>
      </c>
      <c r="B1983" s="11">
        <v>75</v>
      </c>
      <c r="C1983" t="s">
        <v>86</v>
      </c>
      <c r="D1983" t="s">
        <v>22</v>
      </c>
      <c r="E1983" t="s">
        <v>615</v>
      </c>
      <c r="F1983" t="s">
        <v>88</v>
      </c>
      <c r="G1983" s="12">
        <v>55</v>
      </c>
      <c r="H1983" s="12">
        <v>1758</v>
      </c>
      <c r="I1983" s="12">
        <v>57</v>
      </c>
      <c r="J1983" t="str">
        <f>VLOOKUP(B1983,Paramètres!$A$4:$C$11,3,FALSE)</f>
        <v>Paris</v>
      </c>
      <c r="K1983" s="13">
        <f>IFERROR(H1983/G1983,"")</f>
        <v>31.963636363636365</v>
      </c>
      <c r="L1983" s="14">
        <f>IFERROR(I1983/G1983,"")</f>
        <v>1.0363636363636364</v>
      </c>
      <c r="M1983" s="11" t="str">
        <f>IF(K1983&gt;=Paramètres!$F$6,"Très forte",IF(K1983&gt;=Paramètres!$F$5,"Forte",IF(K1983&gt;=Paramètres!$F$4,"Modérée","Faible")))</f>
        <v>Forte</v>
      </c>
    </row>
    <row r="1984" spans="1:13">
      <c r="A1984" t="s">
        <v>108</v>
      </c>
      <c r="B1984" s="11">
        <v>93</v>
      </c>
      <c r="C1984" t="s">
        <v>100</v>
      </c>
      <c r="D1984" t="s">
        <v>22</v>
      </c>
      <c r="E1984" t="s">
        <v>447</v>
      </c>
      <c r="F1984" t="s">
        <v>88</v>
      </c>
      <c r="G1984" s="12">
        <v>125</v>
      </c>
      <c r="H1984" s="12">
        <v>3955</v>
      </c>
      <c r="I1984" s="12">
        <v>122</v>
      </c>
      <c r="J1984" t="str">
        <f>VLOOKUP(B1984,Paramètres!$A$4:$C$11,3,FALSE)</f>
        <v>Petite couronne</v>
      </c>
      <c r="K1984" s="13">
        <f>IFERROR(H1984/G1984,"")</f>
        <v>31.64</v>
      </c>
      <c r="L1984" s="14">
        <f>IFERROR(I1984/G1984,"")</f>
        <v>0.97599999999999998</v>
      </c>
      <c r="M1984" s="11" t="str">
        <f>IF(K1984&gt;=Paramètres!$F$6,"Très forte",IF(K1984&gt;=Paramètres!$F$5,"Forte",IF(K1984&gt;=Paramètres!$F$4,"Modérée","Faible")))</f>
        <v>Forte</v>
      </c>
    </row>
    <row r="1985" spans="1:13">
      <c r="A1985" t="s">
        <v>97</v>
      </c>
      <c r="B1985" s="11">
        <v>92</v>
      </c>
      <c r="C1985" t="s">
        <v>94</v>
      </c>
      <c r="D1985" t="s">
        <v>22</v>
      </c>
      <c r="E1985" t="s">
        <v>98</v>
      </c>
      <c r="F1985" t="s">
        <v>92</v>
      </c>
      <c r="G1985" s="12">
        <v>35</v>
      </c>
      <c r="H1985" s="12">
        <v>1103</v>
      </c>
      <c r="I1985" s="12">
        <v>35</v>
      </c>
      <c r="J1985" t="str">
        <f>VLOOKUP(B1985,Paramètres!$A$4:$C$11,3,FALSE)</f>
        <v>Petite couronne</v>
      </c>
      <c r="K1985" s="13">
        <f>IFERROR(H1985/G1985,"")</f>
        <v>31.514285714285716</v>
      </c>
      <c r="L1985" s="14">
        <f>IFERROR(I1985/G1985,"")</f>
        <v>1</v>
      </c>
      <c r="M1985" s="11" t="str">
        <f>IF(K1985&gt;=Paramètres!$F$6,"Très forte",IF(K1985&gt;=Paramètres!$F$5,"Forte",IF(K1985&gt;=Paramètres!$F$4,"Modérée","Faible")))</f>
        <v>Forte</v>
      </c>
    </row>
    <row r="1986" spans="1:13">
      <c r="A1986" t="s">
        <v>138</v>
      </c>
      <c r="B1986" s="11">
        <v>75</v>
      </c>
      <c r="C1986" t="s">
        <v>86</v>
      </c>
      <c r="D1986" t="s">
        <v>22</v>
      </c>
      <c r="E1986" t="s">
        <v>142</v>
      </c>
      <c r="F1986" t="s">
        <v>92</v>
      </c>
      <c r="G1986" s="12">
        <v>10</v>
      </c>
      <c r="H1986" s="12">
        <v>314</v>
      </c>
      <c r="I1986" s="12">
        <v>9</v>
      </c>
      <c r="J1986" t="str">
        <f>VLOOKUP(B1986,Paramètres!$A$4:$C$11,3,FALSE)</f>
        <v>Paris</v>
      </c>
      <c r="K1986" s="13">
        <f>IFERROR(H1986/G1986,"")</f>
        <v>31.4</v>
      </c>
      <c r="L1986" s="14">
        <f>IFERROR(I1986/G1986,"")</f>
        <v>0.9</v>
      </c>
      <c r="M1986" s="11" t="str">
        <f>IF(K1986&gt;=Paramètres!$F$6,"Très forte",IF(K1986&gt;=Paramètres!$F$5,"Forte",IF(K1986&gt;=Paramètres!$F$4,"Modérée","Faible")))</f>
        <v>Forte</v>
      </c>
    </row>
    <row r="1987" spans="1:13">
      <c r="A1987" t="s">
        <v>110</v>
      </c>
      <c r="B1987" s="11">
        <v>75</v>
      </c>
      <c r="C1987" t="s">
        <v>86</v>
      </c>
      <c r="D1987" t="s">
        <v>22</v>
      </c>
      <c r="E1987" t="s">
        <v>507</v>
      </c>
      <c r="F1987" t="s">
        <v>92</v>
      </c>
      <c r="G1987" s="12">
        <v>70</v>
      </c>
      <c r="H1987" s="12">
        <v>2198</v>
      </c>
      <c r="I1987" s="12">
        <v>69</v>
      </c>
      <c r="J1987" t="str">
        <f>VLOOKUP(B1987,Paramètres!$A$4:$C$11,3,FALSE)</f>
        <v>Paris</v>
      </c>
      <c r="K1987" s="13">
        <f>IFERROR(H1987/G1987,"")</f>
        <v>31.4</v>
      </c>
      <c r="L1987" s="14">
        <f>IFERROR(I1987/G1987,"")</f>
        <v>0.98571428571428577</v>
      </c>
      <c r="M1987" s="11" t="str">
        <f>IF(K1987&gt;=Paramètres!$F$6,"Très forte",IF(K1987&gt;=Paramètres!$F$5,"Forte",IF(K1987&gt;=Paramètres!$F$4,"Modérée","Faible")))</f>
        <v>Forte</v>
      </c>
    </row>
    <row r="1988" spans="1:13">
      <c r="A1988" t="s">
        <v>110</v>
      </c>
      <c r="B1988" s="11">
        <v>75</v>
      </c>
      <c r="C1988" t="s">
        <v>86</v>
      </c>
      <c r="D1988" t="s">
        <v>22</v>
      </c>
      <c r="E1988" t="s">
        <v>212</v>
      </c>
      <c r="F1988" t="s">
        <v>92</v>
      </c>
      <c r="G1988" s="12">
        <v>77</v>
      </c>
      <c r="H1988" s="12">
        <v>2389</v>
      </c>
      <c r="I1988" s="12">
        <v>81</v>
      </c>
      <c r="J1988" t="str">
        <f>VLOOKUP(B1988,Paramètres!$A$4:$C$11,3,FALSE)</f>
        <v>Paris</v>
      </c>
      <c r="K1988" s="13">
        <f>IFERROR(H1988/G1988,"")</f>
        <v>31.025974025974026</v>
      </c>
      <c r="L1988" s="14">
        <f>IFERROR(I1988/G1988,"")</f>
        <v>1.051948051948052</v>
      </c>
      <c r="M1988" s="11" t="str">
        <f>IF(K1988&gt;=Paramètres!$F$6,"Très forte",IF(K1988&gt;=Paramètres!$F$5,"Forte",IF(K1988&gt;=Paramètres!$F$4,"Modérée","Faible")))</f>
        <v>Forte</v>
      </c>
    </row>
    <row r="1989" spans="1:13">
      <c r="A1989" t="s">
        <v>104</v>
      </c>
      <c r="B1989" s="11">
        <v>91</v>
      </c>
      <c r="C1989" t="s">
        <v>105</v>
      </c>
      <c r="D1989" t="s">
        <v>22</v>
      </c>
      <c r="E1989" t="s">
        <v>742</v>
      </c>
      <c r="F1989" t="s">
        <v>88</v>
      </c>
      <c r="G1989" s="12">
        <v>65</v>
      </c>
      <c r="H1989" s="12">
        <v>2011</v>
      </c>
      <c r="I1989" s="12">
        <v>65</v>
      </c>
      <c r="J1989" t="str">
        <f>VLOOKUP(B1989,Paramètres!$A$4:$C$11,3,FALSE)</f>
        <v>Grande couronne</v>
      </c>
      <c r="K1989" s="13">
        <f>IFERROR(H1989/G1989,"")</f>
        <v>30.938461538461539</v>
      </c>
      <c r="L1989" s="14">
        <f>IFERROR(I1989/G1989,"")</f>
        <v>1</v>
      </c>
      <c r="M1989" s="11" t="str">
        <f>IF(K1989&gt;=Paramètres!$F$6,"Très forte",IF(K1989&gt;=Paramètres!$F$5,"Forte",IF(K1989&gt;=Paramètres!$F$4,"Modérée","Faible")))</f>
        <v>Forte</v>
      </c>
    </row>
    <row r="1990" spans="1:13">
      <c r="A1990" t="s">
        <v>134</v>
      </c>
      <c r="B1990" s="11">
        <v>78</v>
      </c>
      <c r="C1990" t="s">
        <v>135</v>
      </c>
      <c r="D1990" t="s">
        <v>22</v>
      </c>
      <c r="E1990" t="s">
        <v>457</v>
      </c>
      <c r="F1990" t="s">
        <v>88</v>
      </c>
      <c r="G1990" s="12">
        <v>57</v>
      </c>
      <c r="H1990" s="12">
        <v>1756</v>
      </c>
      <c r="I1990" s="12">
        <v>57</v>
      </c>
      <c r="J1990" t="str">
        <f>VLOOKUP(B1990,Paramètres!$A$4:$C$11,3,FALSE)</f>
        <v>Grande couronne</v>
      </c>
      <c r="K1990" s="13">
        <f>IFERROR(H1990/G1990,"")</f>
        <v>30.807017543859651</v>
      </c>
      <c r="L1990" s="14">
        <f>IFERROR(I1990/G1990,"")</f>
        <v>1</v>
      </c>
      <c r="M1990" s="11" t="str">
        <f>IF(K1990&gt;=Paramètres!$F$6,"Très forte",IF(K1990&gt;=Paramètres!$F$5,"Forte",IF(K1990&gt;=Paramètres!$F$4,"Modérée","Faible")))</f>
        <v>Forte</v>
      </c>
    </row>
    <row r="1991" spans="1:13">
      <c r="A1991" t="s">
        <v>265</v>
      </c>
      <c r="B1991" s="11">
        <v>93</v>
      </c>
      <c r="C1991" t="s">
        <v>100</v>
      </c>
      <c r="D1991" t="s">
        <v>22</v>
      </c>
      <c r="E1991" t="s">
        <v>266</v>
      </c>
      <c r="F1991" t="s">
        <v>88</v>
      </c>
      <c r="G1991" s="12">
        <v>300</v>
      </c>
      <c r="H1991" s="12">
        <v>9221</v>
      </c>
      <c r="I1991" s="12">
        <v>281</v>
      </c>
      <c r="J1991" t="str">
        <f>VLOOKUP(B1991,Paramètres!$A$4:$C$11,3,FALSE)</f>
        <v>Petite couronne</v>
      </c>
      <c r="K1991" s="13">
        <f>IFERROR(H1991/G1991,"")</f>
        <v>30.736666666666668</v>
      </c>
      <c r="L1991" s="14">
        <f>IFERROR(I1991/G1991,"")</f>
        <v>0.93666666666666665</v>
      </c>
      <c r="M1991" s="11" t="str">
        <f>IF(K1991&gt;=Paramètres!$F$6,"Très forte",IF(K1991&gt;=Paramètres!$F$5,"Forte",IF(K1991&gt;=Paramètres!$F$4,"Modérée","Faible")))</f>
        <v>Forte</v>
      </c>
    </row>
    <row r="1992" spans="1:13">
      <c r="A1992" t="s">
        <v>152</v>
      </c>
      <c r="B1992" s="11">
        <v>75</v>
      </c>
      <c r="C1992" t="s">
        <v>86</v>
      </c>
      <c r="D1992" t="s">
        <v>22</v>
      </c>
      <c r="E1992" t="s">
        <v>232</v>
      </c>
      <c r="F1992" t="s">
        <v>88</v>
      </c>
      <c r="G1992" s="12">
        <v>90</v>
      </c>
      <c r="H1992" s="12">
        <v>2766</v>
      </c>
      <c r="I1992" s="12">
        <v>90</v>
      </c>
      <c r="J1992" t="str">
        <f>VLOOKUP(B1992,Paramètres!$A$4:$C$11,3,FALSE)</f>
        <v>Paris</v>
      </c>
      <c r="K1992" s="13">
        <f>IFERROR(H1992/G1992,"")</f>
        <v>30.733333333333334</v>
      </c>
      <c r="L1992" s="14">
        <f>IFERROR(I1992/G1992,"")</f>
        <v>1</v>
      </c>
      <c r="M1992" s="11" t="str">
        <f>IF(K1992&gt;=Paramètres!$F$6,"Très forte",IF(K1992&gt;=Paramètres!$F$5,"Forte",IF(K1992&gt;=Paramètres!$F$4,"Modérée","Faible")))</f>
        <v>Forte</v>
      </c>
    </row>
    <row r="1993" spans="1:13">
      <c r="A1993" t="s">
        <v>127</v>
      </c>
      <c r="B1993" s="11">
        <v>75</v>
      </c>
      <c r="C1993" t="s">
        <v>86</v>
      </c>
      <c r="D1993" t="s">
        <v>22</v>
      </c>
      <c r="E1993" t="s">
        <v>228</v>
      </c>
      <c r="F1993" t="s">
        <v>88</v>
      </c>
      <c r="G1993" s="12">
        <v>3</v>
      </c>
      <c r="H1993" s="12">
        <v>92</v>
      </c>
      <c r="I1993" s="12">
        <v>3</v>
      </c>
      <c r="J1993" t="str">
        <f>VLOOKUP(B1993,Paramètres!$A$4:$C$11,3,FALSE)</f>
        <v>Paris</v>
      </c>
      <c r="K1993" s="13">
        <f>IFERROR(H1993/G1993,"")</f>
        <v>30.666666666666668</v>
      </c>
      <c r="L1993" s="14">
        <f>IFERROR(I1993/G1993,"")</f>
        <v>1</v>
      </c>
      <c r="M1993" s="11" t="str">
        <f>IF(K1993&gt;=Paramètres!$F$6,"Très forte",IF(K1993&gt;=Paramètres!$F$5,"Forte",IF(K1993&gt;=Paramètres!$F$4,"Modérée","Faible")))</f>
        <v>Forte</v>
      </c>
    </row>
    <row r="1994" spans="1:13">
      <c r="A1994" t="s">
        <v>131</v>
      </c>
      <c r="B1994" s="11">
        <v>77</v>
      </c>
      <c r="C1994" t="s">
        <v>132</v>
      </c>
      <c r="D1994" t="s">
        <v>22</v>
      </c>
      <c r="E1994" t="s">
        <v>692</v>
      </c>
      <c r="F1994" t="s">
        <v>92</v>
      </c>
      <c r="G1994" s="12">
        <v>70</v>
      </c>
      <c r="H1994" s="12">
        <v>2126</v>
      </c>
      <c r="I1994" s="12">
        <v>69</v>
      </c>
      <c r="J1994" t="str">
        <f>VLOOKUP(B1994,Paramètres!$A$4:$C$11,3,FALSE)</f>
        <v>Grande couronne</v>
      </c>
      <c r="K1994" s="13">
        <f>IFERROR(H1994/G1994,"")</f>
        <v>30.37142857142857</v>
      </c>
      <c r="L1994" s="14">
        <f>IFERROR(I1994/G1994,"")</f>
        <v>0.98571428571428577</v>
      </c>
      <c r="M1994" s="11" t="str">
        <f>IF(K1994&gt;=Paramètres!$F$6,"Très forte",IF(K1994&gt;=Paramètres!$F$5,"Forte",IF(K1994&gt;=Paramètres!$F$4,"Modérée","Faible")))</f>
        <v>Forte</v>
      </c>
    </row>
    <row r="1995" spans="1:13">
      <c r="A1995" t="s">
        <v>115</v>
      </c>
      <c r="B1995" s="11">
        <v>94</v>
      </c>
      <c r="C1995" t="s">
        <v>116</v>
      </c>
      <c r="D1995" t="s">
        <v>22</v>
      </c>
      <c r="E1995" t="s">
        <v>557</v>
      </c>
      <c r="F1995" t="s">
        <v>92</v>
      </c>
      <c r="G1995" s="12">
        <v>33</v>
      </c>
      <c r="H1995" s="12">
        <v>1002</v>
      </c>
      <c r="I1995" s="12">
        <v>32</v>
      </c>
      <c r="J1995" t="str">
        <f>VLOOKUP(B1995,Paramètres!$A$4:$C$11,3,FALSE)</f>
        <v>Petite couronne</v>
      </c>
      <c r="K1995" s="13">
        <f>IFERROR(H1995/G1995,"")</f>
        <v>30.363636363636363</v>
      </c>
      <c r="L1995" s="14">
        <f>IFERROR(I1995/G1995,"")</f>
        <v>0.96969696969696972</v>
      </c>
      <c r="M1995" s="11" t="str">
        <f>IF(K1995&gt;=Paramètres!$F$6,"Très forte",IF(K1995&gt;=Paramètres!$F$5,"Forte",IF(K1995&gt;=Paramètres!$F$4,"Modérée","Faible")))</f>
        <v>Forte</v>
      </c>
    </row>
    <row r="1996" spans="1:13">
      <c r="A1996" t="s">
        <v>110</v>
      </c>
      <c r="B1996" s="11">
        <v>75</v>
      </c>
      <c r="C1996" t="s">
        <v>86</v>
      </c>
      <c r="D1996" t="s">
        <v>22</v>
      </c>
      <c r="E1996" t="s">
        <v>376</v>
      </c>
      <c r="F1996" t="s">
        <v>88</v>
      </c>
      <c r="G1996" s="12">
        <v>86</v>
      </c>
      <c r="H1996" s="12">
        <v>2607</v>
      </c>
      <c r="I1996" s="12">
        <v>85</v>
      </c>
      <c r="J1996" t="str">
        <f>VLOOKUP(B1996,Paramètres!$A$4:$C$11,3,FALSE)</f>
        <v>Paris</v>
      </c>
      <c r="K1996" s="13">
        <f>IFERROR(H1996/G1996,"")</f>
        <v>30.313953488372093</v>
      </c>
      <c r="L1996" s="14">
        <f>IFERROR(I1996/G1996,"")</f>
        <v>0.98837209302325579</v>
      </c>
      <c r="M1996" s="11" t="str">
        <f>IF(K1996&gt;=Paramètres!$F$6,"Très forte",IF(K1996&gt;=Paramètres!$F$5,"Forte",IF(K1996&gt;=Paramètres!$F$4,"Modérée","Faible")))</f>
        <v>Forte</v>
      </c>
    </row>
    <row r="1997" spans="1:13">
      <c r="A1997" t="s">
        <v>115</v>
      </c>
      <c r="B1997" s="11">
        <v>94</v>
      </c>
      <c r="C1997" t="s">
        <v>116</v>
      </c>
      <c r="D1997" t="s">
        <v>22</v>
      </c>
      <c r="E1997" t="s">
        <v>319</v>
      </c>
      <c r="F1997" t="s">
        <v>88</v>
      </c>
      <c r="G1997" s="12">
        <v>78</v>
      </c>
      <c r="H1997" s="12">
        <v>2361</v>
      </c>
      <c r="I1997" s="12">
        <v>76</v>
      </c>
      <c r="J1997" t="str">
        <f>VLOOKUP(B1997,Paramètres!$A$4:$C$11,3,FALSE)</f>
        <v>Petite couronne</v>
      </c>
      <c r="K1997" s="13">
        <f>IFERROR(H1997/G1997,"")</f>
        <v>30.26923076923077</v>
      </c>
      <c r="L1997" s="14">
        <f>IFERROR(I1997/G1997,"")</f>
        <v>0.97435897435897434</v>
      </c>
      <c r="M1997" s="11" t="str">
        <f>IF(K1997&gt;=Paramètres!$F$6,"Très forte",IF(K1997&gt;=Paramètres!$F$5,"Forte",IF(K1997&gt;=Paramètres!$F$4,"Modérée","Faible")))</f>
        <v>Forte</v>
      </c>
    </row>
    <row r="1998" spans="1:13">
      <c r="A1998" t="s">
        <v>152</v>
      </c>
      <c r="B1998" s="11">
        <v>75</v>
      </c>
      <c r="C1998" t="s">
        <v>86</v>
      </c>
      <c r="D1998" t="s">
        <v>22</v>
      </c>
      <c r="E1998" t="s">
        <v>650</v>
      </c>
      <c r="F1998" t="s">
        <v>92</v>
      </c>
      <c r="G1998" s="12">
        <v>60</v>
      </c>
      <c r="H1998" s="12">
        <v>1814</v>
      </c>
      <c r="I1998" s="12">
        <v>61</v>
      </c>
      <c r="J1998" t="str">
        <f>VLOOKUP(B1998,Paramètres!$A$4:$C$11,3,FALSE)</f>
        <v>Paris</v>
      </c>
      <c r="K1998" s="13">
        <f>IFERROR(H1998/G1998,"")</f>
        <v>30.233333333333334</v>
      </c>
      <c r="L1998" s="14">
        <f>IFERROR(I1998/G1998,"")</f>
        <v>1.0166666666666666</v>
      </c>
      <c r="M1998" s="11" t="str">
        <f>IF(K1998&gt;=Paramètres!$F$6,"Très forte",IF(K1998&gt;=Paramètres!$F$5,"Forte",IF(K1998&gt;=Paramètres!$F$4,"Modérée","Faible")))</f>
        <v>Forte</v>
      </c>
    </row>
    <row r="1999" spans="1:13">
      <c r="A1999" t="s">
        <v>115</v>
      </c>
      <c r="B1999" s="11">
        <v>94</v>
      </c>
      <c r="C1999" t="s">
        <v>116</v>
      </c>
      <c r="D1999" t="s">
        <v>22</v>
      </c>
      <c r="E1999" t="s">
        <v>634</v>
      </c>
      <c r="F1999" t="s">
        <v>92</v>
      </c>
      <c r="G1999" s="12">
        <v>25</v>
      </c>
      <c r="H1999" s="12">
        <v>755</v>
      </c>
      <c r="I1999" s="12">
        <v>27</v>
      </c>
      <c r="J1999" t="str">
        <f>VLOOKUP(B1999,Paramètres!$A$4:$C$11,3,FALSE)</f>
        <v>Petite couronne</v>
      </c>
      <c r="K1999" s="13">
        <f>IFERROR(H1999/G1999,"")</f>
        <v>30.2</v>
      </c>
      <c r="L1999" s="14">
        <f>IFERROR(I1999/G1999,"")</f>
        <v>1.08</v>
      </c>
      <c r="M1999" s="11" t="str">
        <f>IF(K1999&gt;=Paramètres!$F$6,"Très forte",IF(K1999&gt;=Paramètres!$F$5,"Forte",IF(K1999&gt;=Paramètres!$F$4,"Modérée","Faible")))</f>
        <v>Forte</v>
      </c>
    </row>
    <row r="2000" spans="1:13">
      <c r="A2000" t="s">
        <v>110</v>
      </c>
      <c r="B2000" s="11">
        <v>75</v>
      </c>
      <c r="C2000" t="s">
        <v>86</v>
      </c>
      <c r="D2000" t="s">
        <v>22</v>
      </c>
      <c r="E2000" t="s">
        <v>524</v>
      </c>
      <c r="F2000" t="s">
        <v>88</v>
      </c>
      <c r="G2000" s="12">
        <v>200</v>
      </c>
      <c r="H2000" s="12">
        <v>5990</v>
      </c>
      <c r="I2000" s="12">
        <v>199</v>
      </c>
      <c r="J2000" t="str">
        <f>VLOOKUP(B2000,Paramètres!$A$4:$C$11,3,FALSE)</f>
        <v>Paris</v>
      </c>
      <c r="K2000" s="13">
        <f>IFERROR(H2000/G2000,"")</f>
        <v>29.95</v>
      </c>
      <c r="L2000" s="14">
        <f>IFERROR(I2000/G2000,"")</f>
        <v>0.995</v>
      </c>
      <c r="M2000" s="11" t="str">
        <f>IF(K2000&gt;=Paramètres!$F$6,"Très forte",IF(K2000&gt;=Paramètres!$F$5,"Forte",IF(K2000&gt;=Paramètres!$F$4,"Modérée","Faible")))</f>
        <v>Forte</v>
      </c>
    </row>
    <row r="2001" spans="1:13">
      <c r="A2001" t="s">
        <v>265</v>
      </c>
      <c r="B2001" s="11">
        <v>93</v>
      </c>
      <c r="C2001" t="s">
        <v>100</v>
      </c>
      <c r="D2001" t="s">
        <v>22</v>
      </c>
      <c r="E2001" t="s">
        <v>759</v>
      </c>
      <c r="F2001" t="s">
        <v>88</v>
      </c>
      <c r="G2001" s="12">
        <v>25</v>
      </c>
      <c r="H2001" s="12">
        <v>744</v>
      </c>
      <c r="I2001" s="12">
        <v>22</v>
      </c>
      <c r="J2001" t="str">
        <f>VLOOKUP(B2001,Paramètres!$A$4:$C$11,3,FALSE)</f>
        <v>Petite couronne</v>
      </c>
      <c r="K2001" s="13">
        <f>IFERROR(H2001/G2001,"")</f>
        <v>29.76</v>
      </c>
      <c r="L2001" s="14">
        <f>IFERROR(I2001/G2001,"")</f>
        <v>0.88</v>
      </c>
      <c r="M2001" s="11" t="str">
        <f>IF(K2001&gt;=Paramètres!$F$6,"Très forte",IF(K2001&gt;=Paramètres!$F$5,"Forte",IF(K2001&gt;=Paramètres!$F$4,"Modérée","Faible")))</f>
        <v>Forte</v>
      </c>
    </row>
    <row r="2002" spans="1:13">
      <c r="A2002" t="s">
        <v>129</v>
      </c>
      <c r="B2002" s="11">
        <v>91</v>
      </c>
      <c r="C2002" t="s">
        <v>105</v>
      </c>
      <c r="D2002" t="s">
        <v>22</v>
      </c>
      <c r="E2002" t="s">
        <v>605</v>
      </c>
      <c r="F2002" t="s">
        <v>92</v>
      </c>
      <c r="G2002" s="12">
        <v>50</v>
      </c>
      <c r="H2002" s="12">
        <v>1463</v>
      </c>
      <c r="I2002" s="12">
        <v>44</v>
      </c>
      <c r="J2002" t="str">
        <f>VLOOKUP(B2002,Paramètres!$A$4:$C$11,3,FALSE)</f>
        <v>Grande couronne</v>
      </c>
      <c r="K2002" s="13">
        <f>IFERROR(H2002/G2002,"")</f>
        <v>29.26</v>
      </c>
      <c r="L2002" s="14">
        <f>IFERROR(I2002/G2002,"")</f>
        <v>0.88</v>
      </c>
      <c r="M2002" s="11" t="str">
        <f>IF(K2002&gt;=Paramètres!$F$6,"Très forte",IF(K2002&gt;=Paramètres!$F$5,"Forte",IF(K2002&gt;=Paramètres!$F$4,"Modérée","Faible")))</f>
        <v>Forte</v>
      </c>
    </row>
    <row r="2003" spans="1:13">
      <c r="A2003" t="s">
        <v>240</v>
      </c>
      <c r="B2003" s="11">
        <v>75</v>
      </c>
      <c r="C2003" t="s">
        <v>86</v>
      </c>
      <c r="D2003" t="s">
        <v>22</v>
      </c>
      <c r="E2003" t="s">
        <v>241</v>
      </c>
      <c r="F2003" t="s">
        <v>88</v>
      </c>
      <c r="G2003" s="12">
        <v>20</v>
      </c>
      <c r="H2003" s="12">
        <v>583</v>
      </c>
      <c r="I2003" s="12">
        <v>18</v>
      </c>
      <c r="J2003" t="str">
        <f>VLOOKUP(B2003,Paramètres!$A$4:$C$11,3,FALSE)</f>
        <v>Paris</v>
      </c>
      <c r="K2003" s="13">
        <f>IFERROR(H2003/G2003,"")</f>
        <v>29.15</v>
      </c>
      <c r="L2003" s="14">
        <f>IFERROR(I2003/G2003,"")</f>
        <v>0.9</v>
      </c>
      <c r="M2003" s="11" t="str">
        <f>IF(K2003&gt;=Paramètres!$F$6,"Très forte",IF(K2003&gt;=Paramètres!$F$5,"Forte",IF(K2003&gt;=Paramètres!$F$4,"Modérée","Faible")))</f>
        <v>Forte</v>
      </c>
    </row>
    <row r="2004" spans="1:13">
      <c r="A2004" t="s">
        <v>110</v>
      </c>
      <c r="B2004" s="11">
        <v>75</v>
      </c>
      <c r="C2004" t="s">
        <v>86</v>
      </c>
      <c r="D2004" t="s">
        <v>22</v>
      </c>
      <c r="E2004" t="s">
        <v>522</v>
      </c>
      <c r="F2004" t="s">
        <v>88</v>
      </c>
      <c r="G2004" s="12">
        <v>120</v>
      </c>
      <c r="H2004" s="12">
        <v>3492</v>
      </c>
      <c r="I2004" s="12">
        <v>120</v>
      </c>
      <c r="J2004" t="str">
        <f>VLOOKUP(B2004,Paramètres!$A$4:$C$11,3,FALSE)</f>
        <v>Paris</v>
      </c>
      <c r="K2004" s="13">
        <f>IFERROR(H2004/G2004,"")</f>
        <v>29.1</v>
      </c>
      <c r="L2004" s="14">
        <f>IFERROR(I2004/G2004,"")</f>
        <v>1</v>
      </c>
      <c r="M2004" s="11" t="str">
        <f>IF(K2004&gt;=Paramètres!$F$6,"Très forte",IF(K2004&gt;=Paramètres!$F$5,"Forte",IF(K2004&gt;=Paramètres!$F$4,"Modérée","Faible")))</f>
        <v>Forte</v>
      </c>
    </row>
    <row r="2005" spans="1:13">
      <c r="A2005" t="s">
        <v>104</v>
      </c>
      <c r="B2005" s="11">
        <v>91</v>
      </c>
      <c r="C2005" t="s">
        <v>105</v>
      </c>
      <c r="D2005" t="s">
        <v>22</v>
      </c>
      <c r="E2005" t="s">
        <v>646</v>
      </c>
      <c r="F2005" t="s">
        <v>92</v>
      </c>
      <c r="G2005" s="12">
        <v>20</v>
      </c>
      <c r="H2005" s="12">
        <v>578</v>
      </c>
      <c r="I2005" s="12">
        <v>20</v>
      </c>
      <c r="J2005" t="str">
        <f>VLOOKUP(B2005,Paramètres!$A$4:$C$11,3,FALSE)</f>
        <v>Grande couronne</v>
      </c>
      <c r="K2005" s="13">
        <f>IFERROR(H2005/G2005,"")</f>
        <v>28.9</v>
      </c>
      <c r="L2005" s="14">
        <f>IFERROR(I2005/G2005,"")</f>
        <v>1</v>
      </c>
      <c r="M2005" s="11" t="str">
        <f>IF(K2005&gt;=Paramètres!$F$6,"Très forte",IF(K2005&gt;=Paramètres!$F$5,"Forte",IF(K2005&gt;=Paramètres!$F$4,"Modérée","Faible")))</f>
        <v>Forte</v>
      </c>
    </row>
    <row r="2006" spans="1:13">
      <c r="A2006" t="s">
        <v>127</v>
      </c>
      <c r="B2006" s="11">
        <v>75</v>
      </c>
      <c r="C2006" t="s">
        <v>86</v>
      </c>
      <c r="D2006" t="s">
        <v>22</v>
      </c>
      <c r="E2006" t="s">
        <v>231</v>
      </c>
      <c r="F2006" t="s">
        <v>88</v>
      </c>
      <c r="G2006" s="12">
        <v>36</v>
      </c>
      <c r="H2006" s="12">
        <v>1030</v>
      </c>
      <c r="I2006" s="12">
        <v>35</v>
      </c>
      <c r="J2006" t="str">
        <f>VLOOKUP(B2006,Paramètres!$A$4:$C$11,3,FALSE)</f>
        <v>Paris</v>
      </c>
      <c r="K2006" s="13">
        <f>IFERROR(H2006/G2006,"")</f>
        <v>28.611111111111111</v>
      </c>
      <c r="L2006" s="14">
        <f>IFERROR(I2006/G2006,"")</f>
        <v>0.97222222222222221</v>
      </c>
      <c r="M2006" s="11" t="str">
        <f>IF(K2006&gt;=Paramètres!$F$6,"Très forte",IF(K2006&gt;=Paramètres!$F$5,"Forte",IF(K2006&gt;=Paramètres!$F$4,"Modérée","Faible")))</f>
        <v>Forte</v>
      </c>
    </row>
    <row r="2007" spans="1:13">
      <c r="A2007" t="s">
        <v>127</v>
      </c>
      <c r="B2007" s="11">
        <v>75</v>
      </c>
      <c r="C2007" t="s">
        <v>86</v>
      </c>
      <c r="D2007" t="s">
        <v>22</v>
      </c>
      <c r="E2007" t="s">
        <v>235</v>
      </c>
      <c r="F2007" t="s">
        <v>88</v>
      </c>
      <c r="G2007" s="12">
        <v>33</v>
      </c>
      <c r="H2007" s="12">
        <v>942</v>
      </c>
      <c r="I2007" s="12">
        <v>32</v>
      </c>
      <c r="J2007" t="str">
        <f>VLOOKUP(B2007,Paramètres!$A$4:$C$11,3,FALSE)</f>
        <v>Paris</v>
      </c>
      <c r="K2007" s="13">
        <f>IFERROR(H2007/G2007,"")</f>
        <v>28.545454545454547</v>
      </c>
      <c r="L2007" s="14">
        <f>IFERROR(I2007/G2007,"")</f>
        <v>0.96969696969696972</v>
      </c>
      <c r="M2007" s="11" t="str">
        <f>IF(K2007&gt;=Paramètres!$F$6,"Très forte",IF(K2007&gt;=Paramètres!$F$5,"Forte",IF(K2007&gt;=Paramètres!$F$4,"Modérée","Faible")))</f>
        <v>Forte</v>
      </c>
    </row>
    <row r="2008" spans="1:13">
      <c r="A2008" t="s">
        <v>110</v>
      </c>
      <c r="B2008" s="11">
        <v>75</v>
      </c>
      <c r="C2008" t="s">
        <v>86</v>
      </c>
      <c r="D2008" t="s">
        <v>22</v>
      </c>
      <c r="E2008" t="s">
        <v>732</v>
      </c>
      <c r="F2008" t="s">
        <v>88</v>
      </c>
      <c r="G2008" s="12">
        <v>30</v>
      </c>
      <c r="H2008" s="12">
        <v>854</v>
      </c>
      <c r="I2008" s="12">
        <v>30</v>
      </c>
      <c r="J2008" t="str">
        <f>VLOOKUP(B2008,Paramètres!$A$4:$C$11,3,FALSE)</f>
        <v>Paris</v>
      </c>
      <c r="K2008" s="13">
        <f>IFERROR(H2008/G2008,"")</f>
        <v>28.466666666666665</v>
      </c>
      <c r="L2008" s="14">
        <f>IFERROR(I2008/G2008,"")</f>
        <v>1</v>
      </c>
      <c r="M2008" s="11" t="str">
        <f>IF(K2008&gt;=Paramètres!$F$6,"Très forte",IF(K2008&gt;=Paramètres!$F$5,"Forte",IF(K2008&gt;=Paramètres!$F$4,"Modérée","Faible")))</f>
        <v>Forte</v>
      </c>
    </row>
    <row r="2009" spans="1:13">
      <c r="A2009" t="s">
        <v>115</v>
      </c>
      <c r="B2009" s="11">
        <v>94</v>
      </c>
      <c r="C2009" t="s">
        <v>116</v>
      </c>
      <c r="D2009" t="s">
        <v>22</v>
      </c>
      <c r="E2009" t="s">
        <v>276</v>
      </c>
      <c r="F2009" t="s">
        <v>92</v>
      </c>
      <c r="G2009" s="12">
        <v>33</v>
      </c>
      <c r="H2009" s="12">
        <v>935</v>
      </c>
      <c r="I2009" s="12">
        <v>31</v>
      </c>
      <c r="J2009" t="str">
        <f>VLOOKUP(B2009,Paramètres!$A$4:$C$11,3,FALSE)</f>
        <v>Petite couronne</v>
      </c>
      <c r="K2009" s="13">
        <f>IFERROR(H2009/G2009,"")</f>
        <v>28.333333333333332</v>
      </c>
      <c r="L2009" s="14">
        <f>IFERROR(I2009/G2009,"")</f>
        <v>0.93939393939393945</v>
      </c>
      <c r="M2009" s="11" t="str">
        <f>IF(K2009&gt;=Paramètres!$F$6,"Très forte",IF(K2009&gt;=Paramètres!$F$5,"Forte",IF(K2009&gt;=Paramètres!$F$4,"Modérée","Faible")))</f>
        <v>Forte</v>
      </c>
    </row>
    <row r="2010" spans="1:13">
      <c r="A2010" t="s">
        <v>97</v>
      </c>
      <c r="B2010" s="11">
        <v>92</v>
      </c>
      <c r="C2010" t="s">
        <v>94</v>
      </c>
      <c r="D2010" t="s">
        <v>22</v>
      </c>
      <c r="E2010" t="s">
        <v>661</v>
      </c>
      <c r="F2010" t="s">
        <v>92</v>
      </c>
      <c r="G2010" s="12">
        <v>10</v>
      </c>
      <c r="H2010" s="12">
        <v>283</v>
      </c>
      <c r="I2010" s="12">
        <v>9</v>
      </c>
      <c r="J2010" t="str">
        <f>VLOOKUP(B2010,Paramètres!$A$4:$C$11,3,FALSE)</f>
        <v>Petite couronne</v>
      </c>
      <c r="K2010" s="13">
        <f>IFERROR(H2010/G2010,"")</f>
        <v>28.3</v>
      </c>
      <c r="L2010" s="14">
        <f>IFERROR(I2010/G2010,"")</f>
        <v>0.9</v>
      </c>
      <c r="M2010" s="11" t="str">
        <f>IF(K2010&gt;=Paramètres!$F$6,"Très forte",IF(K2010&gt;=Paramètres!$F$5,"Forte",IF(K2010&gt;=Paramètres!$F$4,"Modérée","Faible")))</f>
        <v>Forte</v>
      </c>
    </row>
    <row r="2011" spans="1:13">
      <c r="A2011" t="s">
        <v>97</v>
      </c>
      <c r="B2011" s="11">
        <v>92</v>
      </c>
      <c r="C2011" t="s">
        <v>94</v>
      </c>
      <c r="D2011" t="s">
        <v>22</v>
      </c>
      <c r="E2011" t="s">
        <v>253</v>
      </c>
      <c r="F2011" t="s">
        <v>88</v>
      </c>
      <c r="G2011" s="12">
        <v>285</v>
      </c>
      <c r="H2011" s="12">
        <v>7876</v>
      </c>
      <c r="I2011" s="12">
        <v>284</v>
      </c>
      <c r="J2011" t="str">
        <f>VLOOKUP(B2011,Paramètres!$A$4:$C$11,3,FALSE)</f>
        <v>Petite couronne</v>
      </c>
      <c r="K2011" s="13">
        <f>IFERROR(H2011/G2011,"")</f>
        <v>27.635087719298244</v>
      </c>
      <c r="L2011" s="14">
        <f>IFERROR(I2011/G2011,"")</f>
        <v>0.99649122807017543</v>
      </c>
      <c r="M2011" s="11" t="str">
        <f>IF(K2011&gt;=Paramètres!$F$6,"Très forte",IF(K2011&gt;=Paramètres!$F$5,"Forte",IF(K2011&gt;=Paramètres!$F$4,"Modérée","Faible")))</f>
        <v>Forte</v>
      </c>
    </row>
    <row r="2012" spans="1:13">
      <c r="A2012" t="s">
        <v>110</v>
      </c>
      <c r="B2012" s="11">
        <v>75</v>
      </c>
      <c r="C2012" t="s">
        <v>86</v>
      </c>
      <c r="D2012" t="s">
        <v>22</v>
      </c>
      <c r="E2012" t="s">
        <v>314</v>
      </c>
      <c r="F2012" t="s">
        <v>88</v>
      </c>
      <c r="G2012" s="12">
        <v>15</v>
      </c>
      <c r="H2012" s="12">
        <v>414</v>
      </c>
      <c r="I2012" s="12">
        <v>14</v>
      </c>
      <c r="J2012" t="str">
        <f>VLOOKUP(B2012,Paramètres!$A$4:$C$11,3,FALSE)</f>
        <v>Paris</v>
      </c>
      <c r="K2012" s="13">
        <f>IFERROR(H2012/G2012,"")</f>
        <v>27.6</v>
      </c>
      <c r="L2012" s="14">
        <f>IFERROR(I2012/G2012,"")</f>
        <v>0.93333333333333335</v>
      </c>
      <c r="M2012" s="11" t="str">
        <f>IF(K2012&gt;=Paramètres!$F$6,"Très forte",IF(K2012&gt;=Paramètres!$F$5,"Forte",IF(K2012&gt;=Paramètres!$F$4,"Modérée","Faible")))</f>
        <v>Forte</v>
      </c>
    </row>
    <row r="2013" spans="1:13">
      <c r="A2013" t="s">
        <v>97</v>
      </c>
      <c r="B2013" s="11">
        <v>92</v>
      </c>
      <c r="C2013" t="s">
        <v>94</v>
      </c>
      <c r="D2013" t="s">
        <v>22</v>
      </c>
      <c r="E2013" t="s">
        <v>472</v>
      </c>
      <c r="F2013" t="s">
        <v>92</v>
      </c>
      <c r="G2013" s="12">
        <v>10</v>
      </c>
      <c r="H2013" s="12">
        <v>274</v>
      </c>
      <c r="I2013" s="12">
        <v>10</v>
      </c>
      <c r="J2013" t="str">
        <f>VLOOKUP(B2013,Paramètres!$A$4:$C$11,3,FALSE)</f>
        <v>Petite couronne</v>
      </c>
      <c r="K2013" s="13">
        <f>IFERROR(H2013/G2013,"")</f>
        <v>27.4</v>
      </c>
      <c r="L2013" s="14">
        <f>IFERROR(I2013/G2013,"")</f>
        <v>1</v>
      </c>
      <c r="M2013" s="11" t="str">
        <f>IF(K2013&gt;=Paramètres!$F$6,"Très forte",IF(K2013&gt;=Paramètres!$F$5,"Forte",IF(K2013&gt;=Paramètres!$F$4,"Modérée","Faible")))</f>
        <v>Forte</v>
      </c>
    </row>
    <row r="2014" spans="1:13">
      <c r="A2014" t="s">
        <v>115</v>
      </c>
      <c r="B2014" s="11">
        <v>94</v>
      </c>
      <c r="C2014" t="s">
        <v>116</v>
      </c>
      <c r="D2014" t="s">
        <v>22</v>
      </c>
      <c r="E2014" t="s">
        <v>117</v>
      </c>
      <c r="F2014" t="s">
        <v>88</v>
      </c>
      <c r="G2014" s="12">
        <v>155</v>
      </c>
      <c r="H2014" s="12">
        <v>4245</v>
      </c>
      <c r="I2014" s="12">
        <v>153</v>
      </c>
      <c r="J2014" t="str">
        <f>VLOOKUP(B2014,Paramètres!$A$4:$C$11,3,FALSE)</f>
        <v>Petite couronne</v>
      </c>
      <c r="K2014" s="13">
        <f>IFERROR(H2014/G2014,"")</f>
        <v>27.387096774193548</v>
      </c>
      <c r="L2014" s="14">
        <f>IFERROR(I2014/G2014,"")</f>
        <v>0.98709677419354835</v>
      </c>
      <c r="M2014" s="11" t="str">
        <f>IF(K2014&gt;=Paramètres!$F$6,"Très forte",IF(K2014&gt;=Paramètres!$F$5,"Forte",IF(K2014&gt;=Paramètres!$F$4,"Modérée","Faible")))</f>
        <v>Forte</v>
      </c>
    </row>
    <row r="2015" spans="1:13">
      <c r="A2015" t="s">
        <v>97</v>
      </c>
      <c r="B2015" s="11">
        <v>92</v>
      </c>
      <c r="C2015" t="s">
        <v>94</v>
      </c>
      <c r="D2015" t="s">
        <v>22</v>
      </c>
      <c r="E2015" t="s">
        <v>202</v>
      </c>
      <c r="F2015" t="s">
        <v>88</v>
      </c>
      <c r="G2015" s="12">
        <v>430</v>
      </c>
      <c r="H2015" s="12">
        <v>11740</v>
      </c>
      <c r="I2015" s="12">
        <v>424</v>
      </c>
      <c r="J2015" t="str">
        <f>VLOOKUP(B2015,Paramètres!$A$4:$C$11,3,FALSE)</f>
        <v>Petite couronne</v>
      </c>
      <c r="K2015" s="13">
        <f>IFERROR(H2015/G2015,"")</f>
        <v>27.302325581395348</v>
      </c>
      <c r="L2015" s="14">
        <f>IFERROR(I2015/G2015,"")</f>
        <v>0.98604651162790702</v>
      </c>
      <c r="M2015" s="11" t="str">
        <f>IF(K2015&gt;=Paramètres!$F$6,"Très forte",IF(K2015&gt;=Paramètres!$F$5,"Forte",IF(K2015&gt;=Paramètres!$F$4,"Modérée","Faible")))</f>
        <v>Forte</v>
      </c>
    </row>
    <row r="2016" spans="1:13">
      <c r="A2016" t="s">
        <v>115</v>
      </c>
      <c r="B2016" s="11">
        <v>94</v>
      </c>
      <c r="C2016" t="s">
        <v>116</v>
      </c>
      <c r="D2016" t="s">
        <v>22</v>
      </c>
      <c r="E2016" t="s">
        <v>555</v>
      </c>
      <c r="F2016" t="s">
        <v>92</v>
      </c>
      <c r="G2016" s="12">
        <v>90</v>
      </c>
      <c r="H2016" s="12">
        <v>2454</v>
      </c>
      <c r="I2016" s="12">
        <v>90</v>
      </c>
      <c r="J2016" t="str">
        <f>VLOOKUP(B2016,Paramètres!$A$4:$C$11,3,FALSE)</f>
        <v>Petite couronne</v>
      </c>
      <c r="K2016" s="13">
        <f>IFERROR(H2016/G2016,"")</f>
        <v>27.266666666666666</v>
      </c>
      <c r="L2016" s="14">
        <f>IFERROR(I2016/G2016,"")</f>
        <v>1</v>
      </c>
      <c r="M2016" s="11" t="str">
        <f>IF(K2016&gt;=Paramètres!$F$6,"Très forte",IF(K2016&gt;=Paramètres!$F$5,"Forte",IF(K2016&gt;=Paramètres!$F$4,"Modérée","Faible")))</f>
        <v>Forte</v>
      </c>
    </row>
    <row r="2017" spans="1:13">
      <c r="A2017" t="s">
        <v>104</v>
      </c>
      <c r="B2017" s="11">
        <v>91</v>
      </c>
      <c r="C2017" t="s">
        <v>105</v>
      </c>
      <c r="D2017" t="s">
        <v>22</v>
      </c>
      <c r="E2017" t="s">
        <v>469</v>
      </c>
      <c r="F2017" t="s">
        <v>88</v>
      </c>
      <c r="G2017" s="12">
        <v>155</v>
      </c>
      <c r="H2017" s="12">
        <v>4213</v>
      </c>
      <c r="I2017" s="12">
        <v>162</v>
      </c>
      <c r="J2017" t="str">
        <f>VLOOKUP(B2017,Paramètres!$A$4:$C$11,3,FALSE)</f>
        <v>Grande couronne</v>
      </c>
      <c r="K2017" s="13">
        <f>IFERROR(H2017/G2017,"")</f>
        <v>27.180645161290322</v>
      </c>
      <c r="L2017" s="14">
        <f>IFERROR(I2017/G2017,"")</f>
        <v>1.0451612903225806</v>
      </c>
      <c r="M2017" s="11" t="str">
        <f>IF(K2017&gt;=Paramètres!$F$6,"Très forte",IF(K2017&gt;=Paramètres!$F$5,"Forte",IF(K2017&gt;=Paramètres!$F$4,"Modérée","Faible")))</f>
        <v>Forte</v>
      </c>
    </row>
    <row r="2018" spans="1:13">
      <c r="A2018" t="s">
        <v>108</v>
      </c>
      <c r="B2018" s="11">
        <v>93</v>
      </c>
      <c r="C2018" t="s">
        <v>100</v>
      </c>
      <c r="D2018" t="s">
        <v>22</v>
      </c>
      <c r="E2018" t="s">
        <v>266</v>
      </c>
      <c r="F2018" t="s">
        <v>88</v>
      </c>
      <c r="G2018" s="12">
        <v>295</v>
      </c>
      <c r="H2018" s="12">
        <v>8015</v>
      </c>
      <c r="I2018" s="12">
        <v>290</v>
      </c>
      <c r="J2018" t="str">
        <f>VLOOKUP(B2018,Paramètres!$A$4:$C$11,3,FALSE)</f>
        <v>Petite couronne</v>
      </c>
      <c r="K2018" s="13">
        <f>IFERROR(H2018/G2018,"")</f>
        <v>27.16949152542373</v>
      </c>
      <c r="L2018" s="14">
        <f>IFERROR(I2018/G2018,"")</f>
        <v>0.98305084745762716</v>
      </c>
      <c r="M2018" s="11" t="str">
        <f>IF(K2018&gt;=Paramètres!$F$6,"Très forte",IF(K2018&gt;=Paramètres!$F$5,"Forte",IF(K2018&gt;=Paramètres!$F$4,"Modérée","Faible")))</f>
        <v>Forte</v>
      </c>
    </row>
    <row r="2019" spans="1:13">
      <c r="A2019" t="s">
        <v>119</v>
      </c>
      <c r="B2019" s="11">
        <v>75</v>
      </c>
      <c r="C2019" t="s">
        <v>86</v>
      </c>
      <c r="D2019" t="s">
        <v>22</v>
      </c>
      <c r="E2019" t="s">
        <v>526</v>
      </c>
      <c r="F2019" t="s">
        <v>88</v>
      </c>
      <c r="G2019" s="12">
        <v>320</v>
      </c>
      <c r="H2019" s="12">
        <v>8675</v>
      </c>
      <c r="I2019" s="12">
        <v>316</v>
      </c>
      <c r="J2019" t="str">
        <f>VLOOKUP(B2019,Paramètres!$A$4:$C$11,3,FALSE)</f>
        <v>Paris</v>
      </c>
      <c r="K2019" s="13">
        <f>IFERROR(H2019/G2019,"")</f>
        <v>27.109375</v>
      </c>
      <c r="L2019" s="14">
        <f>IFERROR(I2019/G2019,"")</f>
        <v>0.98750000000000004</v>
      </c>
      <c r="M2019" s="11" t="str">
        <f>IF(K2019&gt;=Paramètres!$F$6,"Très forte",IF(K2019&gt;=Paramètres!$F$5,"Forte",IF(K2019&gt;=Paramètres!$F$4,"Modérée","Faible")))</f>
        <v>Forte</v>
      </c>
    </row>
    <row r="2020" spans="1:13">
      <c r="A2020" t="s">
        <v>152</v>
      </c>
      <c r="B2020" s="11">
        <v>75</v>
      </c>
      <c r="C2020" t="s">
        <v>86</v>
      </c>
      <c r="D2020" t="s">
        <v>22</v>
      </c>
      <c r="E2020" t="s">
        <v>153</v>
      </c>
      <c r="F2020" t="s">
        <v>88</v>
      </c>
      <c r="G2020" s="12">
        <v>25</v>
      </c>
      <c r="H2020" s="12">
        <v>674</v>
      </c>
      <c r="I2020" s="12">
        <v>25</v>
      </c>
      <c r="J2020" t="str">
        <f>VLOOKUP(B2020,Paramètres!$A$4:$C$11,3,FALSE)</f>
        <v>Paris</v>
      </c>
      <c r="K2020" s="13">
        <f>IFERROR(H2020/G2020,"")</f>
        <v>26.96</v>
      </c>
      <c r="L2020" s="14">
        <f>IFERROR(I2020/G2020,"")</f>
        <v>1</v>
      </c>
      <c r="M2020" s="11" t="str">
        <f>IF(K2020&gt;=Paramètres!$F$6,"Très forte",IF(K2020&gt;=Paramètres!$F$5,"Forte",IF(K2020&gt;=Paramètres!$F$4,"Modérée","Faible")))</f>
        <v>Forte</v>
      </c>
    </row>
    <row r="2021" spans="1:13">
      <c r="A2021" t="s">
        <v>115</v>
      </c>
      <c r="B2021" s="11">
        <v>94</v>
      </c>
      <c r="C2021" t="s">
        <v>116</v>
      </c>
      <c r="D2021" t="s">
        <v>22</v>
      </c>
      <c r="E2021" t="s">
        <v>441</v>
      </c>
      <c r="F2021" t="s">
        <v>92</v>
      </c>
      <c r="G2021" s="12">
        <v>10</v>
      </c>
      <c r="H2021" s="12">
        <v>269</v>
      </c>
      <c r="I2021" s="12">
        <v>8</v>
      </c>
      <c r="J2021" t="str">
        <f>VLOOKUP(B2021,Paramètres!$A$4:$C$11,3,FALSE)</f>
        <v>Petite couronne</v>
      </c>
      <c r="K2021" s="13">
        <f>IFERROR(H2021/G2021,"")</f>
        <v>26.9</v>
      </c>
      <c r="L2021" s="14">
        <f>IFERROR(I2021/G2021,"")</f>
        <v>0.8</v>
      </c>
      <c r="M2021" s="11" t="str">
        <f>IF(K2021&gt;=Paramètres!$F$6,"Très forte",IF(K2021&gt;=Paramètres!$F$5,"Forte",IF(K2021&gt;=Paramètres!$F$4,"Modérée","Faible")))</f>
        <v>Forte</v>
      </c>
    </row>
    <row r="2022" spans="1:13">
      <c r="A2022" t="s">
        <v>127</v>
      </c>
      <c r="B2022" s="11">
        <v>75</v>
      </c>
      <c r="C2022" t="s">
        <v>86</v>
      </c>
      <c r="D2022" t="s">
        <v>22</v>
      </c>
      <c r="E2022" t="s">
        <v>235</v>
      </c>
      <c r="F2022" t="s">
        <v>88</v>
      </c>
      <c r="G2022" s="12">
        <v>28</v>
      </c>
      <c r="H2022" s="12">
        <v>752</v>
      </c>
      <c r="I2022" s="12">
        <v>27</v>
      </c>
      <c r="J2022" t="str">
        <f>VLOOKUP(B2022,Paramètres!$A$4:$C$11,3,FALSE)</f>
        <v>Paris</v>
      </c>
      <c r="K2022" s="13">
        <f>IFERROR(H2022/G2022,"")</f>
        <v>26.857142857142858</v>
      </c>
      <c r="L2022" s="14">
        <f>IFERROR(I2022/G2022,"")</f>
        <v>0.9642857142857143</v>
      </c>
      <c r="M2022" s="11" t="str">
        <f>IF(K2022&gt;=Paramètres!$F$6,"Très forte",IF(K2022&gt;=Paramètres!$F$5,"Forte",IF(K2022&gt;=Paramètres!$F$4,"Modérée","Faible")))</f>
        <v>Forte</v>
      </c>
    </row>
    <row r="2023" spans="1:13">
      <c r="A2023" t="s">
        <v>97</v>
      </c>
      <c r="B2023" s="11">
        <v>92</v>
      </c>
      <c r="C2023" t="s">
        <v>94</v>
      </c>
      <c r="D2023" t="s">
        <v>22</v>
      </c>
      <c r="E2023" t="s">
        <v>328</v>
      </c>
      <c r="F2023" t="s">
        <v>92</v>
      </c>
      <c r="G2023" s="12">
        <v>20</v>
      </c>
      <c r="H2023" s="12">
        <v>537</v>
      </c>
      <c r="I2023" s="12">
        <v>19</v>
      </c>
      <c r="J2023" t="str">
        <f>VLOOKUP(B2023,Paramètres!$A$4:$C$11,3,FALSE)</f>
        <v>Petite couronne</v>
      </c>
      <c r="K2023" s="13">
        <f>IFERROR(H2023/G2023,"")</f>
        <v>26.85</v>
      </c>
      <c r="L2023" s="14">
        <f>IFERROR(I2023/G2023,"")</f>
        <v>0.95</v>
      </c>
      <c r="M2023" s="11" t="str">
        <f>IF(K2023&gt;=Paramètres!$F$6,"Très forte",IF(K2023&gt;=Paramètres!$F$5,"Forte",IF(K2023&gt;=Paramètres!$F$4,"Modérée","Faible")))</f>
        <v>Forte</v>
      </c>
    </row>
    <row r="2024" spans="1:13">
      <c r="A2024" t="s">
        <v>97</v>
      </c>
      <c r="B2024" s="11">
        <v>92</v>
      </c>
      <c r="C2024" t="s">
        <v>94</v>
      </c>
      <c r="D2024" t="s">
        <v>22</v>
      </c>
      <c r="E2024" t="s">
        <v>659</v>
      </c>
      <c r="F2024" t="s">
        <v>92</v>
      </c>
      <c r="G2024" s="12">
        <v>105</v>
      </c>
      <c r="H2024" s="12">
        <v>2810</v>
      </c>
      <c r="I2024" s="12">
        <v>103</v>
      </c>
      <c r="J2024" t="str">
        <f>VLOOKUP(B2024,Paramètres!$A$4:$C$11,3,FALSE)</f>
        <v>Petite couronne</v>
      </c>
      <c r="K2024" s="13">
        <f>IFERROR(H2024/G2024,"")</f>
        <v>26.761904761904763</v>
      </c>
      <c r="L2024" s="14">
        <f>IFERROR(I2024/G2024,"")</f>
        <v>0.98095238095238091</v>
      </c>
      <c r="M2024" s="11" t="str">
        <f>IF(K2024&gt;=Paramètres!$F$6,"Très forte",IF(K2024&gt;=Paramètres!$F$5,"Forte",IF(K2024&gt;=Paramètres!$F$4,"Modérée","Faible")))</f>
        <v>Forte</v>
      </c>
    </row>
    <row r="2025" spans="1:13">
      <c r="A2025" t="s">
        <v>152</v>
      </c>
      <c r="B2025" s="11">
        <v>75</v>
      </c>
      <c r="C2025" t="s">
        <v>86</v>
      </c>
      <c r="D2025" t="s">
        <v>22</v>
      </c>
      <c r="E2025" t="s">
        <v>362</v>
      </c>
      <c r="F2025" t="s">
        <v>92</v>
      </c>
      <c r="G2025" s="12">
        <v>60</v>
      </c>
      <c r="H2025" s="12">
        <v>1601</v>
      </c>
      <c r="I2025" s="12">
        <v>59</v>
      </c>
      <c r="J2025" t="str">
        <f>VLOOKUP(B2025,Paramètres!$A$4:$C$11,3,FALSE)</f>
        <v>Paris</v>
      </c>
      <c r="K2025" s="13">
        <f>IFERROR(H2025/G2025,"")</f>
        <v>26.683333333333334</v>
      </c>
      <c r="L2025" s="14">
        <f>IFERROR(I2025/G2025,"")</f>
        <v>0.98333333333333328</v>
      </c>
      <c r="M2025" s="11" t="str">
        <f>IF(K2025&gt;=Paramètres!$F$6,"Très forte",IF(K2025&gt;=Paramètres!$F$5,"Forte",IF(K2025&gt;=Paramètres!$F$4,"Modérée","Faible")))</f>
        <v>Forte</v>
      </c>
    </row>
    <row r="2026" spans="1:13">
      <c r="A2026" t="s">
        <v>155</v>
      </c>
      <c r="B2026" s="11">
        <v>75</v>
      </c>
      <c r="C2026" t="s">
        <v>86</v>
      </c>
      <c r="D2026" t="s">
        <v>22</v>
      </c>
      <c r="E2026" t="s">
        <v>593</v>
      </c>
      <c r="F2026" t="s">
        <v>92</v>
      </c>
      <c r="G2026" s="12">
        <v>10</v>
      </c>
      <c r="H2026" s="12">
        <v>266</v>
      </c>
      <c r="I2026" s="12">
        <v>10</v>
      </c>
      <c r="J2026" t="str">
        <f>VLOOKUP(B2026,Paramètres!$A$4:$C$11,3,FALSE)</f>
        <v>Paris</v>
      </c>
      <c r="K2026" s="13">
        <f>IFERROR(H2026/G2026,"")</f>
        <v>26.6</v>
      </c>
      <c r="L2026" s="14">
        <f>IFERROR(I2026/G2026,"")</f>
        <v>1</v>
      </c>
      <c r="M2026" s="11" t="str">
        <f>IF(K2026&gt;=Paramètres!$F$6,"Très forte",IF(K2026&gt;=Paramètres!$F$5,"Forte",IF(K2026&gt;=Paramètres!$F$4,"Modérée","Faible")))</f>
        <v>Forte</v>
      </c>
    </row>
    <row r="2027" spans="1:13">
      <c r="A2027" t="s">
        <v>97</v>
      </c>
      <c r="B2027" s="11">
        <v>92</v>
      </c>
      <c r="C2027" t="s">
        <v>94</v>
      </c>
      <c r="D2027" t="s">
        <v>22</v>
      </c>
      <c r="E2027" t="s">
        <v>545</v>
      </c>
      <c r="F2027" t="s">
        <v>88</v>
      </c>
      <c r="G2027" s="12">
        <v>560</v>
      </c>
      <c r="H2027" s="12">
        <v>14871</v>
      </c>
      <c r="I2027" s="12">
        <v>559</v>
      </c>
      <c r="J2027" t="str">
        <f>VLOOKUP(B2027,Paramètres!$A$4:$C$11,3,FALSE)</f>
        <v>Petite couronne</v>
      </c>
      <c r="K2027" s="13">
        <f>IFERROR(H2027/G2027,"")</f>
        <v>26.555357142857144</v>
      </c>
      <c r="L2027" s="14">
        <f>IFERROR(I2027/G2027,"")</f>
        <v>0.99821428571428572</v>
      </c>
      <c r="M2027" s="11" t="str">
        <f>IF(K2027&gt;=Paramètres!$F$6,"Très forte",IF(K2027&gt;=Paramètres!$F$5,"Forte",IF(K2027&gt;=Paramètres!$F$4,"Modérée","Faible")))</f>
        <v>Forte</v>
      </c>
    </row>
    <row r="2028" spans="1:13">
      <c r="A2028" t="s">
        <v>127</v>
      </c>
      <c r="B2028" s="11">
        <v>75</v>
      </c>
      <c r="C2028" t="s">
        <v>86</v>
      </c>
      <c r="D2028" t="s">
        <v>22</v>
      </c>
      <c r="E2028" t="s">
        <v>777</v>
      </c>
      <c r="F2028" t="s">
        <v>88</v>
      </c>
      <c r="G2028" s="12">
        <v>40</v>
      </c>
      <c r="H2028" s="12">
        <v>1062</v>
      </c>
      <c r="I2028" s="12">
        <v>38</v>
      </c>
      <c r="J2028" t="str">
        <f>VLOOKUP(B2028,Paramètres!$A$4:$C$11,3,FALSE)</f>
        <v>Paris</v>
      </c>
      <c r="K2028" s="13">
        <f>IFERROR(H2028/G2028,"")</f>
        <v>26.55</v>
      </c>
      <c r="L2028" s="14">
        <f>IFERROR(I2028/G2028,"")</f>
        <v>0.95</v>
      </c>
      <c r="M2028" s="11" t="str">
        <f>IF(K2028&gt;=Paramètres!$F$6,"Très forte",IF(K2028&gt;=Paramètres!$F$5,"Forte",IF(K2028&gt;=Paramètres!$F$4,"Modérée","Faible")))</f>
        <v>Forte</v>
      </c>
    </row>
    <row r="2029" spans="1:13">
      <c r="A2029" t="s">
        <v>115</v>
      </c>
      <c r="B2029" s="11">
        <v>94</v>
      </c>
      <c r="C2029" t="s">
        <v>116</v>
      </c>
      <c r="D2029" t="s">
        <v>22</v>
      </c>
      <c r="E2029" t="s">
        <v>474</v>
      </c>
      <c r="F2029" t="s">
        <v>88</v>
      </c>
      <c r="G2029" s="12">
        <v>16</v>
      </c>
      <c r="H2029" s="12">
        <v>421</v>
      </c>
      <c r="I2029" s="12">
        <v>19</v>
      </c>
      <c r="J2029" t="str">
        <f>VLOOKUP(B2029,Paramètres!$A$4:$C$11,3,FALSE)</f>
        <v>Petite couronne</v>
      </c>
      <c r="K2029" s="13">
        <f>IFERROR(H2029/G2029,"")</f>
        <v>26.3125</v>
      </c>
      <c r="L2029" s="14">
        <f>IFERROR(I2029/G2029,"")</f>
        <v>1.1875</v>
      </c>
      <c r="M2029" s="11" t="str">
        <f>IF(K2029&gt;=Paramètres!$F$6,"Très forte",IF(K2029&gt;=Paramètres!$F$5,"Forte",IF(K2029&gt;=Paramètres!$F$4,"Modérée","Faible")))</f>
        <v>Forte</v>
      </c>
    </row>
    <row r="2030" spans="1:13">
      <c r="A2030" t="s">
        <v>127</v>
      </c>
      <c r="B2030" s="11">
        <v>75</v>
      </c>
      <c r="C2030" t="s">
        <v>86</v>
      </c>
      <c r="D2030" t="s">
        <v>22</v>
      </c>
      <c r="E2030" t="s">
        <v>413</v>
      </c>
      <c r="F2030" t="s">
        <v>88</v>
      </c>
      <c r="G2030" s="12">
        <v>18</v>
      </c>
      <c r="H2030" s="12">
        <v>473</v>
      </c>
      <c r="I2030" s="12">
        <v>18</v>
      </c>
      <c r="J2030" t="str">
        <f>VLOOKUP(B2030,Paramètres!$A$4:$C$11,3,FALSE)</f>
        <v>Paris</v>
      </c>
      <c r="K2030" s="13">
        <f>IFERROR(H2030/G2030,"")</f>
        <v>26.277777777777779</v>
      </c>
      <c r="L2030" s="14">
        <f>IFERROR(I2030/G2030,"")</f>
        <v>1</v>
      </c>
      <c r="M2030" s="11" t="str">
        <f>IF(K2030&gt;=Paramètres!$F$6,"Très forte",IF(K2030&gt;=Paramètres!$F$5,"Forte",IF(K2030&gt;=Paramètres!$F$4,"Modérée","Faible")))</f>
        <v>Forte</v>
      </c>
    </row>
    <row r="2031" spans="1:13">
      <c r="A2031" t="s">
        <v>131</v>
      </c>
      <c r="B2031" s="11">
        <v>77</v>
      </c>
      <c r="C2031" t="s">
        <v>132</v>
      </c>
      <c r="D2031" t="s">
        <v>22</v>
      </c>
      <c r="E2031" t="s">
        <v>694</v>
      </c>
      <c r="F2031" t="s">
        <v>92</v>
      </c>
      <c r="G2031" s="12">
        <v>15</v>
      </c>
      <c r="H2031" s="12">
        <v>394</v>
      </c>
      <c r="I2031" s="12">
        <v>15</v>
      </c>
      <c r="J2031" t="str">
        <f>VLOOKUP(B2031,Paramètres!$A$4:$C$11,3,FALSE)</f>
        <v>Grande couronne</v>
      </c>
      <c r="K2031" s="13">
        <f>IFERROR(H2031/G2031,"")</f>
        <v>26.266666666666666</v>
      </c>
      <c r="L2031" s="14">
        <f>IFERROR(I2031/G2031,"")</f>
        <v>1</v>
      </c>
      <c r="M2031" s="11" t="str">
        <f>IF(K2031&gt;=Paramètres!$F$6,"Très forte",IF(K2031&gt;=Paramètres!$F$5,"Forte",IF(K2031&gt;=Paramètres!$F$4,"Modérée","Faible")))</f>
        <v>Forte</v>
      </c>
    </row>
    <row r="2032" spans="1:13">
      <c r="A2032" t="s">
        <v>110</v>
      </c>
      <c r="B2032" s="11">
        <v>75</v>
      </c>
      <c r="C2032" t="s">
        <v>86</v>
      </c>
      <c r="D2032" t="s">
        <v>22</v>
      </c>
      <c r="E2032" t="s">
        <v>177</v>
      </c>
      <c r="F2032" t="s">
        <v>88</v>
      </c>
      <c r="G2032" s="12">
        <v>567</v>
      </c>
      <c r="H2032" s="12">
        <v>14879</v>
      </c>
      <c r="I2032" s="12">
        <v>564</v>
      </c>
      <c r="J2032" t="str">
        <f>VLOOKUP(B2032,Paramètres!$A$4:$C$11,3,FALSE)</f>
        <v>Paris</v>
      </c>
      <c r="K2032" s="13">
        <f>IFERROR(H2032/G2032,"")</f>
        <v>26.241622574955908</v>
      </c>
      <c r="L2032" s="14">
        <f>IFERROR(I2032/G2032,"")</f>
        <v>0.99470899470899465</v>
      </c>
      <c r="M2032" s="11" t="str">
        <f>IF(K2032&gt;=Paramètres!$F$6,"Très forte",IF(K2032&gt;=Paramètres!$F$5,"Forte",IF(K2032&gt;=Paramètres!$F$4,"Modérée","Faible")))</f>
        <v>Forte</v>
      </c>
    </row>
    <row r="2033" spans="1:13">
      <c r="A2033" t="s">
        <v>155</v>
      </c>
      <c r="B2033" s="11">
        <v>75</v>
      </c>
      <c r="C2033" t="s">
        <v>86</v>
      </c>
      <c r="D2033" t="s">
        <v>22</v>
      </c>
      <c r="E2033" t="s">
        <v>724</v>
      </c>
      <c r="F2033" t="s">
        <v>92</v>
      </c>
      <c r="G2033" s="12">
        <v>75</v>
      </c>
      <c r="H2033" s="12">
        <v>1961</v>
      </c>
      <c r="I2033" s="12">
        <v>74</v>
      </c>
      <c r="J2033" t="str">
        <f>VLOOKUP(B2033,Paramètres!$A$4:$C$11,3,FALSE)</f>
        <v>Paris</v>
      </c>
      <c r="K2033" s="13">
        <f>IFERROR(H2033/G2033,"")</f>
        <v>26.146666666666668</v>
      </c>
      <c r="L2033" s="14">
        <f>IFERROR(I2033/G2033,"")</f>
        <v>0.98666666666666669</v>
      </c>
      <c r="M2033" s="11" t="str">
        <f>IF(K2033&gt;=Paramètres!$F$6,"Très forte",IF(K2033&gt;=Paramètres!$F$5,"Forte",IF(K2033&gt;=Paramètres!$F$4,"Modérée","Faible")))</f>
        <v>Forte</v>
      </c>
    </row>
    <row r="2034" spans="1:13">
      <c r="A2034" t="s">
        <v>127</v>
      </c>
      <c r="B2034" s="11">
        <v>75</v>
      </c>
      <c r="C2034" t="s">
        <v>86</v>
      </c>
      <c r="D2034" t="s">
        <v>22</v>
      </c>
      <c r="E2034" t="s">
        <v>585</v>
      </c>
      <c r="F2034" t="s">
        <v>92</v>
      </c>
      <c r="G2034" s="12">
        <v>10</v>
      </c>
      <c r="H2034" s="12">
        <v>261</v>
      </c>
      <c r="I2034" s="12">
        <v>10</v>
      </c>
      <c r="J2034" t="str">
        <f>VLOOKUP(B2034,Paramètres!$A$4:$C$11,3,FALSE)</f>
        <v>Paris</v>
      </c>
      <c r="K2034" s="13">
        <f>IFERROR(H2034/G2034,"")</f>
        <v>26.1</v>
      </c>
      <c r="L2034" s="14">
        <f>IFERROR(I2034/G2034,"")</f>
        <v>1</v>
      </c>
      <c r="M2034" s="11" t="str">
        <f>IF(K2034&gt;=Paramètres!$F$6,"Très forte",IF(K2034&gt;=Paramètres!$F$5,"Forte",IF(K2034&gt;=Paramètres!$F$4,"Modérée","Faible")))</f>
        <v>Forte</v>
      </c>
    </row>
    <row r="2035" spans="1:13">
      <c r="A2035" t="s">
        <v>97</v>
      </c>
      <c r="B2035" s="11">
        <v>92</v>
      </c>
      <c r="C2035" t="s">
        <v>94</v>
      </c>
      <c r="D2035" t="s">
        <v>22</v>
      </c>
      <c r="E2035" t="s">
        <v>324</v>
      </c>
      <c r="F2035" t="s">
        <v>92</v>
      </c>
      <c r="G2035" s="12">
        <v>15</v>
      </c>
      <c r="H2035" s="12">
        <v>391</v>
      </c>
      <c r="I2035" s="12">
        <v>15</v>
      </c>
      <c r="J2035" t="str">
        <f>VLOOKUP(B2035,Paramètres!$A$4:$C$11,3,FALSE)</f>
        <v>Petite couronne</v>
      </c>
      <c r="K2035" s="13">
        <f>IFERROR(H2035/G2035,"")</f>
        <v>26.066666666666666</v>
      </c>
      <c r="L2035" s="14">
        <f>IFERROR(I2035/G2035,"")</f>
        <v>1</v>
      </c>
      <c r="M2035" s="11" t="str">
        <f>IF(K2035&gt;=Paramètres!$F$6,"Très forte",IF(K2035&gt;=Paramètres!$F$5,"Forte",IF(K2035&gt;=Paramètres!$F$4,"Modérée","Faible")))</f>
        <v>Forte</v>
      </c>
    </row>
    <row r="2036" spans="1:13">
      <c r="A2036" t="s">
        <v>152</v>
      </c>
      <c r="B2036" s="11">
        <v>75</v>
      </c>
      <c r="C2036" t="s">
        <v>86</v>
      </c>
      <c r="D2036" t="s">
        <v>22</v>
      </c>
      <c r="E2036" t="s">
        <v>164</v>
      </c>
      <c r="F2036" t="s">
        <v>88</v>
      </c>
      <c r="G2036" s="12">
        <v>745</v>
      </c>
      <c r="H2036" s="12">
        <v>19404</v>
      </c>
      <c r="I2036" s="12">
        <v>747</v>
      </c>
      <c r="J2036" t="str">
        <f>VLOOKUP(B2036,Paramètres!$A$4:$C$11,3,FALSE)</f>
        <v>Paris</v>
      </c>
      <c r="K2036" s="13">
        <f>IFERROR(H2036/G2036,"")</f>
        <v>26.045637583892617</v>
      </c>
      <c r="L2036" s="14">
        <f>IFERROR(I2036/G2036,"")</f>
        <v>1.0026845637583892</v>
      </c>
      <c r="M2036" s="11" t="str">
        <f>IF(K2036&gt;=Paramètres!$F$6,"Très forte",IF(K2036&gt;=Paramètres!$F$5,"Forte",IF(K2036&gt;=Paramètres!$F$4,"Modérée","Faible")))</f>
        <v>Forte</v>
      </c>
    </row>
    <row r="2037" spans="1:13">
      <c r="A2037" t="s">
        <v>119</v>
      </c>
      <c r="B2037" s="11">
        <v>75</v>
      </c>
      <c r="C2037" t="s">
        <v>86</v>
      </c>
      <c r="D2037" t="s">
        <v>22</v>
      </c>
      <c r="E2037" t="s">
        <v>175</v>
      </c>
      <c r="F2037" t="s">
        <v>92</v>
      </c>
      <c r="G2037" s="12">
        <v>30</v>
      </c>
      <c r="H2037" s="12">
        <v>781</v>
      </c>
      <c r="I2037" s="12">
        <v>30</v>
      </c>
      <c r="J2037" t="str">
        <f>VLOOKUP(B2037,Paramètres!$A$4:$C$11,3,FALSE)</f>
        <v>Paris</v>
      </c>
      <c r="K2037" s="13">
        <f>IFERROR(H2037/G2037,"")</f>
        <v>26.033333333333335</v>
      </c>
      <c r="L2037" s="14">
        <f>IFERROR(I2037/G2037,"")</f>
        <v>1</v>
      </c>
      <c r="M2037" s="11" t="str">
        <f>IF(K2037&gt;=Paramètres!$F$6,"Très forte",IF(K2037&gt;=Paramètres!$F$5,"Forte",IF(K2037&gt;=Paramètres!$F$4,"Modérée","Faible")))</f>
        <v>Forte</v>
      </c>
    </row>
    <row r="2038" spans="1:13">
      <c r="A2038" t="s">
        <v>152</v>
      </c>
      <c r="B2038" s="11">
        <v>75</v>
      </c>
      <c r="C2038" t="s">
        <v>86</v>
      </c>
      <c r="D2038" t="s">
        <v>22</v>
      </c>
      <c r="E2038" t="s">
        <v>453</v>
      </c>
      <c r="F2038" t="s">
        <v>92</v>
      </c>
      <c r="G2038" s="12">
        <v>30</v>
      </c>
      <c r="H2038" s="12">
        <v>776</v>
      </c>
      <c r="I2038" s="12">
        <v>31</v>
      </c>
      <c r="J2038" t="str">
        <f>VLOOKUP(B2038,Paramètres!$A$4:$C$11,3,FALSE)</f>
        <v>Paris</v>
      </c>
      <c r="K2038" s="13">
        <f>IFERROR(H2038/G2038,"")</f>
        <v>25.866666666666667</v>
      </c>
      <c r="L2038" s="14">
        <f>IFERROR(I2038/G2038,"")</f>
        <v>1.0333333333333334</v>
      </c>
      <c r="M2038" s="11" t="str">
        <f>IF(K2038&gt;=Paramètres!$F$6,"Très forte",IF(K2038&gt;=Paramètres!$F$5,"Forte",IF(K2038&gt;=Paramètres!$F$4,"Modérée","Faible")))</f>
        <v>Forte</v>
      </c>
    </row>
    <row r="2039" spans="1:13">
      <c r="A2039" t="s">
        <v>119</v>
      </c>
      <c r="B2039" s="11">
        <v>75</v>
      </c>
      <c r="C2039" t="s">
        <v>86</v>
      </c>
      <c r="D2039" t="s">
        <v>22</v>
      </c>
      <c r="E2039" t="s">
        <v>215</v>
      </c>
      <c r="F2039" t="s">
        <v>92</v>
      </c>
      <c r="G2039" s="12">
        <v>40</v>
      </c>
      <c r="H2039" s="12">
        <v>1026</v>
      </c>
      <c r="I2039" s="12">
        <v>38</v>
      </c>
      <c r="J2039" t="str">
        <f>VLOOKUP(B2039,Paramètres!$A$4:$C$11,3,FALSE)</f>
        <v>Paris</v>
      </c>
      <c r="K2039" s="13">
        <f>IFERROR(H2039/G2039,"")</f>
        <v>25.65</v>
      </c>
      <c r="L2039" s="14">
        <f>IFERROR(I2039/G2039,"")</f>
        <v>0.95</v>
      </c>
      <c r="M2039" s="11" t="str">
        <f>IF(K2039&gt;=Paramètres!$F$6,"Très forte",IF(K2039&gt;=Paramètres!$F$5,"Forte",IF(K2039&gt;=Paramètres!$F$4,"Modérée","Faible")))</f>
        <v>Forte</v>
      </c>
    </row>
    <row r="2040" spans="1:13">
      <c r="A2040" t="s">
        <v>152</v>
      </c>
      <c r="B2040" s="11">
        <v>75</v>
      </c>
      <c r="C2040" t="s">
        <v>86</v>
      </c>
      <c r="D2040" t="s">
        <v>22</v>
      </c>
      <c r="E2040" t="s">
        <v>300</v>
      </c>
      <c r="F2040" t="s">
        <v>92</v>
      </c>
      <c r="G2040" s="12">
        <v>30</v>
      </c>
      <c r="H2040" s="12">
        <v>768</v>
      </c>
      <c r="I2040" s="12">
        <v>28</v>
      </c>
      <c r="J2040" t="str">
        <f>VLOOKUP(B2040,Paramètres!$A$4:$C$11,3,FALSE)</f>
        <v>Paris</v>
      </c>
      <c r="K2040" s="13">
        <f>IFERROR(H2040/G2040,"")</f>
        <v>25.6</v>
      </c>
      <c r="L2040" s="14">
        <f>IFERROR(I2040/G2040,"")</f>
        <v>0.93333333333333335</v>
      </c>
      <c r="M2040" s="11" t="str">
        <f>IF(K2040&gt;=Paramètres!$F$6,"Très forte",IF(K2040&gt;=Paramètres!$F$5,"Forte",IF(K2040&gt;=Paramètres!$F$4,"Modérée","Faible")))</f>
        <v>Forte</v>
      </c>
    </row>
    <row r="2041" spans="1:13">
      <c r="A2041" t="s">
        <v>115</v>
      </c>
      <c r="B2041" s="11">
        <v>94</v>
      </c>
      <c r="C2041" t="s">
        <v>116</v>
      </c>
      <c r="D2041" t="s">
        <v>22</v>
      </c>
      <c r="E2041" t="s">
        <v>434</v>
      </c>
      <c r="F2041" t="s">
        <v>92</v>
      </c>
      <c r="G2041" s="12">
        <v>5</v>
      </c>
      <c r="H2041" s="12">
        <v>128</v>
      </c>
      <c r="I2041" s="12">
        <v>4</v>
      </c>
      <c r="J2041" t="str">
        <f>VLOOKUP(B2041,Paramètres!$A$4:$C$11,3,FALSE)</f>
        <v>Petite couronne</v>
      </c>
      <c r="K2041" s="13">
        <f>IFERROR(H2041/G2041,"")</f>
        <v>25.6</v>
      </c>
      <c r="L2041" s="14">
        <f>IFERROR(I2041/G2041,"")</f>
        <v>0.8</v>
      </c>
      <c r="M2041" s="11" t="str">
        <f>IF(K2041&gt;=Paramètres!$F$6,"Très forte",IF(K2041&gt;=Paramètres!$F$5,"Forte",IF(K2041&gt;=Paramètres!$F$4,"Modérée","Faible")))</f>
        <v>Forte</v>
      </c>
    </row>
    <row r="2042" spans="1:13">
      <c r="A2042" t="s">
        <v>97</v>
      </c>
      <c r="B2042" s="11">
        <v>92</v>
      </c>
      <c r="C2042" t="s">
        <v>94</v>
      </c>
      <c r="D2042" t="s">
        <v>22</v>
      </c>
      <c r="E2042" t="s">
        <v>323</v>
      </c>
      <c r="F2042" t="s">
        <v>92</v>
      </c>
      <c r="G2042" s="12">
        <v>15</v>
      </c>
      <c r="H2042" s="12">
        <v>382</v>
      </c>
      <c r="I2042" s="12">
        <v>15</v>
      </c>
      <c r="J2042" t="str">
        <f>VLOOKUP(B2042,Paramètres!$A$4:$C$11,3,FALSE)</f>
        <v>Petite couronne</v>
      </c>
      <c r="K2042" s="13">
        <f>IFERROR(H2042/G2042,"")</f>
        <v>25.466666666666665</v>
      </c>
      <c r="L2042" s="14">
        <f>IFERROR(I2042/G2042,"")</f>
        <v>1</v>
      </c>
      <c r="M2042" s="11" t="str">
        <f>IF(K2042&gt;=Paramètres!$F$6,"Très forte",IF(K2042&gt;=Paramètres!$F$5,"Forte",IF(K2042&gt;=Paramètres!$F$4,"Modérée","Faible")))</f>
        <v>Forte</v>
      </c>
    </row>
    <row r="2043" spans="1:13">
      <c r="A2043" t="s">
        <v>110</v>
      </c>
      <c r="B2043" s="11">
        <v>75</v>
      </c>
      <c r="C2043" t="s">
        <v>86</v>
      </c>
      <c r="D2043" t="s">
        <v>22</v>
      </c>
      <c r="E2043" t="s">
        <v>133</v>
      </c>
      <c r="F2043" t="s">
        <v>88</v>
      </c>
      <c r="G2043" s="12">
        <v>270</v>
      </c>
      <c r="H2043" s="12">
        <v>6849</v>
      </c>
      <c r="I2043" s="12">
        <v>268</v>
      </c>
      <c r="J2043" t="str">
        <f>VLOOKUP(B2043,Paramètres!$A$4:$C$11,3,FALSE)</f>
        <v>Paris</v>
      </c>
      <c r="K2043" s="13">
        <f>IFERROR(H2043/G2043,"")</f>
        <v>25.366666666666667</v>
      </c>
      <c r="L2043" s="14">
        <f>IFERROR(I2043/G2043,"")</f>
        <v>0.99259259259259258</v>
      </c>
      <c r="M2043" s="11" t="str">
        <f>IF(K2043&gt;=Paramètres!$F$6,"Très forte",IF(K2043&gt;=Paramètres!$F$5,"Forte",IF(K2043&gt;=Paramètres!$F$4,"Modérée","Faible")))</f>
        <v>Forte</v>
      </c>
    </row>
    <row r="2044" spans="1:13">
      <c r="A2044" t="s">
        <v>119</v>
      </c>
      <c r="B2044" s="11">
        <v>75</v>
      </c>
      <c r="C2044" t="s">
        <v>86</v>
      </c>
      <c r="D2044" t="s">
        <v>22</v>
      </c>
      <c r="E2044" t="s">
        <v>567</v>
      </c>
      <c r="F2044" t="s">
        <v>92</v>
      </c>
      <c r="G2044" s="12">
        <v>70</v>
      </c>
      <c r="H2044" s="12">
        <v>1775</v>
      </c>
      <c r="I2044" s="12">
        <v>68</v>
      </c>
      <c r="J2044" t="str">
        <f>VLOOKUP(B2044,Paramètres!$A$4:$C$11,3,FALSE)</f>
        <v>Paris</v>
      </c>
      <c r="K2044" s="13">
        <f>IFERROR(H2044/G2044,"")</f>
        <v>25.357142857142858</v>
      </c>
      <c r="L2044" s="14">
        <f>IFERROR(I2044/G2044,"")</f>
        <v>0.97142857142857142</v>
      </c>
      <c r="M2044" s="11" t="str">
        <f>IF(K2044&gt;=Paramètres!$F$6,"Très forte",IF(K2044&gt;=Paramètres!$F$5,"Forte",IF(K2044&gt;=Paramètres!$F$4,"Modérée","Faible")))</f>
        <v>Forte</v>
      </c>
    </row>
    <row r="2045" spans="1:13">
      <c r="A2045" t="s">
        <v>110</v>
      </c>
      <c r="B2045" s="11">
        <v>75</v>
      </c>
      <c r="C2045" t="s">
        <v>86</v>
      </c>
      <c r="D2045" t="s">
        <v>22</v>
      </c>
      <c r="E2045" t="s">
        <v>137</v>
      </c>
      <c r="F2045" t="s">
        <v>88</v>
      </c>
      <c r="G2045" s="12">
        <v>620</v>
      </c>
      <c r="H2045" s="12">
        <v>15677</v>
      </c>
      <c r="I2045" s="12">
        <v>618</v>
      </c>
      <c r="J2045" t="str">
        <f>VLOOKUP(B2045,Paramètres!$A$4:$C$11,3,FALSE)</f>
        <v>Paris</v>
      </c>
      <c r="K2045" s="13">
        <f>IFERROR(H2045/G2045,"")</f>
        <v>25.285483870967742</v>
      </c>
      <c r="L2045" s="14">
        <f>IFERROR(I2045/G2045,"")</f>
        <v>0.99677419354838714</v>
      </c>
      <c r="M2045" s="11" t="str">
        <f>IF(K2045&gt;=Paramètres!$F$6,"Très forte",IF(K2045&gt;=Paramètres!$F$5,"Forte",IF(K2045&gt;=Paramètres!$F$4,"Modérée","Faible")))</f>
        <v>Forte</v>
      </c>
    </row>
    <row r="2046" spans="1:13">
      <c r="A2046" t="s">
        <v>378</v>
      </c>
      <c r="B2046" s="11">
        <v>75</v>
      </c>
      <c r="C2046" t="s">
        <v>86</v>
      </c>
      <c r="D2046" t="s">
        <v>22</v>
      </c>
      <c r="E2046" t="s">
        <v>617</v>
      </c>
      <c r="F2046" t="s">
        <v>92</v>
      </c>
      <c r="G2046" s="12">
        <v>25</v>
      </c>
      <c r="H2046" s="12">
        <v>631</v>
      </c>
      <c r="I2046" s="12">
        <v>24</v>
      </c>
      <c r="J2046" t="str">
        <f>VLOOKUP(B2046,Paramètres!$A$4:$C$11,3,FALSE)</f>
        <v>Paris</v>
      </c>
      <c r="K2046" s="13">
        <f>IFERROR(H2046/G2046,"")</f>
        <v>25.24</v>
      </c>
      <c r="L2046" s="14">
        <f>IFERROR(I2046/G2046,"")</f>
        <v>0.96</v>
      </c>
      <c r="M2046" s="11" t="str">
        <f>IF(K2046&gt;=Paramètres!$F$6,"Très forte",IF(K2046&gt;=Paramètres!$F$5,"Forte",IF(K2046&gt;=Paramètres!$F$4,"Modérée","Faible")))</f>
        <v>Forte</v>
      </c>
    </row>
    <row r="2047" spans="1:13">
      <c r="A2047" t="s">
        <v>110</v>
      </c>
      <c r="B2047" s="11">
        <v>75</v>
      </c>
      <c r="C2047" t="s">
        <v>86</v>
      </c>
      <c r="D2047" t="s">
        <v>22</v>
      </c>
      <c r="E2047" t="s">
        <v>520</v>
      </c>
      <c r="F2047" t="s">
        <v>92</v>
      </c>
      <c r="G2047" s="12">
        <v>10</v>
      </c>
      <c r="H2047" s="12">
        <v>249</v>
      </c>
      <c r="I2047" s="12">
        <v>10</v>
      </c>
      <c r="J2047" t="str">
        <f>VLOOKUP(B2047,Paramètres!$A$4:$C$11,3,FALSE)</f>
        <v>Paris</v>
      </c>
      <c r="K2047" s="13">
        <f>IFERROR(H2047/G2047,"")</f>
        <v>24.9</v>
      </c>
      <c r="L2047" s="14">
        <f>IFERROR(I2047/G2047,"")</f>
        <v>1</v>
      </c>
      <c r="M2047" s="11" t="str">
        <f>IF(K2047&gt;=Paramètres!$F$6,"Très forte",IF(K2047&gt;=Paramètres!$F$5,"Forte",IF(K2047&gt;=Paramètres!$F$4,"Modérée","Faible")))</f>
        <v>Forte</v>
      </c>
    </row>
    <row r="2048" spans="1:13">
      <c r="A2048" t="s">
        <v>152</v>
      </c>
      <c r="B2048" s="11">
        <v>75</v>
      </c>
      <c r="C2048" t="s">
        <v>86</v>
      </c>
      <c r="D2048" t="s">
        <v>22</v>
      </c>
      <c r="E2048" t="s">
        <v>253</v>
      </c>
      <c r="F2048" t="s">
        <v>88</v>
      </c>
      <c r="G2048" s="12">
        <v>379</v>
      </c>
      <c r="H2048" s="12">
        <v>9413</v>
      </c>
      <c r="I2048" s="12">
        <v>381</v>
      </c>
      <c r="J2048" t="str">
        <f>VLOOKUP(B2048,Paramètres!$A$4:$C$11,3,FALSE)</f>
        <v>Paris</v>
      </c>
      <c r="K2048" s="13">
        <f>IFERROR(H2048/G2048,"")</f>
        <v>24.836411609498679</v>
      </c>
      <c r="L2048" s="14">
        <f>IFERROR(I2048/G2048,"")</f>
        <v>1.0052770448548813</v>
      </c>
      <c r="M2048" s="11" t="str">
        <f>IF(K2048&gt;=Paramètres!$F$6,"Très forte",IF(K2048&gt;=Paramètres!$F$5,"Forte",IF(K2048&gt;=Paramètres!$F$4,"Modérée","Faible")))</f>
        <v>Forte</v>
      </c>
    </row>
    <row r="2049" spans="1:13">
      <c r="A2049" t="s">
        <v>127</v>
      </c>
      <c r="B2049" s="11">
        <v>75</v>
      </c>
      <c r="C2049" t="s">
        <v>86</v>
      </c>
      <c r="D2049" t="s">
        <v>22</v>
      </c>
      <c r="E2049" t="s">
        <v>231</v>
      </c>
      <c r="F2049" t="s">
        <v>88</v>
      </c>
      <c r="G2049" s="12">
        <v>8</v>
      </c>
      <c r="H2049" s="12">
        <v>198</v>
      </c>
      <c r="I2049" s="12">
        <v>8</v>
      </c>
      <c r="J2049" t="str">
        <f>VLOOKUP(B2049,Paramètres!$A$4:$C$11,3,FALSE)</f>
        <v>Paris</v>
      </c>
      <c r="K2049" s="13">
        <f>IFERROR(H2049/G2049,"")</f>
        <v>24.75</v>
      </c>
      <c r="L2049" s="14">
        <f>IFERROR(I2049/G2049,"")</f>
        <v>1</v>
      </c>
      <c r="M2049" s="11" t="str">
        <f>IF(K2049&gt;=Paramètres!$F$6,"Très forte",IF(K2049&gt;=Paramètres!$F$5,"Forte",IF(K2049&gt;=Paramètres!$F$4,"Modérée","Faible")))</f>
        <v>Forte</v>
      </c>
    </row>
    <row r="2050" spans="1:13">
      <c r="A2050" t="s">
        <v>127</v>
      </c>
      <c r="B2050" s="11">
        <v>75</v>
      </c>
      <c r="C2050" t="s">
        <v>86</v>
      </c>
      <c r="D2050" t="s">
        <v>22</v>
      </c>
      <c r="E2050" t="s">
        <v>414</v>
      </c>
      <c r="F2050" t="s">
        <v>88</v>
      </c>
      <c r="G2050" s="12">
        <v>30</v>
      </c>
      <c r="H2050" s="12">
        <v>740</v>
      </c>
      <c r="I2050" s="12">
        <v>30</v>
      </c>
      <c r="J2050" t="str">
        <f>VLOOKUP(B2050,Paramètres!$A$4:$C$11,3,FALSE)</f>
        <v>Paris</v>
      </c>
      <c r="K2050" s="13">
        <f>IFERROR(H2050/G2050,"")</f>
        <v>24.666666666666668</v>
      </c>
      <c r="L2050" s="14">
        <f>IFERROR(I2050/G2050,"")</f>
        <v>1</v>
      </c>
      <c r="M2050" s="11" t="str">
        <f>IF(K2050&gt;=Paramètres!$F$6,"Très forte",IF(K2050&gt;=Paramètres!$F$5,"Forte",IF(K2050&gt;=Paramètres!$F$4,"Modérée","Faible")))</f>
        <v>Forte</v>
      </c>
    </row>
    <row r="2051" spans="1:13">
      <c r="A2051" t="s">
        <v>152</v>
      </c>
      <c r="B2051" s="11">
        <v>75</v>
      </c>
      <c r="C2051" t="s">
        <v>86</v>
      </c>
      <c r="D2051" t="s">
        <v>22</v>
      </c>
      <c r="E2051" t="s">
        <v>771</v>
      </c>
      <c r="F2051" t="s">
        <v>92</v>
      </c>
      <c r="G2051" s="12">
        <v>60</v>
      </c>
      <c r="H2051" s="12">
        <v>1467</v>
      </c>
      <c r="I2051" s="12">
        <v>60</v>
      </c>
      <c r="J2051" t="str">
        <f>VLOOKUP(B2051,Paramètres!$A$4:$C$11,3,FALSE)</f>
        <v>Paris</v>
      </c>
      <c r="K2051" s="13">
        <f>IFERROR(H2051/G2051,"")</f>
        <v>24.45</v>
      </c>
      <c r="L2051" s="14">
        <f>IFERROR(I2051/G2051,"")</f>
        <v>1</v>
      </c>
      <c r="M2051" s="11" t="str">
        <f>IF(K2051&gt;=Paramètres!$F$6,"Très forte",IF(K2051&gt;=Paramètres!$F$5,"Forte",IF(K2051&gt;=Paramètres!$F$4,"Modérée","Faible")))</f>
        <v>Forte</v>
      </c>
    </row>
    <row r="2052" spans="1:13">
      <c r="A2052" t="s">
        <v>110</v>
      </c>
      <c r="B2052" s="11">
        <v>75</v>
      </c>
      <c r="C2052" t="s">
        <v>86</v>
      </c>
      <c r="D2052" t="s">
        <v>22</v>
      </c>
      <c r="E2052" t="s">
        <v>296</v>
      </c>
      <c r="F2052" t="s">
        <v>88</v>
      </c>
      <c r="G2052" s="12">
        <v>100</v>
      </c>
      <c r="H2052" s="12">
        <v>2439</v>
      </c>
      <c r="I2052" s="12">
        <v>99</v>
      </c>
      <c r="J2052" t="str">
        <f>VLOOKUP(B2052,Paramètres!$A$4:$C$11,3,FALSE)</f>
        <v>Paris</v>
      </c>
      <c r="K2052" s="13">
        <f>IFERROR(H2052/G2052,"")</f>
        <v>24.39</v>
      </c>
      <c r="L2052" s="14">
        <f>IFERROR(I2052/G2052,"")</f>
        <v>0.99</v>
      </c>
      <c r="M2052" s="11" t="str">
        <f>IF(K2052&gt;=Paramètres!$F$6,"Très forte",IF(K2052&gt;=Paramètres!$F$5,"Forte",IF(K2052&gt;=Paramètres!$F$4,"Modérée","Faible")))</f>
        <v>Forte</v>
      </c>
    </row>
    <row r="2053" spans="1:13">
      <c r="A2053" t="s">
        <v>144</v>
      </c>
      <c r="B2053" s="11">
        <v>95</v>
      </c>
      <c r="C2053" t="s">
        <v>90</v>
      </c>
      <c r="D2053" t="s">
        <v>22</v>
      </c>
      <c r="E2053" t="s">
        <v>495</v>
      </c>
      <c r="F2053" t="s">
        <v>92</v>
      </c>
      <c r="G2053" s="12">
        <v>36</v>
      </c>
      <c r="H2053" s="12">
        <v>874</v>
      </c>
      <c r="I2053" s="12">
        <v>35</v>
      </c>
      <c r="J2053" t="str">
        <f>VLOOKUP(B2053,Paramètres!$A$4:$C$11,3,FALSE)</f>
        <v>Grande couronne</v>
      </c>
      <c r="K2053" s="13">
        <f>IFERROR(H2053/G2053,"")</f>
        <v>24.277777777777779</v>
      </c>
      <c r="L2053" s="14">
        <f>IFERROR(I2053/G2053,"")</f>
        <v>0.97222222222222221</v>
      </c>
      <c r="M2053" s="11" t="str">
        <f>IF(K2053&gt;=Paramètres!$F$6,"Très forte",IF(K2053&gt;=Paramètres!$F$5,"Forte",IF(K2053&gt;=Paramètres!$F$4,"Modérée","Faible")))</f>
        <v>Forte</v>
      </c>
    </row>
    <row r="2054" spans="1:13">
      <c r="A2054" t="s">
        <v>97</v>
      </c>
      <c r="B2054" s="11">
        <v>92</v>
      </c>
      <c r="C2054" t="s">
        <v>94</v>
      </c>
      <c r="D2054" t="s">
        <v>22</v>
      </c>
      <c r="E2054" t="s">
        <v>643</v>
      </c>
      <c r="F2054" t="s">
        <v>88</v>
      </c>
      <c r="G2054" s="12">
        <v>21</v>
      </c>
      <c r="H2054" s="12">
        <v>505</v>
      </c>
      <c r="I2054" s="12">
        <v>21</v>
      </c>
      <c r="J2054" t="str">
        <f>VLOOKUP(B2054,Paramètres!$A$4:$C$11,3,FALSE)</f>
        <v>Petite couronne</v>
      </c>
      <c r="K2054" s="13">
        <f>IFERROR(H2054/G2054,"")</f>
        <v>24.047619047619047</v>
      </c>
      <c r="L2054" s="14">
        <f>IFERROR(I2054/G2054,"")</f>
        <v>1</v>
      </c>
      <c r="M2054" s="11" t="str">
        <f>IF(K2054&gt;=Paramètres!$F$6,"Très forte",IF(K2054&gt;=Paramètres!$F$5,"Forte",IF(K2054&gt;=Paramètres!$F$4,"Modérée","Faible")))</f>
        <v>Forte</v>
      </c>
    </row>
    <row r="2055" spans="1:13">
      <c r="A2055" t="s">
        <v>119</v>
      </c>
      <c r="B2055" s="11">
        <v>75</v>
      </c>
      <c r="C2055" t="s">
        <v>86</v>
      </c>
      <c r="D2055" t="s">
        <v>22</v>
      </c>
      <c r="E2055" t="s">
        <v>670</v>
      </c>
      <c r="F2055" t="s">
        <v>92</v>
      </c>
      <c r="G2055" s="12">
        <v>15</v>
      </c>
      <c r="H2055" s="12">
        <v>354</v>
      </c>
      <c r="I2055" s="12">
        <v>14</v>
      </c>
      <c r="J2055" t="str">
        <f>VLOOKUP(B2055,Paramètres!$A$4:$C$11,3,FALSE)</f>
        <v>Paris</v>
      </c>
      <c r="K2055" s="13">
        <f>IFERROR(H2055/G2055,"")</f>
        <v>23.6</v>
      </c>
      <c r="L2055" s="14">
        <f>IFERROR(I2055/G2055,"")</f>
        <v>0.93333333333333335</v>
      </c>
      <c r="M2055" s="11" t="str">
        <f>IF(K2055&gt;=Paramètres!$F$6,"Très forte",IF(K2055&gt;=Paramètres!$F$5,"Forte",IF(K2055&gt;=Paramètres!$F$4,"Modérée","Faible")))</f>
        <v>Forte</v>
      </c>
    </row>
    <row r="2056" spans="1:13">
      <c r="A2056" t="s">
        <v>127</v>
      </c>
      <c r="B2056" s="11">
        <v>75</v>
      </c>
      <c r="C2056" t="s">
        <v>86</v>
      </c>
      <c r="D2056" t="s">
        <v>22</v>
      </c>
      <c r="E2056" t="s">
        <v>498</v>
      </c>
      <c r="F2056" t="s">
        <v>88</v>
      </c>
      <c r="G2056" s="12">
        <v>30</v>
      </c>
      <c r="H2056" s="12">
        <v>705</v>
      </c>
      <c r="I2056" s="12">
        <v>30</v>
      </c>
      <c r="J2056" t="str">
        <f>VLOOKUP(B2056,Paramètres!$A$4:$C$11,3,FALSE)</f>
        <v>Paris</v>
      </c>
      <c r="K2056" s="13">
        <f>IFERROR(H2056/G2056,"")</f>
        <v>23.5</v>
      </c>
      <c r="L2056" s="14">
        <f>IFERROR(I2056/G2056,"")</f>
        <v>1</v>
      </c>
      <c r="M2056" s="11" t="str">
        <f>IF(K2056&gt;=Paramètres!$F$6,"Très forte",IF(K2056&gt;=Paramètres!$F$5,"Forte",IF(K2056&gt;=Paramètres!$F$4,"Modérée","Faible")))</f>
        <v>Forte</v>
      </c>
    </row>
    <row r="2057" spans="1:13">
      <c r="A2057" t="s">
        <v>127</v>
      </c>
      <c r="B2057" s="11">
        <v>75</v>
      </c>
      <c r="C2057" t="s">
        <v>86</v>
      </c>
      <c r="D2057" t="s">
        <v>22</v>
      </c>
      <c r="E2057" t="s">
        <v>739</v>
      </c>
      <c r="F2057" t="s">
        <v>88</v>
      </c>
      <c r="G2057" s="12">
        <v>180</v>
      </c>
      <c r="H2057" s="12">
        <v>4225</v>
      </c>
      <c r="I2057" s="12">
        <v>177</v>
      </c>
      <c r="J2057" t="str">
        <f>VLOOKUP(B2057,Paramètres!$A$4:$C$11,3,FALSE)</f>
        <v>Paris</v>
      </c>
      <c r="K2057" s="13">
        <f>IFERROR(H2057/G2057,"")</f>
        <v>23.472222222222221</v>
      </c>
      <c r="L2057" s="14">
        <f>IFERROR(I2057/G2057,"")</f>
        <v>0.98333333333333328</v>
      </c>
      <c r="M2057" s="11" t="str">
        <f>IF(K2057&gt;=Paramètres!$F$6,"Très forte",IF(K2057&gt;=Paramètres!$F$5,"Forte",IF(K2057&gt;=Paramètres!$F$4,"Modérée","Faible")))</f>
        <v>Forte</v>
      </c>
    </row>
    <row r="2058" spans="1:13">
      <c r="A2058" t="s">
        <v>152</v>
      </c>
      <c r="B2058" s="11">
        <v>75</v>
      </c>
      <c r="C2058" t="s">
        <v>86</v>
      </c>
      <c r="D2058" t="s">
        <v>22</v>
      </c>
      <c r="E2058" t="s">
        <v>772</v>
      </c>
      <c r="F2058" t="s">
        <v>92</v>
      </c>
      <c r="G2058" s="12">
        <v>50</v>
      </c>
      <c r="H2058" s="12">
        <v>1173</v>
      </c>
      <c r="I2058" s="12">
        <v>49</v>
      </c>
      <c r="J2058" t="str">
        <f>VLOOKUP(B2058,Paramètres!$A$4:$C$11,3,FALSE)</f>
        <v>Paris</v>
      </c>
      <c r="K2058" s="13">
        <f>IFERROR(H2058/G2058,"")</f>
        <v>23.46</v>
      </c>
      <c r="L2058" s="14">
        <f>IFERROR(I2058/G2058,"")</f>
        <v>0.98</v>
      </c>
      <c r="M2058" s="11" t="str">
        <f>IF(K2058&gt;=Paramètres!$F$6,"Très forte",IF(K2058&gt;=Paramètres!$F$5,"Forte",IF(K2058&gt;=Paramètres!$F$4,"Modérée","Faible")))</f>
        <v>Forte</v>
      </c>
    </row>
    <row r="2059" spans="1:13">
      <c r="A2059" t="s">
        <v>97</v>
      </c>
      <c r="B2059" s="11">
        <v>92</v>
      </c>
      <c r="C2059" t="s">
        <v>94</v>
      </c>
      <c r="D2059" t="s">
        <v>22</v>
      </c>
      <c r="E2059" t="s">
        <v>588</v>
      </c>
      <c r="F2059" t="s">
        <v>92</v>
      </c>
      <c r="G2059" s="12">
        <v>10</v>
      </c>
      <c r="H2059" s="12">
        <v>233</v>
      </c>
      <c r="I2059" s="12">
        <v>10</v>
      </c>
      <c r="J2059" t="str">
        <f>VLOOKUP(B2059,Paramètres!$A$4:$C$11,3,FALSE)</f>
        <v>Petite couronne</v>
      </c>
      <c r="K2059" s="13">
        <f>IFERROR(H2059/G2059,"")</f>
        <v>23.3</v>
      </c>
      <c r="L2059" s="14">
        <f>IFERROR(I2059/G2059,"")</f>
        <v>1</v>
      </c>
      <c r="M2059" s="11" t="str">
        <f>IF(K2059&gt;=Paramètres!$F$6,"Très forte",IF(K2059&gt;=Paramètres!$F$5,"Forte",IF(K2059&gt;=Paramètres!$F$4,"Modérée","Faible")))</f>
        <v>Forte</v>
      </c>
    </row>
    <row r="2060" spans="1:13">
      <c r="A2060" t="s">
        <v>445</v>
      </c>
      <c r="B2060" s="11">
        <v>77</v>
      </c>
      <c r="C2060" t="s">
        <v>132</v>
      </c>
      <c r="D2060" t="s">
        <v>22</v>
      </c>
      <c r="E2060" t="s">
        <v>446</v>
      </c>
      <c r="F2060" t="s">
        <v>92</v>
      </c>
      <c r="G2060" s="12">
        <v>32</v>
      </c>
      <c r="H2060" s="12">
        <v>745</v>
      </c>
      <c r="I2060" s="12">
        <v>32</v>
      </c>
      <c r="J2060" t="str">
        <f>VLOOKUP(B2060,Paramètres!$A$4:$C$11,3,FALSE)</f>
        <v>Grande couronne</v>
      </c>
      <c r="K2060" s="13">
        <f>IFERROR(H2060/G2060,"")</f>
        <v>23.28125</v>
      </c>
      <c r="L2060" s="14">
        <f>IFERROR(I2060/G2060,"")</f>
        <v>1</v>
      </c>
      <c r="M2060" s="11" t="str">
        <f>IF(K2060&gt;=Paramètres!$F$6,"Très forte",IF(K2060&gt;=Paramètres!$F$5,"Forte",IF(K2060&gt;=Paramètres!$F$4,"Modérée","Faible")))</f>
        <v>Forte</v>
      </c>
    </row>
    <row r="2061" spans="1:13">
      <c r="A2061" t="s">
        <v>127</v>
      </c>
      <c r="B2061" s="11">
        <v>75</v>
      </c>
      <c r="C2061" t="s">
        <v>86</v>
      </c>
      <c r="D2061" t="s">
        <v>22</v>
      </c>
      <c r="E2061" t="s">
        <v>231</v>
      </c>
      <c r="F2061" t="s">
        <v>88</v>
      </c>
      <c r="G2061" s="12">
        <v>14</v>
      </c>
      <c r="H2061" s="12">
        <v>320</v>
      </c>
      <c r="I2061" s="12">
        <v>14</v>
      </c>
      <c r="J2061" t="str">
        <f>VLOOKUP(B2061,Paramètres!$A$4:$C$11,3,FALSE)</f>
        <v>Paris</v>
      </c>
      <c r="K2061" s="13">
        <f>IFERROR(H2061/G2061,"")</f>
        <v>22.857142857142858</v>
      </c>
      <c r="L2061" s="14">
        <f>IFERROR(I2061/G2061,"")</f>
        <v>1</v>
      </c>
      <c r="M2061" s="11" t="str">
        <f>IF(K2061&gt;=Paramètres!$F$6,"Très forte",IF(K2061&gt;=Paramètres!$F$5,"Forte",IF(K2061&gt;=Paramètres!$F$4,"Modérée","Faible")))</f>
        <v>Forte</v>
      </c>
    </row>
    <row r="2062" spans="1:13">
      <c r="A2062" t="s">
        <v>97</v>
      </c>
      <c r="B2062" s="11">
        <v>92</v>
      </c>
      <c r="C2062" t="s">
        <v>94</v>
      </c>
      <c r="D2062" t="s">
        <v>22</v>
      </c>
      <c r="E2062" t="s">
        <v>331</v>
      </c>
      <c r="F2062" t="s">
        <v>92</v>
      </c>
      <c r="G2062" s="12">
        <v>35</v>
      </c>
      <c r="H2062" s="12">
        <v>799</v>
      </c>
      <c r="I2062" s="12">
        <v>33</v>
      </c>
      <c r="J2062" t="str">
        <f>VLOOKUP(B2062,Paramètres!$A$4:$C$11,3,FALSE)</f>
        <v>Petite couronne</v>
      </c>
      <c r="K2062" s="13">
        <f>IFERROR(H2062/G2062,"")</f>
        <v>22.828571428571429</v>
      </c>
      <c r="L2062" s="14">
        <f>IFERROR(I2062/G2062,"")</f>
        <v>0.94285714285714284</v>
      </c>
      <c r="M2062" s="11" t="str">
        <f>IF(K2062&gt;=Paramètres!$F$6,"Très forte",IF(K2062&gt;=Paramètres!$F$5,"Forte",IF(K2062&gt;=Paramètres!$F$4,"Modérée","Faible")))</f>
        <v>Forte</v>
      </c>
    </row>
    <row r="2063" spans="1:13">
      <c r="A2063" t="s">
        <v>127</v>
      </c>
      <c r="B2063" s="11">
        <v>75</v>
      </c>
      <c r="C2063" t="s">
        <v>86</v>
      </c>
      <c r="D2063" t="s">
        <v>22</v>
      </c>
      <c r="E2063" t="s">
        <v>233</v>
      </c>
      <c r="F2063" t="s">
        <v>92</v>
      </c>
      <c r="G2063" s="12">
        <v>30</v>
      </c>
      <c r="H2063" s="12">
        <v>683</v>
      </c>
      <c r="I2063" s="12">
        <v>28</v>
      </c>
      <c r="J2063" t="str">
        <f>VLOOKUP(B2063,Paramètres!$A$4:$C$11,3,FALSE)</f>
        <v>Paris</v>
      </c>
      <c r="K2063" s="13">
        <f>IFERROR(H2063/G2063,"")</f>
        <v>22.766666666666666</v>
      </c>
      <c r="L2063" s="14">
        <f>IFERROR(I2063/G2063,"")</f>
        <v>0.93333333333333335</v>
      </c>
      <c r="M2063" s="11" t="str">
        <f>IF(K2063&gt;=Paramètres!$F$6,"Très forte",IF(K2063&gt;=Paramètres!$F$5,"Forte",IF(K2063&gt;=Paramètres!$F$4,"Modérée","Faible")))</f>
        <v>Forte</v>
      </c>
    </row>
    <row r="2064" spans="1:13">
      <c r="A2064" t="s">
        <v>152</v>
      </c>
      <c r="B2064" s="11">
        <v>75</v>
      </c>
      <c r="C2064" t="s">
        <v>86</v>
      </c>
      <c r="D2064" t="s">
        <v>22</v>
      </c>
      <c r="E2064" t="s">
        <v>642</v>
      </c>
      <c r="F2064" t="s">
        <v>88</v>
      </c>
      <c r="G2064" s="12">
        <v>105</v>
      </c>
      <c r="H2064" s="12">
        <v>2372</v>
      </c>
      <c r="I2064" s="12">
        <v>103</v>
      </c>
      <c r="J2064" t="str">
        <f>VLOOKUP(B2064,Paramètres!$A$4:$C$11,3,FALSE)</f>
        <v>Paris</v>
      </c>
      <c r="K2064" s="13">
        <f>IFERROR(H2064/G2064,"")</f>
        <v>22.590476190476192</v>
      </c>
      <c r="L2064" s="14">
        <f>IFERROR(I2064/G2064,"")</f>
        <v>0.98095238095238091</v>
      </c>
      <c r="M2064" s="11" t="str">
        <f>IF(K2064&gt;=Paramètres!$F$6,"Très forte",IF(K2064&gt;=Paramètres!$F$5,"Forte",IF(K2064&gt;=Paramètres!$F$4,"Modérée","Faible")))</f>
        <v>Forte</v>
      </c>
    </row>
    <row r="2065" spans="1:13">
      <c r="A2065" t="s">
        <v>127</v>
      </c>
      <c r="B2065" s="11">
        <v>75</v>
      </c>
      <c r="C2065" t="s">
        <v>86</v>
      </c>
      <c r="D2065" t="s">
        <v>22</v>
      </c>
      <c r="E2065" t="s">
        <v>231</v>
      </c>
      <c r="F2065" t="s">
        <v>88</v>
      </c>
      <c r="G2065" s="12">
        <v>8</v>
      </c>
      <c r="H2065" s="12">
        <v>180</v>
      </c>
      <c r="I2065" s="12">
        <v>8</v>
      </c>
      <c r="J2065" t="str">
        <f>VLOOKUP(B2065,Paramètres!$A$4:$C$11,3,FALSE)</f>
        <v>Paris</v>
      </c>
      <c r="K2065" s="13">
        <f>IFERROR(H2065/G2065,"")</f>
        <v>22.5</v>
      </c>
      <c r="L2065" s="14">
        <f>IFERROR(I2065/G2065,"")</f>
        <v>1</v>
      </c>
      <c r="M2065" s="11" t="str">
        <f>IF(K2065&gt;=Paramètres!$F$6,"Très forte",IF(K2065&gt;=Paramètres!$F$5,"Forte",IF(K2065&gt;=Paramètres!$F$4,"Modérée","Faible")))</f>
        <v>Forte</v>
      </c>
    </row>
    <row r="2066" spans="1:13">
      <c r="A2066" t="s">
        <v>144</v>
      </c>
      <c r="B2066" s="11">
        <v>95</v>
      </c>
      <c r="C2066" t="s">
        <v>90</v>
      </c>
      <c r="D2066" t="s">
        <v>22</v>
      </c>
      <c r="E2066" t="s">
        <v>332</v>
      </c>
      <c r="F2066" t="s">
        <v>88</v>
      </c>
      <c r="G2066" s="12">
        <v>35</v>
      </c>
      <c r="H2066" s="12">
        <v>783</v>
      </c>
      <c r="I2066" s="12">
        <v>41</v>
      </c>
      <c r="J2066" t="str">
        <f>VLOOKUP(B2066,Paramètres!$A$4:$C$11,3,FALSE)</f>
        <v>Grande couronne</v>
      </c>
      <c r="K2066" s="13">
        <f>IFERROR(H2066/G2066,"")</f>
        <v>22.37142857142857</v>
      </c>
      <c r="L2066" s="14">
        <f>IFERROR(I2066/G2066,"")</f>
        <v>1.1714285714285715</v>
      </c>
      <c r="M2066" s="11" t="str">
        <f>IF(K2066&gt;=Paramètres!$F$6,"Très forte",IF(K2066&gt;=Paramètres!$F$5,"Forte",IF(K2066&gt;=Paramètres!$F$4,"Modérée","Faible")))</f>
        <v>Forte</v>
      </c>
    </row>
    <row r="2067" spans="1:13">
      <c r="A2067" t="s">
        <v>97</v>
      </c>
      <c r="B2067" s="11">
        <v>92</v>
      </c>
      <c r="C2067" t="s">
        <v>94</v>
      </c>
      <c r="D2067" t="s">
        <v>22</v>
      </c>
      <c r="E2067" t="s">
        <v>325</v>
      </c>
      <c r="F2067" t="s">
        <v>92</v>
      </c>
      <c r="G2067" s="12">
        <v>30</v>
      </c>
      <c r="H2067" s="12">
        <v>669</v>
      </c>
      <c r="I2067" s="12">
        <v>30</v>
      </c>
      <c r="J2067" t="str">
        <f>VLOOKUP(B2067,Paramètres!$A$4:$C$11,3,FALSE)</f>
        <v>Petite couronne</v>
      </c>
      <c r="K2067" s="13">
        <f>IFERROR(H2067/G2067,"")</f>
        <v>22.3</v>
      </c>
      <c r="L2067" s="14">
        <f>IFERROR(I2067/G2067,"")</f>
        <v>1</v>
      </c>
      <c r="M2067" s="11" t="str">
        <f>IF(K2067&gt;=Paramètres!$F$6,"Très forte",IF(K2067&gt;=Paramètres!$F$5,"Forte",IF(K2067&gt;=Paramètres!$F$4,"Modérée","Faible")))</f>
        <v>Forte</v>
      </c>
    </row>
    <row r="2068" spans="1:13">
      <c r="A2068" t="s">
        <v>97</v>
      </c>
      <c r="B2068" s="11">
        <v>92</v>
      </c>
      <c r="C2068" t="s">
        <v>94</v>
      </c>
      <c r="D2068" t="s">
        <v>22</v>
      </c>
      <c r="E2068" t="s">
        <v>642</v>
      </c>
      <c r="F2068" t="s">
        <v>88</v>
      </c>
      <c r="G2068" s="12">
        <v>112</v>
      </c>
      <c r="H2068" s="12">
        <v>2490</v>
      </c>
      <c r="I2068" s="12">
        <v>110</v>
      </c>
      <c r="J2068" t="str">
        <f>VLOOKUP(B2068,Paramètres!$A$4:$C$11,3,FALSE)</f>
        <v>Petite couronne</v>
      </c>
      <c r="K2068" s="13">
        <f>IFERROR(H2068/G2068,"")</f>
        <v>22.232142857142858</v>
      </c>
      <c r="L2068" s="14">
        <f>IFERROR(I2068/G2068,"")</f>
        <v>0.9821428571428571</v>
      </c>
      <c r="M2068" s="11" t="str">
        <f>IF(K2068&gt;=Paramètres!$F$6,"Très forte",IF(K2068&gt;=Paramètres!$F$5,"Forte",IF(K2068&gt;=Paramètres!$F$4,"Modérée","Faible")))</f>
        <v>Forte</v>
      </c>
    </row>
    <row r="2069" spans="1:13">
      <c r="A2069" t="s">
        <v>104</v>
      </c>
      <c r="B2069" s="11">
        <v>91</v>
      </c>
      <c r="C2069" t="s">
        <v>105</v>
      </c>
      <c r="D2069" t="s">
        <v>22</v>
      </c>
      <c r="E2069" t="s">
        <v>443</v>
      </c>
      <c r="F2069" t="s">
        <v>92</v>
      </c>
      <c r="G2069" s="12">
        <v>30</v>
      </c>
      <c r="H2069" s="12">
        <v>664</v>
      </c>
      <c r="I2069" s="12">
        <v>30</v>
      </c>
      <c r="J2069" t="str">
        <f>VLOOKUP(B2069,Paramètres!$A$4:$C$11,3,FALSE)</f>
        <v>Grande couronne</v>
      </c>
      <c r="K2069" s="13">
        <f>IFERROR(H2069/G2069,"")</f>
        <v>22.133333333333333</v>
      </c>
      <c r="L2069" s="14">
        <f>IFERROR(I2069/G2069,"")</f>
        <v>1</v>
      </c>
      <c r="M2069" s="11" t="str">
        <f>IF(K2069&gt;=Paramètres!$F$6,"Très forte",IF(K2069&gt;=Paramètres!$F$5,"Forte",IF(K2069&gt;=Paramètres!$F$4,"Modérée","Faible")))</f>
        <v>Forte</v>
      </c>
    </row>
    <row r="2070" spans="1:13">
      <c r="A2070" t="s">
        <v>119</v>
      </c>
      <c r="B2070" s="11">
        <v>75</v>
      </c>
      <c r="C2070" t="s">
        <v>86</v>
      </c>
      <c r="D2070" t="s">
        <v>22</v>
      </c>
      <c r="E2070" t="s">
        <v>611</v>
      </c>
      <c r="F2070" t="s">
        <v>92</v>
      </c>
      <c r="G2070" s="12">
        <v>16</v>
      </c>
      <c r="H2070" s="12">
        <v>354</v>
      </c>
      <c r="I2070" s="12">
        <v>11</v>
      </c>
      <c r="J2070" t="str">
        <f>VLOOKUP(B2070,Paramètres!$A$4:$C$11,3,FALSE)</f>
        <v>Paris</v>
      </c>
      <c r="K2070" s="13">
        <f>IFERROR(H2070/G2070,"")</f>
        <v>22.125</v>
      </c>
      <c r="L2070" s="14">
        <f>IFERROR(I2070/G2070,"")</f>
        <v>0.6875</v>
      </c>
      <c r="M2070" s="11" t="str">
        <f>IF(K2070&gt;=Paramètres!$F$6,"Très forte",IF(K2070&gt;=Paramètres!$F$5,"Forte",IF(K2070&gt;=Paramètres!$F$4,"Modérée","Faible")))</f>
        <v>Forte</v>
      </c>
    </row>
    <row r="2071" spans="1:13">
      <c r="A2071" t="s">
        <v>97</v>
      </c>
      <c r="B2071" s="11">
        <v>92</v>
      </c>
      <c r="C2071" t="s">
        <v>94</v>
      </c>
      <c r="D2071" t="s">
        <v>22</v>
      </c>
      <c r="E2071" t="s">
        <v>103</v>
      </c>
      <c r="F2071" t="s">
        <v>92</v>
      </c>
      <c r="G2071" s="12">
        <v>30</v>
      </c>
      <c r="H2071" s="12">
        <v>663</v>
      </c>
      <c r="I2071" s="12">
        <v>29</v>
      </c>
      <c r="J2071" t="str">
        <f>VLOOKUP(B2071,Paramètres!$A$4:$C$11,3,FALSE)</f>
        <v>Petite couronne</v>
      </c>
      <c r="K2071" s="13">
        <f>IFERROR(H2071/G2071,"")</f>
        <v>22.1</v>
      </c>
      <c r="L2071" s="14">
        <f>IFERROR(I2071/G2071,"")</f>
        <v>0.96666666666666667</v>
      </c>
      <c r="M2071" s="11" t="str">
        <f>IF(K2071&gt;=Paramètres!$F$6,"Très forte",IF(K2071&gt;=Paramètres!$F$5,"Forte",IF(K2071&gt;=Paramètres!$F$4,"Modérée","Faible")))</f>
        <v>Forte</v>
      </c>
    </row>
    <row r="2072" spans="1:13">
      <c r="A2072" t="s">
        <v>110</v>
      </c>
      <c r="B2072" s="11">
        <v>75</v>
      </c>
      <c r="C2072" t="s">
        <v>86</v>
      </c>
      <c r="D2072" t="s">
        <v>22</v>
      </c>
      <c r="E2072" t="s">
        <v>523</v>
      </c>
      <c r="F2072" t="s">
        <v>88</v>
      </c>
      <c r="G2072" s="12">
        <v>10</v>
      </c>
      <c r="H2072" s="12">
        <v>221</v>
      </c>
      <c r="I2072" s="12">
        <v>9</v>
      </c>
      <c r="J2072" t="str">
        <f>VLOOKUP(B2072,Paramètres!$A$4:$C$11,3,FALSE)</f>
        <v>Paris</v>
      </c>
      <c r="K2072" s="13">
        <f>IFERROR(H2072/G2072,"")</f>
        <v>22.1</v>
      </c>
      <c r="L2072" s="14">
        <f>IFERROR(I2072/G2072,"")</f>
        <v>0.9</v>
      </c>
      <c r="M2072" s="11" t="str">
        <f>IF(K2072&gt;=Paramètres!$F$6,"Très forte",IF(K2072&gt;=Paramètres!$F$5,"Forte",IF(K2072&gt;=Paramètres!$F$4,"Modérée","Faible")))</f>
        <v>Forte</v>
      </c>
    </row>
    <row r="2073" spans="1:13">
      <c r="A2073" t="s">
        <v>203</v>
      </c>
      <c r="B2073" s="11">
        <v>78</v>
      </c>
      <c r="C2073" t="s">
        <v>135</v>
      </c>
      <c r="D2073" t="s">
        <v>22</v>
      </c>
      <c r="E2073" t="s">
        <v>488</v>
      </c>
      <c r="F2073" t="s">
        <v>88</v>
      </c>
      <c r="G2073" s="12">
        <v>78</v>
      </c>
      <c r="H2073" s="12">
        <v>1708</v>
      </c>
      <c r="I2073" s="12">
        <v>76</v>
      </c>
      <c r="J2073" t="str">
        <f>VLOOKUP(B2073,Paramètres!$A$4:$C$11,3,FALSE)</f>
        <v>Grande couronne</v>
      </c>
      <c r="K2073" s="13">
        <f>IFERROR(H2073/G2073,"")</f>
        <v>21.897435897435898</v>
      </c>
      <c r="L2073" s="14">
        <f>IFERROR(I2073/G2073,"")</f>
        <v>0.97435897435897434</v>
      </c>
      <c r="M2073" s="11" t="str">
        <f>IF(K2073&gt;=Paramètres!$F$6,"Très forte",IF(K2073&gt;=Paramètres!$F$5,"Forte",IF(K2073&gt;=Paramètres!$F$4,"Modérée","Faible")))</f>
        <v>Forte</v>
      </c>
    </row>
    <row r="2074" spans="1:13">
      <c r="A2074" t="s">
        <v>97</v>
      </c>
      <c r="B2074" s="11">
        <v>92</v>
      </c>
      <c r="C2074" t="s">
        <v>94</v>
      </c>
      <c r="D2074" t="s">
        <v>22</v>
      </c>
      <c r="E2074" t="s">
        <v>716</v>
      </c>
      <c r="F2074" t="s">
        <v>92</v>
      </c>
      <c r="G2074" s="12">
        <v>30</v>
      </c>
      <c r="H2074" s="12">
        <v>656</v>
      </c>
      <c r="I2074" s="12">
        <v>30</v>
      </c>
      <c r="J2074" t="str">
        <f>VLOOKUP(B2074,Paramètres!$A$4:$C$11,3,FALSE)</f>
        <v>Petite couronne</v>
      </c>
      <c r="K2074" s="13">
        <f>IFERROR(H2074/G2074,"")</f>
        <v>21.866666666666667</v>
      </c>
      <c r="L2074" s="14">
        <f>IFERROR(I2074/G2074,"")</f>
        <v>1</v>
      </c>
      <c r="M2074" s="11" t="str">
        <f>IF(K2074&gt;=Paramètres!$F$6,"Très forte",IF(K2074&gt;=Paramètres!$F$5,"Forte",IF(K2074&gt;=Paramètres!$F$4,"Modérée","Faible")))</f>
        <v>Forte</v>
      </c>
    </row>
    <row r="2075" spans="1:13">
      <c r="A2075" t="s">
        <v>129</v>
      </c>
      <c r="B2075" s="11">
        <v>91</v>
      </c>
      <c r="C2075" t="s">
        <v>105</v>
      </c>
      <c r="D2075" t="s">
        <v>22</v>
      </c>
      <c r="E2075" t="s">
        <v>130</v>
      </c>
      <c r="F2075" t="s">
        <v>92</v>
      </c>
      <c r="G2075" s="12">
        <v>24</v>
      </c>
      <c r="H2075" s="12">
        <v>523</v>
      </c>
      <c r="I2075" s="12">
        <v>25</v>
      </c>
      <c r="J2075" t="str">
        <f>VLOOKUP(B2075,Paramètres!$A$4:$C$11,3,FALSE)</f>
        <v>Grande couronne</v>
      </c>
      <c r="K2075" s="13">
        <f>IFERROR(H2075/G2075,"")</f>
        <v>21.791666666666668</v>
      </c>
      <c r="L2075" s="14">
        <f>IFERROR(I2075/G2075,"")</f>
        <v>1.0416666666666667</v>
      </c>
      <c r="M2075" s="11" t="str">
        <f>IF(K2075&gt;=Paramètres!$F$6,"Très forte",IF(K2075&gt;=Paramètres!$F$5,"Forte",IF(K2075&gt;=Paramètres!$F$4,"Modérée","Faible")))</f>
        <v>Forte</v>
      </c>
    </row>
    <row r="2076" spans="1:13">
      <c r="A2076" t="s">
        <v>203</v>
      </c>
      <c r="B2076" s="11">
        <v>78</v>
      </c>
      <c r="C2076" t="s">
        <v>135</v>
      </c>
      <c r="D2076" t="s">
        <v>22</v>
      </c>
      <c r="E2076" t="s">
        <v>722</v>
      </c>
      <c r="F2076" t="s">
        <v>88</v>
      </c>
      <c r="G2076" s="12">
        <v>120</v>
      </c>
      <c r="H2076" s="12">
        <v>2602</v>
      </c>
      <c r="I2076" s="12">
        <v>115</v>
      </c>
      <c r="J2076" t="str">
        <f>VLOOKUP(B2076,Paramètres!$A$4:$C$11,3,FALSE)</f>
        <v>Grande couronne</v>
      </c>
      <c r="K2076" s="13">
        <f>IFERROR(H2076/G2076,"")</f>
        <v>21.683333333333334</v>
      </c>
      <c r="L2076" s="14">
        <f>IFERROR(I2076/G2076,"")</f>
        <v>0.95833333333333337</v>
      </c>
      <c r="M2076" s="11" t="str">
        <f>IF(K2076&gt;=Paramètres!$F$6,"Très forte",IF(K2076&gt;=Paramètres!$F$5,"Forte",IF(K2076&gt;=Paramètres!$F$4,"Modérée","Faible")))</f>
        <v>Forte</v>
      </c>
    </row>
    <row r="2077" spans="1:13">
      <c r="A2077" t="s">
        <v>115</v>
      </c>
      <c r="B2077" s="11">
        <v>94</v>
      </c>
      <c r="C2077" t="s">
        <v>116</v>
      </c>
      <c r="D2077" t="s">
        <v>22</v>
      </c>
      <c r="E2077" t="s">
        <v>299</v>
      </c>
      <c r="F2077" t="s">
        <v>88</v>
      </c>
      <c r="G2077" s="12">
        <v>78</v>
      </c>
      <c r="H2077" s="12">
        <v>1686</v>
      </c>
      <c r="I2077" s="12">
        <v>76</v>
      </c>
      <c r="J2077" t="str">
        <f>VLOOKUP(B2077,Paramètres!$A$4:$C$11,3,FALSE)</f>
        <v>Petite couronne</v>
      </c>
      <c r="K2077" s="13">
        <f>IFERROR(H2077/G2077,"")</f>
        <v>21.615384615384617</v>
      </c>
      <c r="L2077" s="14">
        <f>IFERROR(I2077/G2077,"")</f>
        <v>0.97435897435897434</v>
      </c>
      <c r="M2077" s="11" t="str">
        <f>IF(K2077&gt;=Paramètres!$F$6,"Très forte",IF(K2077&gt;=Paramètres!$F$5,"Forte",IF(K2077&gt;=Paramètres!$F$4,"Modérée","Faible")))</f>
        <v>Forte</v>
      </c>
    </row>
    <row r="2078" spans="1:13">
      <c r="A2078" t="s">
        <v>108</v>
      </c>
      <c r="B2078" s="11">
        <v>93</v>
      </c>
      <c r="C2078" t="s">
        <v>100</v>
      </c>
      <c r="D2078" t="s">
        <v>22</v>
      </c>
      <c r="E2078" t="s">
        <v>299</v>
      </c>
      <c r="F2078" t="s">
        <v>88</v>
      </c>
      <c r="G2078" s="12">
        <v>50</v>
      </c>
      <c r="H2078" s="12">
        <v>1077</v>
      </c>
      <c r="I2078" s="12">
        <v>57</v>
      </c>
      <c r="J2078" t="str">
        <f>VLOOKUP(B2078,Paramètres!$A$4:$C$11,3,FALSE)</f>
        <v>Petite couronne</v>
      </c>
      <c r="K2078" s="13">
        <f>IFERROR(H2078/G2078,"")</f>
        <v>21.54</v>
      </c>
      <c r="L2078" s="14">
        <f>IFERROR(I2078/G2078,"")</f>
        <v>1.1399999999999999</v>
      </c>
      <c r="M2078" s="11" t="str">
        <f>IF(K2078&gt;=Paramètres!$F$6,"Très forte",IF(K2078&gt;=Paramètres!$F$5,"Forte",IF(K2078&gt;=Paramètres!$F$4,"Modérée","Faible")))</f>
        <v>Forte</v>
      </c>
    </row>
    <row r="2079" spans="1:13">
      <c r="A2079" t="s">
        <v>127</v>
      </c>
      <c r="B2079" s="11">
        <v>75</v>
      </c>
      <c r="C2079" t="s">
        <v>86</v>
      </c>
      <c r="D2079" t="s">
        <v>22</v>
      </c>
      <c r="E2079" t="s">
        <v>235</v>
      </c>
      <c r="F2079" t="s">
        <v>88</v>
      </c>
      <c r="G2079" s="12">
        <v>28</v>
      </c>
      <c r="H2079" s="12">
        <v>593</v>
      </c>
      <c r="I2079" s="12">
        <v>28</v>
      </c>
      <c r="J2079" t="str">
        <f>VLOOKUP(B2079,Paramètres!$A$4:$C$11,3,FALSE)</f>
        <v>Paris</v>
      </c>
      <c r="K2079" s="13">
        <f>IFERROR(H2079/G2079,"")</f>
        <v>21.178571428571427</v>
      </c>
      <c r="L2079" s="14">
        <f>IFERROR(I2079/G2079,"")</f>
        <v>1</v>
      </c>
      <c r="M2079" s="11" t="str">
        <f>IF(K2079&gt;=Paramètres!$F$6,"Très forte",IF(K2079&gt;=Paramètres!$F$5,"Forte",IF(K2079&gt;=Paramètres!$F$4,"Modérée","Faible")))</f>
        <v>Forte</v>
      </c>
    </row>
    <row r="2080" spans="1:13">
      <c r="A2080" t="s">
        <v>265</v>
      </c>
      <c r="B2080" s="11">
        <v>93</v>
      </c>
      <c r="C2080" t="s">
        <v>100</v>
      </c>
      <c r="D2080" t="s">
        <v>22</v>
      </c>
      <c r="E2080" t="s">
        <v>260</v>
      </c>
      <c r="F2080" t="s">
        <v>88</v>
      </c>
      <c r="G2080" s="12">
        <v>75</v>
      </c>
      <c r="H2080" s="12">
        <v>1586</v>
      </c>
      <c r="I2080" s="12">
        <v>72</v>
      </c>
      <c r="J2080" t="str">
        <f>VLOOKUP(B2080,Paramètres!$A$4:$C$11,3,FALSE)</f>
        <v>Petite couronne</v>
      </c>
      <c r="K2080" s="13">
        <f>IFERROR(H2080/G2080,"")</f>
        <v>21.146666666666668</v>
      </c>
      <c r="L2080" s="14">
        <f>IFERROR(I2080/G2080,"")</f>
        <v>0.96</v>
      </c>
      <c r="M2080" s="11" t="str">
        <f>IF(K2080&gt;=Paramètres!$F$6,"Très forte",IF(K2080&gt;=Paramètres!$F$5,"Forte",IF(K2080&gt;=Paramètres!$F$4,"Modérée","Faible")))</f>
        <v>Forte</v>
      </c>
    </row>
    <row r="2081" spans="1:13">
      <c r="A2081" t="s">
        <v>190</v>
      </c>
      <c r="B2081" s="11">
        <v>75</v>
      </c>
      <c r="C2081" t="s">
        <v>86</v>
      </c>
      <c r="D2081" t="s">
        <v>22</v>
      </c>
      <c r="E2081" t="s">
        <v>405</v>
      </c>
      <c r="F2081" t="s">
        <v>92</v>
      </c>
      <c r="G2081" s="12">
        <v>30</v>
      </c>
      <c r="H2081" s="12">
        <v>633</v>
      </c>
      <c r="I2081" s="12">
        <v>30</v>
      </c>
      <c r="J2081" t="str">
        <f>VLOOKUP(B2081,Paramètres!$A$4:$C$11,3,FALSE)</f>
        <v>Paris</v>
      </c>
      <c r="K2081" s="13">
        <f>IFERROR(H2081/G2081,"")</f>
        <v>21.1</v>
      </c>
      <c r="L2081" s="14">
        <f>IFERROR(I2081/G2081,"")</f>
        <v>1</v>
      </c>
      <c r="M2081" s="11" t="str">
        <f>IF(K2081&gt;=Paramètres!$F$6,"Très forte",IF(K2081&gt;=Paramètres!$F$5,"Forte",IF(K2081&gt;=Paramètres!$F$4,"Modérée","Faible")))</f>
        <v>Forte</v>
      </c>
    </row>
    <row r="2082" spans="1:13">
      <c r="A2082" t="s">
        <v>108</v>
      </c>
      <c r="B2082" s="11">
        <v>93</v>
      </c>
      <c r="C2082" t="s">
        <v>100</v>
      </c>
      <c r="D2082" t="s">
        <v>22</v>
      </c>
      <c r="E2082" t="s">
        <v>253</v>
      </c>
      <c r="F2082" t="s">
        <v>88</v>
      </c>
      <c r="G2082" s="12">
        <v>250</v>
      </c>
      <c r="H2082" s="12">
        <v>5274</v>
      </c>
      <c r="I2082" s="12">
        <v>248</v>
      </c>
      <c r="J2082" t="str">
        <f>VLOOKUP(B2082,Paramètres!$A$4:$C$11,3,FALSE)</f>
        <v>Petite couronne</v>
      </c>
      <c r="K2082" s="13">
        <f>IFERROR(H2082/G2082,"")</f>
        <v>21.096</v>
      </c>
      <c r="L2082" s="14">
        <f>IFERROR(I2082/G2082,"")</f>
        <v>0.99199999999999999</v>
      </c>
      <c r="M2082" s="11" t="str">
        <f>IF(K2082&gt;=Paramètres!$F$6,"Très forte",IF(K2082&gt;=Paramètres!$F$5,"Forte",IF(K2082&gt;=Paramètres!$F$4,"Modérée","Faible")))</f>
        <v>Forte</v>
      </c>
    </row>
    <row r="2083" spans="1:13">
      <c r="A2083" t="s">
        <v>97</v>
      </c>
      <c r="B2083" s="11">
        <v>92</v>
      </c>
      <c r="C2083" t="s">
        <v>94</v>
      </c>
      <c r="D2083" t="s">
        <v>22</v>
      </c>
      <c r="E2083" t="s">
        <v>709</v>
      </c>
      <c r="F2083" t="s">
        <v>92</v>
      </c>
      <c r="G2083" s="12">
        <v>25</v>
      </c>
      <c r="H2083" s="12">
        <v>527</v>
      </c>
      <c r="I2083" s="12">
        <v>24</v>
      </c>
      <c r="J2083" t="str">
        <f>VLOOKUP(B2083,Paramètres!$A$4:$C$11,3,FALSE)</f>
        <v>Petite couronne</v>
      </c>
      <c r="K2083" s="13">
        <f>IFERROR(H2083/G2083,"")</f>
        <v>21.08</v>
      </c>
      <c r="L2083" s="14">
        <f>IFERROR(I2083/G2083,"")</f>
        <v>0.96</v>
      </c>
      <c r="M2083" s="11" t="str">
        <f>IF(K2083&gt;=Paramètres!$F$6,"Très forte",IF(K2083&gt;=Paramètres!$F$5,"Forte",IF(K2083&gt;=Paramètres!$F$4,"Modérée","Faible")))</f>
        <v>Forte</v>
      </c>
    </row>
    <row r="2084" spans="1:13">
      <c r="A2084" t="s">
        <v>127</v>
      </c>
      <c r="B2084" s="11">
        <v>75</v>
      </c>
      <c r="C2084" t="s">
        <v>86</v>
      </c>
      <c r="D2084" t="s">
        <v>22</v>
      </c>
      <c r="E2084" t="s">
        <v>499</v>
      </c>
      <c r="F2084" t="s">
        <v>88</v>
      </c>
      <c r="G2084" s="12">
        <v>53</v>
      </c>
      <c r="H2084" s="12">
        <v>1116</v>
      </c>
      <c r="I2084" s="12">
        <v>52</v>
      </c>
      <c r="J2084" t="str">
        <f>VLOOKUP(B2084,Paramètres!$A$4:$C$11,3,FALSE)</f>
        <v>Paris</v>
      </c>
      <c r="K2084" s="13">
        <f>IFERROR(H2084/G2084,"")</f>
        <v>21.056603773584907</v>
      </c>
      <c r="L2084" s="14">
        <f>IFERROR(I2084/G2084,"")</f>
        <v>0.98113207547169812</v>
      </c>
      <c r="M2084" s="11" t="str">
        <f>IF(K2084&gt;=Paramètres!$F$6,"Très forte",IF(K2084&gt;=Paramètres!$F$5,"Forte",IF(K2084&gt;=Paramètres!$F$4,"Modérée","Faible")))</f>
        <v>Forte</v>
      </c>
    </row>
    <row r="2085" spans="1:13">
      <c r="A2085" t="s">
        <v>257</v>
      </c>
      <c r="B2085" s="11">
        <v>92</v>
      </c>
      <c r="C2085" t="s">
        <v>94</v>
      </c>
      <c r="D2085" t="s">
        <v>22</v>
      </c>
      <c r="E2085" t="s">
        <v>632</v>
      </c>
      <c r="F2085" t="s">
        <v>92</v>
      </c>
      <c r="G2085" s="12">
        <v>20</v>
      </c>
      <c r="H2085" s="12">
        <v>420</v>
      </c>
      <c r="I2085" s="12">
        <v>19</v>
      </c>
      <c r="J2085" t="str">
        <f>VLOOKUP(B2085,Paramètres!$A$4:$C$11,3,FALSE)</f>
        <v>Petite couronne</v>
      </c>
      <c r="K2085" s="13">
        <f>IFERROR(H2085/G2085,"")</f>
        <v>21</v>
      </c>
      <c r="L2085" s="14">
        <f>IFERROR(I2085/G2085,"")</f>
        <v>0.95</v>
      </c>
      <c r="M2085" s="11" t="str">
        <f>IF(K2085&gt;=Paramètres!$F$6,"Très forte",IF(K2085&gt;=Paramètres!$F$5,"Forte",IF(K2085&gt;=Paramètres!$F$4,"Modérée","Faible")))</f>
        <v>Forte</v>
      </c>
    </row>
    <row r="2086" spans="1:13">
      <c r="A2086" t="s">
        <v>97</v>
      </c>
      <c r="B2086" s="11">
        <v>92</v>
      </c>
      <c r="C2086" t="s">
        <v>94</v>
      </c>
      <c r="D2086" t="s">
        <v>22</v>
      </c>
      <c r="E2086" t="s">
        <v>145</v>
      </c>
      <c r="F2086" t="s">
        <v>88</v>
      </c>
      <c r="G2086" s="12">
        <v>30</v>
      </c>
      <c r="H2086" s="12">
        <v>629</v>
      </c>
      <c r="I2086" s="12">
        <v>29</v>
      </c>
      <c r="J2086" t="str">
        <f>VLOOKUP(B2086,Paramètres!$A$4:$C$11,3,FALSE)</f>
        <v>Petite couronne</v>
      </c>
      <c r="K2086" s="13">
        <f>IFERROR(H2086/G2086,"")</f>
        <v>20.966666666666665</v>
      </c>
      <c r="L2086" s="14">
        <f>IFERROR(I2086/G2086,"")</f>
        <v>0.96666666666666667</v>
      </c>
      <c r="M2086" s="11" t="str">
        <f>IF(K2086&gt;=Paramètres!$F$6,"Très forte",IF(K2086&gt;=Paramètres!$F$5,"Forte",IF(K2086&gt;=Paramètres!$F$4,"Modérée","Faible")))</f>
        <v>Forte</v>
      </c>
    </row>
    <row r="2087" spans="1:13">
      <c r="A2087" t="s">
        <v>119</v>
      </c>
      <c r="B2087" s="11">
        <v>75</v>
      </c>
      <c r="C2087" t="s">
        <v>86</v>
      </c>
      <c r="D2087" t="s">
        <v>22</v>
      </c>
      <c r="E2087" t="s">
        <v>440</v>
      </c>
      <c r="F2087" t="s">
        <v>92</v>
      </c>
      <c r="G2087" s="12">
        <v>40</v>
      </c>
      <c r="H2087" s="12">
        <v>838</v>
      </c>
      <c r="I2087" s="12">
        <v>39</v>
      </c>
      <c r="J2087" t="str">
        <f>VLOOKUP(B2087,Paramètres!$A$4:$C$11,3,FALSE)</f>
        <v>Paris</v>
      </c>
      <c r="K2087" s="13">
        <f>IFERROR(H2087/G2087,"")</f>
        <v>20.95</v>
      </c>
      <c r="L2087" s="14">
        <f>IFERROR(I2087/G2087,"")</f>
        <v>0.97499999999999998</v>
      </c>
      <c r="M2087" s="11" t="str">
        <f>IF(K2087&gt;=Paramètres!$F$6,"Très forte",IF(K2087&gt;=Paramètres!$F$5,"Forte",IF(K2087&gt;=Paramètres!$F$4,"Modérée","Faible")))</f>
        <v>Forte</v>
      </c>
    </row>
    <row r="2088" spans="1:13">
      <c r="A2088" t="s">
        <v>110</v>
      </c>
      <c r="B2088" s="11">
        <v>75</v>
      </c>
      <c r="C2088" t="s">
        <v>86</v>
      </c>
      <c r="D2088" t="s">
        <v>22</v>
      </c>
      <c r="E2088" t="s">
        <v>608</v>
      </c>
      <c r="F2088" t="s">
        <v>88</v>
      </c>
      <c r="G2088" s="12">
        <v>250</v>
      </c>
      <c r="H2088" s="12">
        <v>5233</v>
      </c>
      <c r="I2088" s="12">
        <v>244</v>
      </c>
      <c r="J2088" t="str">
        <f>VLOOKUP(B2088,Paramètres!$A$4:$C$11,3,FALSE)</f>
        <v>Paris</v>
      </c>
      <c r="K2088" s="13">
        <f>IFERROR(H2088/G2088,"")</f>
        <v>20.931999999999999</v>
      </c>
      <c r="L2088" s="14">
        <f>IFERROR(I2088/G2088,"")</f>
        <v>0.97599999999999998</v>
      </c>
      <c r="M2088" s="11" t="str">
        <f>IF(K2088&gt;=Paramètres!$F$6,"Très forte",IF(K2088&gt;=Paramètres!$F$5,"Forte",IF(K2088&gt;=Paramètres!$F$4,"Modérée","Faible")))</f>
        <v>Forte</v>
      </c>
    </row>
    <row r="2089" spans="1:13">
      <c r="A2089" t="s">
        <v>152</v>
      </c>
      <c r="B2089" s="11">
        <v>75</v>
      </c>
      <c r="C2089" t="s">
        <v>86</v>
      </c>
      <c r="D2089" t="s">
        <v>22</v>
      </c>
      <c r="E2089" t="s">
        <v>773</v>
      </c>
      <c r="F2089" t="s">
        <v>88</v>
      </c>
      <c r="G2089" s="12">
        <v>500</v>
      </c>
      <c r="H2089" s="12">
        <v>10453</v>
      </c>
      <c r="I2089" s="12">
        <v>499</v>
      </c>
      <c r="J2089" t="str">
        <f>VLOOKUP(B2089,Paramètres!$A$4:$C$11,3,FALSE)</f>
        <v>Paris</v>
      </c>
      <c r="K2089" s="13">
        <f>IFERROR(H2089/G2089,"")</f>
        <v>20.905999999999999</v>
      </c>
      <c r="L2089" s="14">
        <f>IFERROR(I2089/G2089,"")</f>
        <v>0.998</v>
      </c>
      <c r="M2089" s="11" t="str">
        <f>IF(K2089&gt;=Paramètres!$F$6,"Très forte",IF(K2089&gt;=Paramètres!$F$5,"Forte",IF(K2089&gt;=Paramètres!$F$4,"Modérée","Faible")))</f>
        <v>Forte</v>
      </c>
    </row>
    <row r="2090" spans="1:13">
      <c r="A2090" t="s">
        <v>115</v>
      </c>
      <c r="B2090" s="11">
        <v>94</v>
      </c>
      <c r="C2090" t="s">
        <v>116</v>
      </c>
      <c r="D2090" t="s">
        <v>22</v>
      </c>
      <c r="E2090" t="s">
        <v>126</v>
      </c>
      <c r="F2090" t="s">
        <v>88</v>
      </c>
      <c r="G2090" s="12">
        <v>206</v>
      </c>
      <c r="H2090" s="12">
        <v>4305</v>
      </c>
      <c r="I2090" s="12">
        <v>201</v>
      </c>
      <c r="J2090" t="str">
        <f>VLOOKUP(B2090,Paramètres!$A$4:$C$11,3,FALSE)</f>
        <v>Petite couronne</v>
      </c>
      <c r="K2090" s="13">
        <f>IFERROR(H2090/G2090,"")</f>
        <v>20.898058252427184</v>
      </c>
      <c r="L2090" s="14">
        <f>IFERROR(I2090/G2090,"")</f>
        <v>0.97572815533980584</v>
      </c>
      <c r="M2090" s="11" t="str">
        <f>IF(K2090&gt;=Paramètres!$F$6,"Très forte",IF(K2090&gt;=Paramètres!$F$5,"Forte",IF(K2090&gt;=Paramètres!$F$4,"Modérée","Faible")))</f>
        <v>Forte</v>
      </c>
    </row>
    <row r="2091" spans="1:13">
      <c r="A2091" t="s">
        <v>152</v>
      </c>
      <c r="B2091" s="11">
        <v>75</v>
      </c>
      <c r="C2091" t="s">
        <v>86</v>
      </c>
      <c r="D2091" t="s">
        <v>22</v>
      </c>
      <c r="E2091" t="s">
        <v>363</v>
      </c>
      <c r="F2091" t="s">
        <v>92</v>
      </c>
      <c r="G2091" s="12">
        <v>25</v>
      </c>
      <c r="H2091" s="12">
        <v>522</v>
      </c>
      <c r="I2091" s="12">
        <v>25</v>
      </c>
      <c r="J2091" t="str">
        <f>VLOOKUP(B2091,Paramètres!$A$4:$C$11,3,FALSE)</f>
        <v>Paris</v>
      </c>
      <c r="K2091" s="13">
        <f>IFERROR(H2091/G2091,"")</f>
        <v>20.88</v>
      </c>
      <c r="L2091" s="14">
        <f>IFERROR(I2091/G2091,"")</f>
        <v>1</v>
      </c>
      <c r="M2091" s="11" t="str">
        <f>IF(K2091&gt;=Paramètres!$F$6,"Très forte",IF(K2091&gt;=Paramètres!$F$5,"Forte",IF(K2091&gt;=Paramètres!$F$4,"Modérée","Faible")))</f>
        <v>Forte</v>
      </c>
    </row>
    <row r="2092" spans="1:13">
      <c r="A2092" t="s">
        <v>97</v>
      </c>
      <c r="B2092" s="11">
        <v>92</v>
      </c>
      <c r="C2092" t="s">
        <v>94</v>
      </c>
      <c r="D2092" t="s">
        <v>22</v>
      </c>
      <c r="E2092" t="s">
        <v>490</v>
      </c>
      <c r="F2092" t="s">
        <v>92</v>
      </c>
      <c r="G2092" s="12">
        <v>115</v>
      </c>
      <c r="H2092" s="12">
        <v>2397</v>
      </c>
      <c r="I2092" s="12">
        <v>113</v>
      </c>
      <c r="J2092" t="str">
        <f>VLOOKUP(B2092,Paramètres!$A$4:$C$11,3,FALSE)</f>
        <v>Petite couronne</v>
      </c>
      <c r="K2092" s="13">
        <f>IFERROR(H2092/G2092,"")</f>
        <v>20.843478260869563</v>
      </c>
      <c r="L2092" s="14">
        <f>IFERROR(I2092/G2092,"")</f>
        <v>0.9826086956521739</v>
      </c>
      <c r="M2092" s="11" t="str">
        <f>IF(K2092&gt;=Paramètres!$F$6,"Très forte",IF(K2092&gt;=Paramètres!$F$5,"Forte",IF(K2092&gt;=Paramètres!$F$4,"Modérée","Faible")))</f>
        <v>Forte</v>
      </c>
    </row>
    <row r="2093" spans="1:13">
      <c r="A2093" t="s">
        <v>97</v>
      </c>
      <c r="B2093" s="11">
        <v>92</v>
      </c>
      <c r="C2093" t="s">
        <v>94</v>
      </c>
      <c r="D2093" t="s">
        <v>22</v>
      </c>
      <c r="E2093" t="s">
        <v>609</v>
      </c>
      <c r="F2093" t="s">
        <v>92</v>
      </c>
      <c r="G2093" s="12">
        <v>30</v>
      </c>
      <c r="H2093" s="12">
        <v>625</v>
      </c>
      <c r="I2093" s="12">
        <v>30</v>
      </c>
      <c r="J2093" t="str">
        <f>VLOOKUP(B2093,Paramètres!$A$4:$C$11,3,FALSE)</f>
        <v>Petite couronne</v>
      </c>
      <c r="K2093" s="13">
        <f>IFERROR(H2093/G2093,"")</f>
        <v>20.833333333333332</v>
      </c>
      <c r="L2093" s="14">
        <f>IFERROR(I2093/G2093,"")</f>
        <v>1</v>
      </c>
      <c r="M2093" s="11" t="str">
        <f>IF(K2093&gt;=Paramètres!$F$6,"Très forte",IF(K2093&gt;=Paramètres!$F$5,"Forte",IF(K2093&gt;=Paramètres!$F$4,"Modérée","Faible")))</f>
        <v>Forte</v>
      </c>
    </row>
    <row r="2094" spans="1:13">
      <c r="A2094" t="s">
        <v>152</v>
      </c>
      <c r="B2094" s="11">
        <v>75</v>
      </c>
      <c r="C2094" t="s">
        <v>86</v>
      </c>
      <c r="D2094" t="s">
        <v>22</v>
      </c>
      <c r="E2094" t="s">
        <v>301</v>
      </c>
      <c r="F2094" t="s">
        <v>92</v>
      </c>
      <c r="G2094" s="12">
        <v>60</v>
      </c>
      <c r="H2094" s="12">
        <v>1225</v>
      </c>
      <c r="I2094" s="12">
        <v>59</v>
      </c>
      <c r="J2094" t="str">
        <f>VLOOKUP(B2094,Paramètres!$A$4:$C$11,3,FALSE)</f>
        <v>Paris</v>
      </c>
      <c r="K2094" s="13">
        <f>IFERROR(H2094/G2094,"")</f>
        <v>20.416666666666668</v>
      </c>
      <c r="L2094" s="14">
        <f>IFERROR(I2094/G2094,"")</f>
        <v>0.98333333333333328</v>
      </c>
      <c r="M2094" s="11" t="str">
        <f>IF(K2094&gt;=Paramètres!$F$6,"Très forte",IF(K2094&gt;=Paramètres!$F$5,"Forte",IF(K2094&gt;=Paramètres!$F$4,"Modérée","Faible")))</f>
        <v>Forte</v>
      </c>
    </row>
    <row r="2095" spans="1:13">
      <c r="A2095" t="s">
        <v>97</v>
      </c>
      <c r="B2095" s="11">
        <v>92</v>
      </c>
      <c r="C2095" t="s">
        <v>94</v>
      </c>
      <c r="D2095" t="s">
        <v>22</v>
      </c>
      <c r="E2095" t="s">
        <v>610</v>
      </c>
      <c r="F2095" t="s">
        <v>92</v>
      </c>
      <c r="G2095" s="12">
        <v>60</v>
      </c>
      <c r="H2095" s="12">
        <v>1224</v>
      </c>
      <c r="I2095" s="12">
        <v>60</v>
      </c>
      <c r="J2095" t="str">
        <f>VLOOKUP(B2095,Paramètres!$A$4:$C$11,3,FALSE)</f>
        <v>Petite couronne</v>
      </c>
      <c r="K2095" s="13">
        <f>IFERROR(H2095/G2095,"")</f>
        <v>20.399999999999999</v>
      </c>
      <c r="L2095" s="14">
        <f>IFERROR(I2095/G2095,"")</f>
        <v>1</v>
      </c>
      <c r="M2095" s="11" t="str">
        <f>IF(K2095&gt;=Paramètres!$F$6,"Très forte",IF(K2095&gt;=Paramètres!$F$5,"Forte",IF(K2095&gt;=Paramètres!$F$4,"Modérée","Faible")))</f>
        <v>Forte</v>
      </c>
    </row>
    <row r="2096" spans="1:13">
      <c r="A2096" t="s">
        <v>265</v>
      </c>
      <c r="B2096" s="11">
        <v>93</v>
      </c>
      <c r="C2096" t="s">
        <v>100</v>
      </c>
      <c r="D2096" t="s">
        <v>22</v>
      </c>
      <c r="E2096" t="s">
        <v>121</v>
      </c>
      <c r="F2096" t="s">
        <v>88</v>
      </c>
      <c r="G2096" s="12">
        <v>300</v>
      </c>
      <c r="H2096" s="12">
        <v>6095</v>
      </c>
      <c r="I2096" s="12">
        <v>296</v>
      </c>
      <c r="J2096" t="str">
        <f>VLOOKUP(B2096,Paramètres!$A$4:$C$11,3,FALSE)</f>
        <v>Petite couronne</v>
      </c>
      <c r="K2096" s="13">
        <f>IFERROR(H2096/G2096,"")</f>
        <v>20.316666666666666</v>
      </c>
      <c r="L2096" s="14">
        <f>IFERROR(I2096/G2096,"")</f>
        <v>0.98666666666666669</v>
      </c>
      <c r="M2096" s="11" t="str">
        <f>IF(K2096&gt;=Paramètres!$F$6,"Très forte",IF(K2096&gt;=Paramètres!$F$5,"Forte",IF(K2096&gt;=Paramètres!$F$4,"Modérée","Faible")))</f>
        <v>Forte</v>
      </c>
    </row>
    <row r="2097" spans="1:13">
      <c r="A2097" t="s">
        <v>104</v>
      </c>
      <c r="B2097" s="11">
        <v>91</v>
      </c>
      <c r="C2097" t="s">
        <v>105</v>
      </c>
      <c r="D2097" t="s">
        <v>22</v>
      </c>
      <c r="E2097" t="s">
        <v>750</v>
      </c>
      <c r="F2097" t="s">
        <v>92</v>
      </c>
      <c r="G2097" s="12">
        <v>20</v>
      </c>
      <c r="H2097" s="12">
        <v>403</v>
      </c>
      <c r="I2097" s="12">
        <v>20</v>
      </c>
      <c r="J2097" t="str">
        <f>VLOOKUP(B2097,Paramètres!$A$4:$C$11,3,FALSE)</f>
        <v>Grande couronne</v>
      </c>
      <c r="K2097" s="13">
        <f>IFERROR(H2097/G2097,"")</f>
        <v>20.149999999999999</v>
      </c>
      <c r="L2097" s="14">
        <f>IFERROR(I2097/G2097,"")</f>
        <v>1</v>
      </c>
      <c r="M2097" s="11" t="str">
        <f>IF(K2097&gt;=Paramètres!$F$6,"Très forte",IF(K2097&gt;=Paramètres!$F$5,"Forte",IF(K2097&gt;=Paramètres!$F$4,"Modérée","Faible")))</f>
        <v>Forte</v>
      </c>
    </row>
    <row r="2098" spans="1:13">
      <c r="A2098" t="s">
        <v>119</v>
      </c>
      <c r="B2098" s="11">
        <v>75</v>
      </c>
      <c r="C2098" t="s">
        <v>86</v>
      </c>
      <c r="D2098" t="s">
        <v>22</v>
      </c>
      <c r="E2098" t="s">
        <v>489</v>
      </c>
      <c r="F2098" t="s">
        <v>88</v>
      </c>
      <c r="G2098" s="12">
        <v>30</v>
      </c>
      <c r="H2098" s="12">
        <v>604</v>
      </c>
      <c r="I2098" s="12">
        <v>29</v>
      </c>
      <c r="J2098" t="str">
        <f>VLOOKUP(B2098,Paramètres!$A$4:$C$11,3,FALSE)</f>
        <v>Paris</v>
      </c>
      <c r="K2098" s="13">
        <f>IFERROR(H2098/G2098,"")</f>
        <v>20.133333333333333</v>
      </c>
      <c r="L2098" s="14">
        <f>IFERROR(I2098/G2098,"")</f>
        <v>0.96666666666666667</v>
      </c>
      <c r="M2098" s="11" t="str">
        <f>IF(K2098&gt;=Paramètres!$F$6,"Très forte",IF(K2098&gt;=Paramètres!$F$5,"Forte",IF(K2098&gt;=Paramètres!$F$4,"Modérée","Faible")))</f>
        <v>Forte</v>
      </c>
    </row>
    <row r="2099" spans="1:13">
      <c r="A2099" t="s">
        <v>108</v>
      </c>
      <c r="B2099" s="11">
        <v>93</v>
      </c>
      <c r="C2099" t="s">
        <v>100</v>
      </c>
      <c r="D2099" t="s">
        <v>22</v>
      </c>
      <c r="E2099" t="s">
        <v>715</v>
      </c>
      <c r="F2099" t="s">
        <v>88</v>
      </c>
      <c r="G2099" s="12">
        <v>190</v>
      </c>
      <c r="H2099" s="12">
        <v>3819</v>
      </c>
      <c r="I2099" s="12">
        <v>188</v>
      </c>
      <c r="J2099" t="str">
        <f>VLOOKUP(B2099,Paramètres!$A$4:$C$11,3,FALSE)</f>
        <v>Petite couronne</v>
      </c>
      <c r="K2099" s="13">
        <f>IFERROR(H2099/G2099,"")</f>
        <v>20.100000000000001</v>
      </c>
      <c r="L2099" s="14">
        <f>IFERROR(I2099/G2099,"")</f>
        <v>0.98947368421052628</v>
      </c>
      <c r="M2099" s="11" t="str">
        <f>IF(K2099&gt;=Paramètres!$F$6,"Très forte",IF(K2099&gt;=Paramètres!$F$5,"Forte",IF(K2099&gt;=Paramètres!$F$4,"Modérée","Faible")))</f>
        <v>Forte</v>
      </c>
    </row>
    <row r="2100" spans="1:13">
      <c r="A2100" t="s">
        <v>162</v>
      </c>
      <c r="B2100" s="11">
        <v>91</v>
      </c>
      <c r="C2100" t="s">
        <v>105</v>
      </c>
      <c r="D2100" t="s">
        <v>22</v>
      </c>
      <c r="E2100" t="s">
        <v>592</v>
      </c>
      <c r="F2100" t="s">
        <v>88</v>
      </c>
      <c r="G2100" s="12">
        <v>45</v>
      </c>
      <c r="H2100" s="12">
        <v>904</v>
      </c>
      <c r="I2100" s="12">
        <v>45</v>
      </c>
      <c r="J2100" t="str">
        <f>VLOOKUP(B2100,Paramètres!$A$4:$C$11,3,FALSE)</f>
        <v>Grande couronne</v>
      </c>
      <c r="K2100" s="13">
        <f>IFERROR(H2100/G2100,"")</f>
        <v>20.088888888888889</v>
      </c>
      <c r="L2100" s="14">
        <f>IFERROR(I2100/G2100,"")</f>
        <v>1</v>
      </c>
      <c r="M2100" s="11" t="str">
        <f>IF(K2100&gt;=Paramètres!$F$6,"Très forte",IF(K2100&gt;=Paramètres!$F$5,"Forte",IF(K2100&gt;=Paramètres!$F$4,"Modérée","Faible")))</f>
        <v>Forte</v>
      </c>
    </row>
    <row r="2101" spans="1:13">
      <c r="A2101" t="s">
        <v>127</v>
      </c>
      <c r="B2101" s="11">
        <v>75</v>
      </c>
      <c r="C2101" t="s">
        <v>86</v>
      </c>
      <c r="D2101" t="s">
        <v>22</v>
      </c>
      <c r="E2101" t="s">
        <v>229</v>
      </c>
      <c r="F2101" t="s">
        <v>88</v>
      </c>
      <c r="G2101" s="12">
        <v>1</v>
      </c>
      <c r="H2101" s="12">
        <v>20</v>
      </c>
      <c r="I2101" s="12">
        <v>1</v>
      </c>
      <c r="J2101" t="str">
        <f>VLOOKUP(B2101,Paramètres!$A$4:$C$11,3,FALSE)</f>
        <v>Paris</v>
      </c>
      <c r="K2101" s="13">
        <f>IFERROR(H2101/G2101,"")</f>
        <v>20</v>
      </c>
      <c r="L2101" s="14">
        <f>IFERROR(I2101/G2101,"")</f>
        <v>1</v>
      </c>
      <c r="M2101" s="11" t="str">
        <f>IF(K2101&gt;=Paramètres!$F$6,"Très forte",IF(K2101&gt;=Paramètres!$F$5,"Forte",IF(K2101&gt;=Paramètres!$F$4,"Modérée","Faible")))</f>
        <v>Forte</v>
      </c>
    </row>
    <row r="2102" spans="1:13">
      <c r="A2102" t="s">
        <v>155</v>
      </c>
      <c r="B2102" s="11">
        <v>75</v>
      </c>
      <c r="C2102" t="s">
        <v>86</v>
      </c>
      <c r="D2102" t="s">
        <v>22</v>
      </c>
      <c r="E2102" t="s">
        <v>164</v>
      </c>
      <c r="F2102" t="s">
        <v>88</v>
      </c>
      <c r="G2102" s="12">
        <v>972</v>
      </c>
      <c r="H2102" s="12">
        <v>19316</v>
      </c>
      <c r="I2102" s="12">
        <v>970</v>
      </c>
      <c r="J2102" t="str">
        <f>VLOOKUP(B2102,Paramètres!$A$4:$C$11,3,FALSE)</f>
        <v>Paris</v>
      </c>
      <c r="K2102" s="13">
        <f>IFERROR(H2102/G2102,"")</f>
        <v>19.872427983539094</v>
      </c>
      <c r="L2102" s="14">
        <f>IFERROR(I2102/G2102,"")</f>
        <v>0.99794238683127567</v>
      </c>
      <c r="M2102" s="11" t="str">
        <f>IF(K2102&gt;=Paramètres!$F$6,"Très forte",IF(K2102&gt;=Paramètres!$F$5,"Forte",IF(K2102&gt;=Paramètres!$F$4,"Modérée","Faible")))</f>
        <v>Modérée</v>
      </c>
    </row>
    <row r="2103" spans="1:13">
      <c r="A2103" t="s">
        <v>152</v>
      </c>
      <c r="B2103" s="11">
        <v>75</v>
      </c>
      <c r="C2103" t="s">
        <v>86</v>
      </c>
      <c r="D2103" t="s">
        <v>22</v>
      </c>
      <c r="E2103" t="s">
        <v>573</v>
      </c>
      <c r="F2103" t="s">
        <v>88</v>
      </c>
      <c r="G2103" s="12">
        <v>30</v>
      </c>
      <c r="H2103" s="12">
        <v>595</v>
      </c>
      <c r="I2103" s="12">
        <v>30</v>
      </c>
      <c r="J2103" t="str">
        <f>VLOOKUP(B2103,Paramètres!$A$4:$C$11,3,FALSE)</f>
        <v>Paris</v>
      </c>
      <c r="K2103" s="13">
        <f>IFERROR(H2103/G2103,"")</f>
        <v>19.833333333333332</v>
      </c>
      <c r="L2103" s="14">
        <f>IFERROR(I2103/G2103,"")</f>
        <v>1</v>
      </c>
      <c r="M2103" s="11" t="str">
        <f>IF(K2103&gt;=Paramètres!$F$6,"Très forte",IF(K2103&gt;=Paramètres!$F$5,"Forte",IF(K2103&gt;=Paramètres!$F$4,"Modérée","Faible")))</f>
        <v>Modérée</v>
      </c>
    </row>
    <row r="2104" spans="1:13">
      <c r="A2104" t="s">
        <v>97</v>
      </c>
      <c r="B2104" s="11">
        <v>92</v>
      </c>
      <c r="C2104" t="s">
        <v>94</v>
      </c>
      <c r="D2104" t="s">
        <v>22</v>
      </c>
      <c r="E2104" t="s">
        <v>353</v>
      </c>
      <c r="F2104" t="s">
        <v>92</v>
      </c>
      <c r="G2104" s="12">
        <v>60</v>
      </c>
      <c r="H2104" s="12">
        <v>1171</v>
      </c>
      <c r="I2104" s="12">
        <v>60</v>
      </c>
      <c r="J2104" t="str">
        <f>VLOOKUP(B2104,Paramètres!$A$4:$C$11,3,FALSE)</f>
        <v>Petite couronne</v>
      </c>
      <c r="K2104" s="13">
        <f>IFERROR(H2104/G2104,"")</f>
        <v>19.516666666666666</v>
      </c>
      <c r="L2104" s="14">
        <f>IFERROR(I2104/G2104,"")</f>
        <v>1</v>
      </c>
      <c r="M2104" s="11" t="str">
        <f>IF(K2104&gt;=Paramètres!$F$6,"Très forte",IF(K2104&gt;=Paramètres!$F$5,"Forte",IF(K2104&gt;=Paramètres!$F$4,"Modérée","Faible")))</f>
        <v>Modérée</v>
      </c>
    </row>
    <row r="2105" spans="1:13">
      <c r="A2105" t="s">
        <v>152</v>
      </c>
      <c r="B2105" s="11">
        <v>75</v>
      </c>
      <c r="C2105" t="s">
        <v>86</v>
      </c>
      <c r="D2105" t="s">
        <v>22</v>
      </c>
      <c r="E2105" t="s">
        <v>537</v>
      </c>
      <c r="F2105" t="s">
        <v>92</v>
      </c>
      <c r="G2105" s="12">
        <v>30</v>
      </c>
      <c r="H2105" s="12">
        <v>585</v>
      </c>
      <c r="I2105" s="12">
        <v>30</v>
      </c>
      <c r="J2105" t="str">
        <f>VLOOKUP(B2105,Paramètres!$A$4:$C$11,3,FALSE)</f>
        <v>Paris</v>
      </c>
      <c r="K2105" s="13">
        <f>IFERROR(H2105/G2105,"")</f>
        <v>19.5</v>
      </c>
      <c r="L2105" s="14">
        <f>IFERROR(I2105/G2105,"")</f>
        <v>1</v>
      </c>
      <c r="M2105" s="11" t="str">
        <f>IF(K2105&gt;=Paramètres!$F$6,"Très forte",IF(K2105&gt;=Paramètres!$F$5,"Forte",IF(K2105&gt;=Paramètres!$F$4,"Modérée","Faible")))</f>
        <v>Modérée</v>
      </c>
    </row>
    <row r="2106" spans="1:13">
      <c r="A2106" t="s">
        <v>97</v>
      </c>
      <c r="B2106" s="11">
        <v>92</v>
      </c>
      <c r="C2106" t="s">
        <v>94</v>
      </c>
      <c r="D2106" t="s">
        <v>22</v>
      </c>
      <c r="E2106" t="s">
        <v>587</v>
      </c>
      <c r="F2106" t="s">
        <v>92</v>
      </c>
      <c r="G2106" s="12">
        <v>10</v>
      </c>
      <c r="H2106" s="12">
        <v>195</v>
      </c>
      <c r="I2106" s="12">
        <v>9</v>
      </c>
      <c r="J2106" t="str">
        <f>VLOOKUP(B2106,Paramètres!$A$4:$C$11,3,FALSE)</f>
        <v>Petite couronne</v>
      </c>
      <c r="K2106" s="13">
        <f>IFERROR(H2106/G2106,"")</f>
        <v>19.5</v>
      </c>
      <c r="L2106" s="14">
        <f>IFERROR(I2106/G2106,"")</f>
        <v>0.9</v>
      </c>
      <c r="M2106" s="11" t="str">
        <f>IF(K2106&gt;=Paramètres!$F$6,"Très forte",IF(K2106&gt;=Paramètres!$F$5,"Forte",IF(K2106&gt;=Paramètres!$F$4,"Modérée","Faible")))</f>
        <v>Modérée</v>
      </c>
    </row>
    <row r="2107" spans="1:13">
      <c r="A2107" t="s">
        <v>108</v>
      </c>
      <c r="B2107" s="11">
        <v>93</v>
      </c>
      <c r="C2107" t="s">
        <v>100</v>
      </c>
      <c r="D2107" t="s">
        <v>22</v>
      </c>
      <c r="E2107" t="s">
        <v>121</v>
      </c>
      <c r="F2107" t="s">
        <v>88</v>
      </c>
      <c r="G2107" s="12">
        <v>215</v>
      </c>
      <c r="H2107" s="12">
        <v>4167</v>
      </c>
      <c r="I2107" s="12">
        <v>212</v>
      </c>
      <c r="J2107" t="str">
        <f>VLOOKUP(B2107,Paramètres!$A$4:$C$11,3,FALSE)</f>
        <v>Petite couronne</v>
      </c>
      <c r="K2107" s="13">
        <f>IFERROR(H2107/G2107,"")</f>
        <v>19.381395348837209</v>
      </c>
      <c r="L2107" s="14">
        <f>IFERROR(I2107/G2107,"")</f>
        <v>0.98604651162790702</v>
      </c>
      <c r="M2107" s="11" t="str">
        <f>IF(K2107&gt;=Paramètres!$F$6,"Très forte",IF(K2107&gt;=Paramètres!$F$5,"Forte",IF(K2107&gt;=Paramètres!$F$4,"Modérée","Faible")))</f>
        <v>Modérée</v>
      </c>
    </row>
    <row r="2108" spans="1:13">
      <c r="A2108" t="s">
        <v>119</v>
      </c>
      <c r="B2108" s="11">
        <v>75</v>
      </c>
      <c r="C2108" t="s">
        <v>86</v>
      </c>
      <c r="D2108" t="s">
        <v>22</v>
      </c>
      <c r="E2108" t="s">
        <v>564</v>
      </c>
      <c r="F2108" t="s">
        <v>92</v>
      </c>
      <c r="G2108" s="12">
        <v>45</v>
      </c>
      <c r="H2108" s="12">
        <v>871</v>
      </c>
      <c r="I2108" s="12">
        <v>31</v>
      </c>
      <c r="J2108" t="str">
        <f>VLOOKUP(B2108,Paramètres!$A$4:$C$11,3,FALSE)</f>
        <v>Paris</v>
      </c>
      <c r="K2108" s="13">
        <f>IFERROR(H2108/G2108,"")</f>
        <v>19.355555555555554</v>
      </c>
      <c r="L2108" s="14">
        <f>IFERROR(I2108/G2108,"")</f>
        <v>0.68888888888888888</v>
      </c>
      <c r="M2108" s="11" t="str">
        <f>IF(K2108&gt;=Paramètres!$F$6,"Très forte",IF(K2108&gt;=Paramètres!$F$5,"Forte",IF(K2108&gt;=Paramètres!$F$4,"Modérée","Faible")))</f>
        <v>Modérée</v>
      </c>
    </row>
    <row r="2109" spans="1:13">
      <c r="A2109" t="s">
        <v>127</v>
      </c>
      <c r="B2109" s="11">
        <v>75</v>
      </c>
      <c r="C2109" t="s">
        <v>86</v>
      </c>
      <c r="D2109" t="s">
        <v>22</v>
      </c>
      <c r="E2109" t="s">
        <v>411</v>
      </c>
      <c r="F2109" t="s">
        <v>88</v>
      </c>
      <c r="G2109" s="12">
        <v>120</v>
      </c>
      <c r="H2109" s="12">
        <v>2317</v>
      </c>
      <c r="I2109" s="12">
        <v>119</v>
      </c>
      <c r="J2109" t="str">
        <f>VLOOKUP(B2109,Paramètres!$A$4:$C$11,3,FALSE)</f>
        <v>Paris</v>
      </c>
      <c r="K2109" s="13">
        <f>IFERROR(H2109/G2109,"")</f>
        <v>19.308333333333334</v>
      </c>
      <c r="L2109" s="14">
        <f>IFERROR(I2109/G2109,"")</f>
        <v>0.9916666666666667</v>
      </c>
      <c r="M2109" s="11" t="str">
        <f>IF(K2109&gt;=Paramètres!$F$6,"Très forte",IF(K2109&gt;=Paramètres!$F$5,"Forte",IF(K2109&gt;=Paramètres!$F$4,"Modérée","Faible")))</f>
        <v>Modérée</v>
      </c>
    </row>
    <row r="2110" spans="1:13">
      <c r="A2110" t="s">
        <v>265</v>
      </c>
      <c r="B2110" s="11">
        <v>93</v>
      </c>
      <c r="C2110" t="s">
        <v>100</v>
      </c>
      <c r="D2110" t="s">
        <v>22</v>
      </c>
      <c r="E2110" t="s">
        <v>746</v>
      </c>
      <c r="F2110" t="s">
        <v>88</v>
      </c>
      <c r="G2110" s="12">
        <v>120</v>
      </c>
      <c r="H2110" s="12">
        <v>2317</v>
      </c>
      <c r="I2110" s="12">
        <v>104</v>
      </c>
      <c r="J2110" t="str">
        <f>VLOOKUP(B2110,Paramètres!$A$4:$C$11,3,FALSE)</f>
        <v>Petite couronne</v>
      </c>
      <c r="K2110" s="13">
        <f>IFERROR(H2110/G2110,"")</f>
        <v>19.308333333333334</v>
      </c>
      <c r="L2110" s="14">
        <f>IFERROR(I2110/G2110,"")</f>
        <v>0.8666666666666667</v>
      </c>
      <c r="M2110" s="11" t="str">
        <f>IF(K2110&gt;=Paramètres!$F$6,"Très forte",IF(K2110&gt;=Paramètres!$F$5,"Forte",IF(K2110&gt;=Paramètres!$F$4,"Modérée","Faible")))</f>
        <v>Modérée</v>
      </c>
    </row>
    <row r="2111" spans="1:13">
      <c r="A2111" t="s">
        <v>152</v>
      </c>
      <c r="B2111" s="11">
        <v>75</v>
      </c>
      <c r="C2111" t="s">
        <v>86</v>
      </c>
      <c r="D2111" t="s">
        <v>22</v>
      </c>
      <c r="E2111" t="s">
        <v>571</v>
      </c>
      <c r="F2111" t="s">
        <v>92</v>
      </c>
      <c r="G2111" s="12">
        <v>20</v>
      </c>
      <c r="H2111" s="12">
        <v>386</v>
      </c>
      <c r="I2111" s="12">
        <v>20</v>
      </c>
      <c r="J2111" t="str">
        <f>VLOOKUP(B2111,Paramètres!$A$4:$C$11,3,FALSE)</f>
        <v>Paris</v>
      </c>
      <c r="K2111" s="13">
        <f>IFERROR(H2111/G2111,"")</f>
        <v>19.3</v>
      </c>
      <c r="L2111" s="14">
        <f>IFERROR(I2111/G2111,"")</f>
        <v>1</v>
      </c>
      <c r="M2111" s="11" t="str">
        <f>IF(K2111&gt;=Paramètres!$F$6,"Très forte",IF(K2111&gt;=Paramètres!$F$5,"Forte",IF(K2111&gt;=Paramètres!$F$4,"Modérée","Faible")))</f>
        <v>Modérée</v>
      </c>
    </row>
    <row r="2112" spans="1:13">
      <c r="A2112" t="s">
        <v>97</v>
      </c>
      <c r="B2112" s="11">
        <v>92</v>
      </c>
      <c r="C2112" t="s">
        <v>94</v>
      </c>
      <c r="D2112" t="s">
        <v>22</v>
      </c>
      <c r="E2112" t="s">
        <v>427</v>
      </c>
      <c r="F2112" t="s">
        <v>88</v>
      </c>
      <c r="G2112" s="12">
        <v>70</v>
      </c>
      <c r="H2112" s="12">
        <v>1342</v>
      </c>
      <c r="I2112" s="12">
        <v>69</v>
      </c>
      <c r="J2112" t="str">
        <f>VLOOKUP(B2112,Paramètres!$A$4:$C$11,3,FALSE)</f>
        <v>Petite couronne</v>
      </c>
      <c r="K2112" s="13">
        <f>IFERROR(H2112/G2112,"")</f>
        <v>19.171428571428571</v>
      </c>
      <c r="L2112" s="14">
        <f>IFERROR(I2112/G2112,"")</f>
        <v>0.98571428571428577</v>
      </c>
      <c r="M2112" s="11" t="str">
        <f>IF(K2112&gt;=Paramètres!$F$6,"Très forte",IF(K2112&gt;=Paramètres!$F$5,"Forte",IF(K2112&gt;=Paramètres!$F$4,"Modérée","Faible")))</f>
        <v>Modérée</v>
      </c>
    </row>
    <row r="2113" spans="1:13">
      <c r="A2113" t="s">
        <v>115</v>
      </c>
      <c r="B2113" s="11">
        <v>94</v>
      </c>
      <c r="C2113" t="s">
        <v>116</v>
      </c>
      <c r="D2113" t="s">
        <v>22</v>
      </c>
      <c r="E2113" t="s">
        <v>202</v>
      </c>
      <c r="F2113" t="s">
        <v>88</v>
      </c>
      <c r="G2113" s="12">
        <v>430</v>
      </c>
      <c r="H2113" s="12">
        <v>8118</v>
      </c>
      <c r="I2113" s="12">
        <v>427</v>
      </c>
      <c r="J2113" t="str">
        <f>VLOOKUP(B2113,Paramètres!$A$4:$C$11,3,FALSE)</f>
        <v>Petite couronne</v>
      </c>
      <c r="K2113" s="13">
        <f>IFERROR(H2113/G2113,"")</f>
        <v>18.879069767441859</v>
      </c>
      <c r="L2113" s="14">
        <f>IFERROR(I2113/G2113,"")</f>
        <v>0.99302325581395345</v>
      </c>
      <c r="M2113" s="11" t="str">
        <f>IF(K2113&gt;=Paramètres!$F$6,"Très forte",IF(K2113&gt;=Paramètres!$F$5,"Forte",IF(K2113&gt;=Paramètres!$F$4,"Modérée","Faible")))</f>
        <v>Modérée</v>
      </c>
    </row>
    <row r="2114" spans="1:13">
      <c r="A2114" t="s">
        <v>115</v>
      </c>
      <c r="B2114" s="11">
        <v>94</v>
      </c>
      <c r="C2114" t="s">
        <v>116</v>
      </c>
      <c r="D2114" t="s">
        <v>22</v>
      </c>
      <c r="E2114" t="s">
        <v>291</v>
      </c>
      <c r="F2114" t="s">
        <v>92</v>
      </c>
      <c r="G2114" s="12">
        <v>90</v>
      </c>
      <c r="H2114" s="12">
        <v>1693</v>
      </c>
      <c r="I2114" s="12">
        <v>89</v>
      </c>
      <c r="J2114" t="str">
        <f>VLOOKUP(B2114,Paramètres!$A$4:$C$11,3,FALSE)</f>
        <v>Petite couronne</v>
      </c>
      <c r="K2114" s="13">
        <f>IFERROR(H2114/G2114,"")</f>
        <v>18.81111111111111</v>
      </c>
      <c r="L2114" s="14">
        <f>IFERROR(I2114/G2114,"")</f>
        <v>0.98888888888888893</v>
      </c>
      <c r="M2114" s="11" t="str">
        <f>IF(K2114&gt;=Paramètres!$F$6,"Très forte",IF(K2114&gt;=Paramètres!$F$5,"Forte",IF(K2114&gt;=Paramètres!$F$4,"Modérée","Faible")))</f>
        <v>Modérée</v>
      </c>
    </row>
    <row r="2115" spans="1:13">
      <c r="A2115" t="s">
        <v>127</v>
      </c>
      <c r="B2115" s="11">
        <v>75</v>
      </c>
      <c r="C2115" t="s">
        <v>86</v>
      </c>
      <c r="D2115" t="s">
        <v>22</v>
      </c>
      <c r="E2115" t="s">
        <v>234</v>
      </c>
      <c r="F2115" t="s">
        <v>88</v>
      </c>
      <c r="G2115" s="12">
        <v>35</v>
      </c>
      <c r="H2115" s="12">
        <v>649</v>
      </c>
      <c r="I2115" s="12">
        <v>34</v>
      </c>
      <c r="J2115" t="str">
        <f>VLOOKUP(B2115,Paramètres!$A$4:$C$11,3,FALSE)</f>
        <v>Paris</v>
      </c>
      <c r="K2115" s="13">
        <f>IFERROR(H2115/G2115,"")</f>
        <v>18.542857142857144</v>
      </c>
      <c r="L2115" s="14">
        <f>IFERROR(I2115/G2115,"")</f>
        <v>0.97142857142857142</v>
      </c>
      <c r="M2115" s="11" t="str">
        <f>IF(K2115&gt;=Paramètres!$F$6,"Très forte",IF(K2115&gt;=Paramètres!$F$5,"Forte",IF(K2115&gt;=Paramètres!$F$4,"Modérée","Faible")))</f>
        <v>Modérée</v>
      </c>
    </row>
    <row r="2116" spans="1:13">
      <c r="A2116" t="s">
        <v>115</v>
      </c>
      <c r="B2116" s="11">
        <v>94</v>
      </c>
      <c r="C2116" t="s">
        <v>116</v>
      </c>
      <c r="D2116" t="s">
        <v>22</v>
      </c>
      <c r="E2116" t="s">
        <v>603</v>
      </c>
      <c r="F2116" t="s">
        <v>88</v>
      </c>
      <c r="G2116" s="12">
        <v>175</v>
      </c>
      <c r="H2116" s="12">
        <v>3215</v>
      </c>
      <c r="I2116" s="12">
        <v>171</v>
      </c>
      <c r="J2116" t="str">
        <f>VLOOKUP(B2116,Paramètres!$A$4:$C$11,3,FALSE)</f>
        <v>Petite couronne</v>
      </c>
      <c r="K2116" s="13">
        <f>IFERROR(H2116/G2116,"")</f>
        <v>18.37142857142857</v>
      </c>
      <c r="L2116" s="14">
        <f>IFERROR(I2116/G2116,"")</f>
        <v>0.97714285714285709</v>
      </c>
      <c r="M2116" s="11" t="str">
        <f>IF(K2116&gt;=Paramètres!$F$6,"Très forte",IF(K2116&gt;=Paramètres!$F$5,"Forte",IF(K2116&gt;=Paramètres!$F$4,"Modérée","Faible")))</f>
        <v>Modérée</v>
      </c>
    </row>
    <row r="2117" spans="1:13">
      <c r="A2117" t="s">
        <v>108</v>
      </c>
      <c r="B2117" s="11">
        <v>93</v>
      </c>
      <c r="C2117" t="s">
        <v>100</v>
      </c>
      <c r="D2117" t="s">
        <v>22</v>
      </c>
      <c r="E2117" t="s">
        <v>454</v>
      </c>
      <c r="F2117" t="s">
        <v>88</v>
      </c>
      <c r="G2117" s="12">
        <v>105</v>
      </c>
      <c r="H2117" s="12">
        <v>1920</v>
      </c>
      <c r="I2117" s="12">
        <v>105</v>
      </c>
      <c r="J2117" t="str">
        <f>VLOOKUP(B2117,Paramètres!$A$4:$C$11,3,FALSE)</f>
        <v>Petite couronne</v>
      </c>
      <c r="K2117" s="13">
        <f>IFERROR(H2117/G2117,"")</f>
        <v>18.285714285714285</v>
      </c>
      <c r="L2117" s="14">
        <f>IFERROR(I2117/G2117,"")</f>
        <v>1</v>
      </c>
      <c r="M2117" s="11" t="str">
        <f>IF(K2117&gt;=Paramètres!$F$6,"Très forte",IF(K2117&gt;=Paramètres!$F$5,"Forte",IF(K2117&gt;=Paramètres!$F$4,"Modérée","Faible")))</f>
        <v>Modérée</v>
      </c>
    </row>
    <row r="2118" spans="1:13">
      <c r="A2118" t="s">
        <v>265</v>
      </c>
      <c r="B2118" s="11">
        <v>93</v>
      </c>
      <c r="C2118" t="s">
        <v>100</v>
      </c>
      <c r="D2118" t="s">
        <v>22</v>
      </c>
      <c r="E2118" t="s">
        <v>253</v>
      </c>
      <c r="F2118" t="s">
        <v>88</v>
      </c>
      <c r="G2118" s="12">
        <v>250</v>
      </c>
      <c r="H2118" s="12">
        <v>4549</v>
      </c>
      <c r="I2118" s="12">
        <v>234</v>
      </c>
      <c r="J2118" t="str">
        <f>VLOOKUP(B2118,Paramètres!$A$4:$C$11,3,FALSE)</f>
        <v>Petite couronne</v>
      </c>
      <c r="K2118" s="13">
        <f>IFERROR(H2118/G2118,"")</f>
        <v>18.196000000000002</v>
      </c>
      <c r="L2118" s="14">
        <f>IFERROR(I2118/G2118,"")</f>
        <v>0.93600000000000005</v>
      </c>
      <c r="M2118" s="11" t="str">
        <f>IF(K2118&gt;=Paramètres!$F$6,"Très forte",IF(K2118&gt;=Paramètres!$F$5,"Forte",IF(K2118&gt;=Paramètres!$F$4,"Modérée","Faible")))</f>
        <v>Modérée</v>
      </c>
    </row>
    <row r="2119" spans="1:13">
      <c r="A2119" t="s">
        <v>97</v>
      </c>
      <c r="B2119" s="11">
        <v>92</v>
      </c>
      <c r="C2119" t="s">
        <v>94</v>
      </c>
      <c r="D2119" t="s">
        <v>22</v>
      </c>
      <c r="E2119" t="s">
        <v>415</v>
      </c>
      <c r="F2119" t="s">
        <v>92</v>
      </c>
      <c r="G2119" s="12">
        <v>15</v>
      </c>
      <c r="H2119" s="12">
        <v>271</v>
      </c>
      <c r="I2119" s="12">
        <v>15</v>
      </c>
      <c r="J2119" t="str">
        <f>VLOOKUP(B2119,Paramètres!$A$4:$C$11,3,FALSE)</f>
        <v>Petite couronne</v>
      </c>
      <c r="K2119" s="13">
        <f>IFERROR(H2119/G2119,"")</f>
        <v>18.066666666666666</v>
      </c>
      <c r="L2119" s="14">
        <f>IFERROR(I2119/G2119,"")</f>
        <v>1</v>
      </c>
      <c r="M2119" s="11" t="str">
        <f>IF(K2119&gt;=Paramètres!$F$6,"Très forte",IF(K2119&gt;=Paramètres!$F$5,"Forte",IF(K2119&gt;=Paramètres!$F$4,"Modérée","Faible")))</f>
        <v>Modérée</v>
      </c>
    </row>
    <row r="2120" spans="1:13">
      <c r="A2120" t="s">
        <v>119</v>
      </c>
      <c r="B2120" s="11">
        <v>75</v>
      </c>
      <c r="C2120" t="s">
        <v>86</v>
      </c>
      <c r="D2120" t="s">
        <v>22</v>
      </c>
      <c r="E2120" t="s">
        <v>475</v>
      </c>
      <c r="F2120" t="s">
        <v>88</v>
      </c>
      <c r="G2120" s="12">
        <v>145</v>
      </c>
      <c r="H2120" s="12">
        <v>2594</v>
      </c>
      <c r="I2120" s="12">
        <v>142</v>
      </c>
      <c r="J2120" t="str">
        <f>VLOOKUP(B2120,Paramètres!$A$4:$C$11,3,FALSE)</f>
        <v>Paris</v>
      </c>
      <c r="K2120" s="13">
        <f>IFERROR(H2120/G2120,"")</f>
        <v>17.889655172413793</v>
      </c>
      <c r="L2120" s="14">
        <f>IFERROR(I2120/G2120,"")</f>
        <v>0.97931034482758617</v>
      </c>
      <c r="M2120" s="11" t="str">
        <f>IF(K2120&gt;=Paramètres!$F$6,"Très forte",IF(K2120&gt;=Paramètres!$F$5,"Forte",IF(K2120&gt;=Paramètres!$F$4,"Modérée","Faible")))</f>
        <v>Modérée</v>
      </c>
    </row>
    <row r="2121" spans="1:13">
      <c r="A2121" t="s">
        <v>97</v>
      </c>
      <c r="B2121" s="11">
        <v>92</v>
      </c>
      <c r="C2121" t="s">
        <v>94</v>
      </c>
      <c r="D2121" t="s">
        <v>22</v>
      </c>
      <c r="E2121" t="s">
        <v>574</v>
      </c>
      <c r="F2121" t="s">
        <v>88</v>
      </c>
      <c r="G2121" s="12">
        <v>90</v>
      </c>
      <c r="H2121" s="12">
        <v>1602</v>
      </c>
      <c r="I2121" s="12">
        <v>87</v>
      </c>
      <c r="J2121" t="str">
        <f>VLOOKUP(B2121,Paramètres!$A$4:$C$11,3,FALSE)</f>
        <v>Petite couronne</v>
      </c>
      <c r="K2121" s="13">
        <f>IFERROR(H2121/G2121,"")</f>
        <v>17.8</v>
      </c>
      <c r="L2121" s="14">
        <f>IFERROR(I2121/G2121,"")</f>
        <v>0.96666666666666667</v>
      </c>
      <c r="M2121" s="11" t="str">
        <f>IF(K2121&gt;=Paramètres!$F$6,"Très forte",IF(K2121&gt;=Paramètres!$F$5,"Forte",IF(K2121&gt;=Paramètres!$F$4,"Modérée","Faible")))</f>
        <v>Modérée</v>
      </c>
    </row>
    <row r="2122" spans="1:13">
      <c r="A2122" t="s">
        <v>115</v>
      </c>
      <c r="B2122" s="11">
        <v>94</v>
      </c>
      <c r="C2122" t="s">
        <v>116</v>
      </c>
      <c r="D2122" t="s">
        <v>22</v>
      </c>
      <c r="E2122" t="s">
        <v>164</v>
      </c>
      <c r="F2122" t="s">
        <v>88</v>
      </c>
      <c r="G2122" s="12">
        <v>500</v>
      </c>
      <c r="H2122" s="12">
        <v>8884</v>
      </c>
      <c r="I2122" s="12">
        <v>498</v>
      </c>
      <c r="J2122" t="str">
        <f>VLOOKUP(B2122,Paramètres!$A$4:$C$11,3,FALSE)</f>
        <v>Petite couronne</v>
      </c>
      <c r="K2122" s="13">
        <f>IFERROR(H2122/G2122,"")</f>
        <v>17.768000000000001</v>
      </c>
      <c r="L2122" s="14">
        <f>IFERROR(I2122/G2122,"")</f>
        <v>0.996</v>
      </c>
      <c r="M2122" s="11" t="str">
        <f>IF(K2122&gt;=Paramètres!$F$6,"Très forte",IF(K2122&gt;=Paramètres!$F$5,"Forte",IF(K2122&gt;=Paramètres!$F$4,"Modérée","Faible")))</f>
        <v>Modérée</v>
      </c>
    </row>
    <row r="2123" spans="1:13">
      <c r="A2123" t="s">
        <v>127</v>
      </c>
      <c r="B2123" s="11">
        <v>75</v>
      </c>
      <c r="C2123" t="s">
        <v>86</v>
      </c>
      <c r="D2123" t="s">
        <v>22</v>
      </c>
      <c r="E2123" t="s">
        <v>228</v>
      </c>
      <c r="F2123" t="s">
        <v>88</v>
      </c>
      <c r="G2123" s="12">
        <v>8</v>
      </c>
      <c r="H2123" s="12">
        <v>142</v>
      </c>
      <c r="I2123" s="12">
        <v>8</v>
      </c>
      <c r="J2123" t="str">
        <f>VLOOKUP(B2123,Paramètres!$A$4:$C$11,3,FALSE)</f>
        <v>Paris</v>
      </c>
      <c r="K2123" s="13">
        <f>IFERROR(H2123/G2123,"")</f>
        <v>17.75</v>
      </c>
      <c r="L2123" s="14">
        <f>IFERROR(I2123/G2123,"")</f>
        <v>1</v>
      </c>
      <c r="M2123" s="11" t="str">
        <f>IF(K2123&gt;=Paramètres!$F$6,"Très forte",IF(K2123&gt;=Paramètres!$F$5,"Forte",IF(K2123&gt;=Paramètres!$F$4,"Modérée","Faible")))</f>
        <v>Modérée</v>
      </c>
    </row>
    <row r="2124" spans="1:13">
      <c r="A2124" t="s">
        <v>115</v>
      </c>
      <c r="B2124" s="11">
        <v>94</v>
      </c>
      <c r="C2124" t="s">
        <v>116</v>
      </c>
      <c r="D2124" t="s">
        <v>22</v>
      </c>
      <c r="E2124" t="s">
        <v>275</v>
      </c>
      <c r="F2124" t="s">
        <v>88</v>
      </c>
      <c r="G2124" s="12">
        <v>50</v>
      </c>
      <c r="H2124" s="12">
        <v>886</v>
      </c>
      <c r="I2124" s="12">
        <v>50</v>
      </c>
      <c r="J2124" t="str">
        <f>VLOOKUP(B2124,Paramètres!$A$4:$C$11,3,FALSE)</f>
        <v>Petite couronne</v>
      </c>
      <c r="K2124" s="13">
        <f>IFERROR(H2124/G2124,"")</f>
        <v>17.72</v>
      </c>
      <c r="L2124" s="14">
        <f>IFERROR(I2124/G2124,"")</f>
        <v>1</v>
      </c>
      <c r="M2124" s="11" t="str">
        <f>IF(K2124&gt;=Paramètres!$F$6,"Très forte",IF(K2124&gt;=Paramètres!$F$5,"Forte",IF(K2124&gt;=Paramètres!$F$4,"Modérée","Faible")))</f>
        <v>Modérée</v>
      </c>
    </row>
    <row r="2125" spans="1:13">
      <c r="A2125" t="s">
        <v>119</v>
      </c>
      <c r="B2125" s="11">
        <v>75</v>
      </c>
      <c r="C2125" t="s">
        <v>86</v>
      </c>
      <c r="D2125" t="s">
        <v>22</v>
      </c>
      <c r="E2125" t="s">
        <v>700</v>
      </c>
      <c r="F2125" t="s">
        <v>88</v>
      </c>
      <c r="G2125" s="12">
        <v>155</v>
      </c>
      <c r="H2125" s="12">
        <v>2721</v>
      </c>
      <c r="I2125" s="12">
        <v>154</v>
      </c>
      <c r="J2125" t="str">
        <f>VLOOKUP(B2125,Paramètres!$A$4:$C$11,3,FALSE)</f>
        <v>Paris</v>
      </c>
      <c r="K2125" s="13">
        <f>IFERROR(H2125/G2125,"")</f>
        <v>17.554838709677419</v>
      </c>
      <c r="L2125" s="14">
        <f>IFERROR(I2125/G2125,"")</f>
        <v>0.99354838709677418</v>
      </c>
      <c r="M2125" s="11" t="str">
        <f>IF(K2125&gt;=Paramètres!$F$6,"Très forte",IF(K2125&gt;=Paramètres!$F$5,"Forte",IF(K2125&gt;=Paramètres!$F$4,"Modérée","Faible")))</f>
        <v>Modérée</v>
      </c>
    </row>
    <row r="2126" spans="1:13">
      <c r="A2126" t="s">
        <v>144</v>
      </c>
      <c r="B2126" s="11">
        <v>95</v>
      </c>
      <c r="C2126" t="s">
        <v>90</v>
      </c>
      <c r="D2126" t="s">
        <v>22</v>
      </c>
      <c r="E2126" t="s">
        <v>436</v>
      </c>
      <c r="F2126" t="s">
        <v>92</v>
      </c>
      <c r="G2126" s="12">
        <v>65</v>
      </c>
      <c r="H2126" s="12">
        <v>1126</v>
      </c>
      <c r="I2126" s="12">
        <v>64</v>
      </c>
      <c r="J2126" t="str">
        <f>VLOOKUP(B2126,Paramètres!$A$4:$C$11,3,FALSE)</f>
        <v>Grande couronne</v>
      </c>
      <c r="K2126" s="13">
        <f>IFERROR(H2126/G2126,"")</f>
        <v>17.323076923076922</v>
      </c>
      <c r="L2126" s="14">
        <f>IFERROR(I2126/G2126,"")</f>
        <v>0.98461538461538467</v>
      </c>
      <c r="M2126" s="11" t="str">
        <f>IF(K2126&gt;=Paramètres!$F$6,"Très forte",IF(K2126&gt;=Paramètres!$F$5,"Forte",IF(K2126&gt;=Paramètres!$F$4,"Modérée","Faible")))</f>
        <v>Modérée</v>
      </c>
    </row>
    <row r="2127" spans="1:13">
      <c r="A2127" t="s">
        <v>115</v>
      </c>
      <c r="B2127" s="11">
        <v>94</v>
      </c>
      <c r="C2127" t="s">
        <v>116</v>
      </c>
      <c r="D2127" t="s">
        <v>22</v>
      </c>
      <c r="E2127" t="s">
        <v>466</v>
      </c>
      <c r="F2127" t="s">
        <v>88</v>
      </c>
      <c r="G2127" s="12">
        <v>58</v>
      </c>
      <c r="H2127" s="12">
        <v>1002</v>
      </c>
      <c r="I2127" s="12">
        <v>56</v>
      </c>
      <c r="J2127" t="str">
        <f>VLOOKUP(B2127,Paramètres!$A$4:$C$11,3,FALSE)</f>
        <v>Petite couronne</v>
      </c>
      <c r="K2127" s="13">
        <f>IFERROR(H2127/G2127,"")</f>
        <v>17.275862068965516</v>
      </c>
      <c r="L2127" s="14">
        <f>IFERROR(I2127/G2127,"")</f>
        <v>0.96551724137931039</v>
      </c>
      <c r="M2127" s="11" t="str">
        <f>IF(K2127&gt;=Paramètres!$F$6,"Très forte",IF(K2127&gt;=Paramètres!$F$5,"Forte",IF(K2127&gt;=Paramètres!$F$4,"Modérée","Faible")))</f>
        <v>Modérée</v>
      </c>
    </row>
    <row r="2128" spans="1:13">
      <c r="A2128" t="s">
        <v>152</v>
      </c>
      <c r="B2128" s="11">
        <v>75</v>
      </c>
      <c r="C2128" t="s">
        <v>86</v>
      </c>
      <c r="D2128" t="s">
        <v>22</v>
      </c>
      <c r="E2128" t="s">
        <v>368</v>
      </c>
      <c r="F2128" t="s">
        <v>88</v>
      </c>
      <c r="G2128" s="12">
        <v>187</v>
      </c>
      <c r="H2128" s="12">
        <v>3229</v>
      </c>
      <c r="I2128" s="12">
        <v>187</v>
      </c>
      <c r="J2128" t="str">
        <f>VLOOKUP(B2128,Paramètres!$A$4:$C$11,3,FALSE)</f>
        <v>Paris</v>
      </c>
      <c r="K2128" s="13">
        <f>IFERROR(H2128/G2128,"")</f>
        <v>17.267379679144383</v>
      </c>
      <c r="L2128" s="14">
        <f>IFERROR(I2128/G2128,"")</f>
        <v>1</v>
      </c>
      <c r="M2128" s="11" t="str">
        <f>IF(K2128&gt;=Paramètres!$F$6,"Très forte",IF(K2128&gt;=Paramètres!$F$5,"Forte",IF(K2128&gt;=Paramètres!$F$4,"Modérée","Faible")))</f>
        <v>Modérée</v>
      </c>
    </row>
    <row r="2129" spans="1:13">
      <c r="A2129" t="s">
        <v>155</v>
      </c>
      <c r="B2129" s="11">
        <v>75</v>
      </c>
      <c r="C2129" t="s">
        <v>86</v>
      </c>
      <c r="D2129" t="s">
        <v>22</v>
      </c>
      <c r="E2129" t="s">
        <v>330</v>
      </c>
      <c r="F2129" t="s">
        <v>92</v>
      </c>
      <c r="G2129" s="12">
        <v>10</v>
      </c>
      <c r="H2129" s="12">
        <v>172</v>
      </c>
      <c r="I2129" s="12">
        <v>10</v>
      </c>
      <c r="J2129" t="str">
        <f>VLOOKUP(B2129,Paramètres!$A$4:$C$11,3,FALSE)</f>
        <v>Paris</v>
      </c>
      <c r="K2129" s="13">
        <f>IFERROR(H2129/G2129,"")</f>
        <v>17.2</v>
      </c>
      <c r="L2129" s="14">
        <f>IFERROR(I2129/G2129,"")</f>
        <v>1</v>
      </c>
      <c r="M2129" s="11" t="str">
        <f>IF(K2129&gt;=Paramètres!$F$6,"Très forte",IF(K2129&gt;=Paramètres!$F$5,"Forte",IF(K2129&gt;=Paramètres!$F$4,"Modérée","Faible")))</f>
        <v>Modérée</v>
      </c>
    </row>
    <row r="2130" spans="1:13">
      <c r="A2130" t="s">
        <v>110</v>
      </c>
      <c r="B2130" s="11">
        <v>75</v>
      </c>
      <c r="C2130" t="s">
        <v>86</v>
      </c>
      <c r="D2130" t="s">
        <v>22</v>
      </c>
      <c r="E2130" t="s">
        <v>178</v>
      </c>
      <c r="F2130" t="s">
        <v>88</v>
      </c>
      <c r="G2130" s="12">
        <v>200</v>
      </c>
      <c r="H2130" s="12">
        <v>3438</v>
      </c>
      <c r="I2130" s="12">
        <v>197</v>
      </c>
      <c r="J2130" t="str">
        <f>VLOOKUP(B2130,Paramètres!$A$4:$C$11,3,FALSE)</f>
        <v>Paris</v>
      </c>
      <c r="K2130" s="13">
        <f>IFERROR(H2130/G2130,"")</f>
        <v>17.190000000000001</v>
      </c>
      <c r="L2130" s="14">
        <f>IFERROR(I2130/G2130,"")</f>
        <v>0.98499999999999999</v>
      </c>
      <c r="M2130" s="11" t="str">
        <f>IF(K2130&gt;=Paramètres!$F$6,"Très forte",IF(K2130&gt;=Paramètres!$F$5,"Forte",IF(K2130&gt;=Paramètres!$F$4,"Modérée","Faible")))</f>
        <v>Modérée</v>
      </c>
    </row>
    <row r="2131" spans="1:13">
      <c r="A2131" t="s">
        <v>265</v>
      </c>
      <c r="B2131" s="11">
        <v>93</v>
      </c>
      <c r="C2131" t="s">
        <v>100</v>
      </c>
      <c r="D2131" t="s">
        <v>22</v>
      </c>
      <c r="E2131" t="s">
        <v>299</v>
      </c>
      <c r="F2131" t="s">
        <v>88</v>
      </c>
      <c r="G2131" s="12">
        <v>135</v>
      </c>
      <c r="H2131" s="12">
        <v>2315</v>
      </c>
      <c r="I2131" s="12">
        <v>124</v>
      </c>
      <c r="J2131" t="str">
        <f>VLOOKUP(B2131,Paramètres!$A$4:$C$11,3,FALSE)</f>
        <v>Petite couronne</v>
      </c>
      <c r="K2131" s="13">
        <f>IFERROR(H2131/G2131,"")</f>
        <v>17.148148148148149</v>
      </c>
      <c r="L2131" s="14">
        <f>IFERROR(I2131/G2131,"")</f>
        <v>0.91851851851851851</v>
      </c>
      <c r="M2131" s="11" t="str">
        <f>IF(K2131&gt;=Paramètres!$F$6,"Très forte",IF(K2131&gt;=Paramètres!$F$5,"Forte",IF(K2131&gt;=Paramètres!$F$4,"Modérée","Faible")))</f>
        <v>Modérée</v>
      </c>
    </row>
    <row r="2132" spans="1:13">
      <c r="A2132" t="s">
        <v>119</v>
      </c>
      <c r="B2132" s="11">
        <v>75</v>
      </c>
      <c r="C2132" t="s">
        <v>86</v>
      </c>
      <c r="D2132" t="s">
        <v>22</v>
      </c>
      <c r="E2132" t="s">
        <v>669</v>
      </c>
      <c r="F2132" t="s">
        <v>92</v>
      </c>
      <c r="G2132" s="12">
        <v>65</v>
      </c>
      <c r="H2132" s="12">
        <v>1111</v>
      </c>
      <c r="I2132" s="12">
        <v>63</v>
      </c>
      <c r="J2132" t="str">
        <f>VLOOKUP(B2132,Paramètres!$A$4:$C$11,3,FALSE)</f>
        <v>Paris</v>
      </c>
      <c r="K2132" s="13">
        <f>IFERROR(H2132/G2132,"")</f>
        <v>17.092307692307692</v>
      </c>
      <c r="L2132" s="14">
        <f>IFERROR(I2132/G2132,"")</f>
        <v>0.96923076923076923</v>
      </c>
      <c r="M2132" s="11" t="str">
        <f>IF(K2132&gt;=Paramètres!$F$6,"Très forte",IF(K2132&gt;=Paramètres!$F$5,"Forte",IF(K2132&gt;=Paramètres!$F$4,"Modérée","Faible")))</f>
        <v>Modérée</v>
      </c>
    </row>
    <row r="2133" spans="1:13">
      <c r="A2133" t="s">
        <v>144</v>
      </c>
      <c r="B2133" s="11">
        <v>95</v>
      </c>
      <c r="C2133" t="s">
        <v>90</v>
      </c>
      <c r="D2133" t="s">
        <v>22</v>
      </c>
      <c r="E2133" t="s">
        <v>559</v>
      </c>
      <c r="F2133" t="s">
        <v>92</v>
      </c>
      <c r="G2133" s="12">
        <v>15</v>
      </c>
      <c r="H2133" s="12">
        <v>256</v>
      </c>
      <c r="I2133" s="12">
        <v>14</v>
      </c>
      <c r="J2133" t="str">
        <f>VLOOKUP(B2133,Paramètres!$A$4:$C$11,3,FALSE)</f>
        <v>Grande couronne</v>
      </c>
      <c r="K2133" s="13">
        <f>IFERROR(H2133/G2133,"")</f>
        <v>17.066666666666666</v>
      </c>
      <c r="L2133" s="14">
        <f>IFERROR(I2133/G2133,"")</f>
        <v>0.93333333333333335</v>
      </c>
      <c r="M2133" s="11" t="str">
        <f>IF(K2133&gt;=Paramètres!$F$6,"Très forte",IF(K2133&gt;=Paramètres!$F$5,"Forte",IF(K2133&gt;=Paramètres!$F$4,"Modérée","Faible")))</f>
        <v>Modérée</v>
      </c>
    </row>
    <row r="2134" spans="1:13">
      <c r="A2134" t="s">
        <v>422</v>
      </c>
      <c r="B2134" s="11">
        <v>91</v>
      </c>
      <c r="C2134" t="s">
        <v>105</v>
      </c>
      <c r="D2134" t="s">
        <v>22</v>
      </c>
      <c r="E2134" t="s">
        <v>253</v>
      </c>
      <c r="F2134" t="s">
        <v>88</v>
      </c>
      <c r="G2134" s="12">
        <v>180</v>
      </c>
      <c r="H2134" s="12">
        <v>3068</v>
      </c>
      <c r="I2134" s="12">
        <v>180</v>
      </c>
      <c r="J2134" t="str">
        <f>VLOOKUP(B2134,Paramètres!$A$4:$C$11,3,FALSE)</f>
        <v>Grande couronne</v>
      </c>
      <c r="K2134" s="13">
        <f>IFERROR(H2134/G2134,"")</f>
        <v>17.044444444444444</v>
      </c>
      <c r="L2134" s="14">
        <f>IFERROR(I2134/G2134,"")</f>
        <v>1</v>
      </c>
      <c r="M2134" s="11" t="str">
        <f>IF(K2134&gt;=Paramètres!$F$6,"Très forte",IF(K2134&gt;=Paramètres!$F$5,"Forte",IF(K2134&gt;=Paramètres!$F$4,"Modérée","Faible")))</f>
        <v>Modérée</v>
      </c>
    </row>
    <row r="2135" spans="1:13">
      <c r="A2135" t="s">
        <v>127</v>
      </c>
      <c r="B2135" s="11">
        <v>75</v>
      </c>
      <c r="C2135" t="s">
        <v>86</v>
      </c>
      <c r="D2135" t="s">
        <v>22</v>
      </c>
      <c r="E2135" t="s">
        <v>231</v>
      </c>
      <c r="F2135" t="s">
        <v>88</v>
      </c>
      <c r="G2135" s="12">
        <v>50</v>
      </c>
      <c r="H2135" s="12">
        <v>851</v>
      </c>
      <c r="I2135" s="12">
        <v>49</v>
      </c>
      <c r="J2135" t="str">
        <f>VLOOKUP(B2135,Paramètres!$A$4:$C$11,3,FALSE)</f>
        <v>Paris</v>
      </c>
      <c r="K2135" s="13">
        <f>IFERROR(H2135/G2135,"")</f>
        <v>17.02</v>
      </c>
      <c r="L2135" s="14">
        <f>IFERROR(I2135/G2135,"")</f>
        <v>0.98</v>
      </c>
      <c r="M2135" s="11" t="str">
        <f>IF(K2135&gt;=Paramètres!$F$6,"Très forte",IF(K2135&gt;=Paramètres!$F$5,"Forte",IF(K2135&gt;=Paramètres!$F$4,"Modérée","Faible")))</f>
        <v>Modérée</v>
      </c>
    </row>
    <row r="2136" spans="1:13">
      <c r="A2136" t="s">
        <v>115</v>
      </c>
      <c r="B2136" s="11">
        <v>94</v>
      </c>
      <c r="C2136" t="s">
        <v>116</v>
      </c>
      <c r="D2136" t="s">
        <v>22</v>
      </c>
      <c r="E2136" t="s">
        <v>726</v>
      </c>
      <c r="F2136" t="s">
        <v>92</v>
      </c>
      <c r="G2136" s="12">
        <v>80</v>
      </c>
      <c r="H2136" s="12">
        <v>1356</v>
      </c>
      <c r="I2136" s="12">
        <v>90</v>
      </c>
      <c r="J2136" t="str">
        <f>VLOOKUP(B2136,Paramètres!$A$4:$C$11,3,FALSE)</f>
        <v>Petite couronne</v>
      </c>
      <c r="K2136" s="13">
        <f>IFERROR(H2136/G2136,"")</f>
        <v>16.95</v>
      </c>
      <c r="L2136" s="14">
        <f>IFERROR(I2136/G2136,"")</f>
        <v>1.125</v>
      </c>
      <c r="M2136" s="11" t="str">
        <f>IF(K2136&gt;=Paramètres!$F$6,"Très forte",IF(K2136&gt;=Paramètres!$F$5,"Forte",IF(K2136&gt;=Paramètres!$F$4,"Modérée","Faible")))</f>
        <v>Modérée</v>
      </c>
    </row>
    <row r="2137" spans="1:13">
      <c r="A2137" t="s">
        <v>152</v>
      </c>
      <c r="B2137" s="11">
        <v>75</v>
      </c>
      <c r="C2137" t="s">
        <v>86</v>
      </c>
      <c r="D2137" t="s">
        <v>22</v>
      </c>
      <c r="E2137" t="s">
        <v>452</v>
      </c>
      <c r="F2137" t="s">
        <v>92</v>
      </c>
      <c r="G2137" s="12">
        <v>30</v>
      </c>
      <c r="H2137" s="12">
        <v>508</v>
      </c>
      <c r="I2137" s="12">
        <v>30</v>
      </c>
      <c r="J2137" t="str">
        <f>VLOOKUP(B2137,Paramètres!$A$4:$C$11,3,FALSE)</f>
        <v>Paris</v>
      </c>
      <c r="K2137" s="13">
        <f>IFERROR(H2137/G2137,"")</f>
        <v>16.933333333333334</v>
      </c>
      <c r="L2137" s="14">
        <f>IFERROR(I2137/G2137,"")</f>
        <v>1</v>
      </c>
      <c r="M2137" s="11" t="str">
        <f>IF(K2137&gt;=Paramètres!$F$6,"Très forte",IF(K2137&gt;=Paramètres!$F$5,"Forte",IF(K2137&gt;=Paramètres!$F$4,"Modérée","Faible")))</f>
        <v>Modérée</v>
      </c>
    </row>
    <row r="2138" spans="1:13">
      <c r="A2138" t="s">
        <v>97</v>
      </c>
      <c r="B2138" s="11">
        <v>92</v>
      </c>
      <c r="C2138" t="s">
        <v>94</v>
      </c>
      <c r="D2138" t="s">
        <v>22</v>
      </c>
      <c r="E2138" t="s">
        <v>761</v>
      </c>
      <c r="F2138" t="s">
        <v>92</v>
      </c>
      <c r="G2138" s="12">
        <v>15</v>
      </c>
      <c r="H2138" s="12">
        <v>254</v>
      </c>
      <c r="I2138" s="12">
        <v>16</v>
      </c>
      <c r="J2138" t="str">
        <f>VLOOKUP(B2138,Paramètres!$A$4:$C$11,3,FALSE)</f>
        <v>Petite couronne</v>
      </c>
      <c r="K2138" s="13">
        <f>IFERROR(H2138/G2138,"")</f>
        <v>16.933333333333334</v>
      </c>
      <c r="L2138" s="14">
        <f>IFERROR(I2138/G2138,"")</f>
        <v>1.0666666666666667</v>
      </c>
      <c r="M2138" s="11" t="str">
        <f>IF(K2138&gt;=Paramètres!$F$6,"Très forte",IF(K2138&gt;=Paramètres!$F$5,"Forte",IF(K2138&gt;=Paramètres!$F$4,"Modérée","Faible")))</f>
        <v>Modérée</v>
      </c>
    </row>
    <row r="2139" spans="1:13">
      <c r="A2139" t="s">
        <v>148</v>
      </c>
      <c r="B2139" s="11">
        <v>75</v>
      </c>
      <c r="C2139" t="s">
        <v>86</v>
      </c>
      <c r="D2139" t="s">
        <v>22</v>
      </c>
      <c r="E2139" t="s">
        <v>486</v>
      </c>
      <c r="F2139" t="s">
        <v>92</v>
      </c>
      <c r="G2139" s="12">
        <v>20</v>
      </c>
      <c r="H2139" s="12">
        <v>338</v>
      </c>
      <c r="I2139" s="12">
        <v>20</v>
      </c>
      <c r="J2139" t="str">
        <f>VLOOKUP(B2139,Paramètres!$A$4:$C$11,3,FALSE)</f>
        <v>Paris</v>
      </c>
      <c r="K2139" s="13">
        <f>IFERROR(H2139/G2139,"")</f>
        <v>16.899999999999999</v>
      </c>
      <c r="L2139" s="14">
        <f>IFERROR(I2139/G2139,"")</f>
        <v>1</v>
      </c>
      <c r="M2139" s="11" t="str">
        <f>IF(K2139&gt;=Paramètres!$F$6,"Très forte",IF(K2139&gt;=Paramètres!$F$5,"Forte",IF(K2139&gt;=Paramètres!$F$4,"Modérée","Faible")))</f>
        <v>Modérée</v>
      </c>
    </row>
    <row r="2140" spans="1:13">
      <c r="A2140" t="s">
        <v>97</v>
      </c>
      <c r="B2140" s="11">
        <v>92</v>
      </c>
      <c r="C2140" t="s">
        <v>94</v>
      </c>
      <c r="D2140" t="s">
        <v>22</v>
      </c>
      <c r="E2140" t="s">
        <v>164</v>
      </c>
      <c r="F2140" t="s">
        <v>88</v>
      </c>
      <c r="G2140" s="12">
        <v>778</v>
      </c>
      <c r="H2140" s="12">
        <v>13114</v>
      </c>
      <c r="I2140" s="12">
        <v>778</v>
      </c>
      <c r="J2140" t="str">
        <f>VLOOKUP(B2140,Paramètres!$A$4:$C$11,3,FALSE)</f>
        <v>Petite couronne</v>
      </c>
      <c r="K2140" s="13">
        <f>IFERROR(H2140/G2140,"")</f>
        <v>16.8560411311054</v>
      </c>
      <c r="L2140" s="14">
        <f>IFERROR(I2140/G2140,"")</f>
        <v>1</v>
      </c>
      <c r="M2140" s="11" t="str">
        <f>IF(K2140&gt;=Paramètres!$F$6,"Très forte",IF(K2140&gt;=Paramètres!$F$5,"Forte",IF(K2140&gt;=Paramètres!$F$4,"Modérée","Faible")))</f>
        <v>Modérée</v>
      </c>
    </row>
    <row r="2141" spans="1:13">
      <c r="A2141" t="s">
        <v>344</v>
      </c>
      <c r="B2141" s="11">
        <v>78</v>
      </c>
      <c r="C2141" t="s">
        <v>135</v>
      </c>
      <c r="D2141" t="s">
        <v>22</v>
      </c>
      <c r="E2141" t="s">
        <v>345</v>
      </c>
      <c r="F2141" t="s">
        <v>92</v>
      </c>
      <c r="G2141" s="12">
        <v>32</v>
      </c>
      <c r="H2141" s="12">
        <v>537</v>
      </c>
      <c r="I2141" s="12">
        <v>31</v>
      </c>
      <c r="J2141" t="str">
        <f>VLOOKUP(B2141,Paramètres!$A$4:$C$11,3,FALSE)</f>
        <v>Grande couronne</v>
      </c>
      <c r="K2141" s="13">
        <f>IFERROR(H2141/G2141,"")</f>
        <v>16.78125</v>
      </c>
      <c r="L2141" s="14">
        <f>IFERROR(I2141/G2141,"")</f>
        <v>0.96875</v>
      </c>
      <c r="M2141" s="11" t="str">
        <f>IF(K2141&gt;=Paramètres!$F$6,"Très forte",IF(K2141&gt;=Paramètres!$F$5,"Forte",IF(K2141&gt;=Paramètres!$F$4,"Modérée","Faible")))</f>
        <v>Modérée</v>
      </c>
    </row>
    <row r="2142" spans="1:13">
      <c r="A2142" t="s">
        <v>127</v>
      </c>
      <c r="B2142" s="11">
        <v>75</v>
      </c>
      <c r="C2142" t="s">
        <v>86</v>
      </c>
      <c r="D2142" t="s">
        <v>22</v>
      </c>
      <c r="E2142" t="s">
        <v>231</v>
      </c>
      <c r="F2142" t="s">
        <v>88</v>
      </c>
      <c r="G2142" s="12">
        <v>130</v>
      </c>
      <c r="H2142" s="12">
        <v>2176</v>
      </c>
      <c r="I2142" s="12">
        <v>128</v>
      </c>
      <c r="J2142" t="str">
        <f>VLOOKUP(B2142,Paramètres!$A$4:$C$11,3,FALSE)</f>
        <v>Paris</v>
      </c>
      <c r="K2142" s="13">
        <f>IFERROR(H2142/G2142,"")</f>
        <v>16.738461538461539</v>
      </c>
      <c r="L2142" s="14">
        <f>IFERROR(I2142/G2142,"")</f>
        <v>0.98461538461538467</v>
      </c>
      <c r="M2142" s="11" t="str">
        <f>IF(K2142&gt;=Paramètres!$F$6,"Très forte",IF(K2142&gt;=Paramètres!$F$5,"Forte",IF(K2142&gt;=Paramètres!$F$4,"Modérée","Faible")))</f>
        <v>Modérée</v>
      </c>
    </row>
    <row r="2143" spans="1:13">
      <c r="A2143" t="s">
        <v>148</v>
      </c>
      <c r="B2143" s="11">
        <v>75</v>
      </c>
      <c r="C2143" t="s">
        <v>86</v>
      </c>
      <c r="D2143" t="s">
        <v>22</v>
      </c>
      <c r="E2143" t="s">
        <v>149</v>
      </c>
      <c r="F2143" t="s">
        <v>92</v>
      </c>
      <c r="G2143" s="12">
        <v>31</v>
      </c>
      <c r="H2143" s="12">
        <v>518</v>
      </c>
      <c r="I2143" s="12">
        <v>31</v>
      </c>
      <c r="J2143" t="str">
        <f>VLOOKUP(B2143,Paramètres!$A$4:$C$11,3,FALSE)</f>
        <v>Paris</v>
      </c>
      <c r="K2143" s="13">
        <f>IFERROR(H2143/G2143,"")</f>
        <v>16.70967741935484</v>
      </c>
      <c r="L2143" s="14">
        <f>IFERROR(I2143/G2143,"")</f>
        <v>1</v>
      </c>
      <c r="M2143" s="11" t="str">
        <f>IF(K2143&gt;=Paramètres!$F$6,"Très forte",IF(K2143&gt;=Paramètres!$F$5,"Forte",IF(K2143&gt;=Paramètres!$F$4,"Modérée","Faible")))</f>
        <v>Modérée</v>
      </c>
    </row>
    <row r="2144" spans="1:13">
      <c r="A2144" t="s">
        <v>190</v>
      </c>
      <c r="B2144" s="11">
        <v>75</v>
      </c>
      <c r="C2144" t="s">
        <v>86</v>
      </c>
      <c r="D2144" t="s">
        <v>22</v>
      </c>
      <c r="E2144" t="s">
        <v>791</v>
      </c>
      <c r="F2144" t="s">
        <v>92</v>
      </c>
      <c r="G2144" s="12">
        <v>220</v>
      </c>
      <c r="H2144" s="12">
        <v>3669</v>
      </c>
      <c r="I2144" s="12">
        <v>244</v>
      </c>
      <c r="J2144" t="str">
        <f>VLOOKUP(B2144,Paramètres!$A$4:$C$11,3,FALSE)</f>
        <v>Paris</v>
      </c>
      <c r="K2144" s="13">
        <f>IFERROR(H2144/G2144,"")</f>
        <v>16.677272727272726</v>
      </c>
      <c r="L2144" s="14">
        <f>IFERROR(I2144/G2144,"")</f>
        <v>1.1090909090909091</v>
      </c>
      <c r="M2144" s="11" t="str">
        <f>IF(K2144&gt;=Paramètres!$F$6,"Très forte",IF(K2144&gt;=Paramètres!$F$5,"Forte",IF(K2144&gt;=Paramètres!$F$4,"Modérée","Faible")))</f>
        <v>Modérée</v>
      </c>
    </row>
    <row r="2145" spans="1:13">
      <c r="A2145" t="s">
        <v>131</v>
      </c>
      <c r="B2145" s="11">
        <v>77</v>
      </c>
      <c r="C2145" t="s">
        <v>132</v>
      </c>
      <c r="D2145" t="s">
        <v>22</v>
      </c>
      <c r="E2145" t="s">
        <v>693</v>
      </c>
      <c r="F2145" t="s">
        <v>92</v>
      </c>
      <c r="G2145" s="12">
        <v>60</v>
      </c>
      <c r="H2145" s="12">
        <v>1000</v>
      </c>
      <c r="I2145" s="12">
        <v>59</v>
      </c>
      <c r="J2145" t="str">
        <f>VLOOKUP(B2145,Paramètres!$A$4:$C$11,3,FALSE)</f>
        <v>Grande couronne</v>
      </c>
      <c r="K2145" s="13">
        <f>IFERROR(H2145/G2145,"")</f>
        <v>16.666666666666668</v>
      </c>
      <c r="L2145" s="14">
        <f>IFERROR(I2145/G2145,"")</f>
        <v>0.98333333333333328</v>
      </c>
      <c r="M2145" s="11" t="str">
        <f>IF(K2145&gt;=Paramètres!$F$6,"Très forte",IF(K2145&gt;=Paramètres!$F$5,"Forte",IF(K2145&gt;=Paramètres!$F$4,"Modérée","Faible")))</f>
        <v>Modérée</v>
      </c>
    </row>
    <row r="2146" spans="1:13">
      <c r="A2146" t="s">
        <v>97</v>
      </c>
      <c r="B2146" s="11">
        <v>92</v>
      </c>
      <c r="C2146" t="s">
        <v>94</v>
      </c>
      <c r="D2146" t="s">
        <v>22</v>
      </c>
      <c r="E2146" t="s">
        <v>625</v>
      </c>
      <c r="F2146" t="s">
        <v>92</v>
      </c>
      <c r="G2146" s="12">
        <v>30</v>
      </c>
      <c r="H2146" s="12">
        <v>499</v>
      </c>
      <c r="I2146" s="12">
        <v>30</v>
      </c>
      <c r="J2146" t="str">
        <f>VLOOKUP(B2146,Paramètres!$A$4:$C$11,3,FALSE)</f>
        <v>Petite couronne</v>
      </c>
      <c r="K2146" s="13">
        <f>IFERROR(H2146/G2146,"")</f>
        <v>16.633333333333333</v>
      </c>
      <c r="L2146" s="14">
        <f>IFERROR(I2146/G2146,"")</f>
        <v>1</v>
      </c>
      <c r="M2146" s="11" t="str">
        <f>IF(K2146&gt;=Paramètres!$F$6,"Très forte",IF(K2146&gt;=Paramètres!$F$5,"Forte",IF(K2146&gt;=Paramètres!$F$4,"Modérée","Faible")))</f>
        <v>Modérée</v>
      </c>
    </row>
    <row r="2147" spans="1:13">
      <c r="A2147" t="s">
        <v>97</v>
      </c>
      <c r="B2147" s="11">
        <v>92</v>
      </c>
      <c r="C2147" t="s">
        <v>94</v>
      </c>
      <c r="D2147" t="s">
        <v>22</v>
      </c>
      <c r="E2147" t="s">
        <v>165</v>
      </c>
      <c r="F2147" t="s">
        <v>88</v>
      </c>
      <c r="G2147" s="12">
        <v>92</v>
      </c>
      <c r="H2147" s="12">
        <v>1518</v>
      </c>
      <c r="I2147" s="12">
        <v>90</v>
      </c>
      <c r="J2147" t="str">
        <f>VLOOKUP(B2147,Paramètres!$A$4:$C$11,3,FALSE)</f>
        <v>Petite couronne</v>
      </c>
      <c r="K2147" s="13">
        <f>IFERROR(H2147/G2147,"")</f>
        <v>16.5</v>
      </c>
      <c r="L2147" s="14">
        <f>IFERROR(I2147/G2147,"")</f>
        <v>0.97826086956521741</v>
      </c>
      <c r="M2147" s="11" t="str">
        <f>IF(K2147&gt;=Paramètres!$F$6,"Très forte",IF(K2147&gt;=Paramètres!$F$5,"Forte",IF(K2147&gt;=Paramètres!$F$4,"Modérée","Faible")))</f>
        <v>Modérée</v>
      </c>
    </row>
    <row r="2148" spans="1:13">
      <c r="A2148" t="s">
        <v>97</v>
      </c>
      <c r="B2148" s="11">
        <v>92</v>
      </c>
      <c r="C2148" t="s">
        <v>94</v>
      </c>
      <c r="D2148" t="s">
        <v>22</v>
      </c>
      <c r="E2148" t="s">
        <v>296</v>
      </c>
      <c r="F2148" t="s">
        <v>88</v>
      </c>
      <c r="G2148" s="12">
        <v>170</v>
      </c>
      <c r="H2148" s="12">
        <v>2804</v>
      </c>
      <c r="I2148" s="12">
        <v>168</v>
      </c>
      <c r="J2148" t="str">
        <f>VLOOKUP(B2148,Paramètres!$A$4:$C$11,3,FALSE)</f>
        <v>Petite couronne</v>
      </c>
      <c r="K2148" s="13">
        <f>IFERROR(H2148/G2148,"")</f>
        <v>16.494117647058822</v>
      </c>
      <c r="L2148" s="14">
        <f>IFERROR(I2148/G2148,"")</f>
        <v>0.9882352941176471</v>
      </c>
      <c r="M2148" s="11" t="str">
        <f>IF(K2148&gt;=Paramètres!$F$6,"Très forte",IF(K2148&gt;=Paramètres!$F$5,"Forte",IF(K2148&gt;=Paramètres!$F$4,"Modérée","Faible")))</f>
        <v>Modérée</v>
      </c>
    </row>
    <row r="2149" spans="1:13">
      <c r="A2149" t="s">
        <v>257</v>
      </c>
      <c r="B2149" s="11">
        <v>92</v>
      </c>
      <c r="C2149" t="s">
        <v>94</v>
      </c>
      <c r="D2149" t="s">
        <v>22</v>
      </c>
      <c r="E2149" t="s">
        <v>751</v>
      </c>
      <c r="F2149" t="s">
        <v>92</v>
      </c>
      <c r="G2149" s="12">
        <v>30</v>
      </c>
      <c r="H2149" s="12">
        <v>494</v>
      </c>
      <c r="I2149" s="12">
        <v>34</v>
      </c>
      <c r="J2149" t="str">
        <f>VLOOKUP(B2149,Paramètres!$A$4:$C$11,3,FALSE)</f>
        <v>Petite couronne</v>
      </c>
      <c r="K2149" s="13">
        <f>IFERROR(H2149/G2149,"")</f>
        <v>16.466666666666665</v>
      </c>
      <c r="L2149" s="14">
        <f>IFERROR(I2149/G2149,"")</f>
        <v>1.1333333333333333</v>
      </c>
      <c r="M2149" s="11" t="str">
        <f>IF(K2149&gt;=Paramètres!$F$6,"Très forte",IF(K2149&gt;=Paramètres!$F$5,"Forte",IF(K2149&gt;=Paramètres!$F$4,"Modérée","Faible")))</f>
        <v>Modérée</v>
      </c>
    </row>
    <row r="2150" spans="1:13">
      <c r="A2150" t="s">
        <v>119</v>
      </c>
      <c r="B2150" s="11">
        <v>75</v>
      </c>
      <c r="C2150" t="s">
        <v>86</v>
      </c>
      <c r="D2150" t="s">
        <v>22</v>
      </c>
      <c r="E2150" t="s">
        <v>505</v>
      </c>
      <c r="F2150" t="s">
        <v>92</v>
      </c>
      <c r="G2150" s="12">
        <v>40</v>
      </c>
      <c r="H2150" s="12">
        <v>654</v>
      </c>
      <c r="I2150" s="12">
        <v>40</v>
      </c>
      <c r="J2150" t="str">
        <f>VLOOKUP(B2150,Paramètres!$A$4:$C$11,3,FALSE)</f>
        <v>Paris</v>
      </c>
      <c r="K2150" s="13">
        <f>IFERROR(H2150/G2150,"")</f>
        <v>16.350000000000001</v>
      </c>
      <c r="L2150" s="14">
        <f>IFERROR(I2150/G2150,"")</f>
        <v>1</v>
      </c>
      <c r="M2150" s="11" t="str">
        <f>IF(K2150&gt;=Paramètres!$F$6,"Très forte",IF(K2150&gt;=Paramètres!$F$5,"Forte",IF(K2150&gt;=Paramètres!$F$4,"Modérée","Faible")))</f>
        <v>Modérée</v>
      </c>
    </row>
    <row r="2151" spans="1:13">
      <c r="A2151" t="s">
        <v>104</v>
      </c>
      <c r="B2151" s="11">
        <v>91</v>
      </c>
      <c r="C2151" t="s">
        <v>105</v>
      </c>
      <c r="D2151" t="s">
        <v>22</v>
      </c>
      <c r="E2151" t="s">
        <v>333</v>
      </c>
      <c r="F2151" t="s">
        <v>88</v>
      </c>
      <c r="G2151" s="12">
        <v>75</v>
      </c>
      <c r="H2151" s="12">
        <v>1217</v>
      </c>
      <c r="I2151" s="12">
        <v>75</v>
      </c>
      <c r="J2151" t="str">
        <f>VLOOKUP(B2151,Paramètres!$A$4:$C$11,3,FALSE)</f>
        <v>Grande couronne</v>
      </c>
      <c r="K2151" s="13">
        <f>IFERROR(H2151/G2151,"")</f>
        <v>16.226666666666667</v>
      </c>
      <c r="L2151" s="14">
        <f>IFERROR(I2151/G2151,"")</f>
        <v>1</v>
      </c>
      <c r="M2151" s="11" t="str">
        <f>IF(K2151&gt;=Paramètres!$F$6,"Très forte",IF(K2151&gt;=Paramètres!$F$5,"Forte",IF(K2151&gt;=Paramètres!$F$4,"Modérée","Faible")))</f>
        <v>Modérée</v>
      </c>
    </row>
    <row r="2152" spans="1:13">
      <c r="A2152" t="s">
        <v>162</v>
      </c>
      <c r="B2152" s="11">
        <v>91</v>
      </c>
      <c r="C2152" t="s">
        <v>105</v>
      </c>
      <c r="D2152" t="s">
        <v>22</v>
      </c>
      <c r="E2152" t="s">
        <v>591</v>
      </c>
      <c r="F2152" t="s">
        <v>88</v>
      </c>
      <c r="G2152" s="12">
        <v>110</v>
      </c>
      <c r="H2152" s="12">
        <v>1777</v>
      </c>
      <c r="I2152" s="12">
        <v>106</v>
      </c>
      <c r="J2152" t="str">
        <f>VLOOKUP(B2152,Paramètres!$A$4:$C$11,3,FALSE)</f>
        <v>Grande couronne</v>
      </c>
      <c r="K2152" s="13">
        <f>IFERROR(H2152/G2152,"")</f>
        <v>16.154545454545456</v>
      </c>
      <c r="L2152" s="14">
        <f>IFERROR(I2152/G2152,"")</f>
        <v>0.96363636363636362</v>
      </c>
      <c r="M2152" s="11" t="str">
        <f>IF(K2152&gt;=Paramètres!$F$6,"Très forte",IF(K2152&gt;=Paramètres!$F$5,"Forte",IF(K2152&gt;=Paramètres!$F$4,"Modérée","Faible")))</f>
        <v>Modérée</v>
      </c>
    </row>
    <row r="2153" spans="1:13">
      <c r="A2153" t="s">
        <v>110</v>
      </c>
      <c r="B2153" s="11">
        <v>75</v>
      </c>
      <c r="C2153" t="s">
        <v>86</v>
      </c>
      <c r="D2153" t="s">
        <v>22</v>
      </c>
      <c r="E2153" t="s">
        <v>305</v>
      </c>
      <c r="F2153" t="s">
        <v>92</v>
      </c>
      <c r="G2153" s="12">
        <v>13</v>
      </c>
      <c r="H2153" s="12">
        <v>210</v>
      </c>
      <c r="I2153" s="12">
        <v>11</v>
      </c>
      <c r="J2153" t="str">
        <f>VLOOKUP(B2153,Paramètres!$A$4:$C$11,3,FALSE)</f>
        <v>Paris</v>
      </c>
      <c r="K2153" s="13">
        <f>IFERROR(H2153/G2153,"")</f>
        <v>16.153846153846153</v>
      </c>
      <c r="L2153" s="14">
        <f>IFERROR(I2153/G2153,"")</f>
        <v>0.84615384615384615</v>
      </c>
      <c r="M2153" s="11" t="str">
        <f>IF(K2153&gt;=Paramètres!$F$6,"Très forte",IF(K2153&gt;=Paramètres!$F$5,"Forte",IF(K2153&gt;=Paramètres!$F$4,"Modérée","Faible")))</f>
        <v>Modérée</v>
      </c>
    </row>
    <row r="2154" spans="1:13">
      <c r="A2154" t="s">
        <v>115</v>
      </c>
      <c r="B2154" s="11">
        <v>94</v>
      </c>
      <c r="C2154" t="s">
        <v>116</v>
      </c>
      <c r="D2154" t="s">
        <v>22</v>
      </c>
      <c r="E2154" t="s">
        <v>621</v>
      </c>
      <c r="F2154" t="s">
        <v>92</v>
      </c>
      <c r="G2154" s="12">
        <v>90</v>
      </c>
      <c r="H2154" s="12">
        <v>1447</v>
      </c>
      <c r="I2154" s="12">
        <v>89</v>
      </c>
      <c r="J2154" t="str">
        <f>VLOOKUP(B2154,Paramètres!$A$4:$C$11,3,FALSE)</f>
        <v>Petite couronne</v>
      </c>
      <c r="K2154" s="13">
        <f>IFERROR(H2154/G2154,"")</f>
        <v>16.077777777777779</v>
      </c>
      <c r="L2154" s="14">
        <f>IFERROR(I2154/G2154,"")</f>
        <v>0.98888888888888893</v>
      </c>
      <c r="M2154" s="11" t="str">
        <f>IF(K2154&gt;=Paramètres!$F$6,"Très forte",IF(K2154&gt;=Paramètres!$F$5,"Forte",IF(K2154&gt;=Paramètres!$F$4,"Modérée","Faible")))</f>
        <v>Modérée</v>
      </c>
    </row>
    <row r="2155" spans="1:13">
      <c r="A2155" t="s">
        <v>115</v>
      </c>
      <c r="B2155" s="11">
        <v>94</v>
      </c>
      <c r="C2155" t="s">
        <v>116</v>
      </c>
      <c r="D2155" t="s">
        <v>22</v>
      </c>
      <c r="E2155" t="s">
        <v>322</v>
      </c>
      <c r="F2155" t="s">
        <v>88</v>
      </c>
      <c r="G2155" s="12">
        <v>10</v>
      </c>
      <c r="H2155" s="12">
        <v>160</v>
      </c>
      <c r="I2155" s="12">
        <v>10</v>
      </c>
      <c r="J2155" t="str">
        <f>VLOOKUP(B2155,Paramètres!$A$4:$C$11,3,FALSE)</f>
        <v>Petite couronne</v>
      </c>
      <c r="K2155" s="13">
        <f>IFERROR(H2155/G2155,"")</f>
        <v>16</v>
      </c>
      <c r="L2155" s="14">
        <f>IFERROR(I2155/G2155,"")</f>
        <v>1</v>
      </c>
      <c r="M2155" s="11" t="str">
        <f>IF(K2155&gt;=Paramètres!$F$6,"Très forte",IF(K2155&gt;=Paramètres!$F$5,"Forte",IF(K2155&gt;=Paramètres!$F$4,"Modérée","Faible")))</f>
        <v>Modérée</v>
      </c>
    </row>
    <row r="2156" spans="1:13">
      <c r="A2156" t="s">
        <v>97</v>
      </c>
      <c r="B2156" s="11">
        <v>92</v>
      </c>
      <c r="C2156" t="s">
        <v>94</v>
      </c>
      <c r="D2156" t="s">
        <v>22</v>
      </c>
      <c r="E2156" t="s">
        <v>133</v>
      </c>
      <c r="F2156" t="s">
        <v>88</v>
      </c>
      <c r="G2156" s="12">
        <v>390</v>
      </c>
      <c r="H2156" s="12">
        <v>6233</v>
      </c>
      <c r="I2156" s="12">
        <v>389</v>
      </c>
      <c r="J2156" t="str">
        <f>VLOOKUP(B2156,Paramètres!$A$4:$C$11,3,FALSE)</f>
        <v>Petite couronne</v>
      </c>
      <c r="K2156" s="13">
        <f>IFERROR(H2156/G2156,"")</f>
        <v>15.982051282051282</v>
      </c>
      <c r="L2156" s="14">
        <f>IFERROR(I2156/G2156,"")</f>
        <v>0.99743589743589745</v>
      </c>
      <c r="M2156" s="11" t="str">
        <f>IF(K2156&gt;=Paramètres!$F$6,"Très forte",IF(K2156&gt;=Paramètres!$F$5,"Forte",IF(K2156&gt;=Paramètres!$F$4,"Modérée","Faible")))</f>
        <v>Modérée</v>
      </c>
    </row>
    <row r="2157" spans="1:13">
      <c r="A2157" t="s">
        <v>152</v>
      </c>
      <c r="B2157" s="11">
        <v>75</v>
      </c>
      <c r="C2157" t="s">
        <v>86</v>
      </c>
      <c r="D2157" t="s">
        <v>22</v>
      </c>
      <c r="E2157" t="s">
        <v>222</v>
      </c>
      <c r="F2157" t="s">
        <v>88</v>
      </c>
      <c r="G2157" s="12">
        <v>250</v>
      </c>
      <c r="H2157" s="12">
        <v>3987</v>
      </c>
      <c r="I2157" s="12">
        <v>248</v>
      </c>
      <c r="J2157" t="str">
        <f>VLOOKUP(B2157,Paramètres!$A$4:$C$11,3,FALSE)</f>
        <v>Paris</v>
      </c>
      <c r="K2157" s="13">
        <f>IFERROR(H2157/G2157,"")</f>
        <v>15.948</v>
      </c>
      <c r="L2157" s="14">
        <f>IFERROR(I2157/G2157,"")</f>
        <v>0.99199999999999999</v>
      </c>
      <c r="M2157" s="11" t="str">
        <f>IF(K2157&gt;=Paramètres!$F$6,"Très forte",IF(K2157&gt;=Paramètres!$F$5,"Forte",IF(K2157&gt;=Paramètres!$F$4,"Modérée","Faible")))</f>
        <v>Modérée</v>
      </c>
    </row>
    <row r="2158" spans="1:13">
      <c r="A2158" t="s">
        <v>110</v>
      </c>
      <c r="B2158" s="11">
        <v>75</v>
      </c>
      <c r="C2158" t="s">
        <v>86</v>
      </c>
      <c r="D2158" t="s">
        <v>22</v>
      </c>
      <c r="E2158" t="s">
        <v>568</v>
      </c>
      <c r="F2158" t="s">
        <v>92</v>
      </c>
      <c r="G2158" s="12">
        <v>10</v>
      </c>
      <c r="H2158" s="12">
        <v>159</v>
      </c>
      <c r="I2158" s="12">
        <v>5</v>
      </c>
      <c r="J2158" t="str">
        <f>VLOOKUP(B2158,Paramètres!$A$4:$C$11,3,FALSE)</f>
        <v>Paris</v>
      </c>
      <c r="K2158" s="13">
        <f>IFERROR(H2158/G2158,"")</f>
        <v>15.9</v>
      </c>
      <c r="L2158" s="14">
        <f>IFERROR(I2158/G2158,"")</f>
        <v>0.5</v>
      </c>
      <c r="M2158" s="11" t="str">
        <f>IF(K2158&gt;=Paramètres!$F$6,"Très forte",IF(K2158&gt;=Paramètres!$F$5,"Forte",IF(K2158&gt;=Paramètres!$F$4,"Modérée","Faible")))</f>
        <v>Modérée</v>
      </c>
    </row>
    <row r="2159" spans="1:13">
      <c r="A2159" t="s">
        <v>131</v>
      </c>
      <c r="B2159" s="11">
        <v>77</v>
      </c>
      <c r="C2159" t="s">
        <v>132</v>
      </c>
      <c r="D2159" t="s">
        <v>22</v>
      </c>
      <c r="E2159" t="s">
        <v>133</v>
      </c>
      <c r="F2159" t="s">
        <v>88</v>
      </c>
      <c r="G2159" s="12">
        <v>175</v>
      </c>
      <c r="H2159" s="12">
        <v>2777</v>
      </c>
      <c r="I2159" s="12">
        <v>173</v>
      </c>
      <c r="J2159" t="str">
        <f>VLOOKUP(B2159,Paramètres!$A$4:$C$11,3,FALSE)</f>
        <v>Grande couronne</v>
      </c>
      <c r="K2159" s="13">
        <f>IFERROR(H2159/G2159,"")</f>
        <v>15.868571428571428</v>
      </c>
      <c r="L2159" s="14">
        <f>IFERROR(I2159/G2159,"")</f>
        <v>0.98857142857142855</v>
      </c>
      <c r="M2159" s="11" t="str">
        <f>IF(K2159&gt;=Paramètres!$F$6,"Très forte",IF(K2159&gt;=Paramètres!$F$5,"Forte",IF(K2159&gt;=Paramètres!$F$4,"Modérée","Faible")))</f>
        <v>Modérée</v>
      </c>
    </row>
    <row r="2160" spans="1:13">
      <c r="A2160" t="s">
        <v>104</v>
      </c>
      <c r="B2160" s="11">
        <v>91</v>
      </c>
      <c r="C2160" t="s">
        <v>105</v>
      </c>
      <c r="D2160" t="s">
        <v>22</v>
      </c>
      <c r="E2160" t="s">
        <v>729</v>
      </c>
      <c r="F2160" t="s">
        <v>88</v>
      </c>
      <c r="G2160" s="12">
        <v>20</v>
      </c>
      <c r="H2160" s="12">
        <v>317</v>
      </c>
      <c r="I2160" s="12">
        <v>20</v>
      </c>
      <c r="J2160" t="str">
        <f>VLOOKUP(B2160,Paramètres!$A$4:$C$11,3,FALSE)</f>
        <v>Grande couronne</v>
      </c>
      <c r="K2160" s="13">
        <f>IFERROR(H2160/G2160,"")</f>
        <v>15.85</v>
      </c>
      <c r="L2160" s="14">
        <f>IFERROR(I2160/G2160,"")</f>
        <v>1</v>
      </c>
      <c r="M2160" s="11" t="str">
        <f>IF(K2160&gt;=Paramètres!$F$6,"Très forte",IF(K2160&gt;=Paramètres!$F$5,"Forte",IF(K2160&gt;=Paramètres!$F$4,"Modérée","Faible")))</f>
        <v>Modérée</v>
      </c>
    </row>
    <row r="2161" spans="1:13">
      <c r="A2161" t="s">
        <v>127</v>
      </c>
      <c r="B2161" s="11">
        <v>75</v>
      </c>
      <c r="C2161" t="s">
        <v>86</v>
      </c>
      <c r="D2161" t="s">
        <v>22</v>
      </c>
      <c r="E2161" t="s">
        <v>166</v>
      </c>
      <c r="F2161" t="s">
        <v>88</v>
      </c>
      <c r="G2161" s="12">
        <v>200</v>
      </c>
      <c r="H2161" s="12">
        <v>3168</v>
      </c>
      <c r="I2161" s="12">
        <v>200</v>
      </c>
      <c r="J2161" t="str">
        <f>VLOOKUP(B2161,Paramètres!$A$4:$C$11,3,FALSE)</f>
        <v>Paris</v>
      </c>
      <c r="K2161" s="13">
        <f>IFERROR(H2161/G2161,"")</f>
        <v>15.84</v>
      </c>
      <c r="L2161" s="14">
        <f>IFERROR(I2161/G2161,"")</f>
        <v>1</v>
      </c>
      <c r="M2161" s="11" t="str">
        <f>IF(K2161&gt;=Paramètres!$F$6,"Très forte",IF(K2161&gt;=Paramètres!$F$5,"Forte",IF(K2161&gt;=Paramètres!$F$4,"Modérée","Faible")))</f>
        <v>Modérée</v>
      </c>
    </row>
    <row r="2162" spans="1:13">
      <c r="A2162" t="s">
        <v>265</v>
      </c>
      <c r="B2162" s="11">
        <v>93</v>
      </c>
      <c r="C2162" t="s">
        <v>100</v>
      </c>
      <c r="D2162" t="s">
        <v>22</v>
      </c>
      <c r="E2162" t="s">
        <v>177</v>
      </c>
      <c r="F2162" t="s">
        <v>88</v>
      </c>
      <c r="G2162" s="12">
        <v>330</v>
      </c>
      <c r="H2162" s="12">
        <v>5225</v>
      </c>
      <c r="I2162" s="12">
        <v>305</v>
      </c>
      <c r="J2162" t="str">
        <f>VLOOKUP(B2162,Paramètres!$A$4:$C$11,3,FALSE)</f>
        <v>Petite couronne</v>
      </c>
      <c r="K2162" s="13">
        <f>IFERROR(H2162/G2162,"")</f>
        <v>15.833333333333334</v>
      </c>
      <c r="L2162" s="14">
        <f>IFERROR(I2162/G2162,"")</f>
        <v>0.9242424242424242</v>
      </c>
      <c r="M2162" s="11" t="str">
        <f>IF(K2162&gt;=Paramètres!$F$6,"Très forte",IF(K2162&gt;=Paramètres!$F$5,"Forte",IF(K2162&gt;=Paramètres!$F$4,"Modérée","Faible")))</f>
        <v>Modérée</v>
      </c>
    </row>
    <row r="2163" spans="1:13">
      <c r="A2163" t="s">
        <v>265</v>
      </c>
      <c r="B2163" s="11">
        <v>93</v>
      </c>
      <c r="C2163" t="s">
        <v>100</v>
      </c>
      <c r="D2163" t="s">
        <v>22</v>
      </c>
      <c r="E2163" t="s">
        <v>599</v>
      </c>
      <c r="F2163" t="s">
        <v>88</v>
      </c>
      <c r="G2163" s="12">
        <v>95</v>
      </c>
      <c r="H2163" s="12">
        <v>1502</v>
      </c>
      <c r="I2163" s="12">
        <v>92</v>
      </c>
      <c r="J2163" t="str">
        <f>VLOOKUP(B2163,Paramètres!$A$4:$C$11,3,FALSE)</f>
        <v>Petite couronne</v>
      </c>
      <c r="K2163" s="13">
        <f>IFERROR(H2163/G2163,"")</f>
        <v>15.810526315789474</v>
      </c>
      <c r="L2163" s="14">
        <f>IFERROR(I2163/G2163,"")</f>
        <v>0.96842105263157896</v>
      </c>
      <c r="M2163" s="11" t="str">
        <f>IF(K2163&gt;=Paramètres!$F$6,"Très forte",IF(K2163&gt;=Paramètres!$F$5,"Forte",IF(K2163&gt;=Paramètres!$F$4,"Modérée","Faible")))</f>
        <v>Modérée</v>
      </c>
    </row>
    <row r="2164" spans="1:13">
      <c r="A2164" t="s">
        <v>257</v>
      </c>
      <c r="B2164" s="11">
        <v>92</v>
      </c>
      <c r="C2164" t="s">
        <v>94</v>
      </c>
      <c r="D2164" t="s">
        <v>22</v>
      </c>
      <c r="E2164" t="s">
        <v>469</v>
      </c>
      <c r="F2164" t="s">
        <v>88</v>
      </c>
      <c r="G2164" s="12">
        <v>335</v>
      </c>
      <c r="H2164" s="12">
        <v>5291</v>
      </c>
      <c r="I2164" s="12">
        <v>335</v>
      </c>
      <c r="J2164" t="str">
        <f>VLOOKUP(B2164,Paramètres!$A$4:$C$11,3,FALSE)</f>
        <v>Petite couronne</v>
      </c>
      <c r="K2164" s="13">
        <f>IFERROR(H2164/G2164,"")</f>
        <v>15.794029850746268</v>
      </c>
      <c r="L2164" s="14">
        <f>IFERROR(I2164/G2164,"")</f>
        <v>1</v>
      </c>
      <c r="M2164" s="11" t="str">
        <f>IF(K2164&gt;=Paramètres!$F$6,"Très forte",IF(K2164&gt;=Paramètres!$F$5,"Forte",IF(K2164&gt;=Paramètres!$F$4,"Modérée","Faible")))</f>
        <v>Modérée</v>
      </c>
    </row>
    <row r="2165" spans="1:13">
      <c r="A2165" t="s">
        <v>127</v>
      </c>
      <c r="B2165" s="11">
        <v>75</v>
      </c>
      <c r="C2165" t="s">
        <v>86</v>
      </c>
      <c r="D2165" t="s">
        <v>22</v>
      </c>
      <c r="E2165" t="s">
        <v>235</v>
      </c>
      <c r="F2165" t="s">
        <v>88</v>
      </c>
      <c r="G2165" s="12">
        <v>15</v>
      </c>
      <c r="H2165" s="12">
        <v>236</v>
      </c>
      <c r="I2165" s="12">
        <v>14</v>
      </c>
      <c r="J2165" t="str">
        <f>VLOOKUP(B2165,Paramètres!$A$4:$C$11,3,FALSE)</f>
        <v>Paris</v>
      </c>
      <c r="K2165" s="13">
        <f>IFERROR(H2165/G2165,"")</f>
        <v>15.733333333333333</v>
      </c>
      <c r="L2165" s="14">
        <f>IFERROR(I2165/G2165,"")</f>
        <v>0.93333333333333335</v>
      </c>
      <c r="M2165" s="11" t="str">
        <f>IF(K2165&gt;=Paramètres!$F$6,"Très forte",IF(K2165&gt;=Paramètres!$F$5,"Forte",IF(K2165&gt;=Paramètres!$F$4,"Modérée","Faible")))</f>
        <v>Modérée</v>
      </c>
    </row>
    <row r="2166" spans="1:13">
      <c r="A2166" t="s">
        <v>144</v>
      </c>
      <c r="B2166" s="11">
        <v>95</v>
      </c>
      <c r="C2166" t="s">
        <v>90</v>
      </c>
      <c r="D2166" t="s">
        <v>22</v>
      </c>
      <c r="E2166" t="s">
        <v>283</v>
      </c>
      <c r="F2166" t="s">
        <v>88</v>
      </c>
      <c r="G2166" s="12">
        <v>158</v>
      </c>
      <c r="H2166" s="12">
        <v>2482</v>
      </c>
      <c r="I2166" s="12">
        <v>157</v>
      </c>
      <c r="J2166" t="str">
        <f>VLOOKUP(B2166,Paramètres!$A$4:$C$11,3,FALSE)</f>
        <v>Grande couronne</v>
      </c>
      <c r="K2166" s="13">
        <f>IFERROR(H2166/G2166,"")</f>
        <v>15.708860759493671</v>
      </c>
      <c r="L2166" s="14">
        <f>IFERROR(I2166/G2166,"")</f>
        <v>0.99367088607594933</v>
      </c>
      <c r="M2166" s="11" t="str">
        <f>IF(K2166&gt;=Paramètres!$F$6,"Très forte",IF(K2166&gt;=Paramètres!$F$5,"Forte",IF(K2166&gt;=Paramètres!$F$4,"Modérée","Faible")))</f>
        <v>Modérée</v>
      </c>
    </row>
    <row r="2167" spans="1:13">
      <c r="A2167" t="s">
        <v>131</v>
      </c>
      <c r="B2167" s="11">
        <v>77</v>
      </c>
      <c r="C2167" t="s">
        <v>132</v>
      </c>
      <c r="D2167" t="s">
        <v>22</v>
      </c>
      <c r="E2167" t="s">
        <v>202</v>
      </c>
      <c r="F2167" t="s">
        <v>88</v>
      </c>
      <c r="G2167" s="12">
        <v>250</v>
      </c>
      <c r="H2167" s="12">
        <v>3922</v>
      </c>
      <c r="I2167" s="12">
        <v>252</v>
      </c>
      <c r="J2167" t="str">
        <f>VLOOKUP(B2167,Paramètres!$A$4:$C$11,3,FALSE)</f>
        <v>Grande couronne</v>
      </c>
      <c r="K2167" s="13">
        <f>IFERROR(H2167/G2167,"")</f>
        <v>15.688000000000001</v>
      </c>
      <c r="L2167" s="14">
        <f>IFERROR(I2167/G2167,"")</f>
        <v>1.008</v>
      </c>
      <c r="M2167" s="11" t="str">
        <f>IF(K2167&gt;=Paramètres!$F$6,"Très forte",IF(K2167&gt;=Paramètres!$F$5,"Forte",IF(K2167&gt;=Paramètres!$F$4,"Modérée","Faible")))</f>
        <v>Modérée</v>
      </c>
    </row>
    <row r="2168" spans="1:13">
      <c r="A2168" t="s">
        <v>119</v>
      </c>
      <c r="B2168" s="11">
        <v>75</v>
      </c>
      <c r="C2168" t="s">
        <v>86</v>
      </c>
      <c r="D2168" t="s">
        <v>22</v>
      </c>
      <c r="E2168" t="s">
        <v>289</v>
      </c>
      <c r="F2168" t="s">
        <v>92</v>
      </c>
      <c r="G2168" s="12">
        <v>15</v>
      </c>
      <c r="H2168" s="12">
        <v>234</v>
      </c>
      <c r="I2168" s="12">
        <v>11</v>
      </c>
      <c r="J2168" t="str">
        <f>VLOOKUP(B2168,Paramètres!$A$4:$C$11,3,FALSE)</f>
        <v>Paris</v>
      </c>
      <c r="K2168" s="13">
        <f>IFERROR(H2168/G2168,"")</f>
        <v>15.6</v>
      </c>
      <c r="L2168" s="14">
        <f>IFERROR(I2168/G2168,"")</f>
        <v>0.73333333333333328</v>
      </c>
      <c r="M2168" s="11" t="str">
        <f>IF(K2168&gt;=Paramètres!$F$6,"Très forte",IF(K2168&gt;=Paramètres!$F$5,"Forte",IF(K2168&gt;=Paramètres!$F$4,"Modérée","Faible")))</f>
        <v>Modérée</v>
      </c>
    </row>
    <row r="2169" spans="1:13">
      <c r="A2169" t="s">
        <v>127</v>
      </c>
      <c r="B2169" s="11">
        <v>75</v>
      </c>
      <c r="C2169" t="s">
        <v>86</v>
      </c>
      <c r="D2169" t="s">
        <v>22</v>
      </c>
      <c r="E2169" t="s">
        <v>230</v>
      </c>
      <c r="F2169" t="s">
        <v>88</v>
      </c>
      <c r="G2169" s="12">
        <v>10</v>
      </c>
      <c r="H2169" s="12">
        <v>155</v>
      </c>
      <c r="I2169" s="12">
        <v>10</v>
      </c>
      <c r="J2169" t="str">
        <f>VLOOKUP(B2169,Paramètres!$A$4:$C$11,3,FALSE)</f>
        <v>Paris</v>
      </c>
      <c r="K2169" s="13">
        <f>IFERROR(H2169/G2169,"")</f>
        <v>15.5</v>
      </c>
      <c r="L2169" s="14">
        <f>IFERROR(I2169/G2169,"")</f>
        <v>1</v>
      </c>
      <c r="M2169" s="11" t="str">
        <f>IF(K2169&gt;=Paramètres!$F$6,"Très forte",IF(K2169&gt;=Paramètres!$F$5,"Forte",IF(K2169&gt;=Paramètres!$F$4,"Modérée","Faible")))</f>
        <v>Modérée</v>
      </c>
    </row>
    <row r="2170" spans="1:13">
      <c r="A2170" t="s">
        <v>110</v>
      </c>
      <c r="B2170" s="11">
        <v>75</v>
      </c>
      <c r="C2170" t="s">
        <v>86</v>
      </c>
      <c r="D2170" t="s">
        <v>22</v>
      </c>
      <c r="E2170" t="s">
        <v>671</v>
      </c>
      <c r="F2170" t="s">
        <v>92</v>
      </c>
      <c r="G2170" s="12">
        <v>120</v>
      </c>
      <c r="H2170" s="12">
        <v>1855</v>
      </c>
      <c r="I2170" s="12">
        <v>118</v>
      </c>
      <c r="J2170" t="str">
        <f>VLOOKUP(B2170,Paramètres!$A$4:$C$11,3,FALSE)</f>
        <v>Paris</v>
      </c>
      <c r="K2170" s="13">
        <f>IFERROR(H2170/G2170,"")</f>
        <v>15.458333333333334</v>
      </c>
      <c r="L2170" s="14">
        <f>IFERROR(I2170/G2170,"")</f>
        <v>0.98333333333333328</v>
      </c>
      <c r="M2170" s="11" t="str">
        <f>IF(K2170&gt;=Paramètres!$F$6,"Très forte",IF(K2170&gt;=Paramètres!$F$5,"Forte",IF(K2170&gt;=Paramètres!$F$4,"Modérée","Faible")))</f>
        <v>Modérée</v>
      </c>
    </row>
    <row r="2171" spans="1:13">
      <c r="A2171" t="s">
        <v>127</v>
      </c>
      <c r="B2171" s="11">
        <v>75</v>
      </c>
      <c r="C2171" t="s">
        <v>86</v>
      </c>
      <c r="D2171" t="s">
        <v>22</v>
      </c>
      <c r="E2171" t="s">
        <v>235</v>
      </c>
      <c r="F2171" t="s">
        <v>88</v>
      </c>
      <c r="G2171" s="12">
        <v>53</v>
      </c>
      <c r="H2171" s="12">
        <v>818</v>
      </c>
      <c r="I2171" s="12">
        <v>53</v>
      </c>
      <c r="J2171" t="str">
        <f>VLOOKUP(B2171,Paramètres!$A$4:$C$11,3,FALSE)</f>
        <v>Paris</v>
      </c>
      <c r="K2171" s="13">
        <f>IFERROR(H2171/G2171,"")</f>
        <v>15.433962264150944</v>
      </c>
      <c r="L2171" s="14">
        <f>IFERROR(I2171/G2171,"")</f>
        <v>1</v>
      </c>
      <c r="M2171" s="11" t="str">
        <f>IF(K2171&gt;=Paramètres!$F$6,"Très forte",IF(K2171&gt;=Paramètres!$F$5,"Forte",IF(K2171&gt;=Paramètres!$F$4,"Modérée","Faible")))</f>
        <v>Modérée</v>
      </c>
    </row>
    <row r="2172" spans="1:13">
      <c r="A2172" t="s">
        <v>115</v>
      </c>
      <c r="B2172" s="11">
        <v>94</v>
      </c>
      <c r="C2172" t="s">
        <v>116</v>
      </c>
      <c r="D2172" t="s">
        <v>22</v>
      </c>
      <c r="E2172" t="s">
        <v>360</v>
      </c>
      <c r="F2172" t="s">
        <v>88</v>
      </c>
      <c r="G2172" s="12">
        <v>30</v>
      </c>
      <c r="H2172" s="12">
        <v>458</v>
      </c>
      <c r="I2172" s="12">
        <v>27</v>
      </c>
      <c r="J2172" t="str">
        <f>VLOOKUP(B2172,Paramètres!$A$4:$C$11,3,FALSE)</f>
        <v>Petite couronne</v>
      </c>
      <c r="K2172" s="13">
        <f>IFERROR(H2172/G2172,"")</f>
        <v>15.266666666666667</v>
      </c>
      <c r="L2172" s="14">
        <f>IFERROR(I2172/G2172,"")</f>
        <v>0.9</v>
      </c>
      <c r="M2172" s="11" t="str">
        <f>IF(K2172&gt;=Paramètres!$F$6,"Très forte",IF(K2172&gt;=Paramètres!$F$5,"Forte",IF(K2172&gt;=Paramètres!$F$4,"Modérée","Faible")))</f>
        <v>Modérée</v>
      </c>
    </row>
    <row r="2173" spans="1:13">
      <c r="A2173" t="s">
        <v>104</v>
      </c>
      <c r="B2173" s="11">
        <v>91</v>
      </c>
      <c r="C2173" t="s">
        <v>105</v>
      </c>
      <c r="D2173" t="s">
        <v>22</v>
      </c>
      <c r="E2173" t="s">
        <v>341</v>
      </c>
      <c r="F2173" t="s">
        <v>88</v>
      </c>
      <c r="G2173" s="12">
        <v>300</v>
      </c>
      <c r="H2173" s="12">
        <v>4575</v>
      </c>
      <c r="I2173" s="12">
        <v>295</v>
      </c>
      <c r="J2173" t="str">
        <f>VLOOKUP(B2173,Paramètres!$A$4:$C$11,3,FALSE)</f>
        <v>Grande couronne</v>
      </c>
      <c r="K2173" s="13">
        <f>IFERROR(H2173/G2173,"")</f>
        <v>15.25</v>
      </c>
      <c r="L2173" s="14">
        <f>IFERROR(I2173/G2173,"")</f>
        <v>0.98333333333333328</v>
      </c>
      <c r="M2173" s="11" t="str">
        <f>IF(K2173&gt;=Paramètres!$F$6,"Très forte",IF(K2173&gt;=Paramètres!$F$5,"Forte",IF(K2173&gt;=Paramètres!$F$4,"Modérée","Faible")))</f>
        <v>Modérée</v>
      </c>
    </row>
    <row r="2174" spans="1:13">
      <c r="A2174" t="s">
        <v>190</v>
      </c>
      <c r="B2174" s="11">
        <v>75</v>
      </c>
      <c r="C2174" t="s">
        <v>86</v>
      </c>
      <c r="D2174" t="s">
        <v>22</v>
      </c>
      <c r="E2174" t="s">
        <v>164</v>
      </c>
      <c r="F2174" t="s">
        <v>92</v>
      </c>
      <c r="G2174" s="12">
        <v>230</v>
      </c>
      <c r="H2174" s="12">
        <v>3496</v>
      </c>
      <c r="I2174" s="12">
        <v>258</v>
      </c>
      <c r="J2174" t="str">
        <f>VLOOKUP(B2174,Paramètres!$A$4:$C$11,3,FALSE)</f>
        <v>Paris</v>
      </c>
      <c r="K2174" s="13">
        <f>IFERROR(H2174/G2174,"")</f>
        <v>15.2</v>
      </c>
      <c r="L2174" s="14">
        <f>IFERROR(I2174/G2174,"")</f>
        <v>1.1217391304347826</v>
      </c>
      <c r="M2174" s="11" t="str">
        <f>IF(K2174&gt;=Paramètres!$F$6,"Très forte",IF(K2174&gt;=Paramètres!$F$5,"Forte",IF(K2174&gt;=Paramètres!$F$4,"Modérée","Faible")))</f>
        <v>Modérée</v>
      </c>
    </row>
    <row r="2175" spans="1:13">
      <c r="A2175" t="s">
        <v>99</v>
      </c>
      <c r="B2175" s="11">
        <v>93</v>
      </c>
      <c r="C2175" t="s">
        <v>100</v>
      </c>
      <c r="D2175" t="s">
        <v>22</v>
      </c>
      <c r="E2175" t="s">
        <v>552</v>
      </c>
      <c r="F2175" t="s">
        <v>88</v>
      </c>
      <c r="G2175" s="12">
        <v>300</v>
      </c>
      <c r="H2175" s="12">
        <v>4542</v>
      </c>
      <c r="I2175" s="12">
        <v>289</v>
      </c>
      <c r="J2175" t="str">
        <f>VLOOKUP(B2175,Paramètres!$A$4:$C$11,3,FALSE)</f>
        <v>Petite couronne</v>
      </c>
      <c r="K2175" s="13">
        <f>IFERROR(H2175/G2175,"")</f>
        <v>15.14</v>
      </c>
      <c r="L2175" s="14">
        <f>IFERROR(I2175/G2175,"")</f>
        <v>0.96333333333333337</v>
      </c>
      <c r="M2175" s="11" t="str">
        <f>IF(K2175&gt;=Paramètres!$F$6,"Très forte",IF(K2175&gt;=Paramètres!$F$5,"Forte",IF(K2175&gt;=Paramètres!$F$4,"Modérée","Faible")))</f>
        <v>Modérée</v>
      </c>
    </row>
    <row r="2176" spans="1:13">
      <c r="A2176" t="s">
        <v>97</v>
      </c>
      <c r="B2176" s="11">
        <v>92</v>
      </c>
      <c r="C2176" t="s">
        <v>94</v>
      </c>
      <c r="D2176" t="s">
        <v>22</v>
      </c>
      <c r="E2176" t="s">
        <v>543</v>
      </c>
      <c r="F2176" t="s">
        <v>92</v>
      </c>
      <c r="G2176" s="12">
        <v>35</v>
      </c>
      <c r="H2176" s="12">
        <v>526</v>
      </c>
      <c r="I2176" s="12">
        <v>35</v>
      </c>
      <c r="J2176" t="str">
        <f>VLOOKUP(B2176,Paramètres!$A$4:$C$11,3,FALSE)</f>
        <v>Petite couronne</v>
      </c>
      <c r="K2176" s="13">
        <f>IFERROR(H2176/G2176,"")</f>
        <v>15.028571428571428</v>
      </c>
      <c r="L2176" s="14">
        <f>IFERROR(I2176/G2176,"")</f>
        <v>1</v>
      </c>
      <c r="M2176" s="11" t="str">
        <f>IF(K2176&gt;=Paramètres!$F$6,"Très forte",IF(K2176&gt;=Paramètres!$F$5,"Forte",IF(K2176&gt;=Paramètres!$F$4,"Modérée","Faible")))</f>
        <v>Modérée</v>
      </c>
    </row>
    <row r="2177" spans="1:13">
      <c r="A2177" t="s">
        <v>127</v>
      </c>
      <c r="B2177" s="11">
        <v>75</v>
      </c>
      <c r="C2177" t="s">
        <v>86</v>
      </c>
      <c r="D2177" t="s">
        <v>22</v>
      </c>
      <c r="E2177" t="s">
        <v>234</v>
      </c>
      <c r="F2177" t="s">
        <v>88</v>
      </c>
      <c r="G2177" s="12">
        <v>85</v>
      </c>
      <c r="H2177" s="12">
        <v>1274</v>
      </c>
      <c r="I2177" s="12">
        <v>85</v>
      </c>
      <c r="J2177" t="str">
        <f>VLOOKUP(B2177,Paramètres!$A$4:$C$11,3,FALSE)</f>
        <v>Paris</v>
      </c>
      <c r="K2177" s="13">
        <f>IFERROR(H2177/G2177,"")</f>
        <v>14.988235294117647</v>
      </c>
      <c r="L2177" s="14">
        <f>IFERROR(I2177/G2177,"")</f>
        <v>1</v>
      </c>
      <c r="M2177" s="11" t="str">
        <f>IF(K2177&gt;=Paramètres!$F$6,"Très forte",IF(K2177&gt;=Paramètres!$F$5,"Forte",IF(K2177&gt;=Paramètres!$F$4,"Modérée","Faible")))</f>
        <v>Modérée</v>
      </c>
    </row>
    <row r="2178" spans="1:13">
      <c r="A2178" t="s">
        <v>131</v>
      </c>
      <c r="B2178" s="11">
        <v>77</v>
      </c>
      <c r="C2178" t="s">
        <v>132</v>
      </c>
      <c r="D2178" t="s">
        <v>22</v>
      </c>
      <c r="E2178" t="s">
        <v>394</v>
      </c>
      <c r="F2178" t="s">
        <v>88</v>
      </c>
      <c r="G2178" s="12">
        <v>70</v>
      </c>
      <c r="H2178" s="12">
        <v>1042</v>
      </c>
      <c r="I2178" s="12">
        <v>67</v>
      </c>
      <c r="J2178" t="str">
        <f>VLOOKUP(B2178,Paramètres!$A$4:$C$11,3,FALSE)</f>
        <v>Grande couronne</v>
      </c>
      <c r="K2178" s="13">
        <f>IFERROR(H2178/G2178,"")</f>
        <v>14.885714285714286</v>
      </c>
      <c r="L2178" s="14">
        <f>IFERROR(I2178/G2178,"")</f>
        <v>0.95714285714285718</v>
      </c>
      <c r="M2178" s="11" t="str">
        <f>IF(K2178&gt;=Paramètres!$F$6,"Très forte",IF(K2178&gt;=Paramètres!$F$5,"Forte",IF(K2178&gt;=Paramètres!$F$4,"Modérée","Faible")))</f>
        <v>Modérée</v>
      </c>
    </row>
    <row r="2179" spans="1:13">
      <c r="A2179" t="s">
        <v>119</v>
      </c>
      <c r="B2179" s="11">
        <v>75</v>
      </c>
      <c r="C2179" t="s">
        <v>86</v>
      </c>
      <c r="D2179" t="s">
        <v>22</v>
      </c>
      <c r="E2179" t="s">
        <v>296</v>
      </c>
      <c r="F2179" t="s">
        <v>88</v>
      </c>
      <c r="G2179" s="12">
        <v>135</v>
      </c>
      <c r="H2179" s="12">
        <v>2009</v>
      </c>
      <c r="I2179" s="12">
        <v>132</v>
      </c>
      <c r="J2179" t="str">
        <f>VLOOKUP(B2179,Paramètres!$A$4:$C$11,3,FALSE)</f>
        <v>Paris</v>
      </c>
      <c r="K2179" s="13">
        <f>IFERROR(H2179/G2179,"")</f>
        <v>14.881481481481481</v>
      </c>
      <c r="L2179" s="14">
        <f>IFERROR(I2179/G2179,"")</f>
        <v>0.97777777777777775</v>
      </c>
      <c r="M2179" s="11" t="str">
        <f>IF(K2179&gt;=Paramètres!$F$6,"Très forte",IF(K2179&gt;=Paramètres!$F$5,"Forte",IF(K2179&gt;=Paramètres!$F$4,"Modérée","Faible")))</f>
        <v>Modérée</v>
      </c>
    </row>
    <row r="2180" spans="1:13">
      <c r="A2180" t="s">
        <v>104</v>
      </c>
      <c r="B2180" s="11">
        <v>91</v>
      </c>
      <c r="C2180" t="s">
        <v>105</v>
      </c>
      <c r="D2180" t="s">
        <v>22</v>
      </c>
      <c r="E2180" t="s">
        <v>639</v>
      </c>
      <c r="F2180" t="s">
        <v>92</v>
      </c>
      <c r="G2180" s="12">
        <v>15</v>
      </c>
      <c r="H2180" s="12">
        <v>223</v>
      </c>
      <c r="I2180" s="12">
        <v>15</v>
      </c>
      <c r="J2180" t="str">
        <f>VLOOKUP(B2180,Paramètres!$A$4:$C$11,3,FALSE)</f>
        <v>Grande couronne</v>
      </c>
      <c r="K2180" s="13">
        <f>IFERROR(H2180/G2180,"")</f>
        <v>14.866666666666667</v>
      </c>
      <c r="L2180" s="14">
        <f>IFERROR(I2180/G2180,"")</f>
        <v>1</v>
      </c>
      <c r="M2180" s="11" t="str">
        <f>IF(K2180&gt;=Paramètres!$F$6,"Très forte",IF(K2180&gt;=Paramètres!$F$5,"Forte",IF(K2180&gt;=Paramètres!$F$4,"Modérée","Faible")))</f>
        <v>Modérée</v>
      </c>
    </row>
    <row r="2181" spans="1:13">
      <c r="A2181" t="s">
        <v>265</v>
      </c>
      <c r="B2181" s="11">
        <v>93</v>
      </c>
      <c r="C2181" t="s">
        <v>100</v>
      </c>
      <c r="D2181" t="s">
        <v>22</v>
      </c>
      <c r="E2181" t="s">
        <v>327</v>
      </c>
      <c r="F2181" t="s">
        <v>92</v>
      </c>
      <c r="G2181" s="12">
        <v>140</v>
      </c>
      <c r="H2181" s="12">
        <v>2067</v>
      </c>
      <c r="I2181" s="12">
        <v>134</v>
      </c>
      <c r="J2181" t="str">
        <f>VLOOKUP(B2181,Paramètres!$A$4:$C$11,3,FALSE)</f>
        <v>Petite couronne</v>
      </c>
      <c r="K2181" s="13">
        <f>IFERROR(H2181/G2181,"")</f>
        <v>14.764285714285714</v>
      </c>
      <c r="L2181" s="14">
        <f>IFERROR(I2181/G2181,"")</f>
        <v>0.95714285714285718</v>
      </c>
      <c r="M2181" s="11" t="str">
        <f>IF(K2181&gt;=Paramètres!$F$6,"Très forte",IF(K2181&gt;=Paramètres!$F$5,"Forte",IF(K2181&gt;=Paramètres!$F$4,"Modérée","Faible")))</f>
        <v>Modérée</v>
      </c>
    </row>
    <row r="2182" spans="1:13">
      <c r="A2182" t="s">
        <v>97</v>
      </c>
      <c r="B2182" s="11">
        <v>92</v>
      </c>
      <c r="C2182" t="s">
        <v>94</v>
      </c>
      <c r="D2182" t="s">
        <v>22</v>
      </c>
      <c r="E2182" t="s">
        <v>481</v>
      </c>
      <c r="F2182" t="s">
        <v>88</v>
      </c>
      <c r="G2182" s="12">
        <v>80</v>
      </c>
      <c r="H2182" s="12">
        <v>1176</v>
      </c>
      <c r="I2182" s="12">
        <v>79</v>
      </c>
      <c r="J2182" t="str">
        <f>VLOOKUP(B2182,Paramètres!$A$4:$C$11,3,FALSE)</f>
        <v>Petite couronne</v>
      </c>
      <c r="K2182" s="13">
        <f>IFERROR(H2182/G2182,"")</f>
        <v>14.7</v>
      </c>
      <c r="L2182" s="14">
        <f>IFERROR(I2182/G2182,"")</f>
        <v>0.98750000000000004</v>
      </c>
      <c r="M2182" s="11" t="str">
        <f>IF(K2182&gt;=Paramètres!$F$6,"Très forte",IF(K2182&gt;=Paramètres!$F$5,"Forte",IF(K2182&gt;=Paramètres!$F$4,"Modérée","Faible")))</f>
        <v>Modérée</v>
      </c>
    </row>
    <row r="2183" spans="1:13">
      <c r="A2183" t="s">
        <v>119</v>
      </c>
      <c r="B2183" s="11">
        <v>75</v>
      </c>
      <c r="C2183" t="s">
        <v>86</v>
      </c>
      <c r="D2183" t="s">
        <v>22</v>
      </c>
      <c r="E2183" t="s">
        <v>602</v>
      </c>
      <c r="F2183" t="s">
        <v>92</v>
      </c>
      <c r="G2183" s="12">
        <v>24</v>
      </c>
      <c r="H2183" s="12">
        <v>352</v>
      </c>
      <c r="I2183" s="12">
        <v>20</v>
      </c>
      <c r="J2183" t="str">
        <f>VLOOKUP(B2183,Paramètres!$A$4:$C$11,3,FALSE)</f>
        <v>Paris</v>
      </c>
      <c r="K2183" s="13">
        <f>IFERROR(H2183/G2183,"")</f>
        <v>14.666666666666666</v>
      </c>
      <c r="L2183" s="14">
        <f>IFERROR(I2183/G2183,"")</f>
        <v>0.83333333333333337</v>
      </c>
      <c r="M2183" s="11" t="str">
        <f>IF(K2183&gt;=Paramètres!$F$6,"Très forte",IF(K2183&gt;=Paramètres!$F$5,"Forte",IF(K2183&gt;=Paramètres!$F$4,"Modérée","Faible")))</f>
        <v>Modérée</v>
      </c>
    </row>
    <row r="2184" spans="1:13">
      <c r="A2184" t="s">
        <v>127</v>
      </c>
      <c r="B2184" s="11">
        <v>75</v>
      </c>
      <c r="C2184" t="s">
        <v>86</v>
      </c>
      <c r="D2184" t="s">
        <v>22</v>
      </c>
      <c r="E2184" t="s">
        <v>230</v>
      </c>
      <c r="F2184" t="s">
        <v>88</v>
      </c>
      <c r="G2184" s="12">
        <v>8</v>
      </c>
      <c r="H2184" s="12">
        <v>116</v>
      </c>
      <c r="I2184" s="12">
        <v>8</v>
      </c>
      <c r="J2184" t="str">
        <f>VLOOKUP(B2184,Paramètres!$A$4:$C$11,3,FALSE)</f>
        <v>Paris</v>
      </c>
      <c r="K2184" s="13">
        <f>IFERROR(H2184/G2184,"")</f>
        <v>14.5</v>
      </c>
      <c r="L2184" s="14">
        <f>IFERROR(I2184/G2184,"")</f>
        <v>1</v>
      </c>
      <c r="M2184" s="11" t="str">
        <f>IF(K2184&gt;=Paramètres!$F$6,"Très forte",IF(K2184&gt;=Paramètres!$F$5,"Forte",IF(K2184&gt;=Paramètres!$F$4,"Modérée","Faible")))</f>
        <v>Modérée</v>
      </c>
    </row>
    <row r="2185" spans="1:13">
      <c r="A2185" t="s">
        <v>97</v>
      </c>
      <c r="B2185" s="11">
        <v>92</v>
      </c>
      <c r="C2185" t="s">
        <v>94</v>
      </c>
      <c r="D2185" t="s">
        <v>22</v>
      </c>
      <c r="E2185" t="s">
        <v>660</v>
      </c>
      <c r="F2185" t="s">
        <v>92</v>
      </c>
      <c r="G2185" s="12">
        <v>30</v>
      </c>
      <c r="H2185" s="12">
        <v>432</v>
      </c>
      <c r="I2185" s="12">
        <v>29</v>
      </c>
      <c r="J2185" t="str">
        <f>VLOOKUP(B2185,Paramètres!$A$4:$C$11,3,FALSE)</f>
        <v>Petite couronne</v>
      </c>
      <c r="K2185" s="13">
        <f>IFERROR(H2185/G2185,"")</f>
        <v>14.4</v>
      </c>
      <c r="L2185" s="14">
        <f>IFERROR(I2185/G2185,"")</f>
        <v>0.96666666666666667</v>
      </c>
      <c r="M2185" s="11" t="str">
        <f>IF(K2185&gt;=Paramètres!$F$6,"Très forte",IF(K2185&gt;=Paramètres!$F$5,"Forte",IF(K2185&gt;=Paramètres!$F$4,"Modérée","Faible")))</f>
        <v>Modérée</v>
      </c>
    </row>
    <row r="2186" spans="1:13">
      <c r="A2186" t="s">
        <v>445</v>
      </c>
      <c r="B2186" s="11">
        <v>77</v>
      </c>
      <c r="C2186" t="s">
        <v>132</v>
      </c>
      <c r="D2186" t="s">
        <v>22</v>
      </c>
      <c r="E2186" t="s">
        <v>518</v>
      </c>
      <c r="F2186" t="s">
        <v>88</v>
      </c>
      <c r="G2186" s="12">
        <v>95</v>
      </c>
      <c r="H2186" s="12">
        <v>1361</v>
      </c>
      <c r="I2186" s="12">
        <v>94</v>
      </c>
      <c r="J2186" t="str">
        <f>VLOOKUP(B2186,Paramètres!$A$4:$C$11,3,FALSE)</f>
        <v>Grande couronne</v>
      </c>
      <c r="K2186" s="13">
        <f>IFERROR(H2186/G2186,"")</f>
        <v>14.326315789473684</v>
      </c>
      <c r="L2186" s="14">
        <f>IFERROR(I2186/G2186,"")</f>
        <v>0.98947368421052628</v>
      </c>
      <c r="M2186" s="11" t="str">
        <f>IF(K2186&gt;=Paramètres!$F$6,"Très forte",IF(K2186&gt;=Paramètres!$F$5,"Forte",IF(K2186&gt;=Paramètres!$F$4,"Modérée","Faible")))</f>
        <v>Modérée</v>
      </c>
    </row>
    <row r="2187" spans="1:13">
      <c r="A2187" t="s">
        <v>97</v>
      </c>
      <c r="B2187" s="11">
        <v>92</v>
      </c>
      <c r="C2187" t="s">
        <v>94</v>
      </c>
      <c r="D2187" t="s">
        <v>22</v>
      </c>
      <c r="E2187" t="s">
        <v>769</v>
      </c>
      <c r="F2187" t="s">
        <v>92</v>
      </c>
      <c r="G2187" s="12">
        <v>10</v>
      </c>
      <c r="H2187" s="12">
        <v>143</v>
      </c>
      <c r="I2187" s="12">
        <v>10</v>
      </c>
      <c r="J2187" t="str">
        <f>VLOOKUP(B2187,Paramètres!$A$4:$C$11,3,FALSE)</f>
        <v>Petite couronne</v>
      </c>
      <c r="K2187" s="13">
        <f>IFERROR(H2187/G2187,"")</f>
        <v>14.3</v>
      </c>
      <c r="L2187" s="14">
        <f>IFERROR(I2187/G2187,"")</f>
        <v>1</v>
      </c>
      <c r="M2187" s="11" t="str">
        <f>IF(K2187&gt;=Paramètres!$F$6,"Très forte",IF(K2187&gt;=Paramètres!$F$5,"Forte",IF(K2187&gt;=Paramètres!$F$4,"Modérée","Faible")))</f>
        <v>Modérée</v>
      </c>
    </row>
    <row r="2188" spans="1:13">
      <c r="A2188" t="s">
        <v>108</v>
      </c>
      <c r="B2188" s="11">
        <v>93</v>
      </c>
      <c r="C2188" t="s">
        <v>100</v>
      </c>
      <c r="D2188" t="s">
        <v>22</v>
      </c>
      <c r="E2188" t="s">
        <v>164</v>
      </c>
      <c r="F2188" t="s">
        <v>88</v>
      </c>
      <c r="G2188" s="12">
        <v>370</v>
      </c>
      <c r="H2188" s="12">
        <v>5277</v>
      </c>
      <c r="I2188" s="12">
        <v>389</v>
      </c>
      <c r="J2188" t="str">
        <f>VLOOKUP(B2188,Paramètres!$A$4:$C$11,3,FALSE)</f>
        <v>Petite couronne</v>
      </c>
      <c r="K2188" s="13">
        <f>IFERROR(H2188/G2188,"")</f>
        <v>14.262162162162163</v>
      </c>
      <c r="L2188" s="14">
        <f>IFERROR(I2188/G2188,"")</f>
        <v>1.0513513513513513</v>
      </c>
      <c r="M2188" s="11" t="str">
        <f>IF(K2188&gt;=Paramètres!$F$6,"Très forte",IF(K2188&gt;=Paramètres!$F$5,"Forte",IF(K2188&gt;=Paramètres!$F$4,"Modérée","Faible")))</f>
        <v>Modérée</v>
      </c>
    </row>
    <row r="2189" spans="1:13">
      <c r="A2189" t="s">
        <v>110</v>
      </c>
      <c r="B2189" s="11">
        <v>75</v>
      </c>
      <c r="C2189" t="s">
        <v>86</v>
      </c>
      <c r="D2189" t="s">
        <v>22</v>
      </c>
      <c r="E2189" t="s">
        <v>401</v>
      </c>
      <c r="F2189" t="s">
        <v>92</v>
      </c>
      <c r="G2189" s="12">
        <v>37</v>
      </c>
      <c r="H2189" s="12">
        <v>525</v>
      </c>
      <c r="I2189" s="12">
        <v>37</v>
      </c>
      <c r="J2189" t="str">
        <f>VLOOKUP(B2189,Paramètres!$A$4:$C$11,3,FALSE)</f>
        <v>Paris</v>
      </c>
      <c r="K2189" s="13">
        <f>IFERROR(H2189/G2189,"")</f>
        <v>14.189189189189189</v>
      </c>
      <c r="L2189" s="14">
        <f>IFERROR(I2189/G2189,"")</f>
        <v>1</v>
      </c>
      <c r="M2189" s="11" t="str">
        <f>IF(K2189&gt;=Paramètres!$F$6,"Très forte",IF(K2189&gt;=Paramètres!$F$5,"Forte",IF(K2189&gt;=Paramètres!$F$4,"Modérée","Faible")))</f>
        <v>Modérée</v>
      </c>
    </row>
    <row r="2190" spans="1:13">
      <c r="A2190" t="s">
        <v>127</v>
      </c>
      <c r="B2190" s="11">
        <v>75</v>
      </c>
      <c r="C2190" t="s">
        <v>86</v>
      </c>
      <c r="D2190" t="s">
        <v>22</v>
      </c>
      <c r="E2190" t="s">
        <v>231</v>
      </c>
      <c r="F2190" t="s">
        <v>88</v>
      </c>
      <c r="G2190" s="12">
        <v>40</v>
      </c>
      <c r="H2190" s="12">
        <v>567</v>
      </c>
      <c r="I2190" s="12">
        <v>40</v>
      </c>
      <c r="J2190" t="str">
        <f>VLOOKUP(B2190,Paramètres!$A$4:$C$11,3,FALSE)</f>
        <v>Paris</v>
      </c>
      <c r="K2190" s="13">
        <f>IFERROR(H2190/G2190,"")</f>
        <v>14.175000000000001</v>
      </c>
      <c r="L2190" s="14">
        <f>IFERROR(I2190/G2190,"")</f>
        <v>1</v>
      </c>
      <c r="M2190" s="11" t="str">
        <f>IF(K2190&gt;=Paramètres!$F$6,"Très forte",IF(K2190&gt;=Paramètres!$F$5,"Forte",IF(K2190&gt;=Paramètres!$F$4,"Modérée","Faible")))</f>
        <v>Modérée</v>
      </c>
    </row>
    <row r="2191" spans="1:13">
      <c r="A2191" t="s">
        <v>127</v>
      </c>
      <c r="B2191" s="11">
        <v>75</v>
      </c>
      <c r="C2191" t="s">
        <v>86</v>
      </c>
      <c r="D2191" t="s">
        <v>22</v>
      </c>
      <c r="E2191" t="s">
        <v>230</v>
      </c>
      <c r="F2191" t="s">
        <v>88</v>
      </c>
      <c r="G2191" s="12">
        <v>20</v>
      </c>
      <c r="H2191" s="12">
        <v>281</v>
      </c>
      <c r="I2191" s="12">
        <v>20</v>
      </c>
      <c r="J2191" t="str">
        <f>VLOOKUP(B2191,Paramètres!$A$4:$C$11,3,FALSE)</f>
        <v>Paris</v>
      </c>
      <c r="K2191" s="13">
        <f>IFERROR(H2191/G2191,"")</f>
        <v>14.05</v>
      </c>
      <c r="L2191" s="14">
        <f>IFERROR(I2191/G2191,"")</f>
        <v>1</v>
      </c>
      <c r="M2191" s="11" t="str">
        <f>IF(K2191&gt;=Paramètres!$F$6,"Très forte",IF(K2191&gt;=Paramètres!$F$5,"Forte",IF(K2191&gt;=Paramètres!$F$4,"Modérée","Faible")))</f>
        <v>Modérée</v>
      </c>
    </row>
    <row r="2192" spans="1:13">
      <c r="A2192" t="s">
        <v>119</v>
      </c>
      <c r="B2192" s="11">
        <v>75</v>
      </c>
      <c r="C2192" t="s">
        <v>86</v>
      </c>
      <c r="D2192" t="s">
        <v>22</v>
      </c>
      <c r="E2192" t="s">
        <v>504</v>
      </c>
      <c r="F2192" t="s">
        <v>92</v>
      </c>
      <c r="G2192" s="12">
        <v>100</v>
      </c>
      <c r="H2192" s="12">
        <v>1403</v>
      </c>
      <c r="I2192" s="12">
        <v>100</v>
      </c>
      <c r="J2192" t="str">
        <f>VLOOKUP(B2192,Paramètres!$A$4:$C$11,3,FALSE)</f>
        <v>Paris</v>
      </c>
      <c r="K2192" s="13">
        <f>IFERROR(H2192/G2192,"")</f>
        <v>14.03</v>
      </c>
      <c r="L2192" s="14">
        <f>IFERROR(I2192/G2192,"")</f>
        <v>1</v>
      </c>
      <c r="M2192" s="11" t="str">
        <f>IF(K2192&gt;=Paramètres!$F$6,"Très forte",IF(K2192&gt;=Paramètres!$F$5,"Forte",IF(K2192&gt;=Paramètres!$F$4,"Modérée","Faible")))</f>
        <v>Modérée</v>
      </c>
    </row>
    <row r="2193" spans="1:13">
      <c r="A2193" t="s">
        <v>127</v>
      </c>
      <c r="B2193" s="11">
        <v>75</v>
      </c>
      <c r="C2193" t="s">
        <v>86</v>
      </c>
      <c r="D2193" t="s">
        <v>22</v>
      </c>
      <c r="E2193" t="s">
        <v>230</v>
      </c>
      <c r="F2193" t="s">
        <v>88</v>
      </c>
      <c r="G2193" s="12">
        <v>15</v>
      </c>
      <c r="H2193" s="12">
        <v>206</v>
      </c>
      <c r="I2193" s="12">
        <v>15</v>
      </c>
      <c r="J2193" t="str">
        <f>VLOOKUP(B2193,Paramètres!$A$4:$C$11,3,FALSE)</f>
        <v>Paris</v>
      </c>
      <c r="K2193" s="13">
        <f>IFERROR(H2193/G2193,"")</f>
        <v>13.733333333333333</v>
      </c>
      <c r="L2193" s="14">
        <f>IFERROR(I2193/G2193,"")</f>
        <v>1</v>
      </c>
      <c r="M2193" s="11" t="str">
        <f>IF(K2193&gt;=Paramètres!$F$6,"Très forte",IF(K2193&gt;=Paramètres!$F$5,"Forte",IF(K2193&gt;=Paramètres!$F$4,"Modérée","Faible")))</f>
        <v>Modérée</v>
      </c>
    </row>
    <row r="2194" spans="1:13">
      <c r="A2194" t="s">
        <v>162</v>
      </c>
      <c r="B2194" s="11">
        <v>91</v>
      </c>
      <c r="C2194" t="s">
        <v>105</v>
      </c>
      <c r="D2194" t="s">
        <v>22</v>
      </c>
      <c r="E2194" t="s">
        <v>202</v>
      </c>
      <c r="F2194" t="s">
        <v>88</v>
      </c>
      <c r="G2194" s="12">
        <v>170</v>
      </c>
      <c r="H2194" s="12">
        <v>2329</v>
      </c>
      <c r="I2194" s="12">
        <v>169</v>
      </c>
      <c r="J2194" t="str">
        <f>VLOOKUP(B2194,Paramètres!$A$4:$C$11,3,FALSE)</f>
        <v>Grande couronne</v>
      </c>
      <c r="K2194" s="13">
        <f>IFERROR(H2194/G2194,"")</f>
        <v>13.7</v>
      </c>
      <c r="L2194" s="14">
        <f>IFERROR(I2194/G2194,"")</f>
        <v>0.99411764705882355</v>
      </c>
      <c r="M2194" s="11" t="str">
        <f>IF(K2194&gt;=Paramètres!$F$6,"Très forte",IF(K2194&gt;=Paramètres!$F$5,"Forte",IF(K2194&gt;=Paramètres!$F$4,"Modérée","Faible")))</f>
        <v>Modérée</v>
      </c>
    </row>
    <row r="2195" spans="1:13">
      <c r="A2195" t="s">
        <v>134</v>
      </c>
      <c r="B2195" s="11">
        <v>78</v>
      </c>
      <c r="C2195" t="s">
        <v>135</v>
      </c>
      <c r="D2195" t="s">
        <v>22</v>
      </c>
      <c r="E2195" t="s">
        <v>136</v>
      </c>
      <c r="F2195" t="s">
        <v>88</v>
      </c>
      <c r="G2195" s="12">
        <v>152</v>
      </c>
      <c r="H2195" s="12">
        <v>2047</v>
      </c>
      <c r="I2195" s="12">
        <v>150</v>
      </c>
      <c r="J2195" t="str">
        <f>VLOOKUP(B2195,Paramètres!$A$4:$C$11,3,FALSE)</f>
        <v>Grande couronne</v>
      </c>
      <c r="K2195" s="13">
        <f>IFERROR(H2195/G2195,"")</f>
        <v>13.467105263157896</v>
      </c>
      <c r="L2195" s="14">
        <f>IFERROR(I2195/G2195,"")</f>
        <v>0.98684210526315785</v>
      </c>
      <c r="M2195" s="11" t="str">
        <f>IF(K2195&gt;=Paramètres!$F$6,"Très forte",IF(K2195&gt;=Paramètres!$F$5,"Forte",IF(K2195&gt;=Paramètres!$F$4,"Modérée","Faible")))</f>
        <v>Modérée</v>
      </c>
    </row>
    <row r="2196" spans="1:13">
      <c r="A2196" t="s">
        <v>127</v>
      </c>
      <c r="B2196" s="11">
        <v>75</v>
      </c>
      <c r="C2196" t="s">
        <v>86</v>
      </c>
      <c r="D2196" t="s">
        <v>22</v>
      </c>
      <c r="E2196" t="s">
        <v>235</v>
      </c>
      <c r="F2196" t="s">
        <v>88</v>
      </c>
      <c r="G2196" s="12">
        <v>20</v>
      </c>
      <c r="H2196" s="12">
        <v>266</v>
      </c>
      <c r="I2196" s="12">
        <v>20</v>
      </c>
      <c r="J2196" t="str">
        <f>VLOOKUP(B2196,Paramètres!$A$4:$C$11,3,FALSE)</f>
        <v>Paris</v>
      </c>
      <c r="K2196" s="13">
        <f>IFERROR(H2196/G2196,"")</f>
        <v>13.3</v>
      </c>
      <c r="L2196" s="14">
        <f>IFERROR(I2196/G2196,"")</f>
        <v>1</v>
      </c>
      <c r="M2196" s="11" t="str">
        <f>IF(K2196&gt;=Paramètres!$F$6,"Très forte",IF(K2196&gt;=Paramètres!$F$5,"Forte",IF(K2196&gt;=Paramètres!$F$4,"Modérée","Faible")))</f>
        <v>Modérée</v>
      </c>
    </row>
    <row r="2197" spans="1:13">
      <c r="A2197" t="s">
        <v>127</v>
      </c>
      <c r="B2197" s="11">
        <v>75</v>
      </c>
      <c r="C2197" t="s">
        <v>86</v>
      </c>
      <c r="D2197" t="s">
        <v>22</v>
      </c>
      <c r="E2197" t="s">
        <v>228</v>
      </c>
      <c r="F2197" t="s">
        <v>88</v>
      </c>
      <c r="G2197" s="12">
        <v>12</v>
      </c>
      <c r="H2197" s="12">
        <v>159</v>
      </c>
      <c r="I2197" s="12">
        <v>12</v>
      </c>
      <c r="J2197" t="str">
        <f>VLOOKUP(B2197,Paramètres!$A$4:$C$11,3,FALSE)</f>
        <v>Paris</v>
      </c>
      <c r="K2197" s="13">
        <f>IFERROR(H2197/G2197,"")</f>
        <v>13.25</v>
      </c>
      <c r="L2197" s="14">
        <f>IFERROR(I2197/G2197,"")</f>
        <v>1</v>
      </c>
      <c r="M2197" s="11" t="str">
        <f>IF(K2197&gt;=Paramètres!$F$6,"Très forte",IF(K2197&gt;=Paramètres!$F$5,"Forte",IF(K2197&gt;=Paramètres!$F$4,"Modérée","Faible")))</f>
        <v>Modérée</v>
      </c>
    </row>
    <row r="2198" spans="1:13">
      <c r="A2198" t="s">
        <v>225</v>
      </c>
      <c r="B2198" s="11">
        <v>77</v>
      </c>
      <c r="C2198" t="s">
        <v>132</v>
      </c>
      <c r="D2198" t="s">
        <v>22</v>
      </c>
      <c r="E2198" t="s">
        <v>407</v>
      </c>
      <c r="F2198" t="s">
        <v>92</v>
      </c>
      <c r="G2198" s="12">
        <v>20</v>
      </c>
      <c r="H2198" s="12">
        <v>263</v>
      </c>
      <c r="I2198" s="12">
        <v>19</v>
      </c>
      <c r="J2198" t="str">
        <f>VLOOKUP(B2198,Paramètres!$A$4:$C$11,3,FALSE)</f>
        <v>Grande couronne</v>
      </c>
      <c r="K2198" s="13">
        <f>IFERROR(H2198/G2198,"")</f>
        <v>13.15</v>
      </c>
      <c r="L2198" s="14">
        <f>IFERROR(I2198/G2198,"")</f>
        <v>0.95</v>
      </c>
      <c r="M2198" s="11" t="str">
        <f>IF(K2198&gt;=Paramètres!$F$6,"Très forte",IF(K2198&gt;=Paramètres!$F$5,"Forte",IF(K2198&gt;=Paramètres!$F$4,"Modérée","Faible")))</f>
        <v>Modérée</v>
      </c>
    </row>
    <row r="2199" spans="1:13">
      <c r="A2199" t="s">
        <v>119</v>
      </c>
      <c r="B2199" s="11">
        <v>75</v>
      </c>
      <c r="C2199" t="s">
        <v>86</v>
      </c>
      <c r="D2199" t="s">
        <v>22</v>
      </c>
      <c r="E2199" t="s">
        <v>374</v>
      </c>
      <c r="F2199" t="s">
        <v>92</v>
      </c>
      <c r="G2199" s="12">
        <v>185</v>
      </c>
      <c r="H2199" s="12">
        <v>2420</v>
      </c>
      <c r="I2199" s="12">
        <v>183</v>
      </c>
      <c r="J2199" t="str">
        <f>VLOOKUP(B2199,Paramètres!$A$4:$C$11,3,FALSE)</f>
        <v>Paris</v>
      </c>
      <c r="K2199" s="13">
        <f>IFERROR(H2199/G2199,"")</f>
        <v>13.081081081081081</v>
      </c>
      <c r="L2199" s="14">
        <f>IFERROR(I2199/G2199,"")</f>
        <v>0.98918918918918919</v>
      </c>
      <c r="M2199" s="11" t="str">
        <f>IF(K2199&gt;=Paramètres!$F$6,"Très forte",IF(K2199&gt;=Paramètres!$F$5,"Forte",IF(K2199&gt;=Paramètres!$F$4,"Modérée","Faible")))</f>
        <v>Modérée</v>
      </c>
    </row>
    <row r="2200" spans="1:13">
      <c r="A2200" t="s">
        <v>152</v>
      </c>
      <c r="B2200" s="11">
        <v>75</v>
      </c>
      <c r="C2200" t="s">
        <v>86</v>
      </c>
      <c r="D2200" t="s">
        <v>22</v>
      </c>
      <c r="E2200" t="s">
        <v>458</v>
      </c>
      <c r="F2200" t="s">
        <v>92</v>
      </c>
      <c r="G2200" s="12">
        <v>25</v>
      </c>
      <c r="H2200" s="12">
        <v>327</v>
      </c>
      <c r="I2200" s="12">
        <v>25</v>
      </c>
      <c r="J2200" t="str">
        <f>VLOOKUP(B2200,Paramètres!$A$4:$C$11,3,FALSE)</f>
        <v>Paris</v>
      </c>
      <c r="K2200" s="13">
        <f>IFERROR(H2200/G2200,"")</f>
        <v>13.08</v>
      </c>
      <c r="L2200" s="14">
        <f>IFERROR(I2200/G2200,"")</f>
        <v>1</v>
      </c>
      <c r="M2200" s="11" t="str">
        <f>IF(K2200&gt;=Paramètres!$F$6,"Très forte",IF(K2200&gt;=Paramètres!$F$5,"Forte",IF(K2200&gt;=Paramètres!$F$4,"Modérée","Faible")))</f>
        <v>Modérée</v>
      </c>
    </row>
    <row r="2201" spans="1:13">
      <c r="A2201" t="s">
        <v>119</v>
      </c>
      <c r="B2201" s="11">
        <v>75</v>
      </c>
      <c r="C2201" t="s">
        <v>86</v>
      </c>
      <c r="D2201" t="s">
        <v>22</v>
      </c>
      <c r="E2201" t="s">
        <v>218</v>
      </c>
      <c r="F2201" t="s">
        <v>88</v>
      </c>
      <c r="G2201" s="12">
        <v>95</v>
      </c>
      <c r="H2201" s="12">
        <v>1241</v>
      </c>
      <c r="I2201" s="12">
        <v>93</v>
      </c>
      <c r="J2201" t="str">
        <f>VLOOKUP(B2201,Paramètres!$A$4:$C$11,3,FALSE)</f>
        <v>Paris</v>
      </c>
      <c r="K2201" s="13">
        <f>IFERROR(H2201/G2201,"")</f>
        <v>13.063157894736841</v>
      </c>
      <c r="L2201" s="14">
        <f>IFERROR(I2201/G2201,"")</f>
        <v>0.97894736842105268</v>
      </c>
      <c r="M2201" s="11" t="str">
        <f>IF(K2201&gt;=Paramètres!$F$6,"Très forte",IF(K2201&gt;=Paramètres!$F$5,"Forte",IF(K2201&gt;=Paramètres!$F$4,"Modérée","Faible")))</f>
        <v>Modérée</v>
      </c>
    </row>
    <row r="2202" spans="1:13">
      <c r="A2202" t="s">
        <v>127</v>
      </c>
      <c r="B2202" s="11">
        <v>75</v>
      </c>
      <c r="C2202" t="s">
        <v>86</v>
      </c>
      <c r="D2202" t="s">
        <v>22</v>
      </c>
      <c r="E2202" t="s">
        <v>497</v>
      </c>
      <c r="F2202" t="s">
        <v>88</v>
      </c>
      <c r="G2202" s="12">
        <v>65</v>
      </c>
      <c r="H2202" s="12">
        <v>847</v>
      </c>
      <c r="I2202" s="12">
        <v>65</v>
      </c>
      <c r="J2202" t="str">
        <f>VLOOKUP(B2202,Paramètres!$A$4:$C$11,3,FALSE)</f>
        <v>Paris</v>
      </c>
      <c r="K2202" s="13">
        <f>IFERROR(H2202/G2202,"")</f>
        <v>13.030769230769231</v>
      </c>
      <c r="L2202" s="14">
        <f>IFERROR(I2202/G2202,"")</f>
        <v>1</v>
      </c>
      <c r="M2202" s="11" t="str">
        <f>IF(K2202&gt;=Paramètres!$F$6,"Très forte",IF(K2202&gt;=Paramètres!$F$5,"Forte",IF(K2202&gt;=Paramètres!$F$4,"Modérée","Faible")))</f>
        <v>Modérée</v>
      </c>
    </row>
    <row r="2203" spans="1:13">
      <c r="A2203" t="s">
        <v>152</v>
      </c>
      <c r="B2203" s="11">
        <v>75</v>
      </c>
      <c r="C2203" t="s">
        <v>86</v>
      </c>
      <c r="D2203" t="s">
        <v>22</v>
      </c>
      <c r="E2203" t="s">
        <v>367</v>
      </c>
      <c r="F2203" t="s">
        <v>88</v>
      </c>
      <c r="G2203" s="12">
        <v>585</v>
      </c>
      <c r="H2203" s="12">
        <v>7614</v>
      </c>
      <c r="I2203" s="12">
        <v>588</v>
      </c>
      <c r="J2203" t="str">
        <f>VLOOKUP(B2203,Paramètres!$A$4:$C$11,3,FALSE)</f>
        <v>Paris</v>
      </c>
      <c r="K2203" s="13">
        <f>IFERROR(H2203/G2203,"")</f>
        <v>13.015384615384615</v>
      </c>
      <c r="L2203" s="14">
        <f>IFERROR(I2203/G2203,"")</f>
        <v>1.0051282051282051</v>
      </c>
      <c r="M2203" s="11" t="str">
        <f>IF(K2203&gt;=Paramètres!$F$6,"Très forte",IF(K2203&gt;=Paramètres!$F$5,"Forte",IF(K2203&gt;=Paramètres!$F$4,"Modérée","Faible")))</f>
        <v>Modérée</v>
      </c>
    </row>
    <row r="2204" spans="1:13">
      <c r="A2204" t="s">
        <v>239</v>
      </c>
      <c r="B2204" s="11">
        <v>78</v>
      </c>
      <c r="C2204" t="s">
        <v>135</v>
      </c>
      <c r="D2204" t="s">
        <v>22</v>
      </c>
      <c r="E2204" t="s">
        <v>246</v>
      </c>
      <c r="F2204" t="s">
        <v>88</v>
      </c>
      <c r="G2204" s="12">
        <v>177</v>
      </c>
      <c r="H2204" s="12">
        <v>2302</v>
      </c>
      <c r="I2204" s="12">
        <v>175</v>
      </c>
      <c r="J2204" t="str">
        <f>VLOOKUP(B2204,Paramètres!$A$4:$C$11,3,FALSE)</f>
        <v>Grande couronne</v>
      </c>
      <c r="K2204" s="13">
        <f>IFERROR(H2204/G2204,"")</f>
        <v>13.005649717514125</v>
      </c>
      <c r="L2204" s="14">
        <f>IFERROR(I2204/G2204,"")</f>
        <v>0.98870056497175141</v>
      </c>
      <c r="M2204" s="11" t="str">
        <f>IF(K2204&gt;=Paramètres!$F$6,"Très forte",IF(K2204&gt;=Paramètres!$F$5,"Forte",IF(K2204&gt;=Paramètres!$F$4,"Modérée","Faible")))</f>
        <v>Modérée</v>
      </c>
    </row>
    <row r="2205" spans="1:13">
      <c r="A2205" t="s">
        <v>127</v>
      </c>
      <c r="B2205" s="11">
        <v>75</v>
      </c>
      <c r="C2205" t="s">
        <v>86</v>
      </c>
      <c r="D2205" t="s">
        <v>22</v>
      </c>
      <c r="E2205" t="s">
        <v>229</v>
      </c>
      <c r="F2205" t="s">
        <v>88</v>
      </c>
      <c r="G2205" s="12">
        <v>5</v>
      </c>
      <c r="H2205" s="12">
        <v>64</v>
      </c>
      <c r="I2205" s="12">
        <v>5</v>
      </c>
      <c r="J2205" t="str">
        <f>VLOOKUP(B2205,Paramètres!$A$4:$C$11,3,FALSE)</f>
        <v>Paris</v>
      </c>
      <c r="K2205" s="13">
        <f>IFERROR(H2205/G2205,"")</f>
        <v>12.8</v>
      </c>
      <c r="L2205" s="14">
        <f>IFERROR(I2205/G2205,"")</f>
        <v>1</v>
      </c>
      <c r="M2205" s="11" t="str">
        <f>IF(K2205&gt;=Paramètres!$F$6,"Très forte",IF(K2205&gt;=Paramètres!$F$5,"Forte",IF(K2205&gt;=Paramètres!$F$4,"Modérée","Faible")))</f>
        <v>Modérée</v>
      </c>
    </row>
    <row r="2206" spans="1:13">
      <c r="A2206" t="s">
        <v>162</v>
      </c>
      <c r="B2206" s="11">
        <v>91</v>
      </c>
      <c r="C2206" t="s">
        <v>105</v>
      </c>
      <c r="D2206" t="s">
        <v>22</v>
      </c>
      <c r="E2206" t="s">
        <v>260</v>
      </c>
      <c r="F2206" t="s">
        <v>88</v>
      </c>
      <c r="G2206" s="12">
        <v>112</v>
      </c>
      <c r="H2206" s="12">
        <v>1433</v>
      </c>
      <c r="I2206" s="12">
        <v>111</v>
      </c>
      <c r="J2206" t="str">
        <f>VLOOKUP(B2206,Paramètres!$A$4:$C$11,3,FALSE)</f>
        <v>Grande couronne</v>
      </c>
      <c r="K2206" s="13">
        <f>IFERROR(H2206/G2206,"")</f>
        <v>12.794642857142858</v>
      </c>
      <c r="L2206" s="14">
        <f>IFERROR(I2206/G2206,"")</f>
        <v>0.9910714285714286</v>
      </c>
      <c r="M2206" s="11" t="str">
        <f>IF(K2206&gt;=Paramètres!$F$6,"Très forte",IF(K2206&gt;=Paramètres!$F$5,"Forte",IF(K2206&gt;=Paramètres!$F$4,"Modérée","Faible")))</f>
        <v>Modérée</v>
      </c>
    </row>
    <row r="2207" spans="1:13">
      <c r="A2207" t="s">
        <v>131</v>
      </c>
      <c r="B2207" s="11">
        <v>77</v>
      </c>
      <c r="C2207" t="s">
        <v>132</v>
      </c>
      <c r="D2207" t="s">
        <v>22</v>
      </c>
      <c r="E2207" t="s">
        <v>393</v>
      </c>
      <c r="F2207" t="s">
        <v>92</v>
      </c>
      <c r="G2207" s="12">
        <v>70</v>
      </c>
      <c r="H2207" s="12">
        <v>895</v>
      </c>
      <c r="I2207" s="12">
        <v>69</v>
      </c>
      <c r="J2207" t="str">
        <f>VLOOKUP(B2207,Paramètres!$A$4:$C$11,3,FALSE)</f>
        <v>Grande couronne</v>
      </c>
      <c r="K2207" s="13">
        <f>IFERROR(H2207/G2207,"")</f>
        <v>12.785714285714286</v>
      </c>
      <c r="L2207" s="14">
        <f>IFERROR(I2207/G2207,"")</f>
        <v>0.98571428571428577</v>
      </c>
      <c r="M2207" s="11" t="str">
        <f>IF(K2207&gt;=Paramètres!$F$6,"Très forte",IF(K2207&gt;=Paramètres!$F$5,"Forte",IF(K2207&gt;=Paramètres!$F$4,"Modérée","Faible")))</f>
        <v>Modérée</v>
      </c>
    </row>
    <row r="2208" spans="1:13">
      <c r="A2208" t="s">
        <v>794</v>
      </c>
      <c r="B2208" s="11">
        <v>75</v>
      </c>
      <c r="C2208" t="s">
        <v>86</v>
      </c>
      <c r="D2208" t="s">
        <v>22</v>
      </c>
      <c r="E2208" t="s">
        <v>795</v>
      </c>
      <c r="F2208" t="s">
        <v>88</v>
      </c>
      <c r="G2208" s="12">
        <v>30</v>
      </c>
      <c r="H2208" s="12">
        <v>382</v>
      </c>
      <c r="I2208" s="12">
        <v>30</v>
      </c>
      <c r="J2208" t="str">
        <f>VLOOKUP(B2208,Paramètres!$A$4:$C$11,3,FALSE)</f>
        <v>Paris</v>
      </c>
      <c r="K2208" s="13">
        <f>IFERROR(H2208/G2208,"")</f>
        <v>12.733333333333333</v>
      </c>
      <c r="L2208" s="14">
        <f>IFERROR(I2208/G2208,"")</f>
        <v>1</v>
      </c>
      <c r="M2208" s="11" t="str">
        <f>IF(K2208&gt;=Paramètres!$F$6,"Très forte",IF(K2208&gt;=Paramètres!$F$5,"Forte",IF(K2208&gt;=Paramètres!$F$4,"Modérée","Faible")))</f>
        <v>Modérée</v>
      </c>
    </row>
    <row r="2209" spans="1:13">
      <c r="A2209" t="s">
        <v>97</v>
      </c>
      <c r="B2209" s="11">
        <v>92</v>
      </c>
      <c r="C2209" t="s">
        <v>94</v>
      </c>
      <c r="D2209" t="s">
        <v>22</v>
      </c>
      <c r="E2209" t="s">
        <v>648</v>
      </c>
      <c r="F2209" t="s">
        <v>92</v>
      </c>
      <c r="G2209" s="12">
        <v>25</v>
      </c>
      <c r="H2209" s="12">
        <v>315</v>
      </c>
      <c r="I2209" s="12">
        <v>24</v>
      </c>
      <c r="J2209" t="str">
        <f>VLOOKUP(B2209,Paramètres!$A$4:$C$11,3,FALSE)</f>
        <v>Petite couronne</v>
      </c>
      <c r="K2209" s="13">
        <f>IFERROR(H2209/G2209,"")</f>
        <v>12.6</v>
      </c>
      <c r="L2209" s="14">
        <f>IFERROR(I2209/G2209,"")</f>
        <v>0.96</v>
      </c>
      <c r="M2209" s="11" t="str">
        <f>IF(K2209&gt;=Paramètres!$F$6,"Très forte",IF(K2209&gt;=Paramètres!$F$5,"Forte",IF(K2209&gt;=Paramètres!$F$4,"Modérée","Faible")))</f>
        <v>Modérée</v>
      </c>
    </row>
    <row r="2210" spans="1:13">
      <c r="A2210" t="s">
        <v>148</v>
      </c>
      <c r="B2210" s="11">
        <v>75</v>
      </c>
      <c r="C2210" t="s">
        <v>86</v>
      </c>
      <c r="D2210" t="s">
        <v>22</v>
      </c>
      <c r="E2210" t="s">
        <v>487</v>
      </c>
      <c r="F2210" t="s">
        <v>92</v>
      </c>
      <c r="G2210" s="12">
        <v>24</v>
      </c>
      <c r="H2210" s="12">
        <v>302</v>
      </c>
      <c r="I2210" s="12">
        <v>23</v>
      </c>
      <c r="J2210" t="str">
        <f>VLOOKUP(B2210,Paramètres!$A$4:$C$11,3,FALSE)</f>
        <v>Paris</v>
      </c>
      <c r="K2210" s="13">
        <f>IFERROR(H2210/G2210,"")</f>
        <v>12.583333333333334</v>
      </c>
      <c r="L2210" s="14">
        <f>IFERROR(I2210/G2210,"")</f>
        <v>0.95833333333333337</v>
      </c>
      <c r="M2210" s="11" t="str">
        <f>IF(K2210&gt;=Paramètres!$F$6,"Très forte",IF(K2210&gt;=Paramètres!$F$5,"Forte",IF(K2210&gt;=Paramètres!$F$4,"Modérée","Faible")))</f>
        <v>Modérée</v>
      </c>
    </row>
    <row r="2211" spans="1:13">
      <c r="A2211" t="s">
        <v>97</v>
      </c>
      <c r="B2211" s="11">
        <v>92</v>
      </c>
      <c r="C2211" t="s">
        <v>94</v>
      </c>
      <c r="D2211" t="s">
        <v>22</v>
      </c>
      <c r="E2211" t="s">
        <v>629</v>
      </c>
      <c r="F2211" t="s">
        <v>92</v>
      </c>
      <c r="G2211" s="12">
        <v>60</v>
      </c>
      <c r="H2211" s="12">
        <v>753</v>
      </c>
      <c r="I2211" s="12">
        <v>59</v>
      </c>
      <c r="J2211" t="str">
        <f>VLOOKUP(B2211,Paramètres!$A$4:$C$11,3,FALSE)</f>
        <v>Petite couronne</v>
      </c>
      <c r="K2211" s="13">
        <f>IFERROR(H2211/G2211,"")</f>
        <v>12.55</v>
      </c>
      <c r="L2211" s="14">
        <f>IFERROR(I2211/G2211,"")</f>
        <v>0.98333333333333328</v>
      </c>
      <c r="M2211" s="11" t="str">
        <f>IF(K2211&gt;=Paramètres!$F$6,"Très forte",IF(K2211&gt;=Paramètres!$F$5,"Forte",IF(K2211&gt;=Paramètres!$F$4,"Modérée","Faible")))</f>
        <v>Modérée</v>
      </c>
    </row>
    <row r="2212" spans="1:13">
      <c r="A2212" t="s">
        <v>110</v>
      </c>
      <c r="B2212" s="11">
        <v>75</v>
      </c>
      <c r="C2212" t="s">
        <v>86</v>
      </c>
      <c r="D2212" t="s">
        <v>22</v>
      </c>
      <c r="E2212" t="s">
        <v>521</v>
      </c>
      <c r="F2212" t="s">
        <v>92</v>
      </c>
      <c r="G2212" s="12">
        <v>10</v>
      </c>
      <c r="H2212" s="12">
        <v>125</v>
      </c>
      <c r="I2212" s="12">
        <v>10</v>
      </c>
      <c r="J2212" t="str">
        <f>VLOOKUP(B2212,Paramètres!$A$4:$C$11,3,FALSE)</f>
        <v>Paris</v>
      </c>
      <c r="K2212" s="13">
        <f>IFERROR(H2212/G2212,"")</f>
        <v>12.5</v>
      </c>
      <c r="L2212" s="14">
        <f>IFERROR(I2212/G2212,"")</f>
        <v>1</v>
      </c>
      <c r="M2212" s="11" t="str">
        <f>IF(K2212&gt;=Paramètres!$F$6,"Très forte",IF(K2212&gt;=Paramètres!$F$5,"Forte",IF(K2212&gt;=Paramètres!$F$4,"Modérée","Faible")))</f>
        <v>Modérée</v>
      </c>
    </row>
    <row r="2213" spans="1:13">
      <c r="A2213" t="s">
        <v>152</v>
      </c>
      <c r="B2213" s="11">
        <v>75</v>
      </c>
      <c r="C2213" t="s">
        <v>86</v>
      </c>
      <c r="D2213" t="s">
        <v>22</v>
      </c>
      <c r="E2213" t="s">
        <v>449</v>
      </c>
      <c r="F2213" t="s">
        <v>88</v>
      </c>
      <c r="G2213" s="12">
        <v>375</v>
      </c>
      <c r="H2213" s="12">
        <v>4687</v>
      </c>
      <c r="I2213" s="12">
        <v>372</v>
      </c>
      <c r="J2213" t="str">
        <f>VLOOKUP(B2213,Paramètres!$A$4:$C$11,3,FALSE)</f>
        <v>Paris</v>
      </c>
      <c r="K2213" s="13">
        <f>IFERROR(H2213/G2213,"")</f>
        <v>12.498666666666667</v>
      </c>
      <c r="L2213" s="14">
        <f>IFERROR(I2213/G2213,"")</f>
        <v>0.99199999999999999</v>
      </c>
      <c r="M2213" s="11" t="str">
        <f>IF(K2213&gt;=Paramètres!$F$6,"Très forte",IF(K2213&gt;=Paramètres!$F$5,"Forte",IF(K2213&gt;=Paramètres!$F$4,"Modérée","Faible")))</f>
        <v>Modérée</v>
      </c>
    </row>
    <row r="2214" spans="1:13">
      <c r="A2214" t="s">
        <v>119</v>
      </c>
      <c r="B2214" s="11">
        <v>75</v>
      </c>
      <c r="C2214" t="s">
        <v>86</v>
      </c>
      <c r="D2214" t="s">
        <v>22</v>
      </c>
      <c r="E2214" t="s">
        <v>735</v>
      </c>
      <c r="F2214" t="s">
        <v>92</v>
      </c>
      <c r="G2214" s="12">
        <v>50</v>
      </c>
      <c r="H2214" s="12">
        <v>623</v>
      </c>
      <c r="I2214" s="12">
        <v>15</v>
      </c>
      <c r="J2214" t="str">
        <f>VLOOKUP(B2214,Paramètres!$A$4:$C$11,3,FALSE)</f>
        <v>Paris</v>
      </c>
      <c r="K2214" s="13">
        <f>IFERROR(H2214/G2214,"")</f>
        <v>12.46</v>
      </c>
      <c r="L2214" s="14">
        <f>IFERROR(I2214/G2214,"")</f>
        <v>0.3</v>
      </c>
      <c r="M2214" s="11" t="str">
        <f>IF(K2214&gt;=Paramètres!$F$6,"Très forte",IF(K2214&gt;=Paramètres!$F$5,"Forte",IF(K2214&gt;=Paramètres!$F$4,"Modérée","Faible")))</f>
        <v>Modérée</v>
      </c>
    </row>
    <row r="2215" spans="1:13">
      <c r="A2215" t="s">
        <v>108</v>
      </c>
      <c r="B2215" s="11">
        <v>93</v>
      </c>
      <c r="C2215" t="s">
        <v>100</v>
      </c>
      <c r="D2215" t="s">
        <v>22</v>
      </c>
      <c r="E2215" t="s">
        <v>712</v>
      </c>
      <c r="F2215" t="s">
        <v>88</v>
      </c>
      <c r="G2215" s="12">
        <v>32</v>
      </c>
      <c r="H2215" s="12">
        <v>398</v>
      </c>
      <c r="I2215" s="12">
        <v>31</v>
      </c>
      <c r="J2215" t="str">
        <f>VLOOKUP(B2215,Paramètres!$A$4:$C$11,3,FALSE)</f>
        <v>Petite couronne</v>
      </c>
      <c r="K2215" s="13">
        <f>IFERROR(H2215/G2215,"")</f>
        <v>12.4375</v>
      </c>
      <c r="L2215" s="14">
        <f>IFERROR(I2215/G2215,"")</f>
        <v>0.96875</v>
      </c>
      <c r="M2215" s="11" t="str">
        <f>IF(K2215&gt;=Paramètres!$F$6,"Très forte",IF(K2215&gt;=Paramètres!$F$5,"Forte",IF(K2215&gt;=Paramètres!$F$4,"Modérée","Faible")))</f>
        <v>Modérée</v>
      </c>
    </row>
    <row r="2216" spans="1:13">
      <c r="A2216" t="s">
        <v>203</v>
      </c>
      <c r="B2216" s="11">
        <v>78</v>
      </c>
      <c r="C2216" t="s">
        <v>135</v>
      </c>
      <c r="D2216" t="s">
        <v>22</v>
      </c>
      <c r="E2216" t="s">
        <v>204</v>
      </c>
      <c r="F2216" t="s">
        <v>88</v>
      </c>
      <c r="G2216" s="12">
        <v>257</v>
      </c>
      <c r="H2216" s="12">
        <v>3182</v>
      </c>
      <c r="I2216" s="12">
        <v>245</v>
      </c>
      <c r="J2216" t="str">
        <f>VLOOKUP(B2216,Paramètres!$A$4:$C$11,3,FALSE)</f>
        <v>Grande couronne</v>
      </c>
      <c r="K2216" s="13">
        <f>IFERROR(H2216/G2216,"")</f>
        <v>12.381322957198444</v>
      </c>
      <c r="L2216" s="14">
        <f>IFERROR(I2216/G2216,"")</f>
        <v>0.953307392996109</v>
      </c>
      <c r="M2216" s="11" t="str">
        <f>IF(K2216&gt;=Paramètres!$F$6,"Très forte",IF(K2216&gt;=Paramètres!$F$5,"Forte",IF(K2216&gt;=Paramètres!$F$4,"Modérée","Faible")))</f>
        <v>Modérée</v>
      </c>
    </row>
    <row r="2217" spans="1:13">
      <c r="A2217" t="s">
        <v>144</v>
      </c>
      <c r="B2217" s="11">
        <v>95</v>
      </c>
      <c r="C2217" t="s">
        <v>90</v>
      </c>
      <c r="D2217" t="s">
        <v>22</v>
      </c>
      <c r="E2217" t="s">
        <v>202</v>
      </c>
      <c r="F2217" t="s">
        <v>88</v>
      </c>
      <c r="G2217" s="12">
        <v>305</v>
      </c>
      <c r="H2217" s="12">
        <v>3774</v>
      </c>
      <c r="I2217" s="12">
        <v>305</v>
      </c>
      <c r="J2217" t="str">
        <f>VLOOKUP(B2217,Paramètres!$A$4:$C$11,3,FALSE)</f>
        <v>Grande couronne</v>
      </c>
      <c r="K2217" s="13">
        <f>IFERROR(H2217/G2217,"")</f>
        <v>12.373770491803279</v>
      </c>
      <c r="L2217" s="14">
        <f>IFERROR(I2217/G2217,"")</f>
        <v>1</v>
      </c>
      <c r="M2217" s="11" t="str">
        <f>IF(K2217&gt;=Paramètres!$F$6,"Très forte",IF(K2217&gt;=Paramètres!$F$5,"Forte",IF(K2217&gt;=Paramètres!$F$4,"Modérée","Faible")))</f>
        <v>Modérée</v>
      </c>
    </row>
    <row r="2218" spans="1:13">
      <c r="A2218" t="s">
        <v>127</v>
      </c>
      <c r="B2218" s="11">
        <v>75</v>
      </c>
      <c r="C2218" t="s">
        <v>86</v>
      </c>
      <c r="D2218" t="s">
        <v>22</v>
      </c>
      <c r="E2218" t="s">
        <v>169</v>
      </c>
      <c r="F2218" t="s">
        <v>88</v>
      </c>
      <c r="G2218" s="12">
        <v>125</v>
      </c>
      <c r="H2218" s="12">
        <v>1542</v>
      </c>
      <c r="I2218" s="12">
        <v>122</v>
      </c>
      <c r="J2218" t="str">
        <f>VLOOKUP(B2218,Paramètres!$A$4:$C$11,3,FALSE)</f>
        <v>Paris</v>
      </c>
      <c r="K2218" s="13">
        <f>IFERROR(H2218/G2218,"")</f>
        <v>12.336</v>
      </c>
      <c r="L2218" s="14">
        <f>IFERROR(I2218/G2218,"")</f>
        <v>0.97599999999999998</v>
      </c>
      <c r="M2218" s="11" t="str">
        <f>IF(K2218&gt;=Paramètres!$F$6,"Très forte",IF(K2218&gt;=Paramètres!$F$5,"Forte",IF(K2218&gt;=Paramètres!$F$4,"Modérée","Faible")))</f>
        <v>Modérée</v>
      </c>
    </row>
    <row r="2219" spans="1:13">
      <c r="A2219" t="s">
        <v>110</v>
      </c>
      <c r="B2219" s="11">
        <v>75</v>
      </c>
      <c r="C2219" t="s">
        <v>86</v>
      </c>
      <c r="D2219" t="s">
        <v>22</v>
      </c>
      <c r="E2219" t="s">
        <v>180</v>
      </c>
      <c r="F2219" t="s">
        <v>88</v>
      </c>
      <c r="G2219" s="12">
        <v>175</v>
      </c>
      <c r="H2219" s="12">
        <v>2153</v>
      </c>
      <c r="I2219" s="12">
        <v>183</v>
      </c>
      <c r="J2219" t="str">
        <f>VLOOKUP(B2219,Paramètres!$A$4:$C$11,3,FALSE)</f>
        <v>Paris</v>
      </c>
      <c r="K2219" s="13">
        <f>IFERROR(H2219/G2219,"")</f>
        <v>12.302857142857142</v>
      </c>
      <c r="L2219" s="14">
        <f>IFERROR(I2219/G2219,"")</f>
        <v>1.0457142857142858</v>
      </c>
      <c r="M2219" s="11" t="str">
        <f>IF(K2219&gt;=Paramètres!$F$6,"Très forte",IF(K2219&gt;=Paramètres!$F$5,"Forte",IF(K2219&gt;=Paramètres!$F$4,"Modérée","Faible")))</f>
        <v>Modérée</v>
      </c>
    </row>
    <row r="2220" spans="1:13">
      <c r="A2220" t="s">
        <v>97</v>
      </c>
      <c r="B2220" s="11">
        <v>92</v>
      </c>
      <c r="C2220" t="s">
        <v>94</v>
      </c>
      <c r="D2220" t="s">
        <v>22</v>
      </c>
      <c r="E2220" t="s">
        <v>426</v>
      </c>
      <c r="F2220" t="s">
        <v>88</v>
      </c>
      <c r="G2220" s="12">
        <v>170</v>
      </c>
      <c r="H2220" s="12">
        <v>2069</v>
      </c>
      <c r="I2220" s="12">
        <v>169</v>
      </c>
      <c r="J2220" t="str">
        <f>VLOOKUP(B2220,Paramètres!$A$4:$C$11,3,FALSE)</f>
        <v>Petite couronne</v>
      </c>
      <c r="K2220" s="13">
        <f>IFERROR(H2220/G2220,"")</f>
        <v>12.170588235294117</v>
      </c>
      <c r="L2220" s="14">
        <f>IFERROR(I2220/G2220,"")</f>
        <v>0.99411764705882355</v>
      </c>
      <c r="M2220" s="11" t="str">
        <f>IF(K2220&gt;=Paramètres!$F$6,"Très forte",IF(K2220&gt;=Paramètres!$F$5,"Forte",IF(K2220&gt;=Paramètres!$F$4,"Modérée","Faible")))</f>
        <v>Modérée</v>
      </c>
    </row>
    <row r="2221" spans="1:13">
      <c r="A2221" t="s">
        <v>265</v>
      </c>
      <c r="B2221" s="11">
        <v>93</v>
      </c>
      <c r="C2221" t="s">
        <v>100</v>
      </c>
      <c r="D2221" t="s">
        <v>22</v>
      </c>
      <c r="E2221" t="s">
        <v>618</v>
      </c>
      <c r="F2221" t="s">
        <v>88</v>
      </c>
      <c r="G2221" s="12">
        <v>60</v>
      </c>
      <c r="H2221" s="12">
        <v>721</v>
      </c>
      <c r="I2221" s="12">
        <v>55</v>
      </c>
      <c r="J2221" t="str">
        <f>VLOOKUP(B2221,Paramètres!$A$4:$C$11,3,FALSE)</f>
        <v>Petite couronne</v>
      </c>
      <c r="K2221" s="13">
        <f>IFERROR(H2221/G2221,"")</f>
        <v>12.016666666666667</v>
      </c>
      <c r="L2221" s="14">
        <f>IFERROR(I2221/G2221,"")</f>
        <v>0.91666666666666663</v>
      </c>
      <c r="M2221" s="11" t="str">
        <f>IF(K2221&gt;=Paramètres!$F$6,"Très forte",IF(K2221&gt;=Paramètres!$F$5,"Forte",IF(K2221&gt;=Paramètres!$F$4,"Modérée","Faible")))</f>
        <v>Modérée</v>
      </c>
    </row>
    <row r="2222" spans="1:13">
      <c r="A2222" t="s">
        <v>127</v>
      </c>
      <c r="B2222" s="11">
        <v>75</v>
      </c>
      <c r="C2222" t="s">
        <v>86</v>
      </c>
      <c r="D2222" t="s">
        <v>22</v>
      </c>
      <c r="E2222" t="s">
        <v>229</v>
      </c>
      <c r="F2222" t="s">
        <v>88</v>
      </c>
      <c r="G2222" s="12">
        <v>5</v>
      </c>
      <c r="H2222" s="12">
        <v>60</v>
      </c>
      <c r="I2222" s="12">
        <v>5</v>
      </c>
      <c r="J2222" t="str">
        <f>VLOOKUP(B2222,Paramètres!$A$4:$C$11,3,FALSE)</f>
        <v>Paris</v>
      </c>
      <c r="K2222" s="13">
        <f>IFERROR(H2222/G2222,"")</f>
        <v>12</v>
      </c>
      <c r="L2222" s="14">
        <f>IFERROR(I2222/G2222,"")</f>
        <v>1</v>
      </c>
      <c r="M2222" s="11" t="str">
        <f>IF(K2222&gt;=Paramètres!$F$6,"Très forte",IF(K2222&gt;=Paramètres!$F$5,"Forte",IF(K2222&gt;=Paramètres!$F$4,"Modérée","Faible")))</f>
        <v>Modérée</v>
      </c>
    </row>
    <row r="2223" spans="1:13">
      <c r="A2223" t="s">
        <v>104</v>
      </c>
      <c r="B2223" s="11">
        <v>91</v>
      </c>
      <c r="C2223" t="s">
        <v>105</v>
      </c>
      <c r="D2223" t="s">
        <v>22</v>
      </c>
      <c r="E2223" t="s">
        <v>416</v>
      </c>
      <c r="F2223" t="s">
        <v>88</v>
      </c>
      <c r="G2223" s="12">
        <v>30</v>
      </c>
      <c r="H2223" s="12">
        <v>356</v>
      </c>
      <c r="I2223" s="12">
        <v>31</v>
      </c>
      <c r="J2223" t="str">
        <f>VLOOKUP(B2223,Paramètres!$A$4:$C$11,3,FALSE)</f>
        <v>Grande couronne</v>
      </c>
      <c r="K2223" s="13">
        <f>IFERROR(H2223/G2223,"")</f>
        <v>11.866666666666667</v>
      </c>
      <c r="L2223" s="14">
        <f>IFERROR(I2223/G2223,"")</f>
        <v>1.0333333333333334</v>
      </c>
      <c r="M2223" s="11" t="str">
        <f>IF(K2223&gt;=Paramètres!$F$6,"Très forte",IF(K2223&gt;=Paramètres!$F$5,"Forte",IF(K2223&gt;=Paramètres!$F$4,"Modérée","Faible")))</f>
        <v>Modérée</v>
      </c>
    </row>
    <row r="2224" spans="1:13">
      <c r="A2224" t="s">
        <v>162</v>
      </c>
      <c r="B2224" s="11">
        <v>91</v>
      </c>
      <c r="C2224" t="s">
        <v>105</v>
      </c>
      <c r="D2224" t="s">
        <v>22</v>
      </c>
      <c r="E2224" t="s">
        <v>163</v>
      </c>
      <c r="F2224" t="s">
        <v>88</v>
      </c>
      <c r="G2224" s="12">
        <v>140</v>
      </c>
      <c r="H2224" s="12">
        <v>1659</v>
      </c>
      <c r="I2224" s="12">
        <v>134</v>
      </c>
      <c r="J2224" t="str">
        <f>VLOOKUP(B2224,Paramètres!$A$4:$C$11,3,FALSE)</f>
        <v>Grande couronne</v>
      </c>
      <c r="K2224" s="13">
        <f>IFERROR(H2224/G2224,"")</f>
        <v>11.85</v>
      </c>
      <c r="L2224" s="14">
        <f>IFERROR(I2224/G2224,"")</f>
        <v>0.95714285714285718</v>
      </c>
      <c r="M2224" s="11" t="str">
        <f>IF(K2224&gt;=Paramètres!$F$6,"Très forte",IF(K2224&gt;=Paramètres!$F$5,"Forte",IF(K2224&gt;=Paramètres!$F$4,"Modérée","Faible")))</f>
        <v>Modérée</v>
      </c>
    </row>
    <row r="2225" spans="1:13">
      <c r="A2225" t="s">
        <v>97</v>
      </c>
      <c r="B2225" s="11">
        <v>92</v>
      </c>
      <c r="C2225" t="s">
        <v>94</v>
      </c>
      <c r="D2225" t="s">
        <v>22</v>
      </c>
      <c r="E2225" t="s">
        <v>245</v>
      </c>
      <c r="F2225" t="s">
        <v>88</v>
      </c>
      <c r="G2225" s="12">
        <v>158</v>
      </c>
      <c r="H2225" s="12">
        <v>1868</v>
      </c>
      <c r="I2225" s="12">
        <v>151</v>
      </c>
      <c r="J2225" t="str">
        <f>VLOOKUP(B2225,Paramètres!$A$4:$C$11,3,FALSE)</f>
        <v>Petite couronne</v>
      </c>
      <c r="K2225" s="13">
        <f>IFERROR(H2225/G2225,"")</f>
        <v>11.822784810126583</v>
      </c>
      <c r="L2225" s="14">
        <f>IFERROR(I2225/G2225,"")</f>
        <v>0.95569620253164556</v>
      </c>
      <c r="M2225" s="11" t="str">
        <f>IF(K2225&gt;=Paramètres!$F$6,"Très forte",IF(K2225&gt;=Paramètres!$F$5,"Forte",IF(K2225&gt;=Paramètres!$F$4,"Modérée","Faible")))</f>
        <v>Modérée</v>
      </c>
    </row>
    <row r="2226" spans="1:13">
      <c r="A2226" t="s">
        <v>119</v>
      </c>
      <c r="B2226" s="11">
        <v>75</v>
      </c>
      <c r="C2226" t="s">
        <v>86</v>
      </c>
      <c r="D2226" t="s">
        <v>22</v>
      </c>
      <c r="E2226" t="s">
        <v>782</v>
      </c>
      <c r="F2226" t="s">
        <v>92</v>
      </c>
      <c r="G2226" s="12">
        <v>30</v>
      </c>
      <c r="H2226" s="12">
        <v>351</v>
      </c>
      <c r="I2226" s="12">
        <v>28</v>
      </c>
      <c r="J2226" t="str">
        <f>VLOOKUP(B2226,Paramètres!$A$4:$C$11,3,FALSE)</f>
        <v>Paris</v>
      </c>
      <c r="K2226" s="13">
        <f>IFERROR(H2226/G2226,"")</f>
        <v>11.7</v>
      </c>
      <c r="L2226" s="14">
        <f>IFERROR(I2226/G2226,"")</f>
        <v>0.93333333333333335</v>
      </c>
      <c r="M2226" s="11" t="str">
        <f>IF(K2226&gt;=Paramètres!$F$6,"Très forte",IF(K2226&gt;=Paramètres!$F$5,"Forte",IF(K2226&gt;=Paramètres!$F$4,"Modérée","Faible")))</f>
        <v>Modérée</v>
      </c>
    </row>
    <row r="2227" spans="1:13">
      <c r="A2227" t="s">
        <v>148</v>
      </c>
      <c r="B2227" s="11">
        <v>75</v>
      </c>
      <c r="C2227" t="s">
        <v>86</v>
      </c>
      <c r="D2227" t="s">
        <v>22</v>
      </c>
      <c r="E2227" t="s">
        <v>358</v>
      </c>
      <c r="F2227" t="s">
        <v>92</v>
      </c>
      <c r="G2227" s="12">
        <v>27</v>
      </c>
      <c r="H2227" s="12">
        <v>315</v>
      </c>
      <c r="I2227" s="12">
        <v>27</v>
      </c>
      <c r="J2227" t="str">
        <f>VLOOKUP(B2227,Paramètres!$A$4:$C$11,3,FALSE)</f>
        <v>Paris</v>
      </c>
      <c r="K2227" s="13">
        <f>IFERROR(H2227/G2227,"")</f>
        <v>11.666666666666666</v>
      </c>
      <c r="L2227" s="14">
        <f>IFERROR(I2227/G2227,"")</f>
        <v>1</v>
      </c>
      <c r="M2227" s="11" t="str">
        <f>IF(K2227&gt;=Paramètres!$F$6,"Très forte",IF(K2227&gt;=Paramètres!$F$5,"Forte",IF(K2227&gt;=Paramètres!$F$4,"Modérée","Faible")))</f>
        <v>Modérée</v>
      </c>
    </row>
    <row r="2228" spans="1:13">
      <c r="A2228" t="s">
        <v>127</v>
      </c>
      <c r="B2228" s="11">
        <v>75</v>
      </c>
      <c r="C2228" t="s">
        <v>86</v>
      </c>
      <c r="D2228" t="s">
        <v>22</v>
      </c>
      <c r="E2228" t="s">
        <v>343</v>
      </c>
      <c r="F2228" t="s">
        <v>88</v>
      </c>
      <c r="G2228" s="12">
        <v>18</v>
      </c>
      <c r="H2228" s="12">
        <v>209</v>
      </c>
      <c r="I2228" s="12">
        <v>18</v>
      </c>
      <c r="J2228" t="str">
        <f>VLOOKUP(B2228,Paramètres!$A$4:$C$11,3,FALSE)</f>
        <v>Paris</v>
      </c>
      <c r="K2228" s="13">
        <f>IFERROR(H2228/G2228,"")</f>
        <v>11.611111111111111</v>
      </c>
      <c r="L2228" s="14">
        <f>IFERROR(I2228/G2228,"")</f>
        <v>1</v>
      </c>
      <c r="M2228" s="11" t="str">
        <f>IF(K2228&gt;=Paramètres!$F$6,"Très forte",IF(K2228&gt;=Paramètres!$F$5,"Forte",IF(K2228&gt;=Paramètres!$F$4,"Modérée","Faible")))</f>
        <v>Modérée</v>
      </c>
    </row>
    <row r="2229" spans="1:13">
      <c r="A2229" t="s">
        <v>108</v>
      </c>
      <c r="B2229" s="11">
        <v>93</v>
      </c>
      <c r="C2229" t="s">
        <v>100</v>
      </c>
      <c r="D2229" t="s">
        <v>22</v>
      </c>
      <c r="E2229" t="s">
        <v>109</v>
      </c>
      <c r="F2229" t="s">
        <v>88</v>
      </c>
      <c r="G2229" s="12">
        <v>122</v>
      </c>
      <c r="H2229" s="12">
        <v>1414</v>
      </c>
      <c r="I2229" s="12">
        <v>119</v>
      </c>
      <c r="J2229" t="str">
        <f>VLOOKUP(B2229,Paramètres!$A$4:$C$11,3,FALSE)</f>
        <v>Petite couronne</v>
      </c>
      <c r="K2229" s="13">
        <f>IFERROR(H2229/G2229,"")</f>
        <v>11.590163934426229</v>
      </c>
      <c r="L2229" s="14">
        <f>IFERROR(I2229/G2229,"")</f>
        <v>0.97540983606557374</v>
      </c>
      <c r="M2229" s="11" t="str">
        <f>IF(K2229&gt;=Paramètres!$F$6,"Très forte",IF(K2229&gt;=Paramètres!$F$5,"Forte",IF(K2229&gt;=Paramètres!$F$4,"Modérée","Faible")))</f>
        <v>Modérée</v>
      </c>
    </row>
    <row r="2230" spans="1:13">
      <c r="A2230" t="s">
        <v>162</v>
      </c>
      <c r="B2230" s="11">
        <v>91</v>
      </c>
      <c r="C2230" t="s">
        <v>105</v>
      </c>
      <c r="D2230" t="s">
        <v>22</v>
      </c>
      <c r="E2230" t="s">
        <v>421</v>
      </c>
      <c r="F2230" t="s">
        <v>88</v>
      </c>
      <c r="G2230" s="12">
        <v>155</v>
      </c>
      <c r="H2230" s="12">
        <v>1796</v>
      </c>
      <c r="I2230" s="12">
        <v>157</v>
      </c>
      <c r="J2230" t="str">
        <f>VLOOKUP(B2230,Paramètres!$A$4:$C$11,3,FALSE)</f>
        <v>Grande couronne</v>
      </c>
      <c r="K2230" s="13">
        <f>IFERROR(H2230/G2230,"")</f>
        <v>11.587096774193549</v>
      </c>
      <c r="L2230" s="14">
        <f>IFERROR(I2230/G2230,"")</f>
        <v>1.0129032258064516</v>
      </c>
      <c r="M2230" s="11" t="str">
        <f>IF(K2230&gt;=Paramètres!$F$6,"Très forte",IF(K2230&gt;=Paramètres!$F$5,"Forte",IF(K2230&gt;=Paramètres!$F$4,"Modérée","Faible")))</f>
        <v>Modérée</v>
      </c>
    </row>
    <row r="2231" spans="1:13">
      <c r="A2231" t="s">
        <v>144</v>
      </c>
      <c r="B2231" s="11">
        <v>95</v>
      </c>
      <c r="C2231" t="s">
        <v>90</v>
      </c>
      <c r="D2231" t="s">
        <v>22</v>
      </c>
      <c r="E2231" t="s">
        <v>284</v>
      </c>
      <c r="F2231" t="s">
        <v>92</v>
      </c>
      <c r="G2231" s="12">
        <v>170</v>
      </c>
      <c r="H2231" s="12">
        <v>1947</v>
      </c>
      <c r="I2231" s="12">
        <v>123</v>
      </c>
      <c r="J2231" t="str">
        <f>VLOOKUP(B2231,Paramètres!$A$4:$C$11,3,FALSE)</f>
        <v>Grande couronne</v>
      </c>
      <c r="K2231" s="13">
        <f>IFERROR(H2231/G2231,"")</f>
        <v>11.452941176470588</v>
      </c>
      <c r="L2231" s="14">
        <f>IFERROR(I2231/G2231,"")</f>
        <v>0.72352941176470587</v>
      </c>
      <c r="M2231" s="11" t="str">
        <f>IF(K2231&gt;=Paramètres!$F$6,"Très forte",IF(K2231&gt;=Paramètres!$F$5,"Forte",IF(K2231&gt;=Paramètres!$F$4,"Modérée","Faible")))</f>
        <v>Modérée</v>
      </c>
    </row>
    <row r="2232" spans="1:13">
      <c r="A2232" t="s">
        <v>127</v>
      </c>
      <c r="B2232" s="11">
        <v>75</v>
      </c>
      <c r="C2232" t="s">
        <v>86</v>
      </c>
      <c r="D2232" t="s">
        <v>22</v>
      </c>
      <c r="E2232" t="s">
        <v>231</v>
      </c>
      <c r="F2232" t="s">
        <v>88</v>
      </c>
      <c r="G2232" s="12">
        <v>6</v>
      </c>
      <c r="H2232" s="12">
        <v>68</v>
      </c>
      <c r="I2232" s="12">
        <v>6</v>
      </c>
      <c r="J2232" t="str">
        <f>VLOOKUP(B2232,Paramètres!$A$4:$C$11,3,FALSE)</f>
        <v>Paris</v>
      </c>
      <c r="K2232" s="13">
        <f>IFERROR(H2232/G2232,"")</f>
        <v>11.333333333333334</v>
      </c>
      <c r="L2232" s="14">
        <f>IFERROR(I2232/G2232,"")</f>
        <v>1</v>
      </c>
      <c r="M2232" s="11" t="str">
        <f>IF(K2232&gt;=Paramètres!$F$6,"Très forte",IF(K2232&gt;=Paramètres!$F$5,"Forte",IF(K2232&gt;=Paramètres!$F$4,"Modérée","Faible")))</f>
        <v>Modérée</v>
      </c>
    </row>
    <row r="2233" spans="1:13">
      <c r="A2233" t="s">
        <v>127</v>
      </c>
      <c r="B2233" s="11">
        <v>75</v>
      </c>
      <c r="C2233" t="s">
        <v>86</v>
      </c>
      <c r="D2233" t="s">
        <v>22</v>
      </c>
      <c r="E2233" t="s">
        <v>320</v>
      </c>
      <c r="F2233" t="s">
        <v>88</v>
      </c>
      <c r="G2233" s="12">
        <v>62</v>
      </c>
      <c r="H2233" s="12">
        <v>696</v>
      </c>
      <c r="I2233" s="12">
        <v>61</v>
      </c>
      <c r="J2233" t="str">
        <f>VLOOKUP(B2233,Paramètres!$A$4:$C$11,3,FALSE)</f>
        <v>Paris</v>
      </c>
      <c r="K2233" s="13">
        <f>IFERROR(H2233/G2233,"")</f>
        <v>11.225806451612904</v>
      </c>
      <c r="L2233" s="14">
        <f>IFERROR(I2233/G2233,"")</f>
        <v>0.9838709677419355</v>
      </c>
      <c r="M2233" s="11" t="str">
        <f>IF(K2233&gt;=Paramètres!$F$6,"Très forte",IF(K2233&gt;=Paramètres!$F$5,"Forte",IF(K2233&gt;=Paramètres!$F$4,"Modérée","Faible")))</f>
        <v>Modérée</v>
      </c>
    </row>
    <row r="2234" spans="1:13">
      <c r="A2234" t="s">
        <v>131</v>
      </c>
      <c r="B2234" s="11">
        <v>77</v>
      </c>
      <c r="C2234" t="s">
        <v>132</v>
      </c>
      <c r="D2234" t="s">
        <v>22</v>
      </c>
      <c r="E2234" t="s">
        <v>641</v>
      </c>
      <c r="F2234" t="s">
        <v>88</v>
      </c>
      <c r="G2234" s="12">
        <v>192</v>
      </c>
      <c r="H2234" s="12">
        <v>2154</v>
      </c>
      <c r="I2234" s="12">
        <v>189</v>
      </c>
      <c r="J2234" t="str">
        <f>VLOOKUP(B2234,Paramètres!$A$4:$C$11,3,FALSE)</f>
        <v>Grande couronne</v>
      </c>
      <c r="K2234" s="13">
        <f>IFERROR(H2234/G2234,"")</f>
        <v>11.21875</v>
      </c>
      <c r="L2234" s="14">
        <f>IFERROR(I2234/G2234,"")</f>
        <v>0.984375</v>
      </c>
      <c r="M2234" s="11" t="str">
        <f>IF(K2234&gt;=Paramètres!$F$6,"Très forte",IF(K2234&gt;=Paramètres!$F$5,"Forte",IF(K2234&gt;=Paramètres!$F$4,"Modérée","Faible")))</f>
        <v>Modérée</v>
      </c>
    </row>
    <row r="2235" spans="1:13">
      <c r="A2235" t="s">
        <v>131</v>
      </c>
      <c r="B2235" s="11">
        <v>77</v>
      </c>
      <c r="C2235" t="s">
        <v>132</v>
      </c>
      <c r="D2235" t="s">
        <v>22</v>
      </c>
      <c r="E2235" t="s">
        <v>793</v>
      </c>
      <c r="F2235" t="s">
        <v>88</v>
      </c>
      <c r="G2235" s="12">
        <v>52</v>
      </c>
      <c r="H2235" s="12">
        <v>581</v>
      </c>
      <c r="I2235" s="12">
        <v>51</v>
      </c>
      <c r="J2235" t="str">
        <f>VLOOKUP(B2235,Paramètres!$A$4:$C$11,3,FALSE)</f>
        <v>Grande couronne</v>
      </c>
      <c r="K2235" s="13">
        <f>IFERROR(H2235/G2235,"")</f>
        <v>11.173076923076923</v>
      </c>
      <c r="L2235" s="14">
        <f>IFERROR(I2235/G2235,"")</f>
        <v>0.98076923076923073</v>
      </c>
      <c r="M2235" s="11" t="str">
        <f>IF(K2235&gt;=Paramètres!$F$6,"Très forte",IF(K2235&gt;=Paramètres!$F$5,"Forte",IF(K2235&gt;=Paramètres!$F$4,"Modérée","Faible")))</f>
        <v>Modérée</v>
      </c>
    </row>
    <row r="2236" spans="1:13">
      <c r="A2236" t="s">
        <v>225</v>
      </c>
      <c r="B2236" s="11">
        <v>77</v>
      </c>
      <c r="C2236" t="s">
        <v>132</v>
      </c>
      <c r="D2236" t="s">
        <v>22</v>
      </c>
      <c r="E2236" t="s">
        <v>226</v>
      </c>
      <c r="F2236" t="s">
        <v>92</v>
      </c>
      <c r="G2236" s="12">
        <v>25</v>
      </c>
      <c r="H2236" s="12">
        <v>278</v>
      </c>
      <c r="I2236" s="12">
        <v>25</v>
      </c>
      <c r="J2236" t="str">
        <f>VLOOKUP(B2236,Paramètres!$A$4:$C$11,3,FALSE)</f>
        <v>Grande couronne</v>
      </c>
      <c r="K2236" s="13">
        <f>IFERROR(H2236/G2236,"")</f>
        <v>11.12</v>
      </c>
      <c r="L2236" s="14">
        <f>IFERROR(I2236/G2236,"")</f>
        <v>1</v>
      </c>
      <c r="M2236" s="11" t="str">
        <f>IF(K2236&gt;=Paramètres!$F$6,"Très forte",IF(K2236&gt;=Paramètres!$F$5,"Forte",IF(K2236&gt;=Paramètres!$F$4,"Modérée","Faible")))</f>
        <v>Modérée</v>
      </c>
    </row>
    <row r="2237" spans="1:13">
      <c r="A2237" t="s">
        <v>97</v>
      </c>
      <c r="B2237" s="11">
        <v>92</v>
      </c>
      <c r="C2237" t="s">
        <v>94</v>
      </c>
      <c r="D2237" t="s">
        <v>22</v>
      </c>
      <c r="E2237" t="s">
        <v>439</v>
      </c>
      <c r="F2237" t="s">
        <v>88</v>
      </c>
      <c r="G2237" s="12">
        <v>58</v>
      </c>
      <c r="H2237" s="12">
        <v>640</v>
      </c>
      <c r="I2237" s="12">
        <v>55</v>
      </c>
      <c r="J2237" t="str">
        <f>VLOOKUP(B2237,Paramètres!$A$4:$C$11,3,FALSE)</f>
        <v>Petite couronne</v>
      </c>
      <c r="K2237" s="13">
        <f>IFERROR(H2237/G2237,"")</f>
        <v>11.03448275862069</v>
      </c>
      <c r="L2237" s="14">
        <f>IFERROR(I2237/G2237,"")</f>
        <v>0.94827586206896552</v>
      </c>
      <c r="M2237" s="11" t="str">
        <f>IF(K2237&gt;=Paramètres!$F$6,"Très forte",IF(K2237&gt;=Paramètres!$F$5,"Forte",IF(K2237&gt;=Paramètres!$F$4,"Modérée","Faible")))</f>
        <v>Modérée</v>
      </c>
    </row>
    <row r="2238" spans="1:13">
      <c r="A2238" t="s">
        <v>97</v>
      </c>
      <c r="B2238" s="11">
        <v>92</v>
      </c>
      <c r="C2238" t="s">
        <v>94</v>
      </c>
      <c r="D2238" t="s">
        <v>22</v>
      </c>
      <c r="E2238" t="s">
        <v>366</v>
      </c>
      <c r="F2238" t="s">
        <v>88</v>
      </c>
      <c r="G2238" s="12">
        <v>127</v>
      </c>
      <c r="H2238" s="12">
        <v>1397</v>
      </c>
      <c r="I2238" s="12">
        <v>124</v>
      </c>
      <c r="J2238" t="str">
        <f>VLOOKUP(B2238,Paramètres!$A$4:$C$11,3,FALSE)</f>
        <v>Petite couronne</v>
      </c>
      <c r="K2238" s="13">
        <f>IFERROR(H2238/G2238,"")</f>
        <v>11</v>
      </c>
      <c r="L2238" s="14">
        <f>IFERROR(I2238/G2238,"")</f>
        <v>0.97637795275590555</v>
      </c>
      <c r="M2238" s="11" t="str">
        <f>IF(K2238&gt;=Paramètres!$F$6,"Très forte",IF(K2238&gt;=Paramètres!$F$5,"Forte",IF(K2238&gt;=Paramètres!$F$4,"Modérée","Faible")))</f>
        <v>Modérée</v>
      </c>
    </row>
    <row r="2239" spans="1:13">
      <c r="A2239" t="s">
        <v>97</v>
      </c>
      <c r="B2239" s="11">
        <v>92</v>
      </c>
      <c r="C2239" t="s">
        <v>94</v>
      </c>
      <c r="D2239" t="s">
        <v>22</v>
      </c>
      <c r="E2239" t="s">
        <v>653</v>
      </c>
      <c r="F2239" t="s">
        <v>88</v>
      </c>
      <c r="G2239" s="12">
        <v>100</v>
      </c>
      <c r="H2239" s="12">
        <v>1099</v>
      </c>
      <c r="I2239" s="12">
        <v>97</v>
      </c>
      <c r="J2239" t="str">
        <f>VLOOKUP(B2239,Paramètres!$A$4:$C$11,3,FALSE)</f>
        <v>Petite couronne</v>
      </c>
      <c r="K2239" s="13">
        <f>IFERROR(H2239/G2239,"")</f>
        <v>10.99</v>
      </c>
      <c r="L2239" s="14">
        <f>IFERROR(I2239/G2239,"")</f>
        <v>0.97</v>
      </c>
      <c r="M2239" s="11" t="str">
        <f>IF(K2239&gt;=Paramètres!$F$6,"Très forte",IF(K2239&gt;=Paramètres!$F$5,"Forte",IF(K2239&gt;=Paramètres!$F$4,"Modérée","Faible")))</f>
        <v>Modérée</v>
      </c>
    </row>
    <row r="2240" spans="1:13">
      <c r="A2240" t="s">
        <v>110</v>
      </c>
      <c r="B2240" s="11">
        <v>75</v>
      </c>
      <c r="C2240" t="s">
        <v>86</v>
      </c>
      <c r="D2240" t="s">
        <v>22</v>
      </c>
      <c r="E2240" t="s">
        <v>673</v>
      </c>
      <c r="F2240" t="s">
        <v>88</v>
      </c>
      <c r="G2240" s="12">
        <v>82</v>
      </c>
      <c r="H2240" s="12">
        <v>899</v>
      </c>
      <c r="I2240" s="12">
        <v>80</v>
      </c>
      <c r="J2240" t="str">
        <f>VLOOKUP(B2240,Paramètres!$A$4:$C$11,3,FALSE)</f>
        <v>Paris</v>
      </c>
      <c r="K2240" s="13">
        <f>IFERROR(H2240/G2240,"")</f>
        <v>10.963414634146341</v>
      </c>
      <c r="L2240" s="14">
        <f>IFERROR(I2240/G2240,"")</f>
        <v>0.97560975609756095</v>
      </c>
      <c r="M2240" s="11" t="str">
        <f>IF(K2240&gt;=Paramètres!$F$6,"Très forte",IF(K2240&gt;=Paramètres!$F$5,"Forte",IF(K2240&gt;=Paramètres!$F$4,"Modérée","Faible")))</f>
        <v>Modérée</v>
      </c>
    </row>
    <row r="2241" spans="1:13">
      <c r="A2241" t="s">
        <v>152</v>
      </c>
      <c r="B2241" s="11">
        <v>75</v>
      </c>
      <c r="C2241" t="s">
        <v>86</v>
      </c>
      <c r="D2241" t="s">
        <v>22</v>
      </c>
      <c r="E2241" t="s">
        <v>579</v>
      </c>
      <c r="F2241" t="s">
        <v>92</v>
      </c>
      <c r="G2241" s="12">
        <v>20</v>
      </c>
      <c r="H2241" s="12">
        <v>219</v>
      </c>
      <c r="I2241" s="12">
        <v>15</v>
      </c>
      <c r="J2241" t="str">
        <f>VLOOKUP(B2241,Paramètres!$A$4:$C$11,3,FALSE)</f>
        <v>Paris</v>
      </c>
      <c r="K2241" s="13">
        <f>IFERROR(H2241/G2241,"")</f>
        <v>10.95</v>
      </c>
      <c r="L2241" s="14">
        <f>IFERROR(I2241/G2241,"")</f>
        <v>0.75</v>
      </c>
      <c r="M2241" s="11" t="str">
        <f>IF(K2241&gt;=Paramètres!$F$6,"Très forte",IF(K2241&gt;=Paramètres!$F$5,"Forte",IF(K2241&gt;=Paramètres!$F$4,"Modérée","Faible")))</f>
        <v>Modérée</v>
      </c>
    </row>
    <row r="2242" spans="1:13">
      <c r="A2242" t="s">
        <v>378</v>
      </c>
      <c r="B2242" s="11">
        <v>75</v>
      </c>
      <c r="C2242" t="s">
        <v>86</v>
      </c>
      <c r="D2242" t="s">
        <v>22</v>
      </c>
      <c r="E2242" t="s">
        <v>308</v>
      </c>
      <c r="F2242" t="s">
        <v>92</v>
      </c>
      <c r="G2242" s="12">
        <v>55</v>
      </c>
      <c r="H2242" s="12">
        <v>595</v>
      </c>
      <c r="I2242" s="12">
        <v>34</v>
      </c>
      <c r="J2242" t="str">
        <f>VLOOKUP(B2242,Paramètres!$A$4:$C$11,3,FALSE)</f>
        <v>Paris</v>
      </c>
      <c r="K2242" s="13">
        <f>IFERROR(H2242/G2242,"")</f>
        <v>10.818181818181818</v>
      </c>
      <c r="L2242" s="14">
        <f>IFERROR(I2242/G2242,"")</f>
        <v>0.61818181818181817</v>
      </c>
      <c r="M2242" s="11" t="str">
        <f>IF(K2242&gt;=Paramètres!$F$6,"Très forte",IF(K2242&gt;=Paramètres!$F$5,"Forte",IF(K2242&gt;=Paramètres!$F$4,"Modérée","Faible")))</f>
        <v>Modérée</v>
      </c>
    </row>
    <row r="2243" spans="1:13">
      <c r="A2243" t="s">
        <v>115</v>
      </c>
      <c r="B2243" s="11">
        <v>94</v>
      </c>
      <c r="C2243" t="s">
        <v>116</v>
      </c>
      <c r="D2243" t="s">
        <v>22</v>
      </c>
      <c r="E2243" t="s">
        <v>125</v>
      </c>
      <c r="F2243" t="s">
        <v>92</v>
      </c>
      <c r="G2243" s="12">
        <v>80</v>
      </c>
      <c r="H2243" s="12">
        <v>865</v>
      </c>
      <c r="I2243" s="12">
        <v>79</v>
      </c>
      <c r="J2243" t="str">
        <f>VLOOKUP(B2243,Paramètres!$A$4:$C$11,3,FALSE)</f>
        <v>Petite couronne</v>
      </c>
      <c r="K2243" s="13">
        <f>IFERROR(H2243/G2243,"")</f>
        <v>10.8125</v>
      </c>
      <c r="L2243" s="14">
        <f>IFERROR(I2243/G2243,"")</f>
        <v>0.98750000000000004</v>
      </c>
      <c r="M2243" s="11" t="str">
        <f>IF(K2243&gt;=Paramètres!$F$6,"Très forte",IF(K2243&gt;=Paramètres!$F$5,"Forte",IF(K2243&gt;=Paramètres!$F$4,"Modérée","Faible")))</f>
        <v>Modérée</v>
      </c>
    </row>
    <row r="2244" spans="1:13">
      <c r="A2244" t="s">
        <v>110</v>
      </c>
      <c r="B2244" s="11">
        <v>75</v>
      </c>
      <c r="C2244" t="s">
        <v>86</v>
      </c>
      <c r="D2244" t="s">
        <v>22</v>
      </c>
      <c r="E2244" t="s">
        <v>403</v>
      </c>
      <c r="F2244" t="s">
        <v>88</v>
      </c>
      <c r="G2244" s="12">
        <v>70</v>
      </c>
      <c r="H2244" s="12">
        <v>756</v>
      </c>
      <c r="I2244" s="12">
        <v>68</v>
      </c>
      <c r="J2244" t="str">
        <f>VLOOKUP(B2244,Paramètres!$A$4:$C$11,3,FALSE)</f>
        <v>Paris</v>
      </c>
      <c r="K2244" s="13">
        <f>IFERROR(H2244/G2244,"")</f>
        <v>10.8</v>
      </c>
      <c r="L2244" s="14">
        <f>IFERROR(I2244/G2244,"")</f>
        <v>0.97142857142857142</v>
      </c>
      <c r="M2244" s="11" t="str">
        <f>IF(K2244&gt;=Paramètres!$F$6,"Très forte",IF(K2244&gt;=Paramètres!$F$5,"Forte",IF(K2244&gt;=Paramètres!$F$4,"Modérée","Faible")))</f>
        <v>Modérée</v>
      </c>
    </row>
    <row r="2245" spans="1:13">
      <c r="A2245" t="s">
        <v>148</v>
      </c>
      <c r="B2245" s="11">
        <v>75</v>
      </c>
      <c r="C2245" t="s">
        <v>86</v>
      </c>
      <c r="D2245" t="s">
        <v>22</v>
      </c>
      <c r="E2245" t="s">
        <v>150</v>
      </c>
      <c r="F2245" t="s">
        <v>92</v>
      </c>
      <c r="G2245" s="12">
        <v>27</v>
      </c>
      <c r="H2245" s="12">
        <v>291</v>
      </c>
      <c r="I2245" s="12">
        <v>27</v>
      </c>
      <c r="J2245" t="str">
        <f>VLOOKUP(B2245,Paramètres!$A$4:$C$11,3,FALSE)</f>
        <v>Paris</v>
      </c>
      <c r="K2245" s="13">
        <f>IFERROR(H2245/G2245,"")</f>
        <v>10.777777777777779</v>
      </c>
      <c r="L2245" s="14">
        <f>IFERROR(I2245/G2245,"")</f>
        <v>1</v>
      </c>
      <c r="M2245" s="11" t="str">
        <f>IF(K2245&gt;=Paramètres!$F$6,"Très forte",IF(K2245&gt;=Paramètres!$F$5,"Forte",IF(K2245&gt;=Paramètres!$F$4,"Modérée","Faible")))</f>
        <v>Modérée</v>
      </c>
    </row>
    <row r="2246" spans="1:13">
      <c r="A2246" t="s">
        <v>97</v>
      </c>
      <c r="B2246" s="11">
        <v>92</v>
      </c>
      <c r="C2246" t="s">
        <v>94</v>
      </c>
      <c r="D2246" t="s">
        <v>22</v>
      </c>
      <c r="E2246" t="s">
        <v>544</v>
      </c>
      <c r="F2246" t="s">
        <v>92</v>
      </c>
      <c r="G2246" s="12">
        <v>80</v>
      </c>
      <c r="H2246" s="12">
        <v>856</v>
      </c>
      <c r="I2246" s="12">
        <v>79</v>
      </c>
      <c r="J2246" t="str">
        <f>VLOOKUP(B2246,Paramètres!$A$4:$C$11,3,FALSE)</f>
        <v>Petite couronne</v>
      </c>
      <c r="K2246" s="13">
        <f>IFERROR(H2246/G2246,"")</f>
        <v>10.7</v>
      </c>
      <c r="L2246" s="14">
        <f>IFERROR(I2246/G2246,"")</f>
        <v>0.98750000000000004</v>
      </c>
      <c r="M2246" s="11" t="str">
        <f>IF(K2246&gt;=Paramètres!$F$6,"Très forte",IF(K2246&gt;=Paramètres!$F$5,"Forte",IF(K2246&gt;=Paramètres!$F$4,"Modérée","Faible")))</f>
        <v>Modérée</v>
      </c>
    </row>
    <row r="2247" spans="1:13">
      <c r="A2247" t="s">
        <v>119</v>
      </c>
      <c r="B2247" s="11">
        <v>75</v>
      </c>
      <c r="C2247" t="s">
        <v>86</v>
      </c>
      <c r="D2247" t="s">
        <v>22</v>
      </c>
      <c r="E2247" t="s">
        <v>667</v>
      </c>
      <c r="F2247" t="s">
        <v>88</v>
      </c>
      <c r="G2247" s="12">
        <v>300</v>
      </c>
      <c r="H2247" s="12">
        <v>3203</v>
      </c>
      <c r="I2247" s="12">
        <v>297</v>
      </c>
      <c r="J2247" t="str">
        <f>VLOOKUP(B2247,Paramètres!$A$4:$C$11,3,FALSE)</f>
        <v>Paris</v>
      </c>
      <c r="K2247" s="13">
        <f>IFERROR(H2247/G2247,"")</f>
        <v>10.676666666666666</v>
      </c>
      <c r="L2247" s="14">
        <f>IFERROR(I2247/G2247,"")</f>
        <v>0.99</v>
      </c>
      <c r="M2247" s="11" t="str">
        <f>IF(K2247&gt;=Paramètres!$F$6,"Très forte",IF(K2247&gt;=Paramètres!$F$5,"Forte",IF(K2247&gt;=Paramètres!$F$4,"Modérée","Faible")))</f>
        <v>Modérée</v>
      </c>
    </row>
    <row r="2248" spans="1:13">
      <c r="A2248" t="s">
        <v>203</v>
      </c>
      <c r="B2248" s="11">
        <v>78</v>
      </c>
      <c r="C2248" t="s">
        <v>135</v>
      </c>
      <c r="D2248" t="s">
        <v>22</v>
      </c>
      <c r="E2248" t="s">
        <v>519</v>
      </c>
      <c r="F2248" t="s">
        <v>88</v>
      </c>
      <c r="G2248" s="12">
        <v>101</v>
      </c>
      <c r="H2248" s="12">
        <v>1073</v>
      </c>
      <c r="I2248" s="12">
        <v>99</v>
      </c>
      <c r="J2248" t="str">
        <f>VLOOKUP(B2248,Paramètres!$A$4:$C$11,3,FALSE)</f>
        <v>Grande couronne</v>
      </c>
      <c r="K2248" s="13">
        <f>IFERROR(H2248/G2248,"")</f>
        <v>10.623762376237623</v>
      </c>
      <c r="L2248" s="14">
        <f>IFERROR(I2248/G2248,"")</f>
        <v>0.98019801980198018</v>
      </c>
      <c r="M2248" s="11" t="str">
        <f>IF(K2248&gt;=Paramètres!$F$6,"Très forte",IF(K2248&gt;=Paramètres!$F$5,"Forte",IF(K2248&gt;=Paramètres!$F$4,"Modérée","Faible")))</f>
        <v>Modérée</v>
      </c>
    </row>
    <row r="2249" spans="1:13">
      <c r="A2249" t="s">
        <v>97</v>
      </c>
      <c r="B2249" s="11">
        <v>92</v>
      </c>
      <c r="C2249" t="s">
        <v>94</v>
      </c>
      <c r="D2249" t="s">
        <v>22</v>
      </c>
      <c r="E2249" t="s">
        <v>645</v>
      </c>
      <c r="F2249" t="s">
        <v>88</v>
      </c>
      <c r="G2249" s="12">
        <v>20</v>
      </c>
      <c r="H2249" s="12">
        <v>211</v>
      </c>
      <c r="I2249" s="12">
        <v>20</v>
      </c>
      <c r="J2249" t="str">
        <f>VLOOKUP(B2249,Paramètres!$A$4:$C$11,3,FALSE)</f>
        <v>Petite couronne</v>
      </c>
      <c r="K2249" s="13">
        <f>IFERROR(H2249/G2249,"")</f>
        <v>10.55</v>
      </c>
      <c r="L2249" s="14">
        <f>IFERROR(I2249/G2249,"")</f>
        <v>1</v>
      </c>
      <c r="M2249" s="11" t="str">
        <f>IF(K2249&gt;=Paramètres!$F$6,"Très forte",IF(K2249&gt;=Paramètres!$F$5,"Forte",IF(K2249&gt;=Paramètres!$F$4,"Modérée","Faible")))</f>
        <v>Modérée</v>
      </c>
    </row>
    <row r="2250" spans="1:13">
      <c r="A2250" t="s">
        <v>110</v>
      </c>
      <c r="B2250" s="11">
        <v>75</v>
      </c>
      <c r="C2250" t="s">
        <v>86</v>
      </c>
      <c r="D2250" t="s">
        <v>22</v>
      </c>
      <c r="E2250" t="s">
        <v>755</v>
      </c>
      <c r="F2250" t="s">
        <v>92</v>
      </c>
      <c r="G2250" s="12">
        <v>15</v>
      </c>
      <c r="H2250" s="12">
        <v>158</v>
      </c>
      <c r="I2250" s="12">
        <v>6</v>
      </c>
      <c r="J2250" t="str">
        <f>VLOOKUP(B2250,Paramètres!$A$4:$C$11,3,FALSE)</f>
        <v>Paris</v>
      </c>
      <c r="K2250" s="13">
        <f>IFERROR(H2250/G2250,"")</f>
        <v>10.533333333333333</v>
      </c>
      <c r="L2250" s="14">
        <f>IFERROR(I2250/G2250,"")</f>
        <v>0.4</v>
      </c>
      <c r="M2250" s="11" t="str">
        <f>IF(K2250&gt;=Paramètres!$F$6,"Très forte",IF(K2250&gt;=Paramètres!$F$5,"Forte",IF(K2250&gt;=Paramètres!$F$4,"Modérée","Faible")))</f>
        <v>Modérée</v>
      </c>
    </row>
    <row r="2251" spans="1:13">
      <c r="A2251" t="s">
        <v>127</v>
      </c>
      <c r="B2251" s="11">
        <v>75</v>
      </c>
      <c r="C2251" t="s">
        <v>86</v>
      </c>
      <c r="D2251" t="s">
        <v>22</v>
      </c>
      <c r="E2251" t="s">
        <v>235</v>
      </c>
      <c r="F2251" t="s">
        <v>88</v>
      </c>
      <c r="G2251" s="12">
        <v>20</v>
      </c>
      <c r="H2251" s="12">
        <v>208</v>
      </c>
      <c r="I2251" s="12">
        <v>20</v>
      </c>
      <c r="J2251" t="str">
        <f>VLOOKUP(B2251,Paramètres!$A$4:$C$11,3,FALSE)</f>
        <v>Paris</v>
      </c>
      <c r="K2251" s="13">
        <f>IFERROR(H2251/G2251,"")</f>
        <v>10.4</v>
      </c>
      <c r="L2251" s="14">
        <f>IFERROR(I2251/G2251,"")</f>
        <v>1</v>
      </c>
      <c r="M2251" s="11" t="str">
        <f>IF(K2251&gt;=Paramètres!$F$6,"Très forte",IF(K2251&gt;=Paramètres!$F$5,"Forte",IF(K2251&gt;=Paramètres!$F$4,"Modérée","Faible")))</f>
        <v>Modérée</v>
      </c>
    </row>
    <row r="2252" spans="1:13">
      <c r="A2252" t="s">
        <v>104</v>
      </c>
      <c r="B2252" s="11">
        <v>91</v>
      </c>
      <c r="C2252" t="s">
        <v>105</v>
      </c>
      <c r="D2252" t="s">
        <v>22</v>
      </c>
      <c r="E2252" t="s">
        <v>159</v>
      </c>
      <c r="F2252" t="s">
        <v>88</v>
      </c>
      <c r="G2252" s="12">
        <v>320</v>
      </c>
      <c r="H2252" s="12">
        <v>3312</v>
      </c>
      <c r="I2252" s="12">
        <v>320</v>
      </c>
      <c r="J2252" t="str">
        <f>VLOOKUP(B2252,Paramètres!$A$4:$C$11,3,FALSE)</f>
        <v>Grande couronne</v>
      </c>
      <c r="K2252" s="13">
        <f>IFERROR(H2252/G2252,"")</f>
        <v>10.35</v>
      </c>
      <c r="L2252" s="14">
        <f>IFERROR(I2252/G2252,"")</f>
        <v>1</v>
      </c>
      <c r="M2252" s="11" t="str">
        <f>IF(K2252&gt;=Paramètres!$F$6,"Très forte",IF(K2252&gt;=Paramètres!$F$5,"Forte",IF(K2252&gt;=Paramètres!$F$4,"Modérée","Faible")))</f>
        <v>Modérée</v>
      </c>
    </row>
    <row r="2253" spans="1:13">
      <c r="A2253" t="s">
        <v>127</v>
      </c>
      <c r="B2253" s="11">
        <v>75</v>
      </c>
      <c r="C2253" t="s">
        <v>86</v>
      </c>
      <c r="D2253" t="s">
        <v>22</v>
      </c>
      <c r="E2253" t="s">
        <v>413</v>
      </c>
      <c r="F2253" t="s">
        <v>88</v>
      </c>
      <c r="G2253" s="12">
        <v>30</v>
      </c>
      <c r="H2253" s="12">
        <v>308</v>
      </c>
      <c r="I2253" s="12">
        <v>30</v>
      </c>
      <c r="J2253" t="str">
        <f>VLOOKUP(B2253,Paramètres!$A$4:$C$11,3,FALSE)</f>
        <v>Paris</v>
      </c>
      <c r="K2253" s="13">
        <f>IFERROR(H2253/G2253,"")</f>
        <v>10.266666666666667</v>
      </c>
      <c r="L2253" s="14">
        <f>IFERROR(I2253/G2253,"")</f>
        <v>1</v>
      </c>
      <c r="M2253" s="11" t="str">
        <f>IF(K2253&gt;=Paramètres!$F$6,"Très forte",IF(K2253&gt;=Paramètres!$F$5,"Forte",IF(K2253&gt;=Paramètres!$F$4,"Modérée","Faible")))</f>
        <v>Modérée</v>
      </c>
    </row>
    <row r="2254" spans="1:13">
      <c r="A2254" t="s">
        <v>119</v>
      </c>
      <c r="B2254" s="11">
        <v>75</v>
      </c>
      <c r="C2254" t="s">
        <v>86</v>
      </c>
      <c r="D2254" t="s">
        <v>22</v>
      </c>
      <c r="E2254" t="s">
        <v>174</v>
      </c>
      <c r="F2254" t="s">
        <v>92</v>
      </c>
      <c r="G2254" s="12">
        <v>20</v>
      </c>
      <c r="H2254" s="12">
        <v>205</v>
      </c>
      <c r="I2254" s="12">
        <v>11</v>
      </c>
      <c r="J2254" t="str">
        <f>VLOOKUP(B2254,Paramètres!$A$4:$C$11,3,FALSE)</f>
        <v>Paris</v>
      </c>
      <c r="K2254" s="13">
        <f>IFERROR(H2254/G2254,"")</f>
        <v>10.25</v>
      </c>
      <c r="L2254" s="14">
        <f>IFERROR(I2254/G2254,"")</f>
        <v>0.55000000000000004</v>
      </c>
      <c r="M2254" s="11" t="str">
        <f>IF(K2254&gt;=Paramètres!$F$6,"Très forte",IF(K2254&gt;=Paramètres!$F$5,"Forte",IF(K2254&gt;=Paramètres!$F$4,"Modérée","Faible")))</f>
        <v>Modérée</v>
      </c>
    </row>
    <row r="2255" spans="1:13">
      <c r="A2255" t="s">
        <v>152</v>
      </c>
      <c r="B2255" s="11">
        <v>75</v>
      </c>
      <c r="C2255" t="s">
        <v>86</v>
      </c>
      <c r="D2255" t="s">
        <v>22</v>
      </c>
      <c r="E2255" t="s">
        <v>366</v>
      </c>
      <c r="F2255" t="s">
        <v>88</v>
      </c>
      <c r="G2255" s="12">
        <v>340</v>
      </c>
      <c r="H2255" s="12">
        <v>3411</v>
      </c>
      <c r="I2255" s="12">
        <v>341</v>
      </c>
      <c r="J2255" t="str">
        <f>VLOOKUP(B2255,Paramètres!$A$4:$C$11,3,FALSE)</f>
        <v>Paris</v>
      </c>
      <c r="K2255" s="13">
        <f>IFERROR(H2255/G2255,"")</f>
        <v>10.032352941176471</v>
      </c>
      <c r="L2255" s="14">
        <f>IFERROR(I2255/G2255,"")</f>
        <v>1.0029411764705882</v>
      </c>
      <c r="M2255" s="11" t="str">
        <f>IF(K2255&gt;=Paramètres!$F$6,"Très forte",IF(K2255&gt;=Paramètres!$F$5,"Forte",IF(K2255&gt;=Paramètres!$F$4,"Modérée","Faible")))</f>
        <v>Modérée</v>
      </c>
    </row>
    <row r="2256" spans="1:13">
      <c r="A2256" t="s">
        <v>203</v>
      </c>
      <c r="B2256" s="11">
        <v>78</v>
      </c>
      <c r="C2256" t="s">
        <v>135</v>
      </c>
      <c r="D2256" t="s">
        <v>22</v>
      </c>
      <c r="E2256" t="s">
        <v>205</v>
      </c>
      <c r="F2256" t="s">
        <v>88</v>
      </c>
      <c r="G2256" s="12">
        <v>50</v>
      </c>
      <c r="H2256" s="12">
        <v>500</v>
      </c>
      <c r="I2256" s="12">
        <v>49</v>
      </c>
      <c r="J2256" t="str">
        <f>VLOOKUP(B2256,Paramètres!$A$4:$C$11,3,FALSE)</f>
        <v>Grande couronne</v>
      </c>
      <c r="K2256" s="13">
        <f>IFERROR(H2256/G2256,"")</f>
        <v>10</v>
      </c>
      <c r="L2256" s="14">
        <f>IFERROR(I2256/G2256,"")</f>
        <v>0.98</v>
      </c>
      <c r="M2256" s="11" t="str">
        <f>IF(K2256&gt;=Paramètres!$F$6,"Très forte",IF(K2256&gt;=Paramètres!$F$5,"Forte",IF(K2256&gt;=Paramètres!$F$4,"Modérée","Faible")))</f>
        <v>Modérée</v>
      </c>
    </row>
    <row r="2257" spans="1:13">
      <c r="A2257" t="s">
        <v>134</v>
      </c>
      <c r="B2257" s="11">
        <v>78</v>
      </c>
      <c r="C2257" t="s">
        <v>135</v>
      </c>
      <c r="D2257" t="s">
        <v>22</v>
      </c>
      <c r="E2257" t="s">
        <v>177</v>
      </c>
      <c r="F2257" t="s">
        <v>88</v>
      </c>
      <c r="G2257" s="12">
        <v>333</v>
      </c>
      <c r="H2257" s="12">
        <v>3312</v>
      </c>
      <c r="I2257" s="12">
        <v>331</v>
      </c>
      <c r="J2257" t="str">
        <f>VLOOKUP(B2257,Paramètres!$A$4:$C$11,3,FALSE)</f>
        <v>Grande couronne</v>
      </c>
      <c r="K2257" s="13">
        <f>IFERROR(H2257/G2257,"")</f>
        <v>9.9459459459459456</v>
      </c>
      <c r="L2257" s="14">
        <f>IFERROR(I2257/G2257,"")</f>
        <v>0.99399399399399402</v>
      </c>
      <c r="M2257" s="11" t="str">
        <f>IF(K2257&gt;=Paramètres!$F$6,"Très forte",IF(K2257&gt;=Paramètres!$F$5,"Forte",IF(K2257&gt;=Paramètres!$F$4,"Modérée","Faible")))</f>
        <v>Faible</v>
      </c>
    </row>
    <row r="2258" spans="1:13">
      <c r="A2258" t="s">
        <v>131</v>
      </c>
      <c r="B2258" s="11">
        <v>77</v>
      </c>
      <c r="C2258" t="s">
        <v>132</v>
      </c>
      <c r="D2258" t="s">
        <v>22</v>
      </c>
      <c r="E2258" t="s">
        <v>201</v>
      </c>
      <c r="F2258" t="s">
        <v>88</v>
      </c>
      <c r="G2258" s="12">
        <v>90</v>
      </c>
      <c r="H2258" s="12">
        <v>890</v>
      </c>
      <c r="I2258" s="12">
        <v>89</v>
      </c>
      <c r="J2258" t="str">
        <f>VLOOKUP(B2258,Paramètres!$A$4:$C$11,3,FALSE)</f>
        <v>Grande couronne</v>
      </c>
      <c r="K2258" s="13">
        <f>IFERROR(H2258/G2258,"")</f>
        <v>9.8888888888888893</v>
      </c>
      <c r="L2258" s="14">
        <f>IFERROR(I2258/G2258,"")</f>
        <v>0.98888888888888893</v>
      </c>
      <c r="M2258" s="11" t="str">
        <f>IF(K2258&gt;=Paramètres!$F$6,"Très forte",IF(K2258&gt;=Paramètres!$F$5,"Forte",IF(K2258&gt;=Paramètres!$F$4,"Modérée","Faible")))</f>
        <v>Faible</v>
      </c>
    </row>
    <row r="2259" spans="1:13">
      <c r="A2259" t="s">
        <v>302</v>
      </c>
      <c r="B2259" s="11">
        <v>77</v>
      </c>
      <c r="C2259" t="s">
        <v>132</v>
      </c>
      <c r="D2259" t="s">
        <v>22</v>
      </c>
      <c r="E2259" t="s">
        <v>619</v>
      </c>
      <c r="F2259" t="s">
        <v>88</v>
      </c>
      <c r="G2259" s="12">
        <v>35</v>
      </c>
      <c r="H2259" s="12">
        <v>344</v>
      </c>
      <c r="I2259" s="12">
        <v>33</v>
      </c>
      <c r="J2259" t="str">
        <f>VLOOKUP(B2259,Paramètres!$A$4:$C$11,3,FALSE)</f>
        <v>Grande couronne</v>
      </c>
      <c r="K2259" s="13">
        <f>IFERROR(H2259/G2259,"")</f>
        <v>9.8285714285714292</v>
      </c>
      <c r="L2259" s="14">
        <f>IFERROR(I2259/G2259,"")</f>
        <v>0.94285714285714284</v>
      </c>
      <c r="M2259" s="11" t="str">
        <f>IF(K2259&gt;=Paramètres!$F$6,"Très forte",IF(K2259&gt;=Paramètres!$F$5,"Forte",IF(K2259&gt;=Paramètres!$F$4,"Modérée","Faible")))</f>
        <v>Faible</v>
      </c>
    </row>
    <row r="2260" spans="1:13">
      <c r="A2260" t="s">
        <v>257</v>
      </c>
      <c r="B2260" s="11">
        <v>92</v>
      </c>
      <c r="C2260" t="s">
        <v>94</v>
      </c>
      <c r="D2260" t="s">
        <v>22</v>
      </c>
      <c r="E2260" t="s">
        <v>647</v>
      </c>
      <c r="F2260" t="s">
        <v>92</v>
      </c>
      <c r="G2260" s="12">
        <v>15</v>
      </c>
      <c r="H2260" s="12">
        <v>147</v>
      </c>
      <c r="I2260" s="12">
        <v>15</v>
      </c>
      <c r="J2260" t="str">
        <f>VLOOKUP(B2260,Paramètres!$A$4:$C$11,3,FALSE)</f>
        <v>Petite couronne</v>
      </c>
      <c r="K2260" s="13">
        <f>IFERROR(H2260/G2260,"")</f>
        <v>9.8000000000000007</v>
      </c>
      <c r="L2260" s="14">
        <f>IFERROR(I2260/G2260,"")</f>
        <v>1</v>
      </c>
      <c r="M2260" s="11" t="str">
        <f>IF(K2260&gt;=Paramètres!$F$6,"Très forte",IF(K2260&gt;=Paramètres!$F$5,"Forte",IF(K2260&gt;=Paramètres!$F$4,"Modérée","Faible")))</f>
        <v>Faible</v>
      </c>
    </row>
    <row r="2261" spans="1:13">
      <c r="A2261" t="s">
        <v>110</v>
      </c>
      <c r="B2261" s="11">
        <v>75</v>
      </c>
      <c r="C2261" t="s">
        <v>86</v>
      </c>
      <c r="D2261" t="s">
        <v>22</v>
      </c>
      <c r="E2261" t="s">
        <v>734</v>
      </c>
      <c r="F2261" t="s">
        <v>88</v>
      </c>
      <c r="G2261" s="12">
        <v>105</v>
      </c>
      <c r="H2261" s="12">
        <v>1020</v>
      </c>
      <c r="I2261" s="12">
        <v>102</v>
      </c>
      <c r="J2261" t="str">
        <f>VLOOKUP(B2261,Paramètres!$A$4:$C$11,3,FALSE)</f>
        <v>Paris</v>
      </c>
      <c r="K2261" s="13">
        <f>IFERROR(H2261/G2261,"")</f>
        <v>9.7142857142857135</v>
      </c>
      <c r="L2261" s="14">
        <f>IFERROR(I2261/G2261,"")</f>
        <v>0.97142857142857142</v>
      </c>
      <c r="M2261" s="11" t="str">
        <f>IF(K2261&gt;=Paramètres!$F$6,"Très forte",IF(K2261&gt;=Paramètres!$F$5,"Forte",IF(K2261&gt;=Paramètres!$F$4,"Modérée","Faible")))</f>
        <v>Faible</v>
      </c>
    </row>
    <row r="2262" spans="1:13">
      <c r="A2262" t="s">
        <v>138</v>
      </c>
      <c r="B2262" s="11">
        <v>75</v>
      </c>
      <c r="C2262" t="s">
        <v>86</v>
      </c>
      <c r="D2262" t="s">
        <v>22</v>
      </c>
      <c r="E2262" t="s">
        <v>688</v>
      </c>
      <c r="F2262" t="s">
        <v>92</v>
      </c>
      <c r="G2262" s="12">
        <v>140</v>
      </c>
      <c r="H2262" s="12">
        <v>1356</v>
      </c>
      <c r="I2262" s="12">
        <v>139</v>
      </c>
      <c r="J2262" t="str">
        <f>VLOOKUP(B2262,Paramètres!$A$4:$C$11,3,FALSE)</f>
        <v>Paris</v>
      </c>
      <c r="K2262" s="13">
        <f>IFERROR(H2262/G2262,"")</f>
        <v>9.6857142857142851</v>
      </c>
      <c r="L2262" s="14">
        <f>IFERROR(I2262/G2262,"")</f>
        <v>0.99285714285714288</v>
      </c>
      <c r="M2262" s="11" t="str">
        <f>IF(K2262&gt;=Paramètres!$F$6,"Très forte",IF(K2262&gt;=Paramètres!$F$5,"Forte",IF(K2262&gt;=Paramètres!$F$4,"Modérée","Faible")))</f>
        <v>Faible</v>
      </c>
    </row>
    <row r="2263" spans="1:13">
      <c r="A2263" t="s">
        <v>99</v>
      </c>
      <c r="B2263" s="11">
        <v>93</v>
      </c>
      <c r="C2263" t="s">
        <v>100</v>
      </c>
      <c r="D2263" t="s">
        <v>22</v>
      </c>
      <c r="E2263" t="s">
        <v>338</v>
      </c>
      <c r="F2263" t="s">
        <v>88</v>
      </c>
      <c r="G2263" s="12">
        <v>190</v>
      </c>
      <c r="H2263" s="12">
        <v>1836</v>
      </c>
      <c r="I2263" s="12">
        <v>177</v>
      </c>
      <c r="J2263" t="str">
        <f>VLOOKUP(B2263,Paramètres!$A$4:$C$11,3,FALSE)</f>
        <v>Petite couronne</v>
      </c>
      <c r="K2263" s="13">
        <f>IFERROR(H2263/G2263,"")</f>
        <v>9.6631578947368428</v>
      </c>
      <c r="L2263" s="14">
        <f>IFERROR(I2263/G2263,"")</f>
        <v>0.93157894736842106</v>
      </c>
      <c r="M2263" s="11" t="str">
        <f>IF(K2263&gt;=Paramètres!$F$6,"Très forte",IF(K2263&gt;=Paramètres!$F$5,"Forte",IF(K2263&gt;=Paramètres!$F$4,"Modérée","Faible")))</f>
        <v>Faible</v>
      </c>
    </row>
    <row r="2264" spans="1:13">
      <c r="A2264" t="s">
        <v>134</v>
      </c>
      <c r="B2264" s="11">
        <v>78</v>
      </c>
      <c r="C2264" t="s">
        <v>135</v>
      </c>
      <c r="D2264" t="s">
        <v>22</v>
      </c>
      <c r="E2264" t="s">
        <v>208</v>
      </c>
      <c r="F2264" t="s">
        <v>92</v>
      </c>
      <c r="G2264" s="12">
        <v>60</v>
      </c>
      <c r="H2264" s="12">
        <v>579</v>
      </c>
      <c r="I2264" s="12">
        <v>60</v>
      </c>
      <c r="J2264" t="str">
        <f>VLOOKUP(B2264,Paramètres!$A$4:$C$11,3,FALSE)</f>
        <v>Grande couronne</v>
      </c>
      <c r="K2264" s="13">
        <f>IFERROR(H2264/G2264,"")</f>
        <v>9.65</v>
      </c>
      <c r="L2264" s="14">
        <f>IFERROR(I2264/G2264,"")</f>
        <v>1</v>
      </c>
      <c r="M2264" s="11" t="str">
        <f>IF(K2264&gt;=Paramètres!$F$6,"Très forte",IF(K2264&gt;=Paramètres!$F$5,"Forte",IF(K2264&gt;=Paramètres!$F$4,"Modérée","Faible")))</f>
        <v>Faible</v>
      </c>
    </row>
    <row r="2265" spans="1:13">
      <c r="A2265" t="s">
        <v>115</v>
      </c>
      <c r="B2265" s="11">
        <v>94</v>
      </c>
      <c r="C2265" t="s">
        <v>116</v>
      </c>
      <c r="D2265" t="s">
        <v>22</v>
      </c>
      <c r="E2265" t="s">
        <v>432</v>
      </c>
      <c r="F2265" t="s">
        <v>92</v>
      </c>
      <c r="G2265" s="12">
        <v>90</v>
      </c>
      <c r="H2265" s="12">
        <v>863</v>
      </c>
      <c r="I2265" s="12">
        <v>89</v>
      </c>
      <c r="J2265" t="str">
        <f>VLOOKUP(B2265,Paramètres!$A$4:$C$11,3,FALSE)</f>
        <v>Petite couronne</v>
      </c>
      <c r="K2265" s="13">
        <f>IFERROR(H2265/G2265,"")</f>
        <v>9.5888888888888886</v>
      </c>
      <c r="L2265" s="14">
        <f>IFERROR(I2265/G2265,"")</f>
        <v>0.98888888888888893</v>
      </c>
      <c r="M2265" s="11" t="str">
        <f>IF(K2265&gt;=Paramètres!$F$6,"Très forte",IF(K2265&gt;=Paramètres!$F$5,"Forte",IF(K2265&gt;=Paramètres!$F$4,"Modérée","Faible")))</f>
        <v>Faible</v>
      </c>
    </row>
    <row r="2266" spans="1:13">
      <c r="A2266" t="s">
        <v>127</v>
      </c>
      <c r="B2266" s="11">
        <v>75</v>
      </c>
      <c r="C2266" t="s">
        <v>86</v>
      </c>
      <c r="D2266" t="s">
        <v>22</v>
      </c>
      <c r="E2266" t="s">
        <v>701</v>
      </c>
      <c r="F2266" t="s">
        <v>88</v>
      </c>
      <c r="G2266" s="12">
        <v>125</v>
      </c>
      <c r="H2266" s="12">
        <v>1195</v>
      </c>
      <c r="I2266" s="12">
        <v>125</v>
      </c>
      <c r="J2266" t="str">
        <f>VLOOKUP(B2266,Paramètres!$A$4:$C$11,3,FALSE)</f>
        <v>Paris</v>
      </c>
      <c r="K2266" s="13">
        <f>IFERROR(H2266/G2266,"")</f>
        <v>9.56</v>
      </c>
      <c r="L2266" s="14">
        <f>IFERROR(I2266/G2266,"")</f>
        <v>1</v>
      </c>
      <c r="M2266" s="11" t="str">
        <f>IF(K2266&gt;=Paramètres!$F$6,"Très forte",IF(K2266&gt;=Paramètres!$F$5,"Forte",IF(K2266&gt;=Paramètres!$F$4,"Modérée","Faible")))</f>
        <v>Faible</v>
      </c>
    </row>
    <row r="2267" spans="1:13">
      <c r="A2267" t="s">
        <v>155</v>
      </c>
      <c r="B2267" s="11">
        <v>75</v>
      </c>
      <c r="C2267" t="s">
        <v>86</v>
      </c>
      <c r="D2267" t="s">
        <v>22</v>
      </c>
      <c r="E2267" t="s">
        <v>704</v>
      </c>
      <c r="F2267" t="s">
        <v>92</v>
      </c>
      <c r="G2267" s="12">
        <v>25</v>
      </c>
      <c r="H2267" s="12">
        <v>239</v>
      </c>
      <c r="I2267" s="12">
        <v>25</v>
      </c>
      <c r="J2267" t="str">
        <f>VLOOKUP(B2267,Paramètres!$A$4:$C$11,3,FALSE)</f>
        <v>Paris</v>
      </c>
      <c r="K2267" s="13">
        <f>IFERROR(H2267/G2267,"")</f>
        <v>9.56</v>
      </c>
      <c r="L2267" s="14">
        <f>IFERROR(I2267/G2267,"")</f>
        <v>1</v>
      </c>
      <c r="M2267" s="11" t="str">
        <f>IF(K2267&gt;=Paramètres!$F$6,"Très forte",IF(K2267&gt;=Paramètres!$F$5,"Forte",IF(K2267&gt;=Paramètres!$F$4,"Modérée","Faible")))</f>
        <v>Faible</v>
      </c>
    </row>
    <row r="2268" spans="1:13">
      <c r="A2268" t="s">
        <v>108</v>
      </c>
      <c r="B2268" s="11">
        <v>93</v>
      </c>
      <c r="C2268" t="s">
        <v>100</v>
      </c>
      <c r="D2268" t="s">
        <v>22</v>
      </c>
      <c r="E2268" t="s">
        <v>335</v>
      </c>
      <c r="F2268" t="s">
        <v>88</v>
      </c>
      <c r="G2268" s="12">
        <v>27</v>
      </c>
      <c r="H2268" s="12">
        <v>258</v>
      </c>
      <c r="I2268" s="12">
        <v>25</v>
      </c>
      <c r="J2268" t="str">
        <f>VLOOKUP(B2268,Paramètres!$A$4:$C$11,3,FALSE)</f>
        <v>Petite couronne</v>
      </c>
      <c r="K2268" s="13">
        <f>IFERROR(H2268/G2268,"")</f>
        <v>9.5555555555555554</v>
      </c>
      <c r="L2268" s="14">
        <f>IFERROR(I2268/G2268,"")</f>
        <v>0.92592592592592593</v>
      </c>
      <c r="M2268" s="11" t="str">
        <f>IF(K2268&gt;=Paramètres!$F$6,"Très forte",IF(K2268&gt;=Paramètres!$F$5,"Forte",IF(K2268&gt;=Paramètres!$F$4,"Modérée","Faible")))</f>
        <v>Faible</v>
      </c>
    </row>
    <row r="2269" spans="1:13">
      <c r="A2269" t="s">
        <v>97</v>
      </c>
      <c r="B2269" s="11">
        <v>92</v>
      </c>
      <c r="C2269" t="s">
        <v>94</v>
      </c>
      <c r="D2269" t="s">
        <v>22</v>
      </c>
      <c r="E2269" t="s">
        <v>294</v>
      </c>
      <c r="F2269" t="s">
        <v>88</v>
      </c>
      <c r="G2269" s="12">
        <v>20</v>
      </c>
      <c r="H2269" s="12">
        <v>191</v>
      </c>
      <c r="I2269" s="12">
        <v>20</v>
      </c>
      <c r="J2269" t="str">
        <f>VLOOKUP(B2269,Paramètres!$A$4:$C$11,3,FALSE)</f>
        <v>Petite couronne</v>
      </c>
      <c r="K2269" s="13">
        <f>IFERROR(H2269/G2269,"")</f>
        <v>9.5500000000000007</v>
      </c>
      <c r="L2269" s="14">
        <f>IFERROR(I2269/G2269,"")</f>
        <v>1</v>
      </c>
      <c r="M2269" s="11" t="str">
        <f>IF(K2269&gt;=Paramètres!$F$6,"Très forte",IF(K2269&gt;=Paramètres!$F$5,"Forte",IF(K2269&gt;=Paramètres!$F$4,"Modérée","Faible")))</f>
        <v>Faible</v>
      </c>
    </row>
    <row r="2270" spans="1:13">
      <c r="A2270" t="s">
        <v>119</v>
      </c>
      <c r="B2270" s="11">
        <v>75</v>
      </c>
      <c r="C2270" t="s">
        <v>86</v>
      </c>
      <c r="D2270" t="s">
        <v>22</v>
      </c>
      <c r="E2270" t="s">
        <v>288</v>
      </c>
      <c r="F2270" t="s">
        <v>92</v>
      </c>
      <c r="G2270" s="12">
        <v>20</v>
      </c>
      <c r="H2270" s="12">
        <v>189</v>
      </c>
      <c r="I2270" s="12">
        <v>17</v>
      </c>
      <c r="J2270" t="str">
        <f>VLOOKUP(B2270,Paramètres!$A$4:$C$11,3,FALSE)</f>
        <v>Paris</v>
      </c>
      <c r="K2270" s="13">
        <f>IFERROR(H2270/G2270,"")</f>
        <v>9.4499999999999993</v>
      </c>
      <c r="L2270" s="14">
        <f>IFERROR(I2270/G2270,"")</f>
        <v>0.85</v>
      </c>
      <c r="M2270" s="11" t="str">
        <f>IF(K2270&gt;=Paramètres!$F$6,"Très forte",IF(K2270&gt;=Paramètres!$F$5,"Forte",IF(K2270&gt;=Paramètres!$F$4,"Modérée","Faible")))</f>
        <v>Faible</v>
      </c>
    </row>
    <row r="2271" spans="1:13">
      <c r="A2271" t="s">
        <v>144</v>
      </c>
      <c r="B2271" s="11">
        <v>95</v>
      </c>
      <c r="C2271" t="s">
        <v>90</v>
      </c>
      <c r="D2271" t="s">
        <v>22</v>
      </c>
      <c r="E2271" t="s">
        <v>636</v>
      </c>
      <c r="F2271" t="s">
        <v>92</v>
      </c>
      <c r="G2271" s="12">
        <v>32</v>
      </c>
      <c r="H2271" s="12">
        <v>300</v>
      </c>
      <c r="I2271" s="12">
        <v>32</v>
      </c>
      <c r="J2271" t="str">
        <f>VLOOKUP(B2271,Paramètres!$A$4:$C$11,3,FALSE)</f>
        <v>Grande couronne</v>
      </c>
      <c r="K2271" s="13">
        <f>IFERROR(H2271/G2271,"")</f>
        <v>9.375</v>
      </c>
      <c r="L2271" s="14">
        <f>IFERROR(I2271/G2271,"")</f>
        <v>1</v>
      </c>
      <c r="M2271" s="11" t="str">
        <f>IF(K2271&gt;=Paramètres!$F$6,"Très forte",IF(K2271&gt;=Paramètres!$F$5,"Forte",IF(K2271&gt;=Paramètres!$F$4,"Modérée","Faible")))</f>
        <v>Faible</v>
      </c>
    </row>
    <row r="2272" spans="1:13">
      <c r="A2272" t="s">
        <v>115</v>
      </c>
      <c r="B2272" s="11">
        <v>94</v>
      </c>
      <c r="C2272" t="s">
        <v>116</v>
      </c>
      <c r="D2272" t="s">
        <v>22</v>
      </c>
      <c r="E2272" t="s">
        <v>273</v>
      </c>
      <c r="F2272" t="s">
        <v>92</v>
      </c>
      <c r="G2272" s="12">
        <v>90</v>
      </c>
      <c r="H2272" s="12">
        <v>834</v>
      </c>
      <c r="I2272" s="12">
        <v>90</v>
      </c>
      <c r="J2272" t="str">
        <f>VLOOKUP(B2272,Paramètres!$A$4:$C$11,3,FALSE)</f>
        <v>Petite couronne</v>
      </c>
      <c r="K2272" s="13">
        <f>IFERROR(H2272/G2272,"")</f>
        <v>9.2666666666666675</v>
      </c>
      <c r="L2272" s="14">
        <f>IFERROR(I2272/G2272,"")</f>
        <v>1</v>
      </c>
      <c r="M2272" s="11" t="str">
        <f>IF(K2272&gt;=Paramètres!$F$6,"Très forte",IF(K2272&gt;=Paramètres!$F$5,"Forte",IF(K2272&gt;=Paramètres!$F$4,"Modérée","Faible")))</f>
        <v>Faible</v>
      </c>
    </row>
    <row r="2273" spans="1:13">
      <c r="A2273" t="s">
        <v>127</v>
      </c>
      <c r="B2273" s="11">
        <v>75</v>
      </c>
      <c r="C2273" t="s">
        <v>86</v>
      </c>
      <c r="D2273" t="s">
        <v>22</v>
      </c>
      <c r="E2273" t="s">
        <v>414</v>
      </c>
      <c r="F2273" t="s">
        <v>88</v>
      </c>
      <c r="G2273" s="12">
        <v>120</v>
      </c>
      <c r="H2273" s="12">
        <v>1098</v>
      </c>
      <c r="I2273" s="12">
        <v>118</v>
      </c>
      <c r="J2273" t="str">
        <f>VLOOKUP(B2273,Paramètres!$A$4:$C$11,3,FALSE)</f>
        <v>Paris</v>
      </c>
      <c r="K2273" s="13">
        <f>IFERROR(H2273/G2273,"")</f>
        <v>9.15</v>
      </c>
      <c r="L2273" s="14">
        <f>IFERROR(I2273/G2273,"")</f>
        <v>0.98333333333333328</v>
      </c>
      <c r="M2273" s="11" t="str">
        <f>IF(K2273&gt;=Paramètres!$F$6,"Très forte",IF(K2273&gt;=Paramètres!$F$5,"Forte",IF(K2273&gt;=Paramètres!$F$4,"Modérée","Faible")))</f>
        <v>Faible</v>
      </c>
    </row>
    <row r="2274" spans="1:13">
      <c r="A2274" t="s">
        <v>127</v>
      </c>
      <c r="B2274" s="11">
        <v>75</v>
      </c>
      <c r="C2274" t="s">
        <v>86</v>
      </c>
      <c r="D2274" t="s">
        <v>22</v>
      </c>
      <c r="E2274" t="s">
        <v>530</v>
      </c>
      <c r="F2274" t="s">
        <v>92</v>
      </c>
      <c r="G2274" s="12">
        <v>36</v>
      </c>
      <c r="H2274" s="12">
        <v>329</v>
      </c>
      <c r="I2274" s="12">
        <v>36</v>
      </c>
      <c r="J2274" t="str">
        <f>VLOOKUP(B2274,Paramètres!$A$4:$C$11,3,FALSE)</f>
        <v>Paris</v>
      </c>
      <c r="K2274" s="13">
        <f>IFERROR(H2274/G2274,"")</f>
        <v>9.1388888888888893</v>
      </c>
      <c r="L2274" s="14">
        <f>IFERROR(I2274/G2274,"")</f>
        <v>1</v>
      </c>
      <c r="M2274" s="11" t="str">
        <f>IF(K2274&gt;=Paramètres!$F$6,"Très forte",IF(K2274&gt;=Paramètres!$F$5,"Forte",IF(K2274&gt;=Paramètres!$F$4,"Modérée","Faible")))</f>
        <v>Faible</v>
      </c>
    </row>
    <row r="2275" spans="1:13">
      <c r="A2275" t="s">
        <v>152</v>
      </c>
      <c r="B2275" s="11">
        <v>75</v>
      </c>
      <c r="C2275" t="s">
        <v>86</v>
      </c>
      <c r="D2275" t="s">
        <v>22</v>
      </c>
      <c r="E2275" t="s">
        <v>770</v>
      </c>
      <c r="F2275" t="s">
        <v>92</v>
      </c>
      <c r="G2275" s="12">
        <v>30</v>
      </c>
      <c r="H2275" s="12">
        <v>272</v>
      </c>
      <c r="I2275" s="12">
        <v>29</v>
      </c>
      <c r="J2275" t="str">
        <f>VLOOKUP(B2275,Paramètres!$A$4:$C$11,3,FALSE)</f>
        <v>Paris</v>
      </c>
      <c r="K2275" s="13">
        <f>IFERROR(H2275/G2275,"")</f>
        <v>9.0666666666666664</v>
      </c>
      <c r="L2275" s="14">
        <f>IFERROR(I2275/G2275,"")</f>
        <v>0.96666666666666667</v>
      </c>
      <c r="M2275" s="11" t="str">
        <f>IF(K2275&gt;=Paramètres!$F$6,"Très forte",IF(K2275&gt;=Paramètres!$F$5,"Forte",IF(K2275&gt;=Paramètres!$F$4,"Modérée","Faible")))</f>
        <v>Faible</v>
      </c>
    </row>
    <row r="2276" spans="1:13">
      <c r="A2276" t="s">
        <v>190</v>
      </c>
      <c r="B2276" s="11">
        <v>75</v>
      </c>
      <c r="C2276" t="s">
        <v>86</v>
      </c>
      <c r="D2276" t="s">
        <v>22</v>
      </c>
      <c r="E2276" t="s">
        <v>762</v>
      </c>
      <c r="F2276" t="s">
        <v>92</v>
      </c>
      <c r="G2276" s="12">
        <v>220</v>
      </c>
      <c r="H2276" s="12">
        <v>1982</v>
      </c>
      <c r="I2276" s="12">
        <v>239</v>
      </c>
      <c r="J2276" t="str">
        <f>VLOOKUP(B2276,Paramètres!$A$4:$C$11,3,FALSE)</f>
        <v>Paris</v>
      </c>
      <c r="K2276" s="13">
        <f>IFERROR(H2276/G2276,"")</f>
        <v>9.0090909090909097</v>
      </c>
      <c r="L2276" s="14">
        <f>IFERROR(I2276/G2276,"")</f>
        <v>1.0863636363636364</v>
      </c>
      <c r="M2276" s="11" t="str">
        <f>IF(K2276&gt;=Paramètres!$F$6,"Très forte",IF(K2276&gt;=Paramètres!$F$5,"Forte",IF(K2276&gt;=Paramètres!$F$4,"Modérée","Faible")))</f>
        <v>Faible</v>
      </c>
    </row>
    <row r="2277" spans="1:13">
      <c r="A2277" t="s">
        <v>108</v>
      </c>
      <c r="B2277" s="11">
        <v>93</v>
      </c>
      <c r="C2277" t="s">
        <v>100</v>
      </c>
      <c r="D2277" t="s">
        <v>22</v>
      </c>
      <c r="E2277" t="s">
        <v>296</v>
      </c>
      <c r="F2277" t="s">
        <v>88</v>
      </c>
      <c r="G2277" s="12">
        <v>210</v>
      </c>
      <c r="H2277" s="12">
        <v>1878</v>
      </c>
      <c r="I2277" s="12">
        <v>208</v>
      </c>
      <c r="J2277" t="str">
        <f>VLOOKUP(B2277,Paramètres!$A$4:$C$11,3,FALSE)</f>
        <v>Petite couronne</v>
      </c>
      <c r="K2277" s="13">
        <f>IFERROR(H2277/G2277,"")</f>
        <v>8.9428571428571431</v>
      </c>
      <c r="L2277" s="14">
        <f>IFERROR(I2277/G2277,"")</f>
        <v>0.99047619047619051</v>
      </c>
      <c r="M2277" s="11" t="str">
        <f>IF(K2277&gt;=Paramètres!$F$6,"Très forte",IF(K2277&gt;=Paramètres!$F$5,"Forte",IF(K2277&gt;=Paramètres!$F$4,"Modérée","Faible")))</f>
        <v>Faible</v>
      </c>
    </row>
    <row r="2278" spans="1:13">
      <c r="A2278" t="s">
        <v>115</v>
      </c>
      <c r="B2278" s="11">
        <v>94</v>
      </c>
      <c r="C2278" t="s">
        <v>116</v>
      </c>
      <c r="D2278" t="s">
        <v>22</v>
      </c>
      <c r="E2278" t="s">
        <v>433</v>
      </c>
      <c r="F2278" t="s">
        <v>88</v>
      </c>
      <c r="G2278" s="12">
        <v>650</v>
      </c>
      <c r="H2278" s="12">
        <v>5776</v>
      </c>
      <c r="I2278" s="12">
        <v>647</v>
      </c>
      <c r="J2278" t="str">
        <f>VLOOKUP(B2278,Paramètres!$A$4:$C$11,3,FALSE)</f>
        <v>Petite couronne</v>
      </c>
      <c r="K2278" s="13">
        <f>IFERROR(H2278/G2278,"")</f>
        <v>8.8861538461538458</v>
      </c>
      <c r="L2278" s="14">
        <f>IFERROR(I2278/G2278,"")</f>
        <v>0.99538461538461542</v>
      </c>
      <c r="M2278" s="11" t="str">
        <f>IF(K2278&gt;=Paramètres!$F$6,"Très forte",IF(K2278&gt;=Paramètres!$F$5,"Forte",IF(K2278&gt;=Paramètres!$F$4,"Modérée","Faible")))</f>
        <v>Faible</v>
      </c>
    </row>
    <row r="2279" spans="1:13">
      <c r="A2279" t="s">
        <v>97</v>
      </c>
      <c r="B2279" s="11">
        <v>92</v>
      </c>
      <c r="C2279" t="s">
        <v>94</v>
      </c>
      <c r="D2279" t="s">
        <v>22</v>
      </c>
      <c r="E2279" t="s">
        <v>255</v>
      </c>
      <c r="F2279" t="s">
        <v>88</v>
      </c>
      <c r="G2279" s="12">
        <v>66</v>
      </c>
      <c r="H2279" s="12">
        <v>585</v>
      </c>
      <c r="I2279" s="12">
        <v>66</v>
      </c>
      <c r="J2279" t="str">
        <f>VLOOKUP(B2279,Paramètres!$A$4:$C$11,3,FALSE)</f>
        <v>Petite couronne</v>
      </c>
      <c r="K2279" s="13">
        <f>IFERROR(H2279/G2279,"")</f>
        <v>8.8636363636363633</v>
      </c>
      <c r="L2279" s="14">
        <f>IFERROR(I2279/G2279,"")</f>
        <v>1</v>
      </c>
      <c r="M2279" s="11" t="str">
        <f>IF(K2279&gt;=Paramètres!$F$6,"Très forte",IF(K2279&gt;=Paramètres!$F$5,"Forte",IF(K2279&gt;=Paramètres!$F$4,"Modérée","Faible")))</f>
        <v>Faible</v>
      </c>
    </row>
    <row r="2280" spans="1:13">
      <c r="A2280" t="s">
        <v>127</v>
      </c>
      <c r="B2280" s="11">
        <v>75</v>
      </c>
      <c r="C2280" t="s">
        <v>86</v>
      </c>
      <c r="D2280" t="s">
        <v>22</v>
      </c>
      <c r="E2280" t="s">
        <v>414</v>
      </c>
      <c r="F2280" t="s">
        <v>88</v>
      </c>
      <c r="G2280" s="12">
        <v>120</v>
      </c>
      <c r="H2280" s="12">
        <v>1053</v>
      </c>
      <c r="I2280" s="12">
        <v>118</v>
      </c>
      <c r="J2280" t="str">
        <f>VLOOKUP(B2280,Paramètres!$A$4:$C$11,3,FALSE)</f>
        <v>Paris</v>
      </c>
      <c r="K2280" s="13">
        <f>IFERROR(H2280/G2280,"")</f>
        <v>8.7750000000000004</v>
      </c>
      <c r="L2280" s="14">
        <f>IFERROR(I2280/G2280,"")</f>
        <v>0.98333333333333328</v>
      </c>
      <c r="M2280" s="11" t="str">
        <f>IF(K2280&gt;=Paramètres!$F$6,"Très forte",IF(K2280&gt;=Paramètres!$F$5,"Forte",IF(K2280&gt;=Paramètres!$F$4,"Modérée","Faible")))</f>
        <v>Faible</v>
      </c>
    </row>
    <row r="2281" spans="1:13">
      <c r="A2281" t="s">
        <v>127</v>
      </c>
      <c r="B2281" s="11">
        <v>75</v>
      </c>
      <c r="C2281" t="s">
        <v>86</v>
      </c>
      <c r="D2281" t="s">
        <v>22</v>
      </c>
      <c r="E2281" t="s">
        <v>229</v>
      </c>
      <c r="F2281" t="s">
        <v>88</v>
      </c>
      <c r="G2281" s="12">
        <v>8</v>
      </c>
      <c r="H2281" s="12">
        <v>69</v>
      </c>
      <c r="I2281" s="12">
        <v>8</v>
      </c>
      <c r="J2281" t="str">
        <f>VLOOKUP(B2281,Paramètres!$A$4:$C$11,3,FALSE)</f>
        <v>Paris</v>
      </c>
      <c r="K2281" s="13">
        <f>IFERROR(H2281/G2281,"")</f>
        <v>8.625</v>
      </c>
      <c r="L2281" s="14">
        <f>IFERROR(I2281/G2281,"")</f>
        <v>1</v>
      </c>
      <c r="M2281" s="11" t="str">
        <f>IF(K2281&gt;=Paramètres!$F$6,"Très forte",IF(K2281&gt;=Paramètres!$F$5,"Forte",IF(K2281&gt;=Paramètres!$F$4,"Modérée","Faible")))</f>
        <v>Faible</v>
      </c>
    </row>
    <row r="2282" spans="1:13">
      <c r="A2282" t="s">
        <v>127</v>
      </c>
      <c r="B2282" s="11">
        <v>75</v>
      </c>
      <c r="C2282" t="s">
        <v>86</v>
      </c>
      <c r="D2282" t="s">
        <v>22</v>
      </c>
      <c r="E2282" t="s">
        <v>228</v>
      </c>
      <c r="F2282" t="s">
        <v>88</v>
      </c>
      <c r="G2282" s="12">
        <v>5</v>
      </c>
      <c r="H2282" s="12">
        <v>43</v>
      </c>
      <c r="I2282" s="12">
        <v>5</v>
      </c>
      <c r="J2282" t="str">
        <f>VLOOKUP(B2282,Paramètres!$A$4:$C$11,3,FALSE)</f>
        <v>Paris</v>
      </c>
      <c r="K2282" s="13">
        <f>IFERROR(H2282/G2282,"")</f>
        <v>8.6</v>
      </c>
      <c r="L2282" s="14">
        <f>IFERROR(I2282/G2282,"")</f>
        <v>1</v>
      </c>
      <c r="M2282" s="11" t="str">
        <f>IF(K2282&gt;=Paramètres!$F$6,"Très forte",IF(K2282&gt;=Paramètres!$F$5,"Forte",IF(K2282&gt;=Paramètres!$F$4,"Modérée","Faible")))</f>
        <v>Faible</v>
      </c>
    </row>
    <row r="2283" spans="1:13">
      <c r="A2283" t="s">
        <v>110</v>
      </c>
      <c r="B2283" s="11">
        <v>75</v>
      </c>
      <c r="C2283" t="s">
        <v>86</v>
      </c>
      <c r="D2283" t="s">
        <v>22</v>
      </c>
      <c r="E2283" t="s">
        <v>506</v>
      </c>
      <c r="F2283" t="s">
        <v>92</v>
      </c>
      <c r="G2283" s="12">
        <v>106</v>
      </c>
      <c r="H2283" s="12">
        <v>903</v>
      </c>
      <c r="I2283" s="12">
        <v>105</v>
      </c>
      <c r="J2283" t="str">
        <f>VLOOKUP(B2283,Paramètres!$A$4:$C$11,3,FALSE)</f>
        <v>Paris</v>
      </c>
      <c r="K2283" s="13">
        <f>IFERROR(H2283/G2283,"")</f>
        <v>8.5188679245283012</v>
      </c>
      <c r="L2283" s="14">
        <f>IFERROR(I2283/G2283,"")</f>
        <v>0.99056603773584906</v>
      </c>
      <c r="M2283" s="11" t="str">
        <f>IF(K2283&gt;=Paramètres!$F$6,"Très forte",IF(K2283&gt;=Paramètres!$F$5,"Forte",IF(K2283&gt;=Paramètres!$F$4,"Modérée","Faible")))</f>
        <v>Faible</v>
      </c>
    </row>
    <row r="2284" spans="1:13">
      <c r="A2284" t="s">
        <v>144</v>
      </c>
      <c r="B2284" s="11">
        <v>95</v>
      </c>
      <c r="C2284" t="s">
        <v>90</v>
      </c>
      <c r="D2284" t="s">
        <v>22</v>
      </c>
      <c r="E2284" t="s">
        <v>145</v>
      </c>
      <c r="F2284" t="s">
        <v>88</v>
      </c>
      <c r="G2284" s="12">
        <v>35</v>
      </c>
      <c r="H2284" s="12">
        <v>298</v>
      </c>
      <c r="I2284" s="12">
        <v>35</v>
      </c>
      <c r="J2284" t="str">
        <f>VLOOKUP(B2284,Paramètres!$A$4:$C$11,3,FALSE)</f>
        <v>Grande couronne</v>
      </c>
      <c r="K2284" s="13">
        <f>IFERROR(H2284/G2284,"")</f>
        <v>8.5142857142857142</v>
      </c>
      <c r="L2284" s="14">
        <f>IFERROR(I2284/G2284,"")</f>
        <v>1</v>
      </c>
      <c r="M2284" s="11" t="str">
        <f>IF(K2284&gt;=Paramètres!$F$6,"Très forte",IF(K2284&gt;=Paramètres!$F$5,"Forte",IF(K2284&gt;=Paramètres!$F$4,"Modérée","Faible")))</f>
        <v>Faible</v>
      </c>
    </row>
    <row r="2285" spans="1:13">
      <c r="A2285" t="s">
        <v>148</v>
      </c>
      <c r="B2285" s="11">
        <v>75</v>
      </c>
      <c r="C2285" t="s">
        <v>86</v>
      </c>
      <c r="D2285" t="s">
        <v>22</v>
      </c>
      <c r="E2285" t="s">
        <v>721</v>
      </c>
      <c r="F2285" t="s">
        <v>92</v>
      </c>
      <c r="G2285" s="12">
        <v>16</v>
      </c>
      <c r="H2285" s="12">
        <v>136</v>
      </c>
      <c r="I2285" s="12">
        <v>16</v>
      </c>
      <c r="J2285" t="str">
        <f>VLOOKUP(B2285,Paramètres!$A$4:$C$11,3,FALSE)</f>
        <v>Paris</v>
      </c>
      <c r="K2285" s="13">
        <f>IFERROR(H2285/G2285,"")</f>
        <v>8.5</v>
      </c>
      <c r="L2285" s="14">
        <f>IFERROR(I2285/G2285,"")</f>
        <v>1</v>
      </c>
      <c r="M2285" s="11" t="str">
        <f>IF(K2285&gt;=Paramètres!$F$6,"Très forte",IF(K2285&gt;=Paramètres!$F$5,"Forte",IF(K2285&gt;=Paramètres!$F$4,"Modérée","Faible")))</f>
        <v>Faible</v>
      </c>
    </row>
    <row r="2286" spans="1:13">
      <c r="A2286" t="s">
        <v>115</v>
      </c>
      <c r="B2286" s="11">
        <v>94</v>
      </c>
      <c r="C2286" t="s">
        <v>116</v>
      </c>
      <c r="D2286" t="s">
        <v>22</v>
      </c>
      <c r="E2286" t="s">
        <v>467</v>
      </c>
      <c r="F2286" t="s">
        <v>88</v>
      </c>
      <c r="G2286" s="12">
        <v>136</v>
      </c>
      <c r="H2286" s="12">
        <v>1153</v>
      </c>
      <c r="I2286" s="12">
        <v>134</v>
      </c>
      <c r="J2286" t="str">
        <f>VLOOKUP(B2286,Paramètres!$A$4:$C$11,3,FALSE)</f>
        <v>Petite couronne</v>
      </c>
      <c r="K2286" s="13">
        <f>IFERROR(H2286/G2286,"")</f>
        <v>8.4779411764705888</v>
      </c>
      <c r="L2286" s="14">
        <f>IFERROR(I2286/G2286,"")</f>
        <v>0.98529411764705888</v>
      </c>
      <c r="M2286" s="11" t="str">
        <f>IF(K2286&gt;=Paramètres!$F$6,"Très forte",IF(K2286&gt;=Paramètres!$F$5,"Forte",IF(K2286&gt;=Paramètres!$F$4,"Modérée","Faible")))</f>
        <v>Faible</v>
      </c>
    </row>
    <row r="2287" spans="1:13">
      <c r="A2287" t="s">
        <v>119</v>
      </c>
      <c r="B2287" s="11">
        <v>75</v>
      </c>
      <c r="C2287" t="s">
        <v>86</v>
      </c>
      <c r="D2287" t="s">
        <v>22</v>
      </c>
      <c r="E2287" t="s">
        <v>575</v>
      </c>
      <c r="F2287" t="s">
        <v>92</v>
      </c>
      <c r="G2287" s="12">
        <v>25</v>
      </c>
      <c r="H2287" s="12">
        <v>208</v>
      </c>
      <c r="I2287" s="12">
        <v>25</v>
      </c>
      <c r="J2287" t="str">
        <f>VLOOKUP(B2287,Paramètres!$A$4:$C$11,3,FALSE)</f>
        <v>Paris</v>
      </c>
      <c r="K2287" s="13">
        <f>IFERROR(H2287/G2287,"")</f>
        <v>8.32</v>
      </c>
      <c r="L2287" s="14">
        <f>IFERROR(I2287/G2287,"")</f>
        <v>1</v>
      </c>
      <c r="M2287" s="11" t="str">
        <f>IF(K2287&gt;=Paramètres!$F$6,"Très forte",IF(K2287&gt;=Paramètres!$F$5,"Forte",IF(K2287&gt;=Paramètres!$F$4,"Modérée","Faible")))</f>
        <v>Faible</v>
      </c>
    </row>
    <row r="2288" spans="1:13">
      <c r="A2288" t="s">
        <v>119</v>
      </c>
      <c r="B2288" s="11">
        <v>75</v>
      </c>
      <c r="C2288" t="s">
        <v>86</v>
      </c>
      <c r="D2288" t="s">
        <v>22</v>
      </c>
      <c r="E2288" t="s">
        <v>456</v>
      </c>
      <c r="F2288" t="s">
        <v>88</v>
      </c>
      <c r="G2288" s="12">
        <v>10</v>
      </c>
      <c r="H2288" s="12">
        <v>83</v>
      </c>
      <c r="I2288" s="12">
        <v>10</v>
      </c>
      <c r="J2288" t="str">
        <f>VLOOKUP(B2288,Paramètres!$A$4:$C$11,3,FALSE)</f>
        <v>Paris</v>
      </c>
      <c r="K2288" s="13">
        <f>IFERROR(H2288/G2288,"")</f>
        <v>8.3000000000000007</v>
      </c>
      <c r="L2288" s="14">
        <f>IFERROR(I2288/G2288,"")</f>
        <v>1</v>
      </c>
      <c r="M2288" s="11" t="str">
        <f>IF(K2288&gt;=Paramètres!$F$6,"Très forte",IF(K2288&gt;=Paramètres!$F$5,"Forte",IF(K2288&gt;=Paramètres!$F$4,"Modérée","Faible")))</f>
        <v>Faible</v>
      </c>
    </row>
    <row r="2289" spans="1:13">
      <c r="A2289" t="s">
        <v>239</v>
      </c>
      <c r="B2289" s="11">
        <v>78</v>
      </c>
      <c r="C2289" t="s">
        <v>135</v>
      </c>
      <c r="D2289" t="s">
        <v>22</v>
      </c>
      <c r="E2289" t="s">
        <v>296</v>
      </c>
      <c r="F2289" t="s">
        <v>88</v>
      </c>
      <c r="G2289" s="12">
        <v>110</v>
      </c>
      <c r="H2289" s="12">
        <v>910</v>
      </c>
      <c r="I2289" s="12">
        <v>135</v>
      </c>
      <c r="J2289" t="str">
        <f>VLOOKUP(B2289,Paramètres!$A$4:$C$11,3,FALSE)</f>
        <v>Grande couronne</v>
      </c>
      <c r="K2289" s="13">
        <f>IFERROR(H2289/G2289,"")</f>
        <v>8.2727272727272734</v>
      </c>
      <c r="L2289" s="14">
        <f>IFERROR(I2289/G2289,"")</f>
        <v>1.2272727272727273</v>
      </c>
      <c r="M2289" s="11" t="str">
        <f>IF(K2289&gt;=Paramètres!$F$6,"Très forte",IF(K2289&gt;=Paramètres!$F$5,"Forte",IF(K2289&gt;=Paramètres!$F$4,"Modérée","Faible")))</f>
        <v>Faible</v>
      </c>
    </row>
    <row r="2290" spans="1:13">
      <c r="A2290" t="s">
        <v>127</v>
      </c>
      <c r="B2290" s="11">
        <v>75</v>
      </c>
      <c r="C2290" t="s">
        <v>86</v>
      </c>
      <c r="D2290" t="s">
        <v>22</v>
      </c>
      <c r="E2290" t="s">
        <v>230</v>
      </c>
      <c r="F2290" t="s">
        <v>88</v>
      </c>
      <c r="G2290" s="12">
        <v>20</v>
      </c>
      <c r="H2290" s="12">
        <v>165</v>
      </c>
      <c r="I2290" s="12">
        <v>19</v>
      </c>
      <c r="J2290" t="str">
        <f>VLOOKUP(B2290,Paramètres!$A$4:$C$11,3,FALSE)</f>
        <v>Paris</v>
      </c>
      <c r="K2290" s="13">
        <f>IFERROR(H2290/G2290,"")</f>
        <v>8.25</v>
      </c>
      <c r="L2290" s="14">
        <f>IFERROR(I2290/G2290,"")</f>
        <v>0.95</v>
      </c>
      <c r="M2290" s="11" t="str">
        <f>IF(K2290&gt;=Paramètres!$F$6,"Très forte",IF(K2290&gt;=Paramètres!$F$5,"Forte",IF(K2290&gt;=Paramètres!$F$4,"Modérée","Faible")))</f>
        <v>Faible</v>
      </c>
    </row>
    <row r="2291" spans="1:13">
      <c r="A2291" t="s">
        <v>97</v>
      </c>
      <c r="B2291" s="11">
        <v>92</v>
      </c>
      <c r="C2291" t="s">
        <v>94</v>
      </c>
      <c r="D2291" t="s">
        <v>22</v>
      </c>
      <c r="E2291" t="s">
        <v>565</v>
      </c>
      <c r="F2291" t="s">
        <v>88</v>
      </c>
      <c r="G2291" s="12">
        <v>90</v>
      </c>
      <c r="H2291" s="12">
        <v>731</v>
      </c>
      <c r="I2291" s="12">
        <v>88</v>
      </c>
      <c r="J2291" t="str">
        <f>VLOOKUP(B2291,Paramètres!$A$4:$C$11,3,FALSE)</f>
        <v>Petite couronne</v>
      </c>
      <c r="K2291" s="13">
        <f>IFERROR(H2291/G2291,"")</f>
        <v>8.1222222222222218</v>
      </c>
      <c r="L2291" s="14">
        <f>IFERROR(I2291/G2291,"")</f>
        <v>0.97777777777777775</v>
      </c>
      <c r="M2291" s="11" t="str">
        <f>IF(K2291&gt;=Paramètres!$F$6,"Très forte",IF(K2291&gt;=Paramètres!$F$5,"Forte",IF(K2291&gt;=Paramètres!$F$4,"Modérée","Faible")))</f>
        <v>Faible</v>
      </c>
    </row>
    <row r="2292" spans="1:13">
      <c r="A2292" t="s">
        <v>144</v>
      </c>
      <c r="B2292" s="11">
        <v>95</v>
      </c>
      <c r="C2292" t="s">
        <v>90</v>
      </c>
      <c r="D2292" t="s">
        <v>22</v>
      </c>
      <c r="E2292" t="s">
        <v>285</v>
      </c>
      <c r="F2292" t="s">
        <v>88</v>
      </c>
      <c r="G2292" s="12">
        <v>153</v>
      </c>
      <c r="H2292" s="12">
        <v>1241</v>
      </c>
      <c r="I2292" s="12">
        <v>157</v>
      </c>
      <c r="J2292" t="str">
        <f>VLOOKUP(B2292,Paramètres!$A$4:$C$11,3,FALSE)</f>
        <v>Grande couronne</v>
      </c>
      <c r="K2292" s="13">
        <f>IFERROR(H2292/G2292,"")</f>
        <v>8.1111111111111107</v>
      </c>
      <c r="L2292" s="14">
        <f>IFERROR(I2292/G2292,"")</f>
        <v>1.0261437908496731</v>
      </c>
      <c r="M2292" s="11" t="str">
        <f>IF(K2292&gt;=Paramètres!$F$6,"Très forte",IF(K2292&gt;=Paramètres!$F$5,"Forte",IF(K2292&gt;=Paramètres!$F$4,"Modérée","Faible")))</f>
        <v>Faible</v>
      </c>
    </row>
    <row r="2293" spans="1:13">
      <c r="A2293" t="s">
        <v>97</v>
      </c>
      <c r="B2293" s="11">
        <v>92</v>
      </c>
      <c r="C2293" t="s">
        <v>94</v>
      </c>
      <c r="D2293" t="s">
        <v>22</v>
      </c>
      <c r="E2293" t="s">
        <v>460</v>
      </c>
      <c r="F2293" t="s">
        <v>88</v>
      </c>
      <c r="G2293" s="12">
        <v>100</v>
      </c>
      <c r="H2293" s="12">
        <v>809</v>
      </c>
      <c r="I2293" s="12">
        <v>113</v>
      </c>
      <c r="J2293" t="str">
        <f>VLOOKUP(B2293,Paramètres!$A$4:$C$11,3,FALSE)</f>
        <v>Petite couronne</v>
      </c>
      <c r="K2293" s="13">
        <f>IFERROR(H2293/G2293,"")</f>
        <v>8.09</v>
      </c>
      <c r="L2293" s="14">
        <f>IFERROR(I2293/G2293,"")</f>
        <v>1.1299999999999999</v>
      </c>
      <c r="M2293" s="11" t="str">
        <f>IF(K2293&gt;=Paramètres!$F$6,"Très forte",IF(K2293&gt;=Paramètres!$F$5,"Forte",IF(K2293&gt;=Paramètres!$F$4,"Modérée","Faible")))</f>
        <v>Faible</v>
      </c>
    </row>
    <row r="2294" spans="1:13">
      <c r="A2294" t="s">
        <v>108</v>
      </c>
      <c r="B2294" s="11">
        <v>93</v>
      </c>
      <c r="C2294" t="s">
        <v>100</v>
      </c>
      <c r="D2294" t="s">
        <v>22</v>
      </c>
      <c r="E2294" t="s">
        <v>112</v>
      </c>
      <c r="F2294" t="s">
        <v>88</v>
      </c>
      <c r="G2294" s="12">
        <v>25</v>
      </c>
      <c r="H2294" s="12">
        <v>200</v>
      </c>
      <c r="I2294" s="12">
        <v>22</v>
      </c>
      <c r="J2294" t="str">
        <f>VLOOKUP(B2294,Paramètres!$A$4:$C$11,3,FALSE)</f>
        <v>Petite couronne</v>
      </c>
      <c r="K2294" s="13">
        <f>IFERROR(H2294/G2294,"")</f>
        <v>8</v>
      </c>
      <c r="L2294" s="14">
        <f>IFERROR(I2294/G2294,"")</f>
        <v>0.88</v>
      </c>
      <c r="M2294" s="11" t="str">
        <f>IF(K2294&gt;=Paramètres!$F$6,"Très forte",IF(K2294&gt;=Paramètres!$F$5,"Forte",IF(K2294&gt;=Paramètres!$F$4,"Modérée","Faible")))</f>
        <v>Faible</v>
      </c>
    </row>
    <row r="2295" spans="1:13">
      <c r="A2295" t="s">
        <v>127</v>
      </c>
      <c r="B2295" s="11">
        <v>75</v>
      </c>
      <c r="C2295" t="s">
        <v>86</v>
      </c>
      <c r="D2295" t="s">
        <v>22</v>
      </c>
      <c r="E2295" t="s">
        <v>230</v>
      </c>
      <c r="F2295" t="s">
        <v>88</v>
      </c>
      <c r="G2295" s="12">
        <v>37</v>
      </c>
      <c r="H2295" s="12">
        <v>296</v>
      </c>
      <c r="I2295" s="12">
        <v>37</v>
      </c>
      <c r="J2295" t="str">
        <f>VLOOKUP(B2295,Paramètres!$A$4:$C$11,3,FALSE)</f>
        <v>Paris</v>
      </c>
      <c r="K2295" s="13">
        <f>IFERROR(H2295/G2295,"")</f>
        <v>8</v>
      </c>
      <c r="L2295" s="14">
        <f>IFERROR(I2295/G2295,"")</f>
        <v>1</v>
      </c>
      <c r="M2295" s="11" t="str">
        <f>IF(K2295&gt;=Paramètres!$F$6,"Très forte",IF(K2295&gt;=Paramètres!$F$5,"Forte",IF(K2295&gt;=Paramètres!$F$4,"Modérée","Faible")))</f>
        <v>Faible</v>
      </c>
    </row>
    <row r="2296" spans="1:13">
      <c r="A2296" t="s">
        <v>97</v>
      </c>
      <c r="B2296" s="11">
        <v>92</v>
      </c>
      <c r="C2296" t="s">
        <v>94</v>
      </c>
      <c r="D2296" t="s">
        <v>22</v>
      </c>
      <c r="E2296" t="s">
        <v>308</v>
      </c>
      <c r="F2296" t="s">
        <v>88</v>
      </c>
      <c r="G2296" s="12">
        <v>60</v>
      </c>
      <c r="H2296" s="12">
        <v>474</v>
      </c>
      <c r="I2296" s="12">
        <v>57</v>
      </c>
      <c r="J2296" t="str">
        <f>VLOOKUP(B2296,Paramètres!$A$4:$C$11,3,FALSE)</f>
        <v>Petite couronne</v>
      </c>
      <c r="K2296" s="13">
        <f>IFERROR(H2296/G2296,"")</f>
        <v>7.9</v>
      </c>
      <c r="L2296" s="14">
        <f>IFERROR(I2296/G2296,"")</f>
        <v>0.95</v>
      </c>
      <c r="M2296" s="11" t="str">
        <f>IF(K2296&gt;=Paramètres!$F$6,"Très forte",IF(K2296&gt;=Paramètres!$F$5,"Forte",IF(K2296&gt;=Paramètres!$F$4,"Modérée","Faible")))</f>
        <v>Faible</v>
      </c>
    </row>
    <row r="2297" spans="1:13">
      <c r="A2297" t="s">
        <v>108</v>
      </c>
      <c r="B2297" s="11">
        <v>93</v>
      </c>
      <c r="C2297" t="s">
        <v>100</v>
      </c>
      <c r="D2297" t="s">
        <v>22</v>
      </c>
      <c r="E2297" t="s">
        <v>449</v>
      </c>
      <c r="F2297" t="s">
        <v>88</v>
      </c>
      <c r="G2297" s="12">
        <v>300</v>
      </c>
      <c r="H2297" s="12">
        <v>2362</v>
      </c>
      <c r="I2297" s="12">
        <v>292</v>
      </c>
      <c r="J2297" t="str">
        <f>VLOOKUP(B2297,Paramètres!$A$4:$C$11,3,FALSE)</f>
        <v>Petite couronne</v>
      </c>
      <c r="K2297" s="13">
        <f>IFERROR(H2297/G2297,"")</f>
        <v>7.8733333333333331</v>
      </c>
      <c r="L2297" s="14">
        <f>IFERROR(I2297/G2297,"")</f>
        <v>0.97333333333333338</v>
      </c>
      <c r="M2297" s="11" t="str">
        <f>IF(K2297&gt;=Paramètres!$F$6,"Très forte",IF(K2297&gt;=Paramètres!$F$5,"Forte",IF(K2297&gt;=Paramètres!$F$4,"Modérée","Faible")))</f>
        <v>Faible</v>
      </c>
    </row>
    <row r="2298" spans="1:13">
      <c r="A2298" t="s">
        <v>97</v>
      </c>
      <c r="B2298" s="11">
        <v>92</v>
      </c>
      <c r="C2298" t="s">
        <v>94</v>
      </c>
      <c r="D2298" t="s">
        <v>22</v>
      </c>
      <c r="E2298" t="s">
        <v>760</v>
      </c>
      <c r="F2298" t="s">
        <v>88</v>
      </c>
      <c r="G2298" s="12">
        <v>130</v>
      </c>
      <c r="H2298" s="12">
        <v>1022</v>
      </c>
      <c r="I2298" s="12">
        <v>126</v>
      </c>
      <c r="J2298" t="str">
        <f>VLOOKUP(B2298,Paramètres!$A$4:$C$11,3,FALSE)</f>
        <v>Petite couronne</v>
      </c>
      <c r="K2298" s="13">
        <f>IFERROR(H2298/G2298,"")</f>
        <v>7.8615384615384611</v>
      </c>
      <c r="L2298" s="14">
        <f>IFERROR(I2298/G2298,"")</f>
        <v>0.96923076923076923</v>
      </c>
      <c r="M2298" s="11" t="str">
        <f>IF(K2298&gt;=Paramètres!$F$6,"Très forte",IF(K2298&gt;=Paramètres!$F$5,"Forte",IF(K2298&gt;=Paramètres!$F$4,"Modérée","Faible")))</f>
        <v>Faible</v>
      </c>
    </row>
    <row r="2299" spans="1:13">
      <c r="A2299" t="s">
        <v>127</v>
      </c>
      <c r="B2299" s="11">
        <v>75</v>
      </c>
      <c r="C2299" t="s">
        <v>86</v>
      </c>
      <c r="D2299" t="s">
        <v>22</v>
      </c>
      <c r="E2299" t="s">
        <v>230</v>
      </c>
      <c r="F2299" t="s">
        <v>88</v>
      </c>
      <c r="G2299" s="12">
        <v>19</v>
      </c>
      <c r="H2299" s="12">
        <v>149</v>
      </c>
      <c r="I2299" s="12">
        <v>19</v>
      </c>
      <c r="J2299" t="str">
        <f>VLOOKUP(B2299,Paramètres!$A$4:$C$11,3,FALSE)</f>
        <v>Paris</v>
      </c>
      <c r="K2299" s="13">
        <f>IFERROR(H2299/G2299,"")</f>
        <v>7.8421052631578947</v>
      </c>
      <c r="L2299" s="14">
        <f>IFERROR(I2299/G2299,"")</f>
        <v>1</v>
      </c>
      <c r="M2299" s="11" t="str">
        <f>IF(K2299&gt;=Paramètres!$F$6,"Très forte",IF(K2299&gt;=Paramètres!$F$5,"Forte",IF(K2299&gt;=Paramètres!$F$4,"Modérée","Faible")))</f>
        <v>Faible</v>
      </c>
    </row>
    <row r="2300" spans="1:13">
      <c r="A2300" t="s">
        <v>144</v>
      </c>
      <c r="B2300" s="11">
        <v>95</v>
      </c>
      <c r="C2300" t="s">
        <v>90</v>
      </c>
      <c r="D2300" t="s">
        <v>22</v>
      </c>
      <c r="E2300" t="s">
        <v>146</v>
      </c>
      <c r="F2300" t="s">
        <v>88</v>
      </c>
      <c r="G2300" s="12">
        <v>135</v>
      </c>
      <c r="H2300" s="12">
        <v>1052</v>
      </c>
      <c r="I2300" s="12">
        <v>132</v>
      </c>
      <c r="J2300" t="str">
        <f>VLOOKUP(B2300,Paramètres!$A$4:$C$11,3,FALSE)</f>
        <v>Grande couronne</v>
      </c>
      <c r="K2300" s="13">
        <f>IFERROR(H2300/G2300,"")</f>
        <v>7.7925925925925927</v>
      </c>
      <c r="L2300" s="14">
        <f>IFERROR(I2300/G2300,"")</f>
        <v>0.97777777777777775</v>
      </c>
      <c r="M2300" s="11" t="str">
        <f>IF(K2300&gt;=Paramètres!$F$6,"Très forte",IF(K2300&gt;=Paramètres!$F$5,"Forte",IF(K2300&gt;=Paramètres!$F$4,"Modérée","Faible")))</f>
        <v>Faible</v>
      </c>
    </row>
    <row r="2301" spans="1:13">
      <c r="A2301" t="s">
        <v>108</v>
      </c>
      <c r="B2301" s="11">
        <v>93</v>
      </c>
      <c r="C2301" t="s">
        <v>100</v>
      </c>
      <c r="D2301" t="s">
        <v>22</v>
      </c>
      <c r="E2301" t="s">
        <v>711</v>
      </c>
      <c r="F2301" t="s">
        <v>88</v>
      </c>
      <c r="G2301" s="12">
        <v>32</v>
      </c>
      <c r="H2301" s="12">
        <v>249</v>
      </c>
      <c r="I2301" s="12">
        <v>30</v>
      </c>
      <c r="J2301" t="str">
        <f>VLOOKUP(B2301,Paramètres!$A$4:$C$11,3,FALSE)</f>
        <v>Petite couronne</v>
      </c>
      <c r="K2301" s="13">
        <f>IFERROR(H2301/G2301,"")</f>
        <v>7.78125</v>
      </c>
      <c r="L2301" s="14">
        <f>IFERROR(I2301/G2301,"")</f>
        <v>0.9375</v>
      </c>
      <c r="M2301" s="11" t="str">
        <f>IF(K2301&gt;=Paramètres!$F$6,"Très forte",IF(K2301&gt;=Paramètres!$F$5,"Forte",IF(K2301&gt;=Paramètres!$F$4,"Modérée","Faible")))</f>
        <v>Faible</v>
      </c>
    </row>
    <row r="2302" spans="1:13">
      <c r="A2302" t="s">
        <v>127</v>
      </c>
      <c r="B2302" s="11">
        <v>75</v>
      </c>
      <c r="C2302" t="s">
        <v>86</v>
      </c>
      <c r="D2302" t="s">
        <v>22</v>
      </c>
      <c r="E2302" t="s">
        <v>775</v>
      </c>
      <c r="F2302" t="s">
        <v>88</v>
      </c>
      <c r="G2302" s="12">
        <v>60</v>
      </c>
      <c r="H2302" s="12">
        <v>464</v>
      </c>
      <c r="I2302" s="12">
        <v>60</v>
      </c>
      <c r="J2302" t="str">
        <f>VLOOKUP(B2302,Paramètres!$A$4:$C$11,3,FALSE)</f>
        <v>Paris</v>
      </c>
      <c r="K2302" s="13">
        <f>IFERROR(H2302/G2302,"")</f>
        <v>7.7333333333333334</v>
      </c>
      <c r="L2302" s="14">
        <f>IFERROR(I2302/G2302,"")</f>
        <v>1</v>
      </c>
      <c r="M2302" s="11" t="str">
        <f>IF(K2302&gt;=Paramètres!$F$6,"Très forte",IF(K2302&gt;=Paramètres!$F$5,"Forte",IF(K2302&gt;=Paramètres!$F$4,"Modérée","Faible")))</f>
        <v>Faible</v>
      </c>
    </row>
    <row r="2303" spans="1:13">
      <c r="A2303" t="s">
        <v>119</v>
      </c>
      <c r="B2303" s="11">
        <v>75</v>
      </c>
      <c r="C2303" t="s">
        <v>86</v>
      </c>
      <c r="D2303" t="s">
        <v>22</v>
      </c>
      <c r="E2303" t="s">
        <v>373</v>
      </c>
      <c r="F2303" t="s">
        <v>88</v>
      </c>
      <c r="G2303" s="12">
        <v>70</v>
      </c>
      <c r="H2303" s="12">
        <v>541</v>
      </c>
      <c r="I2303" s="12">
        <v>67</v>
      </c>
      <c r="J2303" t="str">
        <f>VLOOKUP(B2303,Paramètres!$A$4:$C$11,3,FALSE)</f>
        <v>Paris</v>
      </c>
      <c r="K2303" s="13">
        <f>IFERROR(H2303/G2303,"")</f>
        <v>7.7285714285714286</v>
      </c>
      <c r="L2303" s="14">
        <f>IFERROR(I2303/G2303,"")</f>
        <v>0.95714285714285718</v>
      </c>
      <c r="M2303" s="11" t="str">
        <f>IF(K2303&gt;=Paramètres!$F$6,"Très forte",IF(K2303&gt;=Paramètres!$F$5,"Forte",IF(K2303&gt;=Paramètres!$F$4,"Modérée","Faible")))</f>
        <v>Faible</v>
      </c>
    </row>
    <row r="2304" spans="1:13">
      <c r="A2304" t="s">
        <v>97</v>
      </c>
      <c r="B2304" s="11">
        <v>92</v>
      </c>
      <c r="C2304" t="s">
        <v>94</v>
      </c>
      <c r="D2304" t="s">
        <v>22</v>
      </c>
      <c r="E2304" t="s">
        <v>292</v>
      </c>
      <c r="F2304" t="s">
        <v>88</v>
      </c>
      <c r="G2304" s="12">
        <v>35</v>
      </c>
      <c r="H2304" s="12">
        <v>270</v>
      </c>
      <c r="I2304" s="12">
        <v>34</v>
      </c>
      <c r="J2304" t="str">
        <f>VLOOKUP(B2304,Paramètres!$A$4:$C$11,3,FALSE)</f>
        <v>Petite couronne</v>
      </c>
      <c r="K2304" s="13">
        <f>IFERROR(H2304/G2304,"")</f>
        <v>7.7142857142857144</v>
      </c>
      <c r="L2304" s="14">
        <f>IFERROR(I2304/G2304,"")</f>
        <v>0.97142857142857142</v>
      </c>
      <c r="M2304" s="11" t="str">
        <f>IF(K2304&gt;=Paramètres!$F$6,"Très forte",IF(K2304&gt;=Paramètres!$F$5,"Forte",IF(K2304&gt;=Paramètres!$F$4,"Modérée","Faible")))</f>
        <v>Faible</v>
      </c>
    </row>
    <row r="2305" spans="1:13">
      <c r="A2305" t="s">
        <v>127</v>
      </c>
      <c r="B2305" s="11">
        <v>75</v>
      </c>
      <c r="C2305" t="s">
        <v>86</v>
      </c>
      <c r="D2305" t="s">
        <v>22</v>
      </c>
      <c r="E2305" t="s">
        <v>583</v>
      </c>
      <c r="F2305" t="s">
        <v>92</v>
      </c>
      <c r="G2305" s="12">
        <v>14</v>
      </c>
      <c r="H2305" s="12">
        <v>108</v>
      </c>
      <c r="I2305" s="12">
        <v>13</v>
      </c>
      <c r="J2305" t="str">
        <f>VLOOKUP(B2305,Paramètres!$A$4:$C$11,3,FALSE)</f>
        <v>Paris</v>
      </c>
      <c r="K2305" s="13">
        <f>IFERROR(H2305/G2305,"")</f>
        <v>7.7142857142857144</v>
      </c>
      <c r="L2305" s="14">
        <f>IFERROR(I2305/G2305,"")</f>
        <v>0.9285714285714286</v>
      </c>
      <c r="M2305" s="11" t="str">
        <f>IF(K2305&gt;=Paramètres!$F$6,"Très forte",IF(K2305&gt;=Paramètres!$F$5,"Forte",IF(K2305&gt;=Paramètres!$F$4,"Modérée","Faible")))</f>
        <v>Faible</v>
      </c>
    </row>
    <row r="2306" spans="1:13">
      <c r="A2306" t="s">
        <v>131</v>
      </c>
      <c r="B2306" s="11">
        <v>77</v>
      </c>
      <c r="C2306" t="s">
        <v>132</v>
      </c>
      <c r="D2306" t="s">
        <v>22</v>
      </c>
      <c r="E2306" t="s">
        <v>459</v>
      </c>
      <c r="F2306" t="s">
        <v>88</v>
      </c>
      <c r="G2306" s="12">
        <v>130</v>
      </c>
      <c r="H2306" s="12">
        <v>1001</v>
      </c>
      <c r="I2306" s="12">
        <v>126</v>
      </c>
      <c r="J2306" t="str">
        <f>VLOOKUP(B2306,Paramètres!$A$4:$C$11,3,FALSE)</f>
        <v>Grande couronne</v>
      </c>
      <c r="K2306" s="13">
        <f>IFERROR(H2306/G2306,"")</f>
        <v>7.7</v>
      </c>
      <c r="L2306" s="14">
        <f>IFERROR(I2306/G2306,"")</f>
        <v>0.96923076923076923</v>
      </c>
      <c r="M2306" s="11" t="str">
        <f>IF(K2306&gt;=Paramètres!$F$6,"Très forte",IF(K2306&gt;=Paramètres!$F$5,"Forte",IF(K2306&gt;=Paramètres!$F$4,"Modérée","Faible")))</f>
        <v>Faible</v>
      </c>
    </row>
    <row r="2307" spans="1:13">
      <c r="A2307" t="s">
        <v>89</v>
      </c>
      <c r="B2307" s="11">
        <v>95</v>
      </c>
      <c r="C2307" t="s">
        <v>90</v>
      </c>
      <c r="D2307" t="s">
        <v>22</v>
      </c>
      <c r="E2307" t="s">
        <v>91</v>
      </c>
      <c r="F2307" t="s">
        <v>92</v>
      </c>
      <c r="G2307" s="12">
        <v>55</v>
      </c>
      <c r="H2307" s="12">
        <v>423</v>
      </c>
      <c r="I2307" s="12">
        <v>55</v>
      </c>
      <c r="J2307" t="str">
        <f>VLOOKUP(B2307,Paramètres!$A$4:$C$11,3,FALSE)</f>
        <v>Grande couronne</v>
      </c>
      <c r="K2307" s="13">
        <f>IFERROR(H2307/G2307,"")</f>
        <v>7.6909090909090905</v>
      </c>
      <c r="L2307" s="14">
        <f>IFERROR(I2307/G2307,"")</f>
        <v>1</v>
      </c>
      <c r="M2307" s="11" t="str">
        <f>IF(K2307&gt;=Paramètres!$F$6,"Très forte",IF(K2307&gt;=Paramètres!$F$5,"Forte",IF(K2307&gt;=Paramètres!$F$4,"Modérée","Faible")))</f>
        <v>Faible</v>
      </c>
    </row>
    <row r="2308" spans="1:13">
      <c r="A2308" t="s">
        <v>445</v>
      </c>
      <c r="B2308" s="11">
        <v>77</v>
      </c>
      <c r="C2308" t="s">
        <v>132</v>
      </c>
      <c r="D2308" t="s">
        <v>22</v>
      </c>
      <c r="E2308" t="s">
        <v>695</v>
      </c>
      <c r="F2308" t="s">
        <v>88</v>
      </c>
      <c r="G2308" s="12">
        <v>72</v>
      </c>
      <c r="H2308" s="12">
        <v>550</v>
      </c>
      <c r="I2308" s="12">
        <v>71</v>
      </c>
      <c r="J2308" t="str">
        <f>VLOOKUP(B2308,Paramètres!$A$4:$C$11,3,FALSE)</f>
        <v>Grande couronne</v>
      </c>
      <c r="K2308" s="13">
        <f>IFERROR(H2308/G2308,"")</f>
        <v>7.6388888888888893</v>
      </c>
      <c r="L2308" s="14">
        <f>IFERROR(I2308/G2308,"")</f>
        <v>0.98611111111111116</v>
      </c>
      <c r="M2308" s="11" t="str">
        <f>IF(K2308&gt;=Paramètres!$F$6,"Très forte",IF(K2308&gt;=Paramètres!$F$5,"Forte",IF(K2308&gt;=Paramètres!$F$4,"Modérée","Faible")))</f>
        <v>Faible</v>
      </c>
    </row>
    <row r="2309" spans="1:13">
      <c r="A2309" t="s">
        <v>562</v>
      </c>
      <c r="B2309" s="11">
        <v>92</v>
      </c>
      <c r="C2309" t="s">
        <v>94</v>
      </c>
      <c r="D2309" t="s">
        <v>22</v>
      </c>
      <c r="E2309" t="s">
        <v>640</v>
      </c>
      <c r="F2309" t="s">
        <v>92</v>
      </c>
      <c r="G2309" s="12">
        <v>110</v>
      </c>
      <c r="H2309" s="12">
        <v>827</v>
      </c>
      <c r="I2309" s="12">
        <v>113</v>
      </c>
      <c r="J2309" t="str">
        <f>VLOOKUP(B2309,Paramètres!$A$4:$C$11,3,FALSE)</f>
        <v>Petite couronne</v>
      </c>
      <c r="K2309" s="13">
        <f>IFERROR(H2309/G2309,"")</f>
        <v>7.5181818181818185</v>
      </c>
      <c r="L2309" s="14">
        <f>IFERROR(I2309/G2309,"")</f>
        <v>1.0272727272727273</v>
      </c>
      <c r="M2309" s="11" t="str">
        <f>IF(K2309&gt;=Paramètres!$F$6,"Très forte",IF(K2309&gt;=Paramètres!$F$5,"Forte",IF(K2309&gt;=Paramètres!$F$4,"Modérée","Faible")))</f>
        <v>Faible</v>
      </c>
    </row>
    <row r="2310" spans="1:13">
      <c r="A2310" t="s">
        <v>108</v>
      </c>
      <c r="B2310" s="11">
        <v>93</v>
      </c>
      <c r="C2310" t="s">
        <v>100</v>
      </c>
      <c r="D2310" t="s">
        <v>22</v>
      </c>
      <c r="E2310" t="s">
        <v>165</v>
      </c>
      <c r="F2310" t="s">
        <v>88</v>
      </c>
      <c r="G2310" s="12">
        <v>130</v>
      </c>
      <c r="H2310" s="12">
        <v>975</v>
      </c>
      <c r="I2310" s="12">
        <v>168</v>
      </c>
      <c r="J2310" t="str">
        <f>VLOOKUP(B2310,Paramètres!$A$4:$C$11,3,FALSE)</f>
        <v>Petite couronne</v>
      </c>
      <c r="K2310" s="13">
        <f>IFERROR(H2310/G2310,"")</f>
        <v>7.5</v>
      </c>
      <c r="L2310" s="14">
        <f>IFERROR(I2310/G2310,"")</f>
        <v>1.2923076923076924</v>
      </c>
      <c r="M2310" s="11" t="str">
        <f>IF(K2310&gt;=Paramètres!$F$6,"Très forte",IF(K2310&gt;=Paramètres!$F$5,"Forte",IF(K2310&gt;=Paramètres!$F$4,"Modérée","Faible")))</f>
        <v>Faible</v>
      </c>
    </row>
    <row r="2311" spans="1:13">
      <c r="A2311" t="s">
        <v>97</v>
      </c>
      <c r="B2311" s="11">
        <v>92</v>
      </c>
      <c r="C2311" t="s">
        <v>94</v>
      </c>
      <c r="D2311" t="s">
        <v>22</v>
      </c>
      <c r="E2311" t="s">
        <v>644</v>
      </c>
      <c r="F2311" t="s">
        <v>88</v>
      </c>
      <c r="G2311" s="12">
        <v>35</v>
      </c>
      <c r="H2311" s="12">
        <v>262</v>
      </c>
      <c r="I2311" s="12">
        <v>34</v>
      </c>
      <c r="J2311" t="str">
        <f>VLOOKUP(B2311,Paramètres!$A$4:$C$11,3,FALSE)</f>
        <v>Petite couronne</v>
      </c>
      <c r="K2311" s="13">
        <f>IFERROR(H2311/G2311,"")</f>
        <v>7.4857142857142858</v>
      </c>
      <c r="L2311" s="14">
        <f>IFERROR(I2311/G2311,"")</f>
        <v>0.97142857142857142</v>
      </c>
      <c r="M2311" s="11" t="str">
        <f>IF(K2311&gt;=Paramètres!$F$6,"Très forte",IF(K2311&gt;=Paramètres!$F$5,"Forte",IF(K2311&gt;=Paramètres!$F$4,"Modérée","Faible")))</f>
        <v>Faible</v>
      </c>
    </row>
    <row r="2312" spans="1:13">
      <c r="A2312" t="s">
        <v>144</v>
      </c>
      <c r="B2312" s="11">
        <v>95</v>
      </c>
      <c r="C2312" t="s">
        <v>90</v>
      </c>
      <c r="D2312" t="s">
        <v>22</v>
      </c>
      <c r="E2312" t="s">
        <v>594</v>
      </c>
      <c r="F2312" t="s">
        <v>88</v>
      </c>
      <c r="G2312" s="12">
        <v>244</v>
      </c>
      <c r="H2312" s="12">
        <v>1816</v>
      </c>
      <c r="I2312" s="12">
        <v>237</v>
      </c>
      <c r="J2312" t="str">
        <f>VLOOKUP(B2312,Paramètres!$A$4:$C$11,3,FALSE)</f>
        <v>Grande couronne</v>
      </c>
      <c r="K2312" s="13">
        <f>IFERROR(H2312/G2312,"")</f>
        <v>7.442622950819672</v>
      </c>
      <c r="L2312" s="14">
        <f>IFERROR(I2312/G2312,"")</f>
        <v>0.97131147540983609</v>
      </c>
      <c r="M2312" s="11" t="str">
        <f>IF(K2312&gt;=Paramètres!$F$6,"Très forte",IF(K2312&gt;=Paramètres!$F$5,"Forte",IF(K2312&gt;=Paramètres!$F$4,"Modérée","Faible")))</f>
        <v>Faible</v>
      </c>
    </row>
    <row r="2313" spans="1:13">
      <c r="A2313" t="s">
        <v>115</v>
      </c>
      <c r="B2313" s="11">
        <v>94</v>
      </c>
      <c r="C2313" t="s">
        <v>116</v>
      </c>
      <c r="D2313" t="s">
        <v>22</v>
      </c>
      <c r="E2313" t="s">
        <v>118</v>
      </c>
      <c r="F2313" t="s">
        <v>88</v>
      </c>
      <c r="G2313" s="12">
        <v>50</v>
      </c>
      <c r="H2313" s="12">
        <v>370</v>
      </c>
      <c r="I2313" s="12">
        <v>47</v>
      </c>
      <c r="J2313" t="str">
        <f>VLOOKUP(B2313,Paramètres!$A$4:$C$11,3,FALSE)</f>
        <v>Petite couronne</v>
      </c>
      <c r="K2313" s="13">
        <f>IFERROR(H2313/G2313,"")</f>
        <v>7.4</v>
      </c>
      <c r="L2313" s="14">
        <f>IFERROR(I2313/G2313,"")</f>
        <v>0.94</v>
      </c>
      <c r="M2313" s="11" t="str">
        <f>IF(K2313&gt;=Paramètres!$F$6,"Très forte",IF(K2313&gt;=Paramètres!$F$5,"Forte",IF(K2313&gt;=Paramètres!$F$4,"Modérée","Faible")))</f>
        <v>Faible</v>
      </c>
    </row>
    <row r="2314" spans="1:13">
      <c r="A2314" t="s">
        <v>127</v>
      </c>
      <c r="B2314" s="11">
        <v>75</v>
      </c>
      <c r="C2314" t="s">
        <v>86</v>
      </c>
      <c r="D2314" t="s">
        <v>22</v>
      </c>
      <c r="E2314" t="s">
        <v>229</v>
      </c>
      <c r="F2314" t="s">
        <v>88</v>
      </c>
      <c r="G2314" s="12">
        <v>8</v>
      </c>
      <c r="H2314" s="12">
        <v>59</v>
      </c>
      <c r="I2314" s="12">
        <v>8</v>
      </c>
      <c r="J2314" t="str">
        <f>VLOOKUP(B2314,Paramètres!$A$4:$C$11,3,FALSE)</f>
        <v>Paris</v>
      </c>
      <c r="K2314" s="13">
        <f>IFERROR(H2314/G2314,"")</f>
        <v>7.375</v>
      </c>
      <c r="L2314" s="14">
        <f>IFERROR(I2314/G2314,"")</f>
        <v>1</v>
      </c>
      <c r="M2314" s="11" t="str">
        <f>IF(K2314&gt;=Paramètres!$F$6,"Très forte",IF(K2314&gt;=Paramètres!$F$5,"Forte",IF(K2314&gt;=Paramètres!$F$4,"Modérée","Faible")))</f>
        <v>Faible</v>
      </c>
    </row>
    <row r="2315" spans="1:13">
      <c r="A2315" t="s">
        <v>127</v>
      </c>
      <c r="B2315" s="11">
        <v>75</v>
      </c>
      <c r="C2315" t="s">
        <v>86</v>
      </c>
      <c r="D2315" t="s">
        <v>22</v>
      </c>
      <c r="E2315" t="s">
        <v>584</v>
      </c>
      <c r="F2315" t="s">
        <v>88</v>
      </c>
      <c r="G2315" s="12">
        <v>61</v>
      </c>
      <c r="H2315" s="12">
        <v>449</v>
      </c>
      <c r="I2315" s="12">
        <v>59</v>
      </c>
      <c r="J2315" t="str">
        <f>VLOOKUP(B2315,Paramètres!$A$4:$C$11,3,FALSE)</f>
        <v>Paris</v>
      </c>
      <c r="K2315" s="13">
        <f>IFERROR(H2315/G2315,"")</f>
        <v>7.360655737704918</v>
      </c>
      <c r="L2315" s="14">
        <f>IFERROR(I2315/G2315,"")</f>
        <v>0.96721311475409832</v>
      </c>
      <c r="M2315" s="11" t="str">
        <f>IF(K2315&gt;=Paramètres!$F$6,"Très forte",IF(K2315&gt;=Paramètres!$F$5,"Forte",IF(K2315&gt;=Paramètres!$F$4,"Modérée","Faible")))</f>
        <v>Faible</v>
      </c>
    </row>
    <row r="2316" spans="1:13">
      <c r="A2316" t="s">
        <v>127</v>
      </c>
      <c r="B2316" s="11">
        <v>75</v>
      </c>
      <c r="C2316" t="s">
        <v>86</v>
      </c>
      <c r="D2316" t="s">
        <v>22</v>
      </c>
      <c r="E2316" t="s">
        <v>408</v>
      </c>
      <c r="F2316" t="s">
        <v>88</v>
      </c>
      <c r="G2316" s="12">
        <v>11</v>
      </c>
      <c r="H2316" s="12">
        <v>80</v>
      </c>
      <c r="I2316" s="12">
        <v>11</v>
      </c>
      <c r="J2316" t="str">
        <f>VLOOKUP(B2316,Paramètres!$A$4:$C$11,3,FALSE)</f>
        <v>Paris</v>
      </c>
      <c r="K2316" s="13">
        <f>IFERROR(H2316/G2316,"")</f>
        <v>7.2727272727272725</v>
      </c>
      <c r="L2316" s="14">
        <f>IFERROR(I2316/G2316,"")</f>
        <v>1</v>
      </c>
      <c r="M2316" s="11" t="str">
        <f>IF(K2316&gt;=Paramètres!$F$6,"Très forte",IF(K2316&gt;=Paramètres!$F$5,"Forte",IF(K2316&gt;=Paramètres!$F$4,"Modérée","Faible")))</f>
        <v>Faible</v>
      </c>
    </row>
    <row r="2317" spans="1:13">
      <c r="A2317" t="s">
        <v>129</v>
      </c>
      <c r="B2317" s="11">
        <v>91</v>
      </c>
      <c r="C2317" t="s">
        <v>105</v>
      </c>
      <c r="D2317" t="s">
        <v>22</v>
      </c>
      <c r="E2317" t="s">
        <v>154</v>
      </c>
      <c r="F2317" t="s">
        <v>92</v>
      </c>
      <c r="G2317" s="12">
        <v>15</v>
      </c>
      <c r="H2317" s="12">
        <v>109</v>
      </c>
      <c r="I2317" s="12">
        <v>16</v>
      </c>
      <c r="J2317" t="str">
        <f>VLOOKUP(B2317,Paramètres!$A$4:$C$11,3,FALSE)</f>
        <v>Grande couronne</v>
      </c>
      <c r="K2317" s="13">
        <f>IFERROR(H2317/G2317,"")</f>
        <v>7.2666666666666666</v>
      </c>
      <c r="L2317" s="14">
        <f>IFERROR(I2317/G2317,"")</f>
        <v>1.0666666666666667</v>
      </c>
      <c r="M2317" s="11" t="str">
        <f>IF(K2317&gt;=Paramètres!$F$6,"Très forte",IF(K2317&gt;=Paramètres!$F$5,"Forte",IF(K2317&gt;=Paramètres!$F$4,"Modérée","Faible")))</f>
        <v>Faible</v>
      </c>
    </row>
    <row r="2318" spans="1:13">
      <c r="A2318" t="s">
        <v>108</v>
      </c>
      <c r="B2318" s="11">
        <v>93</v>
      </c>
      <c r="C2318" t="s">
        <v>100</v>
      </c>
      <c r="D2318" t="s">
        <v>22</v>
      </c>
      <c r="E2318" t="s">
        <v>295</v>
      </c>
      <c r="F2318" t="s">
        <v>88</v>
      </c>
      <c r="G2318" s="12">
        <v>130</v>
      </c>
      <c r="H2318" s="12">
        <v>942</v>
      </c>
      <c r="I2318" s="12">
        <v>124</v>
      </c>
      <c r="J2318" t="str">
        <f>VLOOKUP(B2318,Paramètres!$A$4:$C$11,3,FALSE)</f>
        <v>Petite couronne</v>
      </c>
      <c r="K2318" s="13">
        <f>IFERROR(H2318/G2318,"")</f>
        <v>7.2461538461538462</v>
      </c>
      <c r="L2318" s="14">
        <f>IFERROR(I2318/G2318,"")</f>
        <v>0.9538461538461539</v>
      </c>
      <c r="M2318" s="11" t="str">
        <f>IF(K2318&gt;=Paramètres!$F$6,"Très forte",IF(K2318&gt;=Paramètres!$F$5,"Forte",IF(K2318&gt;=Paramètres!$F$4,"Modérée","Faible")))</f>
        <v>Faible</v>
      </c>
    </row>
    <row r="2319" spans="1:13">
      <c r="A2319" t="s">
        <v>190</v>
      </c>
      <c r="B2319" s="11">
        <v>75</v>
      </c>
      <c r="C2319" t="s">
        <v>86</v>
      </c>
      <c r="D2319" t="s">
        <v>22</v>
      </c>
      <c r="E2319" t="s">
        <v>478</v>
      </c>
      <c r="F2319" t="s">
        <v>88</v>
      </c>
      <c r="G2319" s="12">
        <v>15</v>
      </c>
      <c r="H2319" s="12">
        <v>108</v>
      </c>
      <c r="I2319" s="12">
        <v>14</v>
      </c>
      <c r="J2319" t="str">
        <f>VLOOKUP(B2319,Paramètres!$A$4:$C$11,3,FALSE)</f>
        <v>Paris</v>
      </c>
      <c r="K2319" s="13">
        <f>IFERROR(H2319/G2319,"")</f>
        <v>7.2</v>
      </c>
      <c r="L2319" s="14">
        <f>IFERROR(I2319/G2319,"")</f>
        <v>0.93333333333333335</v>
      </c>
      <c r="M2319" s="11" t="str">
        <f>IF(K2319&gt;=Paramètres!$F$6,"Très forte",IF(K2319&gt;=Paramètres!$F$5,"Forte",IF(K2319&gt;=Paramètres!$F$4,"Modérée","Faible")))</f>
        <v>Faible</v>
      </c>
    </row>
    <row r="2320" spans="1:13">
      <c r="A2320" t="s">
        <v>97</v>
      </c>
      <c r="B2320" s="11">
        <v>92</v>
      </c>
      <c r="C2320" t="s">
        <v>94</v>
      </c>
      <c r="D2320" t="s">
        <v>22</v>
      </c>
      <c r="E2320" t="s">
        <v>309</v>
      </c>
      <c r="F2320" t="s">
        <v>88</v>
      </c>
      <c r="G2320" s="12">
        <v>180</v>
      </c>
      <c r="H2320" s="12">
        <v>1286</v>
      </c>
      <c r="I2320" s="12">
        <v>176</v>
      </c>
      <c r="J2320" t="str">
        <f>VLOOKUP(B2320,Paramètres!$A$4:$C$11,3,FALSE)</f>
        <v>Petite couronne</v>
      </c>
      <c r="K2320" s="13">
        <f>IFERROR(H2320/G2320,"")</f>
        <v>7.1444444444444448</v>
      </c>
      <c r="L2320" s="14">
        <f>IFERROR(I2320/G2320,"")</f>
        <v>0.97777777777777775</v>
      </c>
      <c r="M2320" s="11" t="str">
        <f>IF(K2320&gt;=Paramètres!$F$6,"Très forte",IF(K2320&gt;=Paramètres!$F$5,"Forte",IF(K2320&gt;=Paramètres!$F$4,"Modérée","Faible")))</f>
        <v>Faible</v>
      </c>
    </row>
    <row r="2321" spans="1:13">
      <c r="A2321" t="s">
        <v>131</v>
      </c>
      <c r="B2321" s="11">
        <v>77</v>
      </c>
      <c r="C2321" t="s">
        <v>132</v>
      </c>
      <c r="D2321" t="s">
        <v>22</v>
      </c>
      <c r="E2321" t="s">
        <v>245</v>
      </c>
      <c r="F2321" t="s">
        <v>88</v>
      </c>
      <c r="G2321" s="12">
        <v>130</v>
      </c>
      <c r="H2321" s="12">
        <v>921</v>
      </c>
      <c r="I2321" s="12">
        <v>130</v>
      </c>
      <c r="J2321" t="str">
        <f>VLOOKUP(B2321,Paramètres!$A$4:$C$11,3,FALSE)</f>
        <v>Grande couronne</v>
      </c>
      <c r="K2321" s="13">
        <f>IFERROR(H2321/G2321,"")</f>
        <v>7.0846153846153843</v>
      </c>
      <c r="L2321" s="14">
        <f>IFERROR(I2321/G2321,"")</f>
        <v>1</v>
      </c>
      <c r="M2321" s="11" t="str">
        <f>IF(K2321&gt;=Paramètres!$F$6,"Très forte",IF(K2321&gt;=Paramètres!$F$5,"Forte",IF(K2321&gt;=Paramètres!$F$4,"Modérée","Faible")))</f>
        <v>Faible</v>
      </c>
    </row>
    <row r="2322" spans="1:13">
      <c r="A2322" t="s">
        <v>152</v>
      </c>
      <c r="B2322" s="11">
        <v>75</v>
      </c>
      <c r="C2322" t="s">
        <v>86</v>
      </c>
      <c r="D2322" t="s">
        <v>22</v>
      </c>
      <c r="E2322" t="s">
        <v>364</v>
      </c>
      <c r="F2322" t="s">
        <v>92</v>
      </c>
      <c r="G2322" s="12">
        <v>25</v>
      </c>
      <c r="H2322" s="12">
        <v>177</v>
      </c>
      <c r="I2322" s="12">
        <v>25</v>
      </c>
      <c r="J2322" t="str">
        <f>VLOOKUP(B2322,Paramètres!$A$4:$C$11,3,FALSE)</f>
        <v>Paris</v>
      </c>
      <c r="K2322" s="13">
        <f>IFERROR(H2322/G2322,"")</f>
        <v>7.08</v>
      </c>
      <c r="L2322" s="14">
        <f>IFERROR(I2322/G2322,"")</f>
        <v>1</v>
      </c>
      <c r="M2322" s="11" t="str">
        <f>IF(K2322&gt;=Paramètres!$F$6,"Très forte",IF(K2322&gt;=Paramètres!$F$5,"Forte",IF(K2322&gt;=Paramètres!$F$4,"Modérée","Faible")))</f>
        <v>Faible</v>
      </c>
    </row>
    <row r="2323" spans="1:13">
      <c r="A2323" t="s">
        <v>127</v>
      </c>
      <c r="B2323" s="11">
        <v>75</v>
      </c>
      <c r="C2323" t="s">
        <v>86</v>
      </c>
      <c r="D2323" t="s">
        <v>22</v>
      </c>
      <c r="E2323" t="s">
        <v>167</v>
      </c>
      <c r="F2323" t="s">
        <v>88</v>
      </c>
      <c r="G2323" s="12">
        <v>40</v>
      </c>
      <c r="H2323" s="12">
        <v>282</v>
      </c>
      <c r="I2323" s="12">
        <v>40</v>
      </c>
      <c r="J2323" t="str">
        <f>VLOOKUP(B2323,Paramètres!$A$4:$C$11,3,FALSE)</f>
        <v>Paris</v>
      </c>
      <c r="K2323" s="13">
        <f>IFERROR(H2323/G2323,"")</f>
        <v>7.05</v>
      </c>
      <c r="L2323" s="14">
        <f>IFERROR(I2323/G2323,"")</f>
        <v>1</v>
      </c>
      <c r="M2323" s="11" t="str">
        <f>IF(K2323&gt;=Paramètres!$F$6,"Très forte",IF(K2323&gt;=Paramètres!$F$5,"Forte",IF(K2323&gt;=Paramètres!$F$4,"Modérée","Faible")))</f>
        <v>Faible</v>
      </c>
    </row>
    <row r="2324" spans="1:13">
      <c r="A2324" t="s">
        <v>119</v>
      </c>
      <c r="B2324" s="11">
        <v>75</v>
      </c>
      <c r="C2324" t="s">
        <v>86</v>
      </c>
      <c r="D2324" t="s">
        <v>22</v>
      </c>
      <c r="E2324" t="s">
        <v>180</v>
      </c>
      <c r="F2324" t="s">
        <v>88</v>
      </c>
      <c r="G2324" s="12">
        <v>520</v>
      </c>
      <c r="H2324" s="12">
        <v>3628</v>
      </c>
      <c r="I2324" s="12">
        <v>506</v>
      </c>
      <c r="J2324" t="str">
        <f>VLOOKUP(B2324,Paramètres!$A$4:$C$11,3,FALSE)</f>
        <v>Paris</v>
      </c>
      <c r="K2324" s="13">
        <f>IFERROR(H2324/G2324,"")</f>
        <v>6.976923076923077</v>
      </c>
      <c r="L2324" s="14">
        <f>IFERROR(I2324/G2324,"")</f>
        <v>0.97307692307692306</v>
      </c>
      <c r="M2324" s="11" t="str">
        <f>IF(K2324&gt;=Paramètres!$F$6,"Très forte",IF(K2324&gt;=Paramètres!$F$5,"Forte",IF(K2324&gt;=Paramètres!$F$4,"Modérée","Faible")))</f>
        <v>Faible</v>
      </c>
    </row>
    <row r="2325" spans="1:13">
      <c r="A2325" t="s">
        <v>115</v>
      </c>
      <c r="B2325" s="11">
        <v>94</v>
      </c>
      <c r="C2325" t="s">
        <v>116</v>
      </c>
      <c r="D2325" t="s">
        <v>22</v>
      </c>
      <c r="E2325" t="s">
        <v>474</v>
      </c>
      <c r="F2325" t="s">
        <v>88</v>
      </c>
      <c r="G2325" s="12">
        <v>114</v>
      </c>
      <c r="H2325" s="12">
        <v>788</v>
      </c>
      <c r="I2325" s="12">
        <v>112</v>
      </c>
      <c r="J2325" t="str">
        <f>VLOOKUP(B2325,Paramètres!$A$4:$C$11,3,FALSE)</f>
        <v>Petite couronne</v>
      </c>
      <c r="K2325" s="13">
        <f>IFERROR(H2325/G2325,"")</f>
        <v>6.9122807017543861</v>
      </c>
      <c r="L2325" s="14">
        <f>IFERROR(I2325/G2325,"")</f>
        <v>0.98245614035087714</v>
      </c>
      <c r="M2325" s="11" t="str">
        <f>IF(K2325&gt;=Paramètres!$F$6,"Très forte",IF(K2325&gt;=Paramètres!$F$5,"Forte",IF(K2325&gt;=Paramètres!$F$4,"Modérée","Faible")))</f>
        <v>Faible</v>
      </c>
    </row>
    <row r="2326" spans="1:13">
      <c r="A2326" t="s">
        <v>390</v>
      </c>
      <c r="B2326" s="11">
        <v>75</v>
      </c>
      <c r="C2326" t="s">
        <v>86</v>
      </c>
      <c r="D2326" t="s">
        <v>22</v>
      </c>
      <c r="E2326" t="s">
        <v>468</v>
      </c>
      <c r="F2326" t="s">
        <v>92</v>
      </c>
      <c r="G2326" s="12">
        <v>10</v>
      </c>
      <c r="H2326" s="12">
        <v>69</v>
      </c>
      <c r="I2326" s="12">
        <v>4</v>
      </c>
      <c r="J2326" t="str">
        <f>VLOOKUP(B2326,Paramètres!$A$4:$C$11,3,FALSE)</f>
        <v>Paris</v>
      </c>
      <c r="K2326" s="13">
        <f>IFERROR(H2326/G2326,"")</f>
        <v>6.9</v>
      </c>
      <c r="L2326" s="14">
        <f>IFERROR(I2326/G2326,"")</f>
        <v>0.4</v>
      </c>
      <c r="M2326" s="11" t="str">
        <f>IF(K2326&gt;=Paramètres!$F$6,"Très forte",IF(K2326&gt;=Paramètres!$F$5,"Forte",IF(K2326&gt;=Paramètres!$F$4,"Modérée","Faible")))</f>
        <v>Faible</v>
      </c>
    </row>
    <row r="2327" spans="1:13">
      <c r="A2327" t="s">
        <v>134</v>
      </c>
      <c r="B2327" s="11">
        <v>78</v>
      </c>
      <c r="C2327" t="s">
        <v>135</v>
      </c>
      <c r="D2327" t="s">
        <v>22</v>
      </c>
      <c r="E2327" t="s">
        <v>245</v>
      </c>
      <c r="F2327" t="s">
        <v>88</v>
      </c>
      <c r="G2327" s="12">
        <v>114</v>
      </c>
      <c r="H2327" s="12">
        <v>783</v>
      </c>
      <c r="I2327" s="12">
        <v>111</v>
      </c>
      <c r="J2327" t="str">
        <f>VLOOKUP(B2327,Paramètres!$A$4:$C$11,3,FALSE)</f>
        <v>Grande couronne</v>
      </c>
      <c r="K2327" s="13">
        <f>IFERROR(H2327/G2327,"")</f>
        <v>6.8684210526315788</v>
      </c>
      <c r="L2327" s="14">
        <f>IFERROR(I2327/G2327,"")</f>
        <v>0.97368421052631582</v>
      </c>
      <c r="M2327" s="11" t="str">
        <f>IF(K2327&gt;=Paramètres!$F$6,"Très forte",IF(K2327&gt;=Paramètres!$F$5,"Forte",IF(K2327&gt;=Paramètres!$F$4,"Modérée","Faible")))</f>
        <v>Faible</v>
      </c>
    </row>
    <row r="2328" spans="1:13">
      <c r="A2328" t="s">
        <v>115</v>
      </c>
      <c r="B2328" s="11">
        <v>94</v>
      </c>
      <c r="C2328" t="s">
        <v>116</v>
      </c>
      <c r="D2328" t="s">
        <v>22</v>
      </c>
      <c r="E2328" t="s">
        <v>597</v>
      </c>
      <c r="F2328" t="s">
        <v>88</v>
      </c>
      <c r="G2328" s="12">
        <v>250</v>
      </c>
      <c r="H2328" s="12">
        <v>1704</v>
      </c>
      <c r="I2328" s="12">
        <v>248</v>
      </c>
      <c r="J2328" t="str">
        <f>VLOOKUP(B2328,Paramètres!$A$4:$C$11,3,FALSE)</f>
        <v>Petite couronne</v>
      </c>
      <c r="K2328" s="13">
        <f>IFERROR(H2328/G2328,"")</f>
        <v>6.8159999999999998</v>
      </c>
      <c r="L2328" s="14">
        <f>IFERROR(I2328/G2328,"")</f>
        <v>0.99199999999999999</v>
      </c>
      <c r="M2328" s="11" t="str">
        <f>IF(K2328&gt;=Paramètres!$F$6,"Très forte",IF(K2328&gt;=Paramètres!$F$5,"Forte",IF(K2328&gt;=Paramètres!$F$4,"Modérée","Faible")))</f>
        <v>Faible</v>
      </c>
    </row>
    <row r="2329" spans="1:13">
      <c r="A2329" t="s">
        <v>203</v>
      </c>
      <c r="B2329" s="11">
        <v>78</v>
      </c>
      <c r="C2329" t="s">
        <v>135</v>
      </c>
      <c r="D2329" t="s">
        <v>22</v>
      </c>
      <c r="E2329" t="s">
        <v>620</v>
      </c>
      <c r="F2329" t="s">
        <v>88</v>
      </c>
      <c r="G2329" s="12">
        <v>32</v>
      </c>
      <c r="H2329" s="12">
        <v>218</v>
      </c>
      <c r="I2329" s="12">
        <v>32</v>
      </c>
      <c r="J2329" t="str">
        <f>VLOOKUP(B2329,Paramètres!$A$4:$C$11,3,FALSE)</f>
        <v>Grande couronne</v>
      </c>
      <c r="K2329" s="13">
        <f>IFERROR(H2329/G2329,"")</f>
        <v>6.8125</v>
      </c>
      <c r="L2329" s="14">
        <f>IFERROR(I2329/G2329,"")</f>
        <v>1</v>
      </c>
      <c r="M2329" s="11" t="str">
        <f>IF(K2329&gt;=Paramètres!$F$6,"Très forte",IF(K2329&gt;=Paramètres!$F$5,"Forte",IF(K2329&gt;=Paramètres!$F$4,"Modérée","Faible")))</f>
        <v>Faible</v>
      </c>
    </row>
    <row r="2330" spans="1:13">
      <c r="A2330" t="s">
        <v>119</v>
      </c>
      <c r="B2330" s="11">
        <v>75</v>
      </c>
      <c r="C2330" t="s">
        <v>86</v>
      </c>
      <c r="D2330" t="s">
        <v>22</v>
      </c>
      <c r="E2330" t="s">
        <v>290</v>
      </c>
      <c r="F2330" t="s">
        <v>92</v>
      </c>
      <c r="G2330" s="12">
        <v>10</v>
      </c>
      <c r="H2330" s="12">
        <v>68</v>
      </c>
      <c r="I2330" s="12">
        <v>2</v>
      </c>
      <c r="J2330" t="str">
        <f>VLOOKUP(B2330,Paramètres!$A$4:$C$11,3,FALSE)</f>
        <v>Paris</v>
      </c>
      <c r="K2330" s="13">
        <f>IFERROR(H2330/G2330,"")</f>
        <v>6.8</v>
      </c>
      <c r="L2330" s="14">
        <f>IFERROR(I2330/G2330,"")</f>
        <v>0.2</v>
      </c>
      <c r="M2330" s="11" t="str">
        <f>IF(K2330&gt;=Paramètres!$F$6,"Très forte",IF(K2330&gt;=Paramètres!$F$5,"Forte",IF(K2330&gt;=Paramètres!$F$4,"Modérée","Faible")))</f>
        <v>Faible</v>
      </c>
    </row>
    <row r="2331" spans="1:13">
      <c r="A2331" t="s">
        <v>138</v>
      </c>
      <c r="B2331" s="11">
        <v>75</v>
      </c>
      <c r="C2331" t="s">
        <v>86</v>
      </c>
      <c r="D2331" t="s">
        <v>22</v>
      </c>
      <c r="E2331" t="s">
        <v>570</v>
      </c>
      <c r="F2331" t="s">
        <v>88</v>
      </c>
      <c r="G2331" s="12">
        <v>50</v>
      </c>
      <c r="H2331" s="12">
        <v>340</v>
      </c>
      <c r="I2331" s="12">
        <v>53</v>
      </c>
      <c r="J2331" t="str">
        <f>VLOOKUP(B2331,Paramètres!$A$4:$C$11,3,FALSE)</f>
        <v>Paris</v>
      </c>
      <c r="K2331" s="13">
        <f>IFERROR(H2331/G2331,"")</f>
        <v>6.8</v>
      </c>
      <c r="L2331" s="14">
        <f>IFERROR(I2331/G2331,"")</f>
        <v>1.06</v>
      </c>
      <c r="M2331" s="11" t="str">
        <f>IF(K2331&gt;=Paramètres!$F$6,"Très forte",IF(K2331&gt;=Paramètres!$F$5,"Forte",IF(K2331&gt;=Paramètres!$F$4,"Modérée","Faible")))</f>
        <v>Faible</v>
      </c>
    </row>
    <row r="2332" spans="1:13">
      <c r="A2332" t="s">
        <v>97</v>
      </c>
      <c r="B2332" s="11">
        <v>92</v>
      </c>
      <c r="C2332" t="s">
        <v>94</v>
      </c>
      <c r="D2332" t="s">
        <v>22</v>
      </c>
      <c r="E2332" t="s">
        <v>745</v>
      </c>
      <c r="F2332" t="s">
        <v>88</v>
      </c>
      <c r="G2332" s="12">
        <v>57</v>
      </c>
      <c r="H2332" s="12">
        <v>387</v>
      </c>
      <c r="I2332" s="12">
        <v>57</v>
      </c>
      <c r="J2332" t="str">
        <f>VLOOKUP(B2332,Paramètres!$A$4:$C$11,3,FALSE)</f>
        <v>Petite couronne</v>
      </c>
      <c r="K2332" s="13">
        <f>IFERROR(H2332/G2332,"")</f>
        <v>6.7894736842105265</v>
      </c>
      <c r="L2332" s="14">
        <f>IFERROR(I2332/G2332,"")</f>
        <v>1</v>
      </c>
      <c r="M2332" s="11" t="str">
        <f>IF(K2332&gt;=Paramètres!$F$6,"Très forte",IF(K2332&gt;=Paramètres!$F$5,"Forte",IF(K2332&gt;=Paramètres!$F$4,"Modérée","Faible")))</f>
        <v>Faible</v>
      </c>
    </row>
    <row r="2333" spans="1:13">
      <c r="A2333" t="s">
        <v>533</v>
      </c>
      <c r="B2333" s="11">
        <v>92</v>
      </c>
      <c r="C2333" t="s">
        <v>94</v>
      </c>
      <c r="D2333" t="s">
        <v>22</v>
      </c>
      <c r="E2333" t="s">
        <v>727</v>
      </c>
      <c r="F2333" t="s">
        <v>88</v>
      </c>
      <c r="G2333" s="12">
        <v>35</v>
      </c>
      <c r="H2333" s="12">
        <v>237</v>
      </c>
      <c r="I2333" s="12">
        <v>38</v>
      </c>
      <c r="J2333" t="str">
        <f>VLOOKUP(B2333,Paramètres!$A$4:$C$11,3,FALSE)</f>
        <v>Petite couronne</v>
      </c>
      <c r="K2333" s="13">
        <f>IFERROR(H2333/G2333,"")</f>
        <v>6.7714285714285714</v>
      </c>
      <c r="L2333" s="14">
        <f>IFERROR(I2333/G2333,"")</f>
        <v>1.0857142857142856</v>
      </c>
      <c r="M2333" s="11" t="str">
        <f>IF(K2333&gt;=Paramètres!$F$6,"Très forte",IF(K2333&gt;=Paramètres!$F$5,"Forte",IF(K2333&gt;=Paramètres!$F$4,"Modérée","Faible")))</f>
        <v>Faible</v>
      </c>
    </row>
    <row r="2334" spans="1:13">
      <c r="A2334" t="s">
        <v>127</v>
      </c>
      <c r="B2334" s="11">
        <v>75</v>
      </c>
      <c r="C2334" t="s">
        <v>86</v>
      </c>
      <c r="D2334" t="s">
        <v>22</v>
      </c>
      <c r="E2334" t="s">
        <v>666</v>
      </c>
      <c r="F2334" t="s">
        <v>88</v>
      </c>
      <c r="G2334" s="12">
        <v>30</v>
      </c>
      <c r="H2334" s="12">
        <v>202</v>
      </c>
      <c r="I2334" s="12">
        <v>29</v>
      </c>
      <c r="J2334" t="str">
        <f>VLOOKUP(B2334,Paramètres!$A$4:$C$11,3,FALSE)</f>
        <v>Paris</v>
      </c>
      <c r="K2334" s="13">
        <f>IFERROR(H2334/G2334,"")</f>
        <v>6.7333333333333334</v>
      </c>
      <c r="L2334" s="14">
        <f>IFERROR(I2334/G2334,"")</f>
        <v>0.96666666666666667</v>
      </c>
      <c r="M2334" s="11" t="str">
        <f>IF(K2334&gt;=Paramètres!$F$6,"Très forte",IF(K2334&gt;=Paramètres!$F$5,"Forte",IF(K2334&gt;=Paramètres!$F$4,"Modérée","Faible")))</f>
        <v>Faible</v>
      </c>
    </row>
    <row r="2335" spans="1:13">
      <c r="A2335" t="s">
        <v>127</v>
      </c>
      <c r="B2335" s="11">
        <v>75</v>
      </c>
      <c r="C2335" t="s">
        <v>86</v>
      </c>
      <c r="D2335" t="s">
        <v>22</v>
      </c>
      <c r="E2335" t="s">
        <v>168</v>
      </c>
      <c r="F2335" t="s">
        <v>88</v>
      </c>
      <c r="G2335" s="12">
        <v>70</v>
      </c>
      <c r="H2335" s="12">
        <v>471</v>
      </c>
      <c r="I2335" s="12">
        <v>70</v>
      </c>
      <c r="J2335" t="str">
        <f>VLOOKUP(B2335,Paramètres!$A$4:$C$11,3,FALSE)</f>
        <v>Paris</v>
      </c>
      <c r="K2335" s="13">
        <f>IFERROR(H2335/G2335,"")</f>
        <v>6.7285714285714286</v>
      </c>
      <c r="L2335" s="14">
        <f>IFERROR(I2335/G2335,"")</f>
        <v>1</v>
      </c>
      <c r="M2335" s="11" t="str">
        <f>IF(K2335&gt;=Paramètres!$F$6,"Très forte",IF(K2335&gt;=Paramètres!$F$5,"Forte",IF(K2335&gt;=Paramètres!$F$4,"Modérée","Faible")))</f>
        <v>Faible</v>
      </c>
    </row>
    <row r="2336" spans="1:13">
      <c r="A2336" t="s">
        <v>144</v>
      </c>
      <c r="B2336" s="11">
        <v>95</v>
      </c>
      <c r="C2336" t="s">
        <v>90</v>
      </c>
      <c r="D2336" t="s">
        <v>22</v>
      </c>
      <c r="E2336" t="s">
        <v>438</v>
      </c>
      <c r="F2336" t="s">
        <v>88</v>
      </c>
      <c r="G2336" s="12">
        <v>125</v>
      </c>
      <c r="H2336" s="12">
        <v>837</v>
      </c>
      <c r="I2336" s="12">
        <v>123</v>
      </c>
      <c r="J2336" t="str">
        <f>VLOOKUP(B2336,Paramètres!$A$4:$C$11,3,FALSE)</f>
        <v>Grande couronne</v>
      </c>
      <c r="K2336" s="13">
        <f>IFERROR(H2336/G2336,"")</f>
        <v>6.6959999999999997</v>
      </c>
      <c r="L2336" s="14">
        <f>IFERROR(I2336/G2336,"")</f>
        <v>0.98399999999999999</v>
      </c>
      <c r="M2336" s="11" t="str">
        <f>IF(K2336&gt;=Paramètres!$F$6,"Très forte",IF(K2336&gt;=Paramètres!$F$5,"Forte",IF(K2336&gt;=Paramètres!$F$4,"Modérée","Faible")))</f>
        <v>Faible</v>
      </c>
    </row>
    <row r="2337" spans="1:13">
      <c r="A2337" t="s">
        <v>265</v>
      </c>
      <c r="B2337" s="11">
        <v>93</v>
      </c>
      <c r="C2337" t="s">
        <v>100</v>
      </c>
      <c r="D2337" t="s">
        <v>22</v>
      </c>
      <c r="E2337" t="s">
        <v>551</v>
      </c>
      <c r="F2337" t="s">
        <v>88</v>
      </c>
      <c r="G2337" s="12">
        <v>120</v>
      </c>
      <c r="H2337" s="12">
        <v>801</v>
      </c>
      <c r="I2337" s="12">
        <v>108</v>
      </c>
      <c r="J2337" t="str">
        <f>VLOOKUP(B2337,Paramètres!$A$4:$C$11,3,FALSE)</f>
        <v>Petite couronne</v>
      </c>
      <c r="K2337" s="13">
        <f>IFERROR(H2337/G2337,"")</f>
        <v>6.6749999999999998</v>
      </c>
      <c r="L2337" s="14">
        <f>IFERROR(I2337/G2337,"")</f>
        <v>0.9</v>
      </c>
      <c r="M2337" s="11" t="str">
        <f>IF(K2337&gt;=Paramètres!$F$6,"Très forte",IF(K2337&gt;=Paramètres!$F$5,"Forte",IF(K2337&gt;=Paramètres!$F$4,"Modérée","Faible")))</f>
        <v>Faible</v>
      </c>
    </row>
    <row r="2338" spans="1:13">
      <c r="A2338" t="s">
        <v>138</v>
      </c>
      <c r="B2338" s="11">
        <v>75</v>
      </c>
      <c r="C2338" t="s">
        <v>86</v>
      </c>
      <c r="D2338" t="s">
        <v>22</v>
      </c>
      <c r="E2338" t="s">
        <v>684</v>
      </c>
      <c r="F2338" t="s">
        <v>88</v>
      </c>
      <c r="G2338" s="12">
        <v>55</v>
      </c>
      <c r="H2338" s="12">
        <v>365</v>
      </c>
      <c r="I2338" s="12">
        <v>54</v>
      </c>
      <c r="J2338" t="str">
        <f>VLOOKUP(B2338,Paramètres!$A$4:$C$11,3,FALSE)</f>
        <v>Paris</v>
      </c>
      <c r="K2338" s="13">
        <f>IFERROR(H2338/G2338,"")</f>
        <v>6.6363636363636367</v>
      </c>
      <c r="L2338" s="14">
        <f>IFERROR(I2338/G2338,"")</f>
        <v>0.98181818181818181</v>
      </c>
      <c r="M2338" s="11" t="str">
        <f>IF(K2338&gt;=Paramètres!$F$6,"Très forte",IF(K2338&gt;=Paramètres!$F$5,"Forte",IF(K2338&gt;=Paramètres!$F$4,"Modérée","Faible")))</f>
        <v>Faible</v>
      </c>
    </row>
    <row r="2339" spans="1:13">
      <c r="A2339" t="s">
        <v>127</v>
      </c>
      <c r="B2339" s="11">
        <v>75</v>
      </c>
      <c r="C2339" t="s">
        <v>86</v>
      </c>
      <c r="D2339" t="s">
        <v>22</v>
      </c>
      <c r="E2339" t="s">
        <v>235</v>
      </c>
      <c r="F2339" t="s">
        <v>88</v>
      </c>
      <c r="G2339" s="12">
        <v>190</v>
      </c>
      <c r="H2339" s="12">
        <v>1257</v>
      </c>
      <c r="I2339" s="12">
        <v>189</v>
      </c>
      <c r="J2339" t="str">
        <f>VLOOKUP(B2339,Paramètres!$A$4:$C$11,3,FALSE)</f>
        <v>Paris</v>
      </c>
      <c r="K2339" s="13">
        <f>IFERROR(H2339/G2339,"")</f>
        <v>6.6157894736842104</v>
      </c>
      <c r="L2339" s="14">
        <f>IFERROR(I2339/G2339,"")</f>
        <v>0.99473684210526314</v>
      </c>
      <c r="M2339" s="11" t="str">
        <f>IF(K2339&gt;=Paramètres!$F$6,"Très forte",IF(K2339&gt;=Paramètres!$F$5,"Forte",IF(K2339&gt;=Paramètres!$F$4,"Modérée","Faible")))</f>
        <v>Faible</v>
      </c>
    </row>
    <row r="2340" spans="1:13">
      <c r="A2340" t="s">
        <v>119</v>
      </c>
      <c r="B2340" s="11">
        <v>75</v>
      </c>
      <c r="C2340" t="s">
        <v>86</v>
      </c>
      <c r="D2340" t="s">
        <v>22</v>
      </c>
      <c r="E2340" t="s">
        <v>699</v>
      </c>
      <c r="F2340" t="s">
        <v>88</v>
      </c>
      <c r="G2340" s="12">
        <v>20</v>
      </c>
      <c r="H2340" s="12">
        <v>132</v>
      </c>
      <c r="I2340" s="12">
        <v>19</v>
      </c>
      <c r="J2340" t="str">
        <f>VLOOKUP(B2340,Paramètres!$A$4:$C$11,3,FALSE)</f>
        <v>Paris</v>
      </c>
      <c r="K2340" s="13">
        <f>IFERROR(H2340/G2340,"")</f>
        <v>6.6</v>
      </c>
      <c r="L2340" s="14">
        <f>IFERROR(I2340/G2340,"")</f>
        <v>0.95</v>
      </c>
      <c r="M2340" s="11" t="str">
        <f>IF(K2340&gt;=Paramètres!$F$6,"Très forte",IF(K2340&gt;=Paramètres!$F$5,"Forte",IF(K2340&gt;=Paramètres!$F$4,"Modérée","Faible")))</f>
        <v>Faible</v>
      </c>
    </row>
    <row r="2341" spans="1:13">
      <c r="A2341" t="s">
        <v>110</v>
      </c>
      <c r="B2341" s="11">
        <v>75</v>
      </c>
      <c r="C2341" t="s">
        <v>86</v>
      </c>
      <c r="D2341" t="s">
        <v>22</v>
      </c>
      <c r="E2341" t="s">
        <v>731</v>
      </c>
      <c r="F2341" t="s">
        <v>88</v>
      </c>
      <c r="G2341" s="12">
        <v>25</v>
      </c>
      <c r="H2341" s="12">
        <v>165</v>
      </c>
      <c r="I2341" s="12">
        <v>29</v>
      </c>
      <c r="J2341" t="str">
        <f>VLOOKUP(B2341,Paramètres!$A$4:$C$11,3,FALSE)</f>
        <v>Paris</v>
      </c>
      <c r="K2341" s="13">
        <f>IFERROR(H2341/G2341,"")</f>
        <v>6.6</v>
      </c>
      <c r="L2341" s="14">
        <f>IFERROR(I2341/G2341,"")</f>
        <v>1.1599999999999999</v>
      </c>
      <c r="M2341" s="11" t="str">
        <f>IF(K2341&gt;=Paramètres!$F$6,"Très forte",IF(K2341&gt;=Paramètres!$F$5,"Forte",IF(K2341&gt;=Paramètres!$F$4,"Modérée","Faible")))</f>
        <v>Faible</v>
      </c>
    </row>
    <row r="2342" spans="1:13">
      <c r="A2342" t="s">
        <v>190</v>
      </c>
      <c r="B2342" s="11">
        <v>75</v>
      </c>
      <c r="C2342" t="s">
        <v>86</v>
      </c>
      <c r="D2342" t="s">
        <v>22</v>
      </c>
      <c r="E2342" t="s">
        <v>459</v>
      </c>
      <c r="F2342" t="s">
        <v>92</v>
      </c>
      <c r="G2342" s="12">
        <v>90</v>
      </c>
      <c r="H2342" s="12">
        <v>589</v>
      </c>
      <c r="I2342" s="12">
        <v>82</v>
      </c>
      <c r="J2342" t="str">
        <f>VLOOKUP(B2342,Paramètres!$A$4:$C$11,3,FALSE)</f>
        <v>Paris</v>
      </c>
      <c r="K2342" s="13">
        <f>IFERROR(H2342/G2342,"")</f>
        <v>6.5444444444444443</v>
      </c>
      <c r="L2342" s="14">
        <f>IFERROR(I2342/G2342,"")</f>
        <v>0.91111111111111109</v>
      </c>
      <c r="M2342" s="11" t="str">
        <f>IF(K2342&gt;=Paramètres!$F$6,"Très forte",IF(K2342&gt;=Paramètres!$F$5,"Forte",IF(K2342&gt;=Paramètres!$F$4,"Modérée","Faible")))</f>
        <v>Faible</v>
      </c>
    </row>
    <row r="2343" spans="1:13">
      <c r="A2343" t="s">
        <v>108</v>
      </c>
      <c r="B2343" s="11">
        <v>93</v>
      </c>
      <c r="C2343" t="s">
        <v>100</v>
      </c>
      <c r="D2343" t="s">
        <v>22</v>
      </c>
      <c r="E2343" t="s">
        <v>476</v>
      </c>
      <c r="F2343" t="s">
        <v>88</v>
      </c>
      <c r="G2343" s="12">
        <v>120</v>
      </c>
      <c r="H2343" s="12">
        <v>785</v>
      </c>
      <c r="I2343" s="12">
        <v>127</v>
      </c>
      <c r="J2343" t="str">
        <f>VLOOKUP(B2343,Paramètres!$A$4:$C$11,3,FALSE)</f>
        <v>Petite couronne</v>
      </c>
      <c r="K2343" s="13">
        <f>IFERROR(H2343/G2343,"")</f>
        <v>6.541666666666667</v>
      </c>
      <c r="L2343" s="14">
        <f>IFERROR(I2343/G2343,"")</f>
        <v>1.0583333333333333</v>
      </c>
      <c r="M2343" s="11" t="str">
        <f>IF(K2343&gt;=Paramètres!$F$6,"Très forte",IF(K2343&gt;=Paramètres!$F$5,"Forte",IF(K2343&gt;=Paramètres!$F$4,"Modérée","Faible")))</f>
        <v>Faible</v>
      </c>
    </row>
    <row r="2344" spans="1:13">
      <c r="A2344" t="s">
        <v>265</v>
      </c>
      <c r="B2344" s="11">
        <v>93</v>
      </c>
      <c r="C2344" t="s">
        <v>100</v>
      </c>
      <c r="D2344" t="s">
        <v>22</v>
      </c>
      <c r="E2344" t="s">
        <v>165</v>
      </c>
      <c r="F2344" t="s">
        <v>88</v>
      </c>
      <c r="G2344" s="12">
        <v>90</v>
      </c>
      <c r="H2344" s="12">
        <v>583</v>
      </c>
      <c r="I2344" s="12">
        <v>75</v>
      </c>
      <c r="J2344" t="str">
        <f>VLOOKUP(B2344,Paramètres!$A$4:$C$11,3,FALSE)</f>
        <v>Petite couronne</v>
      </c>
      <c r="K2344" s="13">
        <f>IFERROR(H2344/G2344,"")</f>
        <v>6.4777777777777779</v>
      </c>
      <c r="L2344" s="14">
        <f>IFERROR(I2344/G2344,"")</f>
        <v>0.83333333333333337</v>
      </c>
      <c r="M2344" s="11" t="str">
        <f>IF(K2344&gt;=Paramètres!$F$6,"Très forte",IF(K2344&gt;=Paramètres!$F$5,"Forte",IF(K2344&gt;=Paramètres!$F$4,"Modérée","Faible")))</f>
        <v>Faible</v>
      </c>
    </row>
    <row r="2345" spans="1:13">
      <c r="A2345" t="s">
        <v>390</v>
      </c>
      <c r="B2345" s="11">
        <v>75</v>
      </c>
      <c r="C2345" t="s">
        <v>86</v>
      </c>
      <c r="D2345" t="s">
        <v>22</v>
      </c>
      <c r="E2345" t="s">
        <v>165</v>
      </c>
      <c r="F2345" t="s">
        <v>92</v>
      </c>
      <c r="G2345" s="12">
        <v>20</v>
      </c>
      <c r="H2345" s="12">
        <v>129</v>
      </c>
      <c r="I2345" s="12">
        <v>12</v>
      </c>
      <c r="J2345" t="str">
        <f>VLOOKUP(B2345,Paramètres!$A$4:$C$11,3,FALSE)</f>
        <v>Paris</v>
      </c>
      <c r="K2345" s="13">
        <f>IFERROR(H2345/G2345,"")</f>
        <v>6.45</v>
      </c>
      <c r="L2345" s="14">
        <f>IFERROR(I2345/G2345,"")</f>
        <v>0.6</v>
      </c>
      <c r="M2345" s="11" t="str">
        <f>IF(K2345&gt;=Paramètres!$F$6,"Très forte",IF(K2345&gt;=Paramètres!$F$5,"Forte",IF(K2345&gt;=Paramètres!$F$4,"Modérée","Faible")))</f>
        <v>Faible</v>
      </c>
    </row>
    <row r="2346" spans="1:13">
      <c r="A2346" t="s">
        <v>110</v>
      </c>
      <c r="B2346" s="11">
        <v>75</v>
      </c>
      <c r="C2346" t="s">
        <v>86</v>
      </c>
      <c r="D2346" t="s">
        <v>22</v>
      </c>
      <c r="E2346" t="s">
        <v>396</v>
      </c>
      <c r="F2346" t="s">
        <v>88</v>
      </c>
      <c r="G2346" s="12">
        <v>75</v>
      </c>
      <c r="H2346" s="12">
        <v>475</v>
      </c>
      <c r="I2346" s="12">
        <v>75</v>
      </c>
      <c r="J2346" t="str">
        <f>VLOOKUP(B2346,Paramètres!$A$4:$C$11,3,FALSE)</f>
        <v>Paris</v>
      </c>
      <c r="K2346" s="13">
        <f>IFERROR(H2346/G2346,"")</f>
        <v>6.333333333333333</v>
      </c>
      <c r="L2346" s="14">
        <f>IFERROR(I2346/G2346,"")</f>
        <v>1</v>
      </c>
      <c r="M2346" s="11" t="str">
        <f>IF(K2346&gt;=Paramètres!$F$6,"Très forte",IF(K2346&gt;=Paramètres!$F$5,"Forte",IF(K2346&gt;=Paramètres!$F$4,"Modérée","Faible")))</f>
        <v>Faible</v>
      </c>
    </row>
    <row r="2347" spans="1:13">
      <c r="A2347" t="s">
        <v>119</v>
      </c>
      <c r="B2347" s="11">
        <v>75</v>
      </c>
      <c r="C2347" t="s">
        <v>86</v>
      </c>
      <c r="D2347" t="s">
        <v>22</v>
      </c>
      <c r="E2347" t="s">
        <v>698</v>
      </c>
      <c r="F2347" t="s">
        <v>92</v>
      </c>
      <c r="G2347" s="12">
        <v>30</v>
      </c>
      <c r="H2347" s="12">
        <v>190</v>
      </c>
      <c r="I2347" s="12">
        <v>30</v>
      </c>
      <c r="J2347" t="str">
        <f>VLOOKUP(B2347,Paramètres!$A$4:$C$11,3,FALSE)</f>
        <v>Paris</v>
      </c>
      <c r="K2347" s="13">
        <f>IFERROR(H2347/G2347,"")</f>
        <v>6.333333333333333</v>
      </c>
      <c r="L2347" s="14">
        <f>IFERROR(I2347/G2347,"")</f>
        <v>1</v>
      </c>
      <c r="M2347" s="11" t="str">
        <f>IF(K2347&gt;=Paramètres!$F$6,"Très forte",IF(K2347&gt;=Paramètres!$F$5,"Forte",IF(K2347&gt;=Paramètres!$F$4,"Modérée","Faible")))</f>
        <v>Faible</v>
      </c>
    </row>
    <row r="2348" spans="1:13">
      <c r="A2348" t="s">
        <v>162</v>
      </c>
      <c r="B2348" s="11">
        <v>91</v>
      </c>
      <c r="C2348" t="s">
        <v>105</v>
      </c>
      <c r="D2348" t="s">
        <v>22</v>
      </c>
      <c r="E2348" t="s">
        <v>703</v>
      </c>
      <c r="F2348" t="s">
        <v>88</v>
      </c>
      <c r="G2348" s="12">
        <v>80</v>
      </c>
      <c r="H2348" s="12">
        <v>505</v>
      </c>
      <c r="I2348" s="12">
        <v>76</v>
      </c>
      <c r="J2348" t="str">
        <f>VLOOKUP(B2348,Paramètres!$A$4:$C$11,3,FALSE)</f>
        <v>Grande couronne</v>
      </c>
      <c r="K2348" s="13">
        <f>IFERROR(H2348/G2348,"")</f>
        <v>6.3125</v>
      </c>
      <c r="L2348" s="14">
        <f>IFERROR(I2348/G2348,"")</f>
        <v>0.95</v>
      </c>
      <c r="M2348" s="11" t="str">
        <f>IF(K2348&gt;=Paramètres!$F$6,"Très forte",IF(K2348&gt;=Paramètres!$F$5,"Forte",IF(K2348&gt;=Paramètres!$F$4,"Modérée","Faible")))</f>
        <v>Faible</v>
      </c>
    </row>
    <row r="2349" spans="1:13">
      <c r="A2349" t="s">
        <v>115</v>
      </c>
      <c r="B2349" s="11">
        <v>94</v>
      </c>
      <c r="C2349" t="s">
        <v>116</v>
      </c>
      <c r="D2349" t="s">
        <v>22</v>
      </c>
      <c r="E2349" t="s">
        <v>165</v>
      </c>
      <c r="F2349" t="s">
        <v>88</v>
      </c>
      <c r="G2349" s="12">
        <v>160</v>
      </c>
      <c r="H2349" s="12">
        <v>1009</v>
      </c>
      <c r="I2349" s="12">
        <v>156</v>
      </c>
      <c r="J2349" t="str">
        <f>VLOOKUP(B2349,Paramètres!$A$4:$C$11,3,FALSE)</f>
        <v>Petite couronne</v>
      </c>
      <c r="K2349" s="13">
        <f>IFERROR(H2349/G2349,"")</f>
        <v>6.3062500000000004</v>
      </c>
      <c r="L2349" s="14">
        <f>IFERROR(I2349/G2349,"")</f>
        <v>0.97499999999999998</v>
      </c>
      <c r="M2349" s="11" t="str">
        <f>IF(K2349&gt;=Paramètres!$F$6,"Très forte",IF(K2349&gt;=Paramètres!$F$5,"Forte",IF(K2349&gt;=Paramètres!$F$4,"Modérée","Faible")))</f>
        <v>Faible</v>
      </c>
    </row>
    <row r="2350" spans="1:13">
      <c r="A2350" t="s">
        <v>134</v>
      </c>
      <c r="B2350" s="11">
        <v>78</v>
      </c>
      <c r="C2350" t="s">
        <v>135</v>
      </c>
      <c r="D2350" t="s">
        <v>22</v>
      </c>
      <c r="E2350" t="s">
        <v>627</v>
      </c>
      <c r="F2350" t="s">
        <v>88</v>
      </c>
      <c r="G2350" s="12">
        <v>65</v>
      </c>
      <c r="H2350" s="12">
        <v>409</v>
      </c>
      <c r="I2350" s="12">
        <v>59</v>
      </c>
      <c r="J2350" t="str">
        <f>VLOOKUP(B2350,Paramètres!$A$4:$C$11,3,FALSE)</f>
        <v>Grande couronne</v>
      </c>
      <c r="K2350" s="13">
        <f>IFERROR(H2350/G2350,"")</f>
        <v>6.2923076923076922</v>
      </c>
      <c r="L2350" s="14">
        <f>IFERROR(I2350/G2350,"")</f>
        <v>0.90769230769230769</v>
      </c>
      <c r="M2350" s="11" t="str">
        <f>IF(K2350&gt;=Paramètres!$F$6,"Très forte",IF(K2350&gt;=Paramètres!$F$5,"Forte",IF(K2350&gt;=Paramètres!$F$4,"Modérée","Faible")))</f>
        <v>Faible</v>
      </c>
    </row>
    <row r="2351" spans="1:13">
      <c r="A2351" t="s">
        <v>162</v>
      </c>
      <c r="B2351" s="11">
        <v>91</v>
      </c>
      <c r="C2351" t="s">
        <v>105</v>
      </c>
      <c r="D2351" t="s">
        <v>22</v>
      </c>
      <c r="E2351" t="s">
        <v>164</v>
      </c>
      <c r="F2351" t="s">
        <v>88</v>
      </c>
      <c r="G2351" s="12">
        <v>420</v>
      </c>
      <c r="H2351" s="12">
        <v>2629</v>
      </c>
      <c r="I2351" s="12">
        <v>417</v>
      </c>
      <c r="J2351" t="str">
        <f>VLOOKUP(B2351,Paramètres!$A$4:$C$11,3,FALSE)</f>
        <v>Grande couronne</v>
      </c>
      <c r="K2351" s="13">
        <f>IFERROR(H2351/G2351,"")</f>
        <v>6.2595238095238095</v>
      </c>
      <c r="L2351" s="14">
        <f>IFERROR(I2351/G2351,"")</f>
        <v>0.99285714285714288</v>
      </c>
      <c r="M2351" s="11" t="str">
        <f>IF(K2351&gt;=Paramètres!$F$6,"Très forte",IF(K2351&gt;=Paramètres!$F$5,"Forte",IF(K2351&gt;=Paramètres!$F$4,"Modérée","Faible")))</f>
        <v>Faible</v>
      </c>
    </row>
    <row r="2352" spans="1:13">
      <c r="A2352" t="s">
        <v>144</v>
      </c>
      <c r="B2352" s="11">
        <v>95</v>
      </c>
      <c r="C2352" t="s">
        <v>90</v>
      </c>
      <c r="D2352" t="s">
        <v>22</v>
      </c>
      <c r="E2352" t="s">
        <v>164</v>
      </c>
      <c r="F2352" t="s">
        <v>88</v>
      </c>
      <c r="G2352" s="12">
        <v>665</v>
      </c>
      <c r="H2352" s="12">
        <v>4157</v>
      </c>
      <c r="I2352" s="12">
        <v>671</v>
      </c>
      <c r="J2352" t="str">
        <f>VLOOKUP(B2352,Paramètres!$A$4:$C$11,3,FALSE)</f>
        <v>Grande couronne</v>
      </c>
      <c r="K2352" s="13">
        <f>IFERROR(H2352/G2352,"")</f>
        <v>6.2511278195488718</v>
      </c>
      <c r="L2352" s="14">
        <f>IFERROR(I2352/G2352,"")</f>
        <v>1.0090225563909774</v>
      </c>
      <c r="M2352" s="11" t="str">
        <f>IF(K2352&gt;=Paramètres!$F$6,"Très forte",IF(K2352&gt;=Paramètres!$F$5,"Forte",IF(K2352&gt;=Paramètres!$F$4,"Modérée","Faible")))</f>
        <v>Faible</v>
      </c>
    </row>
    <row r="2353" spans="1:13">
      <c r="A2353" t="s">
        <v>138</v>
      </c>
      <c r="B2353" s="11">
        <v>75</v>
      </c>
      <c r="C2353" t="s">
        <v>86</v>
      </c>
      <c r="D2353" t="s">
        <v>22</v>
      </c>
      <c r="E2353" t="s">
        <v>622</v>
      </c>
      <c r="F2353" t="s">
        <v>88</v>
      </c>
      <c r="G2353" s="12">
        <v>10</v>
      </c>
      <c r="H2353" s="12">
        <v>62</v>
      </c>
      <c r="I2353" s="12">
        <v>6</v>
      </c>
      <c r="J2353" t="str">
        <f>VLOOKUP(B2353,Paramètres!$A$4:$C$11,3,FALSE)</f>
        <v>Paris</v>
      </c>
      <c r="K2353" s="13">
        <f>IFERROR(H2353/G2353,"")</f>
        <v>6.2</v>
      </c>
      <c r="L2353" s="14">
        <f>IFERROR(I2353/G2353,"")</f>
        <v>0.6</v>
      </c>
      <c r="M2353" s="11" t="str">
        <f>IF(K2353&gt;=Paramètres!$F$6,"Très forte",IF(K2353&gt;=Paramètres!$F$5,"Forte",IF(K2353&gt;=Paramètres!$F$4,"Modérée","Faible")))</f>
        <v>Faible</v>
      </c>
    </row>
    <row r="2354" spans="1:13">
      <c r="A2354" t="s">
        <v>225</v>
      </c>
      <c r="B2354" s="11">
        <v>77</v>
      </c>
      <c r="C2354" t="s">
        <v>132</v>
      </c>
      <c r="D2354" t="s">
        <v>22</v>
      </c>
      <c r="E2354" t="s">
        <v>392</v>
      </c>
      <c r="F2354" t="s">
        <v>88</v>
      </c>
      <c r="G2354" s="12">
        <v>255</v>
      </c>
      <c r="H2354" s="12">
        <v>1578</v>
      </c>
      <c r="I2354" s="12">
        <v>254</v>
      </c>
      <c r="J2354" t="str">
        <f>VLOOKUP(B2354,Paramètres!$A$4:$C$11,3,FALSE)</f>
        <v>Grande couronne</v>
      </c>
      <c r="K2354" s="13">
        <f>IFERROR(H2354/G2354,"")</f>
        <v>6.1882352941176473</v>
      </c>
      <c r="L2354" s="14">
        <f>IFERROR(I2354/G2354,"")</f>
        <v>0.99607843137254903</v>
      </c>
      <c r="M2354" s="11" t="str">
        <f>IF(K2354&gt;=Paramètres!$F$6,"Très forte",IF(K2354&gt;=Paramètres!$F$5,"Forte",IF(K2354&gt;=Paramètres!$F$4,"Modérée","Faible")))</f>
        <v>Faible</v>
      </c>
    </row>
    <row r="2355" spans="1:13">
      <c r="A2355" t="s">
        <v>119</v>
      </c>
      <c r="B2355" s="11">
        <v>75</v>
      </c>
      <c r="C2355" t="s">
        <v>86</v>
      </c>
      <c r="D2355" t="s">
        <v>22</v>
      </c>
      <c r="E2355" t="s">
        <v>781</v>
      </c>
      <c r="F2355" t="s">
        <v>92</v>
      </c>
      <c r="G2355" s="12">
        <v>40</v>
      </c>
      <c r="H2355" s="12">
        <v>246</v>
      </c>
      <c r="I2355" s="12">
        <v>38</v>
      </c>
      <c r="J2355" t="str">
        <f>VLOOKUP(B2355,Paramètres!$A$4:$C$11,3,FALSE)</f>
        <v>Paris</v>
      </c>
      <c r="K2355" s="13">
        <f>IFERROR(H2355/G2355,"")</f>
        <v>6.15</v>
      </c>
      <c r="L2355" s="14">
        <f>IFERROR(I2355/G2355,"")</f>
        <v>0.95</v>
      </c>
      <c r="M2355" s="11" t="str">
        <f>IF(K2355&gt;=Paramètres!$F$6,"Très forte",IF(K2355&gt;=Paramètres!$F$5,"Forte",IF(K2355&gt;=Paramètres!$F$4,"Modérée","Faible")))</f>
        <v>Faible</v>
      </c>
    </row>
    <row r="2356" spans="1:13">
      <c r="A2356" t="s">
        <v>97</v>
      </c>
      <c r="B2356" s="11">
        <v>92</v>
      </c>
      <c r="C2356" t="s">
        <v>94</v>
      </c>
      <c r="D2356" t="s">
        <v>22</v>
      </c>
      <c r="E2356" t="s">
        <v>256</v>
      </c>
      <c r="F2356" t="s">
        <v>88</v>
      </c>
      <c r="G2356" s="12">
        <v>57</v>
      </c>
      <c r="H2356" s="12">
        <v>350</v>
      </c>
      <c r="I2356" s="12">
        <v>50</v>
      </c>
      <c r="J2356" t="str">
        <f>VLOOKUP(B2356,Paramètres!$A$4:$C$11,3,FALSE)</f>
        <v>Petite couronne</v>
      </c>
      <c r="K2356" s="13">
        <f>IFERROR(H2356/G2356,"")</f>
        <v>6.1403508771929829</v>
      </c>
      <c r="L2356" s="14">
        <f>IFERROR(I2356/G2356,"")</f>
        <v>0.8771929824561403</v>
      </c>
      <c r="M2356" s="11" t="str">
        <f>IF(K2356&gt;=Paramètres!$F$6,"Très forte",IF(K2356&gt;=Paramètres!$F$5,"Forte",IF(K2356&gt;=Paramètres!$F$4,"Modérée","Faible")))</f>
        <v>Faible</v>
      </c>
    </row>
    <row r="2357" spans="1:13">
      <c r="A2357" t="s">
        <v>97</v>
      </c>
      <c r="B2357" s="11">
        <v>92</v>
      </c>
      <c r="C2357" t="s">
        <v>94</v>
      </c>
      <c r="D2357" t="s">
        <v>22</v>
      </c>
      <c r="E2357" t="s">
        <v>546</v>
      </c>
      <c r="F2357" t="s">
        <v>88</v>
      </c>
      <c r="G2357" s="12">
        <v>188</v>
      </c>
      <c r="H2357" s="12">
        <v>1142</v>
      </c>
      <c r="I2357" s="12">
        <v>183</v>
      </c>
      <c r="J2357" t="str">
        <f>VLOOKUP(B2357,Paramètres!$A$4:$C$11,3,FALSE)</f>
        <v>Petite couronne</v>
      </c>
      <c r="K2357" s="13">
        <f>IFERROR(H2357/G2357,"")</f>
        <v>6.0744680851063828</v>
      </c>
      <c r="L2357" s="14">
        <f>IFERROR(I2357/G2357,"")</f>
        <v>0.97340425531914898</v>
      </c>
      <c r="M2357" s="11" t="str">
        <f>IF(K2357&gt;=Paramètres!$F$6,"Très forte",IF(K2357&gt;=Paramètres!$F$5,"Forte",IF(K2357&gt;=Paramètres!$F$4,"Modérée","Faible")))</f>
        <v>Faible</v>
      </c>
    </row>
    <row r="2358" spans="1:13">
      <c r="A2358" t="s">
        <v>115</v>
      </c>
      <c r="B2358" s="11">
        <v>94</v>
      </c>
      <c r="C2358" t="s">
        <v>116</v>
      </c>
      <c r="D2358" t="s">
        <v>22</v>
      </c>
      <c r="E2358" t="s">
        <v>274</v>
      </c>
      <c r="F2358" t="s">
        <v>88</v>
      </c>
      <c r="G2358" s="12">
        <v>240</v>
      </c>
      <c r="H2358" s="12">
        <v>1448</v>
      </c>
      <c r="I2358" s="12">
        <v>297</v>
      </c>
      <c r="J2358" t="str">
        <f>VLOOKUP(B2358,Paramètres!$A$4:$C$11,3,FALSE)</f>
        <v>Petite couronne</v>
      </c>
      <c r="K2358" s="13">
        <f>IFERROR(H2358/G2358,"")</f>
        <v>6.0333333333333332</v>
      </c>
      <c r="L2358" s="14">
        <f>IFERROR(I2358/G2358,"")</f>
        <v>1.2375</v>
      </c>
      <c r="M2358" s="11" t="str">
        <f>IF(K2358&gt;=Paramètres!$F$6,"Très forte",IF(K2358&gt;=Paramètres!$F$5,"Forte",IF(K2358&gt;=Paramètres!$F$4,"Modérée","Faible")))</f>
        <v>Faible</v>
      </c>
    </row>
    <row r="2359" spans="1:13">
      <c r="A2359" t="s">
        <v>144</v>
      </c>
      <c r="B2359" s="11">
        <v>95</v>
      </c>
      <c r="C2359" t="s">
        <v>90</v>
      </c>
      <c r="D2359" t="s">
        <v>22</v>
      </c>
      <c r="E2359" t="s">
        <v>638</v>
      </c>
      <c r="F2359" t="s">
        <v>88</v>
      </c>
      <c r="G2359" s="12">
        <v>40</v>
      </c>
      <c r="H2359" s="12">
        <v>241</v>
      </c>
      <c r="I2359" s="12">
        <v>38</v>
      </c>
      <c r="J2359" t="str">
        <f>VLOOKUP(B2359,Paramètres!$A$4:$C$11,3,FALSE)</f>
        <v>Grande couronne</v>
      </c>
      <c r="K2359" s="13">
        <f>IFERROR(H2359/G2359,"")</f>
        <v>6.0250000000000004</v>
      </c>
      <c r="L2359" s="14">
        <f>IFERROR(I2359/G2359,"")</f>
        <v>0.95</v>
      </c>
      <c r="M2359" s="11" t="str">
        <f>IF(K2359&gt;=Paramètres!$F$6,"Très forte",IF(K2359&gt;=Paramètres!$F$5,"Forte",IF(K2359&gt;=Paramètres!$F$4,"Modérée","Faible")))</f>
        <v>Faible</v>
      </c>
    </row>
    <row r="2360" spans="1:13">
      <c r="A2360" t="s">
        <v>152</v>
      </c>
      <c r="B2360" s="11">
        <v>75</v>
      </c>
      <c r="C2360" t="s">
        <v>86</v>
      </c>
      <c r="D2360" t="s">
        <v>22</v>
      </c>
      <c r="E2360" t="s">
        <v>308</v>
      </c>
      <c r="F2360" t="s">
        <v>88</v>
      </c>
      <c r="G2360" s="12">
        <v>255</v>
      </c>
      <c r="H2360" s="12">
        <v>1535</v>
      </c>
      <c r="I2360" s="12">
        <v>255</v>
      </c>
      <c r="J2360" t="str">
        <f>VLOOKUP(B2360,Paramètres!$A$4:$C$11,3,FALSE)</f>
        <v>Paris</v>
      </c>
      <c r="K2360" s="13">
        <f>IFERROR(H2360/G2360,"")</f>
        <v>6.0196078431372548</v>
      </c>
      <c r="L2360" s="14">
        <f>IFERROR(I2360/G2360,"")</f>
        <v>1</v>
      </c>
      <c r="M2360" s="11" t="str">
        <f>IF(K2360&gt;=Paramètres!$F$6,"Très forte",IF(K2360&gt;=Paramètres!$F$5,"Forte",IF(K2360&gt;=Paramètres!$F$4,"Modérée","Faible")))</f>
        <v>Faible</v>
      </c>
    </row>
    <row r="2361" spans="1:13">
      <c r="A2361" t="s">
        <v>127</v>
      </c>
      <c r="B2361" s="11">
        <v>75</v>
      </c>
      <c r="C2361" t="s">
        <v>86</v>
      </c>
      <c r="D2361" t="s">
        <v>22</v>
      </c>
      <c r="E2361" t="s">
        <v>413</v>
      </c>
      <c r="F2361" t="s">
        <v>88</v>
      </c>
      <c r="G2361" s="12">
        <v>100</v>
      </c>
      <c r="H2361" s="12">
        <v>601</v>
      </c>
      <c r="I2361" s="12">
        <v>99</v>
      </c>
      <c r="J2361" t="str">
        <f>VLOOKUP(B2361,Paramètres!$A$4:$C$11,3,FALSE)</f>
        <v>Paris</v>
      </c>
      <c r="K2361" s="13">
        <f>IFERROR(H2361/G2361,"")</f>
        <v>6.01</v>
      </c>
      <c r="L2361" s="14">
        <f>IFERROR(I2361/G2361,"")</f>
        <v>0.99</v>
      </c>
      <c r="M2361" s="11" t="str">
        <f>IF(K2361&gt;=Paramètres!$F$6,"Très forte",IF(K2361&gt;=Paramètres!$F$5,"Forte",IF(K2361&gt;=Paramètres!$F$4,"Modérée","Faible")))</f>
        <v>Faible</v>
      </c>
    </row>
    <row r="2362" spans="1:13">
      <c r="A2362" t="s">
        <v>152</v>
      </c>
      <c r="B2362" s="11">
        <v>75</v>
      </c>
      <c r="C2362" t="s">
        <v>86</v>
      </c>
      <c r="D2362" t="s">
        <v>22</v>
      </c>
      <c r="E2362" t="s">
        <v>464</v>
      </c>
      <c r="F2362" t="s">
        <v>88</v>
      </c>
      <c r="G2362" s="12">
        <v>250</v>
      </c>
      <c r="H2362" s="12">
        <v>1500</v>
      </c>
      <c r="I2362" s="12">
        <v>247</v>
      </c>
      <c r="J2362" t="str">
        <f>VLOOKUP(B2362,Paramètres!$A$4:$C$11,3,FALSE)</f>
        <v>Paris</v>
      </c>
      <c r="K2362" s="13">
        <f>IFERROR(H2362/G2362,"")</f>
        <v>6</v>
      </c>
      <c r="L2362" s="14">
        <f>IFERROR(I2362/G2362,"")</f>
        <v>0.98799999999999999</v>
      </c>
      <c r="M2362" s="11" t="str">
        <f>IF(K2362&gt;=Paramètres!$F$6,"Très forte",IF(K2362&gt;=Paramètres!$F$5,"Forte",IF(K2362&gt;=Paramètres!$F$4,"Modérée","Faible")))</f>
        <v>Faible</v>
      </c>
    </row>
    <row r="2363" spans="1:13">
      <c r="A2363" t="s">
        <v>108</v>
      </c>
      <c r="B2363" s="11">
        <v>93</v>
      </c>
      <c r="C2363" t="s">
        <v>100</v>
      </c>
      <c r="D2363" t="s">
        <v>22</v>
      </c>
      <c r="E2363" t="s">
        <v>473</v>
      </c>
      <c r="F2363" t="s">
        <v>88</v>
      </c>
      <c r="G2363" s="12">
        <v>70</v>
      </c>
      <c r="H2363" s="12">
        <v>413</v>
      </c>
      <c r="I2363" s="12">
        <v>66</v>
      </c>
      <c r="J2363" t="str">
        <f>VLOOKUP(B2363,Paramètres!$A$4:$C$11,3,FALSE)</f>
        <v>Petite couronne</v>
      </c>
      <c r="K2363" s="13">
        <f>IFERROR(H2363/G2363,"")</f>
        <v>5.9</v>
      </c>
      <c r="L2363" s="14">
        <f>IFERROR(I2363/G2363,"")</f>
        <v>0.94285714285714284</v>
      </c>
      <c r="M2363" s="11" t="str">
        <f>IF(K2363&gt;=Paramètres!$F$6,"Très forte",IF(K2363&gt;=Paramètres!$F$5,"Forte",IF(K2363&gt;=Paramètres!$F$4,"Modérée","Faible")))</f>
        <v>Faible</v>
      </c>
    </row>
    <row r="2364" spans="1:13">
      <c r="A2364" t="s">
        <v>422</v>
      </c>
      <c r="B2364" s="11">
        <v>91</v>
      </c>
      <c r="C2364" t="s">
        <v>105</v>
      </c>
      <c r="D2364" t="s">
        <v>22</v>
      </c>
      <c r="E2364" t="s">
        <v>540</v>
      </c>
      <c r="F2364" t="s">
        <v>88</v>
      </c>
      <c r="G2364" s="12">
        <v>140</v>
      </c>
      <c r="H2364" s="12">
        <v>826</v>
      </c>
      <c r="I2364" s="12">
        <v>135</v>
      </c>
      <c r="J2364" t="str">
        <f>VLOOKUP(B2364,Paramètres!$A$4:$C$11,3,FALSE)</f>
        <v>Grande couronne</v>
      </c>
      <c r="K2364" s="13">
        <f>IFERROR(H2364/G2364,"")</f>
        <v>5.9</v>
      </c>
      <c r="L2364" s="14">
        <f>IFERROR(I2364/G2364,"")</f>
        <v>0.9642857142857143</v>
      </c>
      <c r="M2364" s="11" t="str">
        <f>IF(K2364&gt;=Paramètres!$F$6,"Très forte",IF(K2364&gt;=Paramètres!$F$5,"Forte",IF(K2364&gt;=Paramètres!$F$4,"Modérée","Faible")))</f>
        <v>Faible</v>
      </c>
    </row>
    <row r="2365" spans="1:13">
      <c r="A2365" t="s">
        <v>97</v>
      </c>
      <c r="B2365" s="11">
        <v>92</v>
      </c>
      <c r="C2365" t="s">
        <v>94</v>
      </c>
      <c r="D2365" t="s">
        <v>22</v>
      </c>
      <c r="E2365" t="s">
        <v>547</v>
      </c>
      <c r="F2365" t="s">
        <v>88</v>
      </c>
      <c r="G2365" s="12">
        <v>29</v>
      </c>
      <c r="H2365" s="12">
        <v>170</v>
      </c>
      <c r="I2365" s="12">
        <v>29</v>
      </c>
      <c r="J2365" t="str">
        <f>VLOOKUP(B2365,Paramètres!$A$4:$C$11,3,FALSE)</f>
        <v>Petite couronne</v>
      </c>
      <c r="K2365" s="13">
        <f>IFERROR(H2365/G2365,"")</f>
        <v>5.8620689655172411</v>
      </c>
      <c r="L2365" s="14">
        <f>IFERROR(I2365/G2365,"")</f>
        <v>1</v>
      </c>
      <c r="M2365" s="11" t="str">
        <f>IF(K2365&gt;=Paramètres!$F$6,"Très forte",IF(K2365&gt;=Paramètres!$F$5,"Forte",IF(K2365&gt;=Paramètres!$F$4,"Modérée","Faible")))</f>
        <v>Faible</v>
      </c>
    </row>
    <row r="2366" spans="1:13">
      <c r="A2366" t="s">
        <v>152</v>
      </c>
      <c r="B2366" s="11">
        <v>75</v>
      </c>
      <c r="C2366" t="s">
        <v>86</v>
      </c>
      <c r="D2366" t="s">
        <v>22</v>
      </c>
      <c r="E2366" t="s">
        <v>165</v>
      </c>
      <c r="F2366" t="s">
        <v>88</v>
      </c>
      <c r="G2366" s="12">
        <v>570</v>
      </c>
      <c r="H2366" s="12">
        <v>3333</v>
      </c>
      <c r="I2366" s="12">
        <v>568</v>
      </c>
      <c r="J2366" t="str">
        <f>VLOOKUP(B2366,Paramètres!$A$4:$C$11,3,FALSE)</f>
        <v>Paris</v>
      </c>
      <c r="K2366" s="13">
        <f>IFERROR(H2366/G2366,"")</f>
        <v>5.8473684210526313</v>
      </c>
      <c r="L2366" s="14">
        <f>IFERROR(I2366/G2366,"")</f>
        <v>0.99649122807017543</v>
      </c>
      <c r="M2366" s="11" t="str">
        <f>IF(K2366&gt;=Paramètres!$F$6,"Très forte",IF(K2366&gt;=Paramètres!$F$5,"Forte",IF(K2366&gt;=Paramètres!$F$4,"Modérée","Faible")))</f>
        <v>Faible</v>
      </c>
    </row>
    <row r="2367" spans="1:13">
      <c r="A2367" t="s">
        <v>115</v>
      </c>
      <c r="B2367" s="11">
        <v>94</v>
      </c>
      <c r="C2367" t="s">
        <v>116</v>
      </c>
      <c r="D2367" t="s">
        <v>22</v>
      </c>
      <c r="E2367" t="s">
        <v>322</v>
      </c>
      <c r="F2367" t="s">
        <v>88</v>
      </c>
      <c r="G2367" s="12">
        <v>60</v>
      </c>
      <c r="H2367" s="12">
        <v>350</v>
      </c>
      <c r="I2367" s="12">
        <v>57</v>
      </c>
      <c r="J2367" t="str">
        <f>VLOOKUP(B2367,Paramètres!$A$4:$C$11,3,FALSE)</f>
        <v>Petite couronne</v>
      </c>
      <c r="K2367" s="13">
        <f>IFERROR(H2367/G2367,"")</f>
        <v>5.833333333333333</v>
      </c>
      <c r="L2367" s="14">
        <f>IFERROR(I2367/G2367,"")</f>
        <v>0.95</v>
      </c>
      <c r="M2367" s="11" t="str">
        <f>IF(K2367&gt;=Paramètres!$F$6,"Très forte",IF(K2367&gt;=Paramètres!$F$5,"Forte",IF(K2367&gt;=Paramètres!$F$4,"Modérée","Faible")))</f>
        <v>Faible</v>
      </c>
    </row>
    <row r="2368" spans="1:13">
      <c r="A2368" t="s">
        <v>190</v>
      </c>
      <c r="B2368" s="11">
        <v>75</v>
      </c>
      <c r="C2368" t="s">
        <v>86</v>
      </c>
      <c r="D2368" t="s">
        <v>22</v>
      </c>
      <c r="E2368" t="s">
        <v>192</v>
      </c>
      <c r="F2368" t="s">
        <v>88</v>
      </c>
      <c r="G2368" s="12">
        <v>100</v>
      </c>
      <c r="H2368" s="12">
        <v>582</v>
      </c>
      <c r="I2368" s="12">
        <v>89</v>
      </c>
      <c r="J2368" t="str">
        <f>VLOOKUP(B2368,Paramètres!$A$4:$C$11,3,FALSE)</f>
        <v>Paris</v>
      </c>
      <c r="K2368" s="13">
        <f>IFERROR(H2368/G2368,"")</f>
        <v>5.82</v>
      </c>
      <c r="L2368" s="14">
        <f>IFERROR(I2368/G2368,"")</f>
        <v>0.89</v>
      </c>
      <c r="M2368" s="11" t="str">
        <f>IF(K2368&gt;=Paramètres!$F$6,"Très forte",IF(K2368&gt;=Paramètres!$F$5,"Forte",IF(K2368&gt;=Paramètres!$F$4,"Modérée","Faible")))</f>
        <v>Faible</v>
      </c>
    </row>
    <row r="2369" spans="1:13">
      <c r="A2369" t="s">
        <v>108</v>
      </c>
      <c r="B2369" s="11">
        <v>93</v>
      </c>
      <c r="C2369" t="s">
        <v>100</v>
      </c>
      <c r="D2369" t="s">
        <v>22</v>
      </c>
      <c r="E2369" t="s">
        <v>327</v>
      </c>
      <c r="F2369" t="s">
        <v>92</v>
      </c>
      <c r="G2369" s="12">
        <v>200</v>
      </c>
      <c r="H2369" s="12">
        <v>1157</v>
      </c>
      <c r="I2369" s="12">
        <v>198</v>
      </c>
      <c r="J2369" t="str">
        <f>VLOOKUP(B2369,Paramètres!$A$4:$C$11,3,FALSE)</f>
        <v>Petite couronne</v>
      </c>
      <c r="K2369" s="13">
        <f>IFERROR(H2369/G2369,"")</f>
        <v>5.7850000000000001</v>
      </c>
      <c r="L2369" s="14">
        <f>IFERROR(I2369/G2369,"")</f>
        <v>0.99</v>
      </c>
      <c r="M2369" s="11" t="str">
        <f>IF(K2369&gt;=Paramètres!$F$6,"Très forte",IF(K2369&gt;=Paramètres!$F$5,"Forte",IF(K2369&gt;=Paramètres!$F$4,"Modérée","Faible")))</f>
        <v>Faible</v>
      </c>
    </row>
    <row r="2370" spans="1:13">
      <c r="A2370" t="s">
        <v>97</v>
      </c>
      <c r="B2370" s="11">
        <v>92</v>
      </c>
      <c r="C2370" t="s">
        <v>94</v>
      </c>
      <c r="D2370" t="s">
        <v>22</v>
      </c>
      <c r="E2370" t="s">
        <v>470</v>
      </c>
      <c r="F2370" t="s">
        <v>88</v>
      </c>
      <c r="G2370" s="12">
        <v>30</v>
      </c>
      <c r="H2370" s="12">
        <v>173</v>
      </c>
      <c r="I2370" s="12">
        <v>30</v>
      </c>
      <c r="J2370" t="str">
        <f>VLOOKUP(B2370,Paramètres!$A$4:$C$11,3,FALSE)</f>
        <v>Petite couronne</v>
      </c>
      <c r="K2370" s="13">
        <f>IFERROR(H2370/G2370,"")</f>
        <v>5.7666666666666666</v>
      </c>
      <c r="L2370" s="14">
        <f>IFERROR(I2370/G2370,"")</f>
        <v>1</v>
      </c>
      <c r="M2370" s="11" t="str">
        <f>IF(K2370&gt;=Paramètres!$F$6,"Très forte",IF(K2370&gt;=Paramètres!$F$5,"Forte",IF(K2370&gt;=Paramètres!$F$4,"Modérée","Faible")))</f>
        <v>Faible</v>
      </c>
    </row>
    <row r="2371" spans="1:13">
      <c r="A2371" t="s">
        <v>265</v>
      </c>
      <c r="B2371" s="11">
        <v>93</v>
      </c>
      <c r="C2371" t="s">
        <v>100</v>
      </c>
      <c r="D2371" t="s">
        <v>22</v>
      </c>
      <c r="E2371" t="s">
        <v>430</v>
      </c>
      <c r="F2371" t="s">
        <v>88</v>
      </c>
      <c r="G2371" s="12">
        <v>84</v>
      </c>
      <c r="H2371" s="12">
        <v>484</v>
      </c>
      <c r="I2371" s="12">
        <v>67</v>
      </c>
      <c r="J2371" t="str">
        <f>VLOOKUP(B2371,Paramètres!$A$4:$C$11,3,FALSE)</f>
        <v>Petite couronne</v>
      </c>
      <c r="K2371" s="13">
        <f>IFERROR(H2371/G2371,"")</f>
        <v>5.7619047619047619</v>
      </c>
      <c r="L2371" s="14">
        <f>IFERROR(I2371/G2371,"")</f>
        <v>0.79761904761904767</v>
      </c>
      <c r="M2371" s="11" t="str">
        <f>IF(K2371&gt;=Paramètres!$F$6,"Très forte",IF(K2371&gt;=Paramètres!$F$5,"Forte",IF(K2371&gt;=Paramètres!$F$4,"Modérée","Faible")))</f>
        <v>Faible</v>
      </c>
    </row>
    <row r="2372" spans="1:13">
      <c r="A2372" t="s">
        <v>108</v>
      </c>
      <c r="B2372" s="11">
        <v>93</v>
      </c>
      <c r="C2372" t="s">
        <v>100</v>
      </c>
      <c r="D2372" t="s">
        <v>22</v>
      </c>
      <c r="E2372" t="s">
        <v>648</v>
      </c>
      <c r="F2372" t="s">
        <v>88</v>
      </c>
      <c r="G2372" s="12">
        <v>65</v>
      </c>
      <c r="H2372" s="12">
        <v>373</v>
      </c>
      <c r="I2372" s="12">
        <v>63</v>
      </c>
      <c r="J2372" t="str">
        <f>VLOOKUP(B2372,Paramètres!$A$4:$C$11,3,FALSE)</f>
        <v>Petite couronne</v>
      </c>
      <c r="K2372" s="13">
        <f>IFERROR(H2372/G2372,"")</f>
        <v>5.7384615384615385</v>
      </c>
      <c r="L2372" s="14">
        <f>IFERROR(I2372/G2372,"")</f>
        <v>0.96923076923076923</v>
      </c>
      <c r="M2372" s="11" t="str">
        <f>IF(K2372&gt;=Paramètres!$F$6,"Très forte",IF(K2372&gt;=Paramètres!$F$5,"Forte",IF(K2372&gt;=Paramètres!$F$4,"Modérée","Faible")))</f>
        <v>Faible</v>
      </c>
    </row>
    <row r="2373" spans="1:13">
      <c r="A2373" t="s">
        <v>108</v>
      </c>
      <c r="B2373" s="11">
        <v>93</v>
      </c>
      <c r="C2373" t="s">
        <v>100</v>
      </c>
      <c r="D2373" t="s">
        <v>22</v>
      </c>
      <c r="E2373" t="s">
        <v>337</v>
      </c>
      <c r="F2373" t="s">
        <v>88</v>
      </c>
      <c r="G2373" s="12">
        <v>32</v>
      </c>
      <c r="H2373" s="12">
        <v>182</v>
      </c>
      <c r="I2373" s="12">
        <v>27</v>
      </c>
      <c r="J2373" t="str">
        <f>VLOOKUP(B2373,Paramètres!$A$4:$C$11,3,FALSE)</f>
        <v>Petite couronne</v>
      </c>
      <c r="K2373" s="13">
        <f>IFERROR(H2373/G2373,"")</f>
        <v>5.6875</v>
      </c>
      <c r="L2373" s="14">
        <f>IFERROR(I2373/G2373,"")</f>
        <v>0.84375</v>
      </c>
      <c r="M2373" s="11" t="str">
        <f>IF(K2373&gt;=Paramètres!$F$6,"Très forte",IF(K2373&gt;=Paramètres!$F$5,"Forte",IF(K2373&gt;=Paramètres!$F$4,"Modérée","Faible")))</f>
        <v>Faible</v>
      </c>
    </row>
    <row r="2374" spans="1:13">
      <c r="A2374" t="s">
        <v>108</v>
      </c>
      <c r="B2374" s="11">
        <v>93</v>
      </c>
      <c r="C2374" t="s">
        <v>100</v>
      </c>
      <c r="D2374" t="s">
        <v>22</v>
      </c>
      <c r="E2374" t="s">
        <v>336</v>
      </c>
      <c r="F2374" t="s">
        <v>88</v>
      </c>
      <c r="G2374" s="12">
        <v>25</v>
      </c>
      <c r="H2374" s="12">
        <v>142</v>
      </c>
      <c r="I2374" s="12">
        <v>22</v>
      </c>
      <c r="J2374" t="str">
        <f>VLOOKUP(B2374,Paramètres!$A$4:$C$11,3,FALSE)</f>
        <v>Petite couronne</v>
      </c>
      <c r="K2374" s="13">
        <f>IFERROR(H2374/G2374,"")</f>
        <v>5.68</v>
      </c>
      <c r="L2374" s="14">
        <f>IFERROR(I2374/G2374,"")</f>
        <v>0.88</v>
      </c>
      <c r="M2374" s="11" t="str">
        <f>IF(K2374&gt;=Paramètres!$F$6,"Très forte",IF(K2374&gt;=Paramètres!$F$5,"Forte",IF(K2374&gt;=Paramètres!$F$4,"Modérée","Faible")))</f>
        <v>Faible</v>
      </c>
    </row>
    <row r="2375" spans="1:13">
      <c r="A2375" t="s">
        <v>97</v>
      </c>
      <c r="B2375" s="11">
        <v>92</v>
      </c>
      <c r="C2375" t="s">
        <v>94</v>
      </c>
      <c r="D2375" t="s">
        <v>22</v>
      </c>
      <c r="E2375" t="s">
        <v>548</v>
      </c>
      <c r="F2375" t="s">
        <v>88</v>
      </c>
      <c r="G2375" s="12">
        <v>34</v>
      </c>
      <c r="H2375" s="12">
        <v>193</v>
      </c>
      <c r="I2375" s="12">
        <v>31</v>
      </c>
      <c r="J2375" t="str">
        <f>VLOOKUP(B2375,Paramètres!$A$4:$C$11,3,FALSE)</f>
        <v>Petite couronne</v>
      </c>
      <c r="K2375" s="13">
        <f>IFERROR(H2375/G2375,"")</f>
        <v>5.6764705882352944</v>
      </c>
      <c r="L2375" s="14">
        <f>IFERROR(I2375/G2375,"")</f>
        <v>0.91176470588235292</v>
      </c>
      <c r="M2375" s="11" t="str">
        <f>IF(K2375&gt;=Paramètres!$F$6,"Très forte",IF(K2375&gt;=Paramètres!$F$5,"Forte",IF(K2375&gt;=Paramètres!$F$4,"Modérée","Faible")))</f>
        <v>Faible</v>
      </c>
    </row>
    <row r="2376" spans="1:13">
      <c r="A2376" t="s">
        <v>138</v>
      </c>
      <c r="B2376" s="11">
        <v>75</v>
      </c>
      <c r="C2376" t="s">
        <v>86</v>
      </c>
      <c r="D2376" t="s">
        <v>22</v>
      </c>
      <c r="E2376" t="s">
        <v>680</v>
      </c>
      <c r="F2376" t="s">
        <v>92</v>
      </c>
      <c r="G2376" s="12">
        <v>320</v>
      </c>
      <c r="H2376" s="12">
        <v>1803</v>
      </c>
      <c r="I2376" s="12">
        <v>318</v>
      </c>
      <c r="J2376" t="str">
        <f>VLOOKUP(B2376,Paramètres!$A$4:$C$11,3,FALSE)</f>
        <v>Paris</v>
      </c>
      <c r="K2376" s="13">
        <f>IFERROR(H2376/G2376,"")</f>
        <v>5.6343750000000004</v>
      </c>
      <c r="L2376" s="14">
        <f>IFERROR(I2376/G2376,"")</f>
        <v>0.99375000000000002</v>
      </c>
      <c r="M2376" s="11" t="str">
        <f>IF(K2376&gt;=Paramètres!$F$6,"Très forte",IF(K2376&gt;=Paramètres!$F$5,"Forte",IF(K2376&gt;=Paramètres!$F$4,"Modérée","Faible")))</f>
        <v>Faible</v>
      </c>
    </row>
    <row r="2377" spans="1:13">
      <c r="A2377" t="s">
        <v>190</v>
      </c>
      <c r="B2377" s="11">
        <v>75</v>
      </c>
      <c r="C2377" t="s">
        <v>86</v>
      </c>
      <c r="D2377" t="s">
        <v>22</v>
      </c>
      <c r="E2377" t="s">
        <v>191</v>
      </c>
      <c r="F2377" t="s">
        <v>88</v>
      </c>
      <c r="G2377" s="12">
        <v>100</v>
      </c>
      <c r="H2377" s="12">
        <v>563</v>
      </c>
      <c r="I2377" s="12">
        <v>91</v>
      </c>
      <c r="J2377" t="str">
        <f>VLOOKUP(B2377,Paramètres!$A$4:$C$11,3,FALSE)</f>
        <v>Paris</v>
      </c>
      <c r="K2377" s="13">
        <f>IFERROR(H2377/G2377,"")</f>
        <v>5.63</v>
      </c>
      <c r="L2377" s="14">
        <f>IFERROR(I2377/G2377,"")</f>
        <v>0.91</v>
      </c>
      <c r="M2377" s="11" t="str">
        <f>IF(K2377&gt;=Paramètres!$F$6,"Très forte",IF(K2377&gt;=Paramètres!$F$5,"Forte",IF(K2377&gt;=Paramètres!$F$4,"Modérée","Faible")))</f>
        <v>Faible</v>
      </c>
    </row>
    <row r="2378" spans="1:13">
      <c r="A2378" t="s">
        <v>127</v>
      </c>
      <c r="B2378" s="11">
        <v>75</v>
      </c>
      <c r="C2378" t="s">
        <v>86</v>
      </c>
      <c r="D2378" t="s">
        <v>22</v>
      </c>
      <c r="E2378" t="s">
        <v>408</v>
      </c>
      <c r="F2378" t="s">
        <v>88</v>
      </c>
      <c r="G2378" s="12">
        <v>5</v>
      </c>
      <c r="H2378" s="12">
        <v>28</v>
      </c>
      <c r="I2378" s="12">
        <v>5</v>
      </c>
      <c r="J2378" t="str">
        <f>VLOOKUP(B2378,Paramètres!$A$4:$C$11,3,FALSE)</f>
        <v>Paris</v>
      </c>
      <c r="K2378" s="13">
        <f>IFERROR(H2378/G2378,"")</f>
        <v>5.6</v>
      </c>
      <c r="L2378" s="14">
        <f>IFERROR(I2378/G2378,"")</f>
        <v>1</v>
      </c>
      <c r="M2378" s="11" t="str">
        <f>IF(K2378&gt;=Paramètres!$F$6,"Très forte",IF(K2378&gt;=Paramètres!$F$5,"Forte",IF(K2378&gt;=Paramètres!$F$4,"Modérée","Faible")))</f>
        <v>Faible</v>
      </c>
    </row>
    <row r="2379" spans="1:13">
      <c r="A2379" t="s">
        <v>119</v>
      </c>
      <c r="B2379" s="11">
        <v>75</v>
      </c>
      <c r="C2379" t="s">
        <v>86</v>
      </c>
      <c r="D2379" t="s">
        <v>22</v>
      </c>
      <c r="E2379" t="s">
        <v>255</v>
      </c>
      <c r="F2379" t="s">
        <v>88</v>
      </c>
      <c r="G2379" s="12">
        <v>165</v>
      </c>
      <c r="H2379" s="12">
        <v>919</v>
      </c>
      <c r="I2379" s="12">
        <v>164</v>
      </c>
      <c r="J2379" t="str">
        <f>VLOOKUP(B2379,Paramètres!$A$4:$C$11,3,FALSE)</f>
        <v>Paris</v>
      </c>
      <c r="K2379" s="13">
        <f>IFERROR(H2379/G2379,"")</f>
        <v>5.5696969696969694</v>
      </c>
      <c r="L2379" s="14">
        <f>IFERROR(I2379/G2379,"")</f>
        <v>0.9939393939393939</v>
      </c>
      <c r="M2379" s="11" t="str">
        <f>IF(K2379&gt;=Paramètres!$F$6,"Très forte",IF(K2379&gt;=Paramètres!$F$5,"Forte",IF(K2379&gt;=Paramètres!$F$4,"Modérée","Faible")))</f>
        <v>Faible</v>
      </c>
    </row>
    <row r="2380" spans="1:13">
      <c r="A2380" t="s">
        <v>138</v>
      </c>
      <c r="B2380" s="11">
        <v>75</v>
      </c>
      <c r="C2380" t="s">
        <v>86</v>
      </c>
      <c r="D2380" t="s">
        <v>22</v>
      </c>
      <c r="E2380" t="s">
        <v>185</v>
      </c>
      <c r="F2380" t="s">
        <v>88</v>
      </c>
      <c r="G2380" s="12">
        <v>30</v>
      </c>
      <c r="H2380" s="12">
        <v>165</v>
      </c>
      <c r="I2380" s="12">
        <v>26</v>
      </c>
      <c r="J2380" t="str">
        <f>VLOOKUP(B2380,Paramètres!$A$4:$C$11,3,FALSE)</f>
        <v>Paris</v>
      </c>
      <c r="K2380" s="13">
        <f>IFERROR(H2380/G2380,"")</f>
        <v>5.5</v>
      </c>
      <c r="L2380" s="14">
        <f>IFERROR(I2380/G2380,"")</f>
        <v>0.8666666666666667</v>
      </c>
      <c r="M2380" s="11" t="str">
        <f>IF(K2380&gt;=Paramètres!$F$6,"Très forte",IF(K2380&gt;=Paramètres!$F$5,"Forte",IF(K2380&gt;=Paramètres!$F$4,"Modérée","Faible")))</f>
        <v>Faible</v>
      </c>
    </row>
    <row r="2381" spans="1:13">
      <c r="A2381" t="s">
        <v>97</v>
      </c>
      <c r="B2381" s="11">
        <v>92</v>
      </c>
      <c r="C2381" t="s">
        <v>94</v>
      </c>
      <c r="D2381" t="s">
        <v>22</v>
      </c>
      <c r="E2381" t="s">
        <v>577</v>
      </c>
      <c r="F2381" t="s">
        <v>88</v>
      </c>
      <c r="G2381" s="12">
        <v>75</v>
      </c>
      <c r="H2381" s="12">
        <v>411</v>
      </c>
      <c r="I2381" s="12">
        <v>73</v>
      </c>
      <c r="J2381" t="str">
        <f>VLOOKUP(B2381,Paramètres!$A$4:$C$11,3,FALSE)</f>
        <v>Petite couronne</v>
      </c>
      <c r="K2381" s="13">
        <f>IFERROR(H2381/G2381,"")</f>
        <v>5.48</v>
      </c>
      <c r="L2381" s="14">
        <f>IFERROR(I2381/G2381,"")</f>
        <v>0.97333333333333338</v>
      </c>
      <c r="M2381" s="11" t="str">
        <f>IF(K2381&gt;=Paramètres!$F$6,"Très forte",IF(K2381&gt;=Paramètres!$F$5,"Forte",IF(K2381&gt;=Paramètres!$F$4,"Modérée","Faible")))</f>
        <v>Faible</v>
      </c>
    </row>
    <row r="2382" spans="1:13">
      <c r="A2382" t="s">
        <v>108</v>
      </c>
      <c r="B2382" s="11">
        <v>93</v>
      </c>
      <c r="C2382" t="s">
        <v>100</v>
      </c>
      <c r="D2382" t="s">
        <v>22</v>
      </c>
      <c r="E2382" t="s">
        <v>355</v>
      </c>
      <c r="F2382" t="s">
        <v>88</v>
      </c>
      <c r="G2382" s="12">
        <v>75</v>
      </c>
      <c r="H2382" s="12">
        <v>410</v>
      </c>
      <c r="I2382" s="12">
        <v>84</v>
      </c>
      <c r="J2382" t="str">
        <f>VLOOKUP(B2382,Paramètres!$A$4:$C$11,3,FALSE)</f>
        <v>Petite couronne</v>
      </c>
      <c r="K2382" s="13">
        <f>IFERROR(H2382/G2382,"")</f>
        <v>5.4666666666666668</v>
      </c>
      <c r="L2382" s="14">
        <f>IFERROR(I2382/G2382,"")</f>
        <v>1.1200000000000001</v>
      </c>
      <c r="M2382" s="11" t="str">
        <f>IF(K2382&gt;=Paramètres!$F$6,"Très forte",IF(K2382&gt;=Paramètres!$F$5,"Forte",IF(K2382&gt;=Paramètres!$F$4,"Modérée","Faible")))</f>
        <v>Faible</v>
      </c>
    </row>
    <row r="2383" spans="1:13">
      <c r="A2383" t="s">
        <v>131</v>
      </c>
      <c r="B2383" s="11">
        <v>77</v>
      </c>
      <c r="C2383" t="s">
        <v>132</v>
      </c>
      <c r="D2383" t="s">
        <v>22</v>
      </c>
      <c r="E2383" t="s">
        <v>296</v>
      </c>
      <c r="F2383" t="s">
        <v>88</v>
      </c>
      <c r="G2383" s="12">
        <v>175</v>
      </c>
      <c r="H2383" s="12">
        <v>948</v>
      </c>
      <c r="I2383" s="12">
        <v>172</v>
      </c>
      <c r="J2383" t="str">
        <f>VLOOKUP(B2383,Paramètres!$A$4:$C$11,3,FALSE)</f>
        <v>Grande couronne</v>
      </c>
      <c r="K2383" s="13">
        <f>IFERROR(H2383/G2383,"")</f>
        <v>5.4171428571428573</v>
      </c>
      <c r="L2383" s="14">
        <f>IFERROR(I2383/G2383,"")</f>
        <v>0.98285714285714287</v>
      </c>
      <c r="M2383" s="11" t="str">
        <f>IF(K2383&gt;=Paramètres!$F$6,"Très forte",IF(K2383&gt;=Paramètres!$F$5,"Forte",IF(K2383&gt;=Paramètres!$F$4,"Modérée","Faible")))</f>
        <v>Faible</v>
      </c>
    </row>
    <row r="2384" spans="1:13">
      <c r="A2384" t="s">
        <v>127</v>
      </c>
      <c r="B2384" s="11">
        <v>75</v>
      </c>
      <c r="C2384" t="s">
        <v>86</v>
      </c>
      <c r="D2384" t="s">
        <v>22</v>
      </c>
      <c r="E2384" t="s">
        <v>371</v>
      </c>
      <c r="F2384" t="s">
        <v>88</v>
      </c>
      <c r="G2384" s="12">
        <v>70</v>
      </c>
      <c r="H2384" s="12">
        <v>379</v>
      </c>
      <c r="I2384" s="12">
        <v>69</v>
      </c>
      <c r="J2384" t="str">
        <f>VLOOKUP(B2384,Paramètres!$A$4:$C$11,3,FALSE)</f>
        <v>Paris</v>
      </c>
      <c r="K2384" s="13">
        <f>IFERROR(H2384/G2384,"")</f>
        <v>5.4142857142857146</v>
      </c>
      <c r="L2384" s="14">
        <f>IFERROR(I2384/G2384,"")</f>
        <v>0.98571428571428577</v>
      </c>
      <c r="M2384" s="11" t="str">
        <f>IF(K2384&gt;=Paramètres!$F$6,"Très forte",IF(K2384&gt;=Paramètres!$F$5,"Forte",IF(K2384&gt;=Paramètres!$F$4,"Modérée","Faible")))</f>
        <v>Faible</v>
      </c>
    </row>
    <row r="2385" spans="1:13">
      <c r="A2385" t="s">
        <v>562</v>
      </c>
      <c r="B2385" s="11">
        <v>92</v>
      </c>
      <c r="C2385" t="s">
        <v>94</v>
      </c>
      <c r="D2385" t="s">
        <v>22</v>
      </c>
      <c r="E2385" t="s">
        <v>563</v>
      </c>
      <c r="F2385" t="s">
        <v>92</v>
      </c>
      <c r="G2385" s="12">
        <v>180</v>
      </c>
      <c r="H2385" s="12">
        <v>973</v>
      </c>
      <c r="I2385" s="12">
        <v>177</v>
      </c>
      <c r="J2385" t="str">
        <f>VLOOKUP(B2385,Paramètres!$A$4:$C$11,3,FALSE)</f>
        <v>Petite couronne</v>
      </c>
      <c r="K2385" s="13">
        <f>IFERROR(H2385/G2385,"")</f>
        <v>5.4055555555555559</v>
      </c>
      <c r="L2385" s="14">
        <f>IFERROR(I2385/G2385,"")</f>
        <v>0.98333333333333328</v>
      </c>
      <c r="M2385" s="11" t="str">
        <f>IF(K2385&gt;=Paramètres!$F$6,"Très forte",IF(K2385&gt;=Paramètres!$F$5,"Forte",IF(K2385&gt;=Paramètres!$F$4,"Modérée","Faible")))</f>
        <v>Faible</v>
      </c>
    </row>
    <row r="2386" spans="1:13">
      <c r="A2386" t="s">
        <v>257</v>
      </c>
      <c r="B2386" s="11">
        <v>92</v>
      </c>
      <c r="C2386" t="s">
        <v>94</v>
      </c>
      <c r="D2386" t="s">
        <v>22</v>
      </c>
      <c r="E2386" t="s">
        <v>258</v>
      </c>
      <c r="F2386" t="s">
        <v>92</v>
      </c>
      <c r="G2386" s="12">
        <v>20</v>
      </c>
      <c r="H2386" s="12">
        <v>108</v>
      </c>
      <c r="I2386" s="12">
        <v>21</v>
      </c>
      <c r="J2386" t="str">
        <f>VLOOKUP(B2386,Paramètres!$A$4:$C$11,3,FALSE)</f>
        <v>Petite couronne</v>
      </c>
      <c r="K2386" s="13">
        <f>IFERROR(H2386/G2386,"")</f>
        <v>5.4</v>
      </c>
      <c r="L2386" s="14">
        <f>IFERROR(I2386/G2386,"")</f>
        <v>1.05</v>
      </c>
      <c r="M2386" s="11" t="str">
        <f>IF(K2386&gt;=Paramètres!$F$6,"Très forte",IF(K2386&gt;=Paramètres!$F$5,"Forte",IF(K2386&gt;=Paramètres!$F$4,"Modérée","Faible")))</f>
        <v>Faible</v>
      </c>
    </row>
    <row r="2387" spans="1:13">
      <c r="A2387" t="s">
        <v>97</v>
      </c>
      <c r="B2387" s="11">
        <v>92</v>
      </c>
      <c r="C2387" t="s">
        <v>94</v>
      </c>
      <c r="D2387" t="s">
        <v>22</v>
      </c>
      <c r="E2387" t="s">
        <v>744</v>
      </c>
      <c r="F2387" t="s">
        <v>88</v>
      </c>
      <c r="G2387" s="12">
        <v>20</v>
      </c>
      <c r="H2387" s="12">
        <v>108</v>
      </c>
      <c r="I2387" s="12">
        <v>20</v>
      </c>
      <c r="J2387" t="str">
        <f>VLOOKUP(B2387,Paramètres!$A$4:$C$11,3,FALSE)</f>
        <v>Petite couronne</v>
      </c>
      <c r="K2387" s="13">
        <f>IFERROR(H2387/G2387,"")</f>
        <v>5.4</v>
      </c>
      <c r="L2387" s="14">
        <f>IFERROR(I2387/G2387,"")</f>
        <v>1</v>
      </c>
      <c r="M2387" s="11" t="str">
        <f>IF(K2387&gt;=Paramètres!$F$6,"Très forte",IF(K2387&gt;=Paramètres!$F$5,"Forte",IF(K2387&gt;=Paramètres!$F$4,"Modérée","Faible")))</f>
        <v>Faible</v>
      </c>
    </row>
    <row r="2388" spans="1:13">
      <c r="A2388" t="s">
        <v>190</v>
      </c>
      <c r="B2388" s="11">
        <v>75</v>
      </c>
      <c r="C2388" t="s">
        <v>86</v>
      </c>
      <c r="D2388" t="s">
        <v>22</v>
      </c>
      <c r="E2388" t="s">
        <v>308</v>
      </c>
      <c r="F2388" t="s">
        <v>88</v>
      </c>
      <c r="G2388" s="12">
        <v>50</v>
      </c>
      <c r="H2388" s="12">
        <v>268</v>
      </c>
      <c r="I2388" s="12">
        <v>35</v>
      </c>
      <c r="J2388" t="str">
        <f>VLOOKUP(B2388,Paramètres!$A$4:$C$11,3,FALSE)</f>
        <v>Paris</v>
      </c>
      <c r="K2388" s="13">
        <f>IFERROR(H2388/G2388,"")</f>
        <v>5.36</v>
      </c>
      <c r="L2388" s="14">
        <f>IFERROR(I2388/G2388,"")</f>
        <v>0.7</v>
      </c>
      <c r="M2388" s="11" t="str">
        <f>IF(K2388&gt;=Paramètres!$F$6,"Très forte",IF(K2388&gt;=Paramètres!$F$5,"Forte",IF(K2388&gt;=Paramètres!$F$4,"Modérée","Faible")))</f>
        <v>Faible</v>
      </c>
    </row>
    <row r="2389" spans="1:13">
      <c r="A2389" t="s">
        <v>108</v>
      </c>
      <c r="B2389" s="11">
        <v>93</v>
      </c>
      <c r="C2389" t="s">
        <v>100</v>
      </c>
      <c r="D2389" t="s">
        <v>22</v>
      </c>
      <c r="E2389" t="s">
        <v>308</v>
      </c>
      <c r="F2389" t="s">
        <v>88</v>
      </c>
      <c r="G2389" s="12">
        <v>65</v>
      </c>
      <c r="H2389" s="12">
        <v>348</v>
      </c>
      <c r="I2389" s="12">
        <v>60</v>
      </c>
      <c r="J2389" t="str">
        <f>VLOOKUP(B2389,Paramètres!$A$4:$C$11,3,FALSE)</f>
        <v>Petite couronne</v>
      </c>
      <c r="K2389" s="13">
        <f>IFERROR(H2389/G2389,"")</f>
        <v>5.3538461538461535</v>
      </c>
      <c r="L2389" s="14">
        <f>IFERROR(I2389/G2389,"")</f>
        <v>0.92307692307692313</v>
      </c>
      <c r="M2389" s="11" t="str">
        <f>IF(K2389&gt;=Paramètres!$F$6,"Très forte",IF(K2389&gt;=Paramètres!$F$5,"Forte",IF(K2389&gt;=Paramètres!$F$4,"Modérée","Faible")))</f>
        <v>Faible</v>
      </c>
    </row>
    <row r="2390" spans="1:13">
      <c r="A2390" t="s">
        <v>225</v>
      </c>
      <c r="B2390" s="11">
        <v>77</v>
      </c>
      <c r="C2390" t="s">
        <v>132</v>
      </c>
      <c r="D2390" t="s">
        <v>22</v>
      </c>
      <c r="E2390" t="s">
        <v>164</v>
      </c>
      <c r="F2390" t="s">
        <v>88</v>
      </c>
      <c r="G2390" s="12">
        <v>530</v>
      </c>
      <c r="H2390" s="12">
        <v>2826</v>
      </c>
      <c r="I2390" s="12">
        <v>529</v>
      </c>
      <c r="J2390" t="str">
        <f>VLOOKUP(B2390,Paramètres!$A$4:$C$11,3,FALSE)</f>
        <v>Grande couronne</v>
      </c>
      <c r="K2390" s="13">
        <f>IFERROR(H2390/G2390,"")</f>
        <v>5.3320754716981131</v>
      </c>
      <c r="L2390" s="14">
        <f>IFERROR(I2390/G2390,"")</f>
        <v>0.99811320754716981</v>
      </c>
      <c r="M2390" s="11" t="str">
        <f>IF(K2390&gt;=Paramètres!$F$6,"Très forte",IF(K2390&gt;=Paramètres!$F$5,"Forte",IF(K2390&gt;=Paramètres!$F$4,"Modérée","Faible")))</f>
        <v>Faible</v>
      </c>
    </row>
    <row r="2391" spans="1:13">
      <c r="A2391" t="s">
        <v>138</v>
      </c>
      <c r="B2391" s="11">
        <v>75</v>
      </c>
      <c r="C2391" t="s">
        <v>86</v>
      </c>
      <c r="D2391" t="s">
        <v>22</v>
      </c>
      <c r="E2391" t="s">
        <v>718</v>
      </c>
      <c r="F2391" t="s">
        <v>88</v>
      </c>
      <c r="G2391" s="12">
        <v>10</v>
      </c>
      <c r="H2391" s="12">
        <v>53</v>
      </c>
      <c r="I2391" s="12">
        <v>9</v>
      </c>
      <c r="J2391" t="str">
        <f>VLOOKUP(B2391,Paramètres!$A$4:$C$11,3,FALSE)</f>
        <v>Paris</v>
      </c>
      <c r="K2391" s="13">
        <f>IFERROR(H2391/G2391,"")</f>
        <v>5.3</v>
      </c>
      <c r="L2391" s="14">
        <f>IFERROR(I2391/G2391,"")</f>
        <v>0.9</v>
      </c>
      <c r="M2391" s="11" t="str">
        <f>IF(K2391&gt;=Paramètres!$F$6,"Très forte",IF(K2391&gt;=Paramètres!$F$5,"Forte",IF(K2391&gt;=Paramètres!$F$4,"Modérée","Faible")))</f>
        <v>Faible</v>
      </c>
    </row>
    <row r="2392" spans="1:13">
      <c r="A2392" t="s">
        <v>134</v>
      </c>
      <c r="B2392" s="11">
        <v>78</v>
      </c>
      <c r="C2392" t="s">
        <v>135</v>
      </c>
      <c r="D2392" t="s">
        <v>22</v>
      </c>
      <c r="E2392" t="s">
        <v>648</v>
      </c>
      <c r="F2392" t="s">
        <v>88</v>
      </c>
      <c r="G2392" s="12">
        <v>62</v>
      </c>
      <c r="H2392" s="12">
        <v>326</v>
      </c>
      <c r="I2392" s="12">
        <v>62</v>
      </c>
      <c r="J2392" t="str">
        <f>VLOOKUP(B2392,Paramètres!$A$4:$C$11,3,FALSE)</f>
        <v>Grande couronne</v>
      </c>
      <c r="K2392" s="13">
        <f>IFERROR(H2392/G2392,"")</f>
        <v>5.258064516129032</v>
      </c>
      <c r="L2392" s="14">
        <f>IFERROR(I2392/G2392,"")</f>
        <v>1</v>
      </c>
      <c r="M2392" s="11" t="str">
        <f>IF(K2392&gt;=Paramètres!$F$6,"Très forte",IF(K2392&gt;=Paramètres!$F$5,"Forte",IF(K2392&gt;=Paramètres!$F$4,"Modérée","Faible")))</f>
        <v>Faible</v>
      </c>
    </row>
    <row r="2393" spans="1:13">
      <c r="A2393" t="s">
        <v>110</v>
      </c>
      <c r="B2393" s="11">
        <v>75</v>
      </c>
      <c r="C2393" t="s">
        <v>86</v>
      </c>
      <c r="D2393" t="s">
        <v>22</v>
      </c>
      <c r="E2393" t="s">
        <v>764</v>
      </c>
      <c r="F2393" t="s">
        <v>88</v>
      </c>
      <c r="G2393" s="12">
        <v>10</v>
      </c>
      <c r="H2393" s="12">
        <v>52</v>
      </c>
      <c r="I2393" s="12">
        <v>10</v>
      </c>
      <c r="J2393" t="str">
        <f>VLOOKUP(B2393,Paramètres!$A$4:$C$11,3,FALSE)</f>
        <v>Paris</v>
      </c>
      <c r="K2393" s="13">
        <f>IFERROR(H2393/G2393,"")</f>
        <v>5.2</v>
      </c>
      <c r="L2393" s="14">
        <f>IFERROR(I2393/G2393,"")</f>
        <v>1</v>
      </c>
      <c r="M2393" s="11" t="str">
        <f>IF(K2393&gt;=Paramètres!$F$6,"Très forte",IF(K2393&gt;=Paramètres!$F$5,"Forte",IF(K2393&gt;=Paramètres!$F$4,"Modérée","Faible")))</f>
        <v>Faible</v>
      </c>
    </row>
    <row r="2394" spans="1:13">
      <c r="A2394" t="s">
        <v>138</v>
      </c>
      <c r="B2394" s="11">
        <v>75</v>
      </c>
      <c r="C2394" t="s">
        <v>86</v>
      </c>
      <c r="D2394" t="s">
        <v>22</v>
      </c>
      <c r="E2394" t="s">
        <v>483</v>
      </c>
      <c r="F2394" t="s">
        <v>88</v>
      </c>
      <c r="G2394" s="12">
        <v>150</v>
      </c>
      <c r="H2394" s="12">
        <v>779</v>
      </c>
      <c r="I2394" s="12">
        <v>145</v>
      </c>
      <c r="J2394" t="str">
        <f>VLOOKUP(B2394,Paramètres!$A$4:$C$11,3,FALSE)</f>
        <v>Paris</v>
      </c>
      <c r="K2394" s="13">
        <f>IFERROR(H2394/G2394,"")</f>
        <v>5.1933333333333334</v>
      </c>
      <c r="L2394" s="14">
        <f>IFERROR(I2394/G2394,"")</f>
        <v>0.96666666666666667</v>
      </c>
      <c r="M2394" s="11" t="str">
        <f>IF(K2394&gt;=Paramètres!$F$6,"Très forte",IF(K2394&gt;=Paramètres!$F$5,"Forte",IF(K2394&gt;=Paramètres!$F$4,"Modérée","Faible")))</f>
        <v>Faible</v>
      </c>
    </row>
    <row r="2395" spans="1:13">
      <c r="A2395" t="s">
        <v>127</v>
      </c>
      <c r="B2395" s="11">
        <v>75</v>
      </c>
      <c r="C2395" t="s">
        <v>86</v>
      </c>
      <c r="D2395" t="s">
        <v>22</v>
      </c>
      <c r="E2395" t="s">
        <v>778</v>
      </c>
      <c r="F2395" t="s">
        <v>88</v>
      </c>
      <c r="G2395" s="12">
        <v>52</v>
      </c>
      <c r="H2395" s="12">
        <v>270</v>
      </c>
      <c r="I2395" s="12">
        <v>51</v>
      </c>
      <c r="J2395" t="str">
        <f>VLOOKUP(B2395,Paramètres!$A$4:$C$11,3,FALSE)</f>
        <v>Paris</v>
      </c>
      <c r="K2395" s="13">
        <f>IFERROR(H2395/G2395,"")</f>
        <v>5.1923076923076925</v>
      </c>
      <c r="L2395" s="14">
        <f>IFERROR(I2395/G2395,"")</f>
        <v>0.98076923076923073</v>
      </c>
      <c r="M2395" s="11" t="str">
        <f>IF(K2395&gt;=Paramètres!$F$6,"Très forte",IF(K2395&gt;=Paramètres!$F$5,"Forte",IF(K2395&gt;=Paramètres!$F$4,"Modérée","Faible")))</f>
        <v>Faible</v>
      </c>
    </row>
    <row r="2396" spans="1:13">
      <c r="A2396" t="s">
        <v>110</v>
      </c>
      <c r="B2396" s="11">
        <v>75</v>
      </c>
      <c r="C2396" t="s">
        <v>86</v>
      </c>
      <c r="D2396" t="s">
        <v>22</v>
      </c>
      <c r="E2396" t="s">
        <v>397</v>
      </c>
      <c r="F2396" t="s">
        <v>88</v>
      </c>
      <c r="G2396" s="12">
        <v>55</v>
      </c>
      <c r="H2396" s="12">
        <v>284</v>
      </c>
      <c r="I2396" s="12">
        <v>59</v>
      </c>
      <c r="J2396" t="str">
        <f>VLOOKUP(B2396,Paramètres!$A$4:$C$11,3,FALSE)</f>
        <v>Paris</v>
      </c>
      <c r="K2396" s="13">
        <f>IFERROR(H2396/G2396,"")</f>
        <v>5.163636363636364</v>
      </c>
      <c r="L2396" s="14">
        <f>IFERROR(I2396/G2396,"")</f>
        <v>1.0727272727272728</v>
      </c>
      <c r="M2396" s="11" t="str">
        <f>IF(K2396&gt;=Paramètres!$F$6,"Très forte",IF(K2396&gt;=Paramètres!$F$5,"Forte",IF(K2396&gt;=Paramètres!$F$4,"Modérée","Faible")))</f>
        <v>Faible</v>
      </c>
    </row>
    <row r="2397" spans="1:13">
      <c r="A2397" t="s">
        <v>119</v>
      </c>
      <c r="B2397" s="11">
        <v>75</v>
      </c>
      <c r="C2397" t="s">
        <v>86</v>
      </c>
      <c r="D2397" t="s">
        <v>22</v>
      </c>
      <c r="E2397" t="s">
        <v>216</v>
      </c>
      <c r="F2397" t="s">
        <v>92</v>
      </c>
      <c r="G2397" s="12">
        <v>40</v>
      </c>
      <c r="H2397" s="12">
        <v>206</v>
      </c>
      <c r="I2397" s="12">
        <v>10</v>
      </c>
      <c r="J2397" t="str">
        <f>VLOOKUP(B2397,Paramètres!$A$4:$C$11,3,FALSE)</f>
        <v>Paris</v>
      </c>
      <c r="K2397" s="13">
        <f>IFERROR(H2397/G2397,"")</f>
        <v>5.15</v>
      </c>
      <c r="L2397" s="14">
        <f>IFERROR(I2397/G2397,"")</f>
        <v>0.25</v>
      </c>
      <c r="M2397" s="11" t="str">
        <f>IF(K2397&gt;=Paramètres!$F$6,"Très forte",IF(K2397&gt;=Paramètres!$F$5,"Forte",IF(K2397&gt;=Paramètres!$F$4,"Modérée","Faible")))</f>
        <v>Faible</v>
      </c>
    </row>
    <row r="2398" spans="1:13">
      <c r="A2398" t="s">
        <v>138</v>
      </c>
      <c r="B2398" s="11">
        <v>75</v>
      </c>
      <c r="C2398" t="s">
        <v>86</v>
      </c>
      <c r="D2398" t="s">
        <v>22</v>
      </c>
      <c r="E2398" t="s">
        <v>141</v>
      </c>
      <c r="F2398" t="s">
        <v>88</v>
      </c>
      <c r="G2398" s="12">
        <v>30</v>
      </c>
      <c r="H2398" s="12">
        <v>154</v>
      </c>
      <c r="I2398" s="12">
        <v>28</v>
      </c>
      <c r="J2398" t="str">
        <f>VLOOKUP(B2398,Paramètres!$A$4:$C$11,3,FALSE)</f>
        <v>Paris</v>
      </c>
      <c r="K2398" s="13">
        <f>IFERROR(H2398/G2398,"")</f>
        <v>5.1333333333333337</v>
      </c>
      <c r="L2398" s="14">
        <f>IFERROR(I2398/G2398,"")</f>
        <v>0.93333333333333335</v>
      </c>
      <c r="M2398" s="11" t="str">
        <f>IF(K2398&gt;=Paramètres!$F$6,"Très forte",IF(K2398&gt;=Paramètres!$F$5,"Forte",IF(K2398&gt;=Paramètres!$F$4,"Modérée","Faible")))</f>
        <v>Faible</v>
      </c>
    </row>
    <row r="2399" spans="1:13">
      <c r="A2399" t="s">
        <v>422</v>
      </c>
      <c r="B2399" s="11">
        <v>91</v>
      </c>
      <c r="C2399" t="s">
        <v>105</v>
      </c>
      <c r="D2399" t="s">
        <v>22</v>
      </c>
      <c r="E2399" t="s">
        <v>296</v>
      </c>
      <c r="F2399" t="s">
        <v>88</v>
      </c>
      <c r="G2399" s="12">
        <v>210</v>
      </c>
      <c r="H2399" s="12">
        <v>1075</v>
      </c>
      <c r="I2399" s="12">
        <v>198</v>
      </c>
      <c r="J2399" t="str">
        <f>VLOOKUP(B2399,Paramètres!$A$4:$C$11,3,FALSE)</f>
        <v>Grande couronne</v>
      </c>
      <c r="K2399" s="13">
        <f>IFERROR(H2399/G2399,"")</f>
        <v>5.1190476190476186</v>
      </c>
      <c r="L2399" s="14">
        <f>IFERROR(I2399/G2399,"")</f>
        <v>0.94285714285714284</v>
      </c>
      <c r="M2399" s="11" t="str">
        <f>IF(K2399&gt;=Paramètres!$F$6,"Très forte",IF(K2399&gt;=Paramètres!$F$5,"Forte",IF(K2399&gt;=Paramètres!$F$4,"Modérée","Faible")))</f>
        <v>Faible</v>
      </c>
    </row>
    <row r="2400" spans="1:13">
      <c r="A2400" t="s">
        <v>119</v>
      </c>
      <c r="B2400" s="11">
        <v>75</v>
      </c>
      <c r="C2400" t="s">
        <v>86</v>
      </c>
      <c r="D2400" t="s">
        <v>22</v>
      </c>
      <c r="E2400" t="s">
        <v>170</v>
      </c>
      <c r="F2400" t="s">
        <v>88</v>
      </c>
      <c r="G2400" s="12">
        <v>40</v>
      </c>
      <c r="H2400" s="12">
        <v>204</v>
      </c>
      <c r="I2400" s="12">
        <v>38</v>
      </c>
      <c r="J2400" t="str">
        <f>VLOOKUP(B2400,Paramètres!$A$4:$C$11,3,FALSE)</f>
        <v>Paris</v>
      </c>
      <c r="K2400" s="13">
        <f>IFERROR(H2400/G2400,"")</f>
        <v>5.0999999999999996</v>
      </c>
      <c r="L2400" s="14">
        <f>IFERROR(I2400/G2400,"")</f>
        <v>0.95</v>
      </c>
      <c r="M2400" s="11" t="str">
        <f>IF(K2400&gt;=Paramètres!$F$6,"Très forte",IF(K2400&gt;=Paramètres!$F$5,"Forte",IF(K2400&gt;=Paramètres!$F$4,"Modérée","Faible")))</f>
        <v>Faible</v>
      </c>
    </row>
    <row r="2401" spans="1:13">
      <c r="A2401" t="s">
        <v>422</v>
      </c>
      <c r="B2401" s="11">
        <v>91</v>
      </c>
      <c r="C2401" t="s">
        <v>105</v>
      </c>
      <c r="D2401" t="s">
        <v>22</v>
      </c>
      <c r="E2401" t="s">
        <v>165</v>
      </c>
      <c r="F2401" t="s">
        <v>88</v>
      </c>
      <c r="G2401" s="12">
        <v>155</v>
      </c>
      <c r="H2401" s="12">
        <v>790</v>
      </c>
      <c r="I2401" s="12">
        <v>151</v>
      </c>
      <c r="J2401" t="str">
        <f>VLOOKUP(B2401,Paramètres!$A$4:$C$11,3,FALSE)</f>
        <v>Grande couronne</v>
      </c>
      <c r="K2401" s="13">
        <f>IFERROR(H2401/G2401,"")</f>
        <v>5.096774193548387</v>
      </c>
      <c r="L2401" s="14">
        <f>IFERROR(I2401/G2401,"")</f>
        <v>0.97419354838709682</v>
      </c>
      <c r="M2401" s="11" t="str">
        <f>IF(K2401&gt;=Paramètres!$F$6,"Très forte",IF(K2401&gt;=Paramètres!$F$5,"Forte",IF(K2401&gt;=Paramètres!$F$4,"Modérée","Faible")))</f>
        <v>Faible</v>
      </c>
    </row>
    <row r="2402" spans="1:13">
      <c r="A2402" t="s">
        <v>119</v>
      </c>
      <c r="B2402" s="11">
        <v>75</v>
      </c>
      <c r="C2402" t="s">
        <v>86</v>
      </c>
      <c r="D2402" t="s">
        <v>22</v>
      </c>
      <c r="E2402" t="s">
        <v>340</v>
      </c>
      <c r="F2402" t="s">
        <v>88</v>
      </c>
      <c r="G2402" s="12">
        <v>85</v>
      </c>
      <c r="H2402" s="12">
        <v>433</v>
      </c>
      <c r="I2402" s="12">
        <v>83</v>
      </c>
      <c r="J2402" t="str">
        <f>VLOOKUP(B2402,Paramètres!$A$4:$C$11,3,FALSE)</f>
        <v>Paris</v>
      </c>
      <c r="K2402" s="13">
        <f>IFERROR(H2402/G2402,"")</f>
        <v>5.0941176470588232</v>
      </c>
      <c r="L2402" s="14">
        <f>IFERROR(I2402/G2402,"")</f>
        <v>0.97647058823529409</v>
      </c>
      <c r="M2402" s="11" t="str">
        <f>IF(K2402&gt;=Paramètres!$F$6,"Très forte",IF(K2402&gt;=Paramètres!$F$5,"Forte",IF(K2402&gt;=Paramètres!$F$4,"Modérée","Faible")))</f>
        <v>Faible</v>
      </c>
    </row>
    <row r="2403" spans="1:13">
      <c r="A2403" t="s">
        <v>97</v>
      </c>
      <c r="B2403" s="11">
        <v>92</v>
      </c>
      <c r="C2403" t="s">
        <v>94</v>
      </c>
      <c r="D2403" t="s">
        <v>22</v>
      </c>
      <c r="E2403" t="s">
        <v>463</v>
      </c>
      <c r="F2403" t="s">
        <v>88</v>
      </c>
      <c r="G2403" s="12">
        <v>35</v>
      </c>
      <c r="H2403" s="12">
        <v>178</v>
      </c>
      <c r="I2403" s="12">
        <v>33</v>
      </c>
      <c r="J2403" t="str">
        <f>VLOOKUP(B2403,Paramètres!$A$4:$C$11,3,FALSE)</f>
        <v>Petite couronne</v>
      </c>
      <c r="K2403" s="13">
        <f>IFERROR(H2403/G2403,"")</f>
        <v>5.0857142857142854</v>
      </c>
      <c r="L2403" s="14">
        <f>IFERROR(I2403/G2403,"")</f>
        <v>0.94285714285714284</v>
      </c>
      <c r="M2403" s="11" t="str">
        <f>IF(K2403&gt;=Paramètres!$F$6,"Très forte",IF(K2403&gt;=Paramètres!$F$5,"Forte",IF(K2403&gt;=Paramètres!$F$4,"Modérée","Faible")))</f>
        <v>Faible</v>
      </c>
    </row>
    <row r="2404" spans="1:13">
      <c r="A2404" t="s">
        <v>127</v>
      </c>
      <c r="B2404" s="11">
        <v>75</v>
      </c>
      <c r="C2404" t="s">
        <v>86</v>
      </c>
      <c r="D2404" t="s">
        <v>22</v>
      </c>
      <c r="E2404" t="s">
        <v>741</v>
      </c>
      <c r="F2404" t="s">
        <v>88</v>
      </c>
      <c r="G2404" s="12">
        <v>15</v>
      </c>
      <c r="H2404" s="12">
        <v>76</v>
      </c>
      <c r="I2404" s="12">
        <v>15</v>
      </c>
      <c r="J2404" t="str">
        <f>VLOOKUP(B2404,Paramètres!$A$4:$C$11,3,FALSE)</f>
        <v>Paris</v>
      </c>
      <c r="K2404" s="13">
        <f>IFERROR(H2404/G2404,"")</f>
        <v>5.0666666666666664</v>
      </c>
      <c r="L2404" s="14">
        <f>IFERROR(I2404/G2404,"")</f>
        <v>1</v>
      </c>
      <c r="M2404" s="11" t="str">
        <f>IF(K2404&gt;=Paramètres!$F$6,"Très forte",IF(K2404&gt;=Paramètres!$F$5,"Forte",IF(K2404&gt;=Paramètres!$F$4,"Modérée","Faible")))</f>
        <v>Faible</v>
      </c>
    </row>
    <row r="2405" spans="1:13">
      <c r="A2405" t="s">
        <v>97</v>
      </c>
      <c r="B2405" s="11">
        <v>92</v>
      </c>
      <c r="C2405" t="s">
        <v>94</v>
      </c>
      <c r="D2405" t="s">
        <v>22</v>
      </c>
      <c r="E2405" t="s">
        <v>462</v>
      </c>
      <c r="F2405" t="s">
        <v>88</v>
      </c>
      <c r="G2405" s="12">
        <v>65</v>
      </c>
      <c r="H2405" s="12">
        <v>329</v>
      </c>
      <c r="I2405" s="12">
        <v>64</v>
      </c>
      <c r="J2405" t="str">
        <f>VLOOKUP(B2405,Paramètres!$A$4:$C$11,3,FALSE)</f>
        <v>Petite couronne</v>
      </c>
      <c r="K2405" s="13">
        <f>IFERROR(H2405/G2405,"")</f>
        <v>5.0615384615384613</v>
      </c>
      <c r="L2405" s="14">
        <f>IFERROR(I2405/G2405,"")</f>
        <v>0.98461538461538467</v>
      </c>
      <c r="M2405" s="11" t="str">
        <f>IF(K2405&gt;=Paramètres!$F$6,"Très forte",IF(K2405&gt;=Paramètres!$F$5,"Forte",IF(K2405&gt;=Paramètres!$F$4,"Modérée","Faible")))</f>
        <v>Faible</v>
      </c>
    </row>
    <row r="2406" spans="1:13">
      <c r="A2406" t="s">
        <v>108</v>
      </c>
      <c r="B2406" s="11">
        <v>93</v>
      </c>
      <c r="C2406" t="s">
        <v>100</v>
      </c>
      <c r="D2406" t="s">
        <v>22</v>
      </c>
      <c r="E2406" t="s">
        <v>720</v>
      </c>
      <c r="F2406" t="s">
        <v>88</v>
      </c>
      <c r="G2406" s="12">
        <v>160</v>
      </c>
      <c r="H2406" s="12">
        <v>808</v>
      </c>
      <c r="I2406" s="12">
        <v>157</v>
      </c>
      <c r="J2406" t="str">
        <f>VLOOKUP(B2406,Paramètres!$A$4:$C$11,3,FALSE)</f>
        <v>Petite couronne</v>
      </c>
      <c r="K2406" s="13">
        <f>IFERROR(H2406/G2406,"")</f>
        <v>5.05</v>
      </c>
      <c r="L2406" s="14">
        <f>IFERROR(I2406/G2406,"")</f>
        <v>0.98124999999999996</v>
      </c>
      <c r="M2406" s="11" t="str">
        <f>IF(K2406&gt;=Paramètres!$F$6,"Très forte",IF(K2406&gt;=Paramètres!$F$5,"Forte",IF(K2406&gt;=Paramètres!$F$4,"Modérée","Faible")))</f>
        <v>Faible</v>
      </c>
    </row>
    <row r="2407" spans="1:13">
      <c r="A2407" t="s">
        <v>127</v>
      </c>
      <c r="B2407" s="11">
        <v>75</v>
      </c>
      <c r="C2407" t="s">
        <v>86</v>
      </c>
      <c r="D2407" t="s">
        <v>22</v>
      </c>
      <c r="E2407" t="s">
        <v>408</v>
      </c>
      <c r="F2407" t="s">
        <v>88</v>
      </c>
      <c r="G2407" s="12">
        <v>15</v>
      </c>
      <c r="H2407" s="12">
        <v>75</v>
      </c>
      <c r="I2407" s="12">
        <v>15</v>
      </c>
      <c r="J2407" t="str">
        <f>VLOOKUP(B2407,Paramètres!$A$4:$C$11,3,FALSE)</f>
        <v>Paris</v>
      </c>
      <c r="K2407" s="13">
        <f>IFERROR(H2407/G2407,"")</f>
        <v>5</v>
      </c>
      <c r="L2407" s="14">
        <f>IFERROR(I2407/G2407,"")</f>
        <v>1</v>
      </c>
      <c r="M2407" s="11" t="str">
        <f>IF(K2407&gt;=Paramètres!$F$6,"Très forte",IF(K2407&gt;=Paramètres!$F$5,"Forte",IF(K2407&gt;=Paramètres!$F$4,"Modérée","Faible")))</f>
        <v>Faible</v>
      </c>
    </row>
    <row r="2408" spans="1:13">
      <c r="A2408" t="s">
        <v>97</v>
      </c>
      <c r="B2408" s="11">
        <v>92</v>
      </c>
      <c r="C2408" t="s">
        <v>94</v>
      </c>
      <c r="D2408" t="s">
        <v>22</v>
      </c>
      <c r="E2408" t="s">
        <v>461</v>
      </c>
      <c r="F2408" t="s">
        <v>88</v>
      </c>
      <c r="G2408" s="12">
        <v>185</v>
      </c>
      <c r="H2408" s="12">
        <v>916</v>
      </c>
      <c r="I2408" s="12">
        <v>189</v>
      </c>
      <c r="J2408" t="str">
        <f>VLOOKUP(B2408,Paramètres!$A$4:$C$11,3,FALSE)</f>
        <v>Petite couronne</v>
      </c>
      <c r="K2408" s="13">
        <f>IFERROR(H2408/G2408,"")</f>
        <v>4.9513513513513514</v>
      </c>
      <c r="L2408" s="14">
        <f>IFERROR(I2408/G2408,"")</f>
        <v>1.0216216216216216</v>
      </c>
      <c r="M2408" s="11" t="str">
        <f>IF(K2408&gt;=Paramètres!$F$6,"Très forte",IF(K2408&gt;=Paramètres!$F$5,"Forte",IF(K2408&gt;=Paramètres!$F$4,"Modérée","Faible")))</f>
        <v>Faible</v>
      </c>
    </row>
    <row r="2409" spans="1:13">
      <c r="A2409" t="s">
        <v>138</v>
      </c>
      <c r="B2409" s="11">
        <v>75</v>
      </c>
      <c r="C2409" t="s">
        <v>86</v>
      </c>
      <c r="D2409" t="s">
        <v>22</v>
      </c>
      <c r="E2409" t="s">
        <v>510</v>
      </c>
      <c r="F2409" t="s">
        <v>88</v>
      </c>
      <c r="G2409" s="12">
        <v>20</v>
      </c>
      <c r="H2409" s="12">
        <v>99</v>
      </c>
      <c r="I2409" s="12">
        <v>18</v>
      </c>
      <c r="J2409" t="str">
        <f>VLOOKUP(B2409,Paramètres!$A$4:$C$11,3,FALSE)</f>
        <v>Paris</v>
      </c>
      <c r="K2409" s="13">
        <f>IFERROR(H2409/G2409,"")</f>
        <v>4.95</v>
      </c>
      <c r="L2409" s="14">
        <f>IFERROR(I2409/G2409,"")</f>
        <v>0.9</v>
      </c>
      <c r="M2409" s="11" t="str">
        <f>IF(K2409&gt;=Paramètres!$F$6,"Très forte",IF(K2409&gt;=Paramètres!$F$5,"Forte",IF(K2409&gt;=Paramètres!$F$4,"Modérée","Faible")))</f>
        <v>Faible</v>
      </c>
    </row>
    <row r="2410" spans="1:13">
      <c r="A2410" t="s">
        <v>115</v>
      </c>
      <c r="B2410" s="11">
        <v>94</v>
      </c>
      <c r="C2410" t="s">
        <v>116</v>
      </c>
      <c r="D2410" t="s">
        <v>22</v>
      </c>
      <c r="E2410" t="s">
        <v>598</v>
      </c>
      <c r="F2410" t="s">
        <v>88</v>
      </c>
      <c r="G2410" s="12">
        <v>90</v>
      </c>
      <c r="H2410" s="12">
        <v>445</v>
      </c>
      <c r="I2410" s="12">
        <v>89</v>
      </c>
      <c r="J2410" t="str">
        <f>VLOOKUP(B2410,Paramètres!$A$4:$C$11,3,FALSE)</f>
        <v>Petite couronne</v>
      </c>
      <c r="K2410" s="13">
        <f>IFERROR(H2410/G2410,"")</f>
        <v>4.9444444444444446</v>
      </c>
      <c r="L2410" s="14">
        <f>IFERROR(I2410/G2410,"")</f>
        <v>0.98888888888888893</v>
      </c>
      <c r="M2410" s="11" t="str">
        <f>IF(K2410&gt;=Paramètres!$F$6,"Très forte",IF(K2410&gt;=Paramètres!$F$5,"Forte",IF(K2410&gt;=Paramètres!$F$4,"Modérée","Faible")))</f>
        <v>Faible</v>
      </c>
    </row>
    <row r="2411" spans="1:13">
      <c r="A2411" t="s">
        <v>138</v>
      </c>
      <c r="B2411" s="11">
        <v>75</v>
      </c>
      <c r="C2411" t="s">
        <v>86</v>
      </c>
      <c r="D2411" t="s">
        <v>22</v>
      </c>
      <c r="E2411" t="s">
        <v>184</v>
      </c>
      <c r="F2411" t="s">
        <v>88</v>
      </c>
      <c r="G2411" s="12">
        <v>35</v>
      </c>
      <c r="H2411" s="12">
        <v>173</v>
      </c>
      <c r="I2411" s="12">
        <v>33</v>
      </c>
      <c r="J2411" t="str">
        <f>VLOOKUP(B2411,Paramètres!$A$4:$C$11,3,FALSE)</f>
        <v>Paris</v>
      </c>
      <c r="K2411" s="13">
        <f>IFERROR(H2411/G2411,"")</f>
        <v>4.9428571428571431</v>
      </c>
      <c r="L2411" s="14">
        <f>IFERROR(I2411/G2411,"")</f>
        <v>0.94285714285714284</v>
      </c>
      <c r="M2411" s="11" t="str">
        <f>IF(K2411&gt;=Paramètres!$F$6,"Très forte",IF(K2411&gt;=Paramètres!$F$5,"Forte",IF(K2411&gt;=Paramètres!$F$4,"Modérée","Faible")))</f>
        <v>Faible</v>
      </c>
    </row>
    <row r="2412" spans="1:13">
      <c r="A2412" t="s">
        <v>239</v>
      </c>
      <c r="B2412" s="11">
        <v>78</v>
      </c>
      <c r="C2412" t="s">
        <v>135</v>
      </c>
      <c r="D2412" t="s">
        <v>22</v>
      </c>
      <c r="E2412" t="s">
        <v>180</v>
      </c>
      <c r="F2412" t="s">
        <v>88</v>
      </c>
      <c r="G2412" s="12">
        <v>152</v>
      </c>
      <c r="H2412" s="12">
        <v>750</v>
      </c>
      <c r="I2412" s="12">
        <v>143</v>
      </c>
      <c r="J2412" t="str">
        <f>VLOOKUP(B2412,Paramètres!$A$4:$C$11,3,FALSE)</f>
        <v>Grande couronne</v>
      </c>
      <c r="K2412" s="13">
        <f>IFERROR(H2412/G2412,"")</f>
        <v>4.9342105263157894</v>
      </c>
      <c r="L2412" s="14">
        <f>IFERROR(I2412/G2412,"")</f>
        <v>0.94078947368421051</v>
      </c>
      <c r="M2412" s="11" t="str">
        <f>IF(K2412&gt;=Paramètres!$F$6,"Très forte",IF(K2412&gt;=Paramètres!$F$5,"Forte",IF(K2412&gt;=Paramètres!$F$4,"Modérée","Faible")))</f>
        <v>Faible</v>
      </c>
    </row>
    <row r="2413" spans="1:13">
      <c r="A2413" t="s">
        <v>108</v>
      </c>
      <c r="B2413" s="11">
        <v>93</v>
      </c>
      <c r="C2413" t="s">
        <v>100</v>
      </c>
      <c r="D2413" t="s">
        <v>22</v>
      </c>
      <c r="E2413" t="s">
        <v>450</v>
      </c>
      <c r="F2413" t="s">
        <v>88</v>
      </c>
      <c r="G2413" s="12">
        <v>90</v>
      </c>
      <c r="H2413" s="12">
        <v>442</v>
      </c>
      <c r="I2413" s="12">
        <v>87</v>
      </c>
      <c r="J2413" t="str">
        <f>VLOOKUP(B2413,Paramètres!$A$4:$C$11,3,FALSE)</f>
        <v>Petite couronne</v>
      </c>
      <c r="K2413" s="13">
        <f>IFERROR(H2413/G2413,"")</f>
        <v>4.9111111111111114</v>
      </c>
      <c r="L2413" s="14">
        <f>IFERROR(I2413/G2413,"")</f>
        <v>0.96666666666666667</v>
      </c>
      <c r="M2413" s="11" t="str">
        <f>IF(K2413&gt;=Paramètres!$F$6,"Très forte",IF(K2413&gt;=Paramètres!$F$5,"Forte",IF(K2413&gt;=Paramètres!$F$4,"Modérée","Faible")))</f>
        <v>Faible</v>
      </c>
    </row>
    <row r="2414" spans="1:13">
      <c r="A2414" t="s">
        <v>190</v>
      </c>
      <c r="B2414" s="11">
        <v>75</v>
      </c>
      <c r="C2414" t="s">
        <v>86</v>
      </c>
      <c r="D2414" t="s">
        <v>22</v>
      </c>
      <c r="E2414" t="s">
        <v>654</v>
      </c>
      <c r="F2414" t="s">
        <v>92</v>
      </c>
      <c r="G2414" s="12">
        <v>120</v>
      </c>
      <c r="H2414" s="12">
        <v>589</v>
      </c>
      <c r="I2414" s="12">
        <v>119</v>
      </c>
      <c r="J2414" t="str">
        <f>VLOOKUP(B2414,Paramètres!$A$4:$C$11,3,FALSE)</f>
        <v>Paris</v>
      </c>
      <c r="K2414" s="13">
        <f>IFERROR(H2414/G2414,"")</f>
        <v>4.9083333333333332</v>
      </c>
      <c r="L2414" s="14">
        <f>IFERROR(I2414/G2414,"")</f>
        <v>0.9916666666666667</v>
      </c>
      <c r="M2414" s="11" t="str">
        <f>IF(K2414&gt;=Paramètres!$F$6,"Très forte",IF(K2414&gt;=Paramètres!$F$5,"Forte",IF(K2414&gt;=Paramètres!$F$4,"Modérée","Faible")))</f>
        <v>Faible</v>
      </c>
    </row>
    <row r="2415" spans="1:13">
      <c r="A2415" t="s">
        <v>138</v>
      </c>
      <c r="B2415" s="11">
        <v>75</v>
      </c>
      <c r="C2415" t="s">
        <v>86</v>
      </c>
      <c r="D2415" t="s">
        <v>22</v>
      </c>
      <c r="E2415" t="s">
        <v>509</v>
      </c>
      <c r="F2415" t="s">
        <v>88</v>
      </c>
      <c r="G2415" s="12">
        <v>10</v>
      </c>
      <c r="H2415" s="12">
        <v>49</v>
      </c>
      <c r="I2415" s="12">
        <v>5</v>
      </c>
      <c r="J2415" t="str">
        <f>VLOOKUP(B2415,Paramètres!$A$4:$C$11,3,FALSE)</f>
        <v>Paris</v>
      </c>
      <c r="K2415" s="13">
        <f>IFERROR(H2415/G2415,"")</f>
        <v>4.9000000000000004</v>
      </c>
      <c r="L2415" s="14">
        <f>IFERROR(I2415/G2415,"")</f>
        <v>0.5</v>
      </c>
      <c r="M2415" s="11" t="str">
        <f>IF(K2415&gt;=Paramètres!$F$6,"Très forte",IF(K2415&gt;=Paramètres!$F$5,"Forte",IF(K2415&gt;=Paramètres!$F$4,"Modérée","Faible")))</f>
        <v>Faible</v>
      </c>
    </row>
    <row r="2416" spans="1:13">
      <c r="A2416" t="s">
        <v>138</v>
      </c>
      <c r="B2416" s="11">
        <v>75</v>
      </c>
      <c r="C2416" t="s">
        <v>86</v>
      </c>
      <c r="D2416" t="s">
        <v>22</v>
      </c>
      <c r="E2416" t="s">
        <v>512</v>
      </c>
      <c r="F2416" t="s">
        <v>88</v>
      </c>
      <c r="G2416" s="12">
        <v>10</v>
      </c>
      <c r="H2416" s="12">
        <v>49</v>
      </c>
      <c r="I2416" s="12">
        <v>6</v>
      </c>
      <c r="J2416" t="str">
        <f>VLOOKUP(B2416,Paramètres!$A$4:$C$11,3,FALSE)</f>
        <v>Paris</v>
      </c>
      <c r="K2416" s="13">
        <f>IFERROR(H2416/G2416,"")</f>
        <v>4.9000000000000004</v>
      </c>
      <c r="L2416" s="14">
        <f>IFERROR(I2416/G2416,"")</f>
        <v>0.6</v>
      </c>
      <c r="M2416" s="11" t="str">
        <f>IF(K2416&gt;=Paramètres!$F$6,"Très forte",IF(K2416&gt;=Paramètres!$F$5,"Forte",IF(K2416&gt;=Paramètres!$F$4,"Modérée","Faible")))</f>
        <v>Faible</v>
      </c>
    </row>
    <row r="2417" spans="1:13">
      <c r="A2417" t="s">
        <v>190</v>
      </c>
      <c r="B2417" s="11">
        <v>75</v>
      </c>
      <c r="C2417" t="s">
        <v>86</v>
      </c>
      <c r="D2417" t="s">
        <v>22</v>
      </c>
      <c r="E2417" t="s">
        <v>513</v>
      </c>
      <c r="F2417" t="s">
        <v>88</v>
      </c>
      <c r="G2417" s="12">
        <v>110</v>
      </c>
      <c r="H2417" s="12">
        <v>539</v>
      </c>
      <c r="I2417" s="12">
        <v>101</v>
      </c>
      <c r="J2417" t="str">
        <f>VLOOKUP(B2417,Paramètres!$A$4:$C$11,3,FALSE)</f>
        <v>Paris</v>
      </c>
      <c r="K2417" s="13">
        <f>IFERROR(H2417/G2417,"")</f>
        <v>4.9000000000000004</v>
      </c>
      <c r="L2417" s="14">
        <f>IFERROR(I2417/G2417,"")</f>
        <v>0.91818181818181821</v>
      </c>
      <c r="M2417" s="11" t="str">
        <f>IF(K2417&gt;=Paramètres!$F$6,"Très forte",IF(K2417&gt;=Paramètres!$F$5,"Forte",IF(K2417&gt;=Paramètres!$F$4,"Modérée","Faible")))</f>
        <v>Faible</v>
      </c>
    </row>
    <row r="2418" spans="1:13">
      <c r="A2418" t="s">
        <v>138</v>
      </c>
      <c r="B2418" s="11">
        <v>75</v>
      </c>
      <c r="C2418" t="s">
        <v>86</v>
      </c>
      <c r="D2418" t="s">
        <v>22</v>
      </c>
      <c r="E2418" t="s">
        <v>686</v>
      </c>
      <c r="F2418" t="s">
        <v>88</v>
      </c>
      <c r="G2418" s="12">
        <v>30</v>
      </c>
      <c r="H2418" s="12">
        <v>147</v>
      </c>
      <c r="I2418" s="12">
        <v>29</v>
      </c>
      <c r="J2418" t="str">
        <f>VLOOKUP(B2418,Paramètres!$A$4:$C$11,3,FALSE)</f>
        <v>Paris</v>
      </c>
      <c r="K2418" s="13">
        <f>IFERROR(H2418/G2418,"")</f>
        <v>4.9000000000000004</v>
      </c>
      <c r="L2418" s="14">
        <f>IFERROR(I2418/G2418,"")</f>
        <v>0.96666666666666667</v>
      </c>
      <c r="M2418" s="11" t="str">
        <f>IF(K2418&gt;=Paramètres!$F$6,"Très forte",IF(K2418&gt;=Paramètres!$F$5,"Forte",IF(K2418&gt;=Paramètres!$F$4,"Modérée","Faible")))</f>
        <v>Faible</v>
      </c>
    </row>
    <row r="2419" spans="1:13">
      <c r="A2419" t="s">
        <v>144</v>
      </c>
      <c r="B2419" s="11">
        <v>95</v>
      </c>
      <c r="C2419" t="s">
        <v>90</v>
      </c>
      <c r="D2419" t="s">
        <v>22</v>
      </c>
      <c r="E2419" t="s">
        <v>637</v>
      </c>
      <c r="F2419" t="s">
        <v>88</v>
      </c>
      <c r="G2419" s="12">
        <v>30</v>
      </c>
      <c r="H2419" s="12">
        <v>146</v>
      </c>
      <c r="I2419" s="12">
        <v>29</v>
      </c>
      <c r="J2419" t="str">
        <f>VLOOKUP(B2419,Paramètres!$A$4:$C$11,3,FALSE)</f>
        <v>Grande couronne</v>
      </c>
      <c r="K2419" s="13">
        <f>IFERROR(H2419/G2419,"")</f>
        <v>4.8666666666666663</v>
      </c>
      <c r="L2419" s="14">
        <f>IFERROR(I2419/G2419,"")</f>
        <v>0.96666666666666667</v>
      </c>
      <c r="M2419" s="11" t="str">
        <f>IF(K2419&gt;=Paramètres!$F$6,"Très forte",IF(K2419&gt;=Paramètres!$F$5,"Forte",IF(K2419&gt;=Paramètres!$F$4,"Modérée","Faible")))</f>
        <v>Faible</v>
      </c>
    </row>
    <row r="2420" spans="1:13">
      <c r="A2420" t="s">
        <v>97</v>
      </c>
      <c r="B2420" s="11">
        <v>92</v>
      </c>
      <c r="C2420" t="s">
        <v>94</v>
      </c>
      <c r="D2420" t="s">
        <v>22</v>
      </c>
      <c r="E2420" t="s">
        <v>254</v>
      </c>
      <c r="F2420" t="s">
        <v>88</v>
      </c>
      <c r="G2420" s="12">
        <v>95</v>
      </c>
      <c r="H2420" s="12">
        <v>462</v>
      </c>
      <c r="I2420" s="12">
        <v>90</v>
      </c>
      <c r="J2420" t="str">
        <f>VLOOKUP(B2420,Paramètres!$A$4:$C$11,3,FALSE)</f>
        <v>Petite couronne</v>
      </c>
      <c r="K2420" s="13">
        <f>IFERROR(H2420/G2420,"")</f>
        <v>4.8631578947368421</v>
      </c>
      <c r="L2420" s="14">
        <f>IFERROR(I2420/G2420,"")</f>
        <v>0.94736842105263153</v>
      </c>
      <c r="M2420" s="11" t="str">
        <f>IF(K2420&gt;=Paramètres!$F$6,"Très forte",IF(K2420&gt;=Paramètres!$F$5,"Forte",IF(K2420&gt;=Paramètres!$F$4,"Modérée","Faible")))</f>
        <v>Faible</v>
      </c>
    </row>
    <row r="2421" spans="1:13">
      <c r="A2421" t="s">
        <v>108</v>
      </c>
      <c r="B2421" s="11">
        <v>93</v>
      </c>
      <c r="C2421" t="s">
        <v>100</v>
      </c>
      <c r="D2421" t="s">
        <v>22</v>
      </c>
      <c r="E2421" t="s">
        <v>334</v>
      </c>
      <c r="F2421" t="s">
        <v>88</v>
      </c>
      <c r="G2421" s="12">
        <v>32</v>
      </c>
      <c r="H2421" s="12">
        <v>154</v>
      </c>
      <c r="I2421" s="12">
        <v>27</v>
      </c>
      <c r="J2421" t="str">
        <f>VLOOKUP(B2421,Paramètres!$A$4:$C$11,3,FALSE)</f>
        <v>Petite couronne</v>
      </c>
      <c r="K2421" s="13">
        <f>IFERROR(H2421/G2421,"")</f>
        <v>4.8125</v>
      </c>
      <c r="L2421" s="14">
        <f>IFERROR(I2421/G2421,"")</f>
        <v>0.84375</v>
      </c>
      <c r="M2421" s="11" t="str">
        <f>IF(K2421&gt;=Paramètres!$F$6,"Très forte",IF(K2421&gt;=Paramètres!$F$5,"Forte",IF(K2421&gt;=Paramètres!$F$4,"Modérée","Faible")))</f>
        <v>Faible</v>
      </c>
    </row>
    <row r="2422" spans="1:13">
      <c r="A2422" t="s">
        <v>138</v>
      </c>
      <c r="B2422" s="11">
        <v>75</v>
      </c>
      <c r="C2422" t="s">
        <v>86</v>
      </c>
      <c r="D2422" t="s">
        <v>22</v>
      </c>
      <c r="E2422" t="s">
        <v>354</v>
      </c>
      <c r="F2422" t="s">
        <v>88</v>
      </c>
      <c r="G2422" s="12">
        <v>10</v>
      </c>
      <c r="H2422" s="12">
        <v>48</v>
      </c>
      <c r="I2422" s="12">
        <v>9</v>
      </c>
      <c r="J2422" t="str">
        <f>VLOOKUP(B2422,Paramètres!$A$4:$C$11,3,FALSE)</f>
        <v>Paris</v>
      </c>
      <c r="K2422" s="13">
        <f>IFERROR(H2422/G2422,"")</f>
        <v>4.8</v>
      </c>
      <c r="L2422" s="14">
        <f>IFERROR(I2422/G2422,"")</f>
        <v>0.9</v>
      </c>
      <c r="M2422" s="11" t="str">
        <f>IF(K2422&gt;=Paramètres!$F$6,"Très forte",IF(K2422&gt;=Paramètres!$F$5,"Forte",IF(K2422&gt;=Paramètres!$F$4,"Modérée","Faible")))</f>
        <v>Faible</v>
      </c>
    </row>
    <row r="2423" spans="1:13">
      <c r="A2423" t="s">
        <v>138</v>
      </c>
      <c r="B2423" s="11">
        <v>75</v>
      </c>
      <c r="C2423" t="s">
        <v>86</v>
      </c>
      <c r="D2423" t="s">
        <v>22</v>
      </c>
      <c r="E2423" t="s">
        <v>613</v>
      </c>
      <c r="F2423" t="s">
        <v>88</v>
      </c>
      <c r="G2423" s="12">
        <v>30</v>
      </c>
      <c r="H2423" s="12">
        <v>144</v>
      </c>
      <c r="I2423" s="12">
        <v>28</v>
      </c>
      <c r="J2423" t="str">
        <f>VLOOKUP(B2423,Paramètres!$A$4:$C$11,3,FALSE)</f>
        <v>Paris</v>
      </c>
      <c r="K2423" s="13">
        <f>IFERROR(H2423/G2423,"")</f>
        <v>4.8</v>
      </c>
      <c r="L2423" s="14">
        <f>IFERROR(I2423/G2423,"")</f>
        <v>0.93333333333333335</v>
      </c>
      <c r="M2423" s="11" t="str">
        <f>IF(K2423&gt;=Paramètres!$F$6,"Très forte",IF(K2423&gt;=Paramètres!$F$5,"Forte",IF(K2423&gt;=Paramètres!$F$4,"Modérée","Faible")))</f>
        <v>Faible</v>
      </c>
    </row>
    <row r="2424" spans="1:13">
      <c r="A2424" t="s">
        <v>138</v>
      </c>
      <c r="B2424" s="11">
        <v>75</v>
      </c>
      <c r="C2424" t="s">
        <v>86</v>
      </c>
      <c r="D2424" t="s">
        <v>22</v>
      </c>
      <c r="E2424" t="s">
        <v>387</v>
      </c>
      <c r="F2424" t="s">
        <v>88</v>
      </c>
      <c r="G2424" s="12">
        <v>20</v>
      </c>
      <c r="H2424" s="12">
        <v>95</v>
      </c>
      <c r="I2424" s="12">
        <v>16</v>
      </c>
      <c r="J2424" t="str">
        <f>VLOOKUP(B2424,Paramètres!$A$4:$C$11,3,FALSE)</f>
        <v>Paris</v>
      </c>
      <c r="K2424" s="13">
        <f>IFERROR(H2424/G2424,"")</f>
        <v>4.75</v>
      </c>
      <c r="L2424" s="14">
        <f>IFERROR(I2424/G2424,"")</f>
        <v>0.8</v>
      </c>
      <c r="M2424" s="11" t="str">
        <f>IF(K2424&gt;=Paramètres!$F$6,"Très forte",IF(K2424&gt;=Paramètres!$F$5,"Forte",IF(K2424&gt;=Paramètres!$F$4,"Modérée","Faible")))</f>
        <v>Faible</v>
      </c>
    </row>
    <row r="2425" spans="1:13">
      <c r="A2425" t="s">
        <v>131</v>
      </c>
      <c r="B2425" s="11">
        <v>77</v>
      </c>
      <c r="C2425" t="s">
        <v>132</v>
      </c>
      <c r="D2425" t="s">
        <v>22</v>
      </c>
      <c r="E2425" t="s">
        <v>200</v>
      </c>
      <c r="F2425" t="s">
        <v>88</v>
      </c>
      <c r="G2425" s="12">
        <v>115</v>
      </c>
      <c r="H2425" s="12">
        <v>545</v>
      </c>
      <c r="I2425" s="12">
        <v>111</v>
      </c>
      <c r="J2425" t="str">
        <f>VLOOKUP(B2425,Paramètres!$A$4:$C$11,3,FALSE)</f>
        <v>Grande couronne</v>
      </c>
      <c r="K2425" s="13">
        <f>IFERROR(H2425/G2425,"")</f>
        <v>4.7391304347826084</v>
      </c>
      <c r="L2425" s="14">
        <f>IFERROR(I2425/G2425,"")</f>
        <v>0.9652173913043478</v>
      </c>
      <c r="M2425" s="11" t="str">
        <f>IF(K2425&gt;=Paramètres!$F$6,"Très forte",IF(K2425&gt;=Paramètres!$F$5,"Forte",IF(K2425&gt;=Paramètres!$F$4,"Modérée","Faible")))</f>
        <v>Faible</v>
      </c>
    </row>
    <row r="2426" spans="1:13">
      <c r="A2426" t="s">
        <v>119</v>
      </c>
      <c r="B2426" s="11">
        <v>75</v>
      </c>
      <c r="C2426" t="s">
        <v>86</v>
      </c>
      <c r="D2426" t="s">
        <v>22</v>
      </c>
      <c r="E2426" t="s">
        <v>503</v>
      </c>
      <c r="F2426" t="s">
        <v>92</v>
      </c>
      <c r="G2426" s="12">
        <v>30</v>
      </c>
      <c r="H2426" s="12">
        <v>142</v>
      </c>
      <c r="I2426" s="12">
        <v>3</v>
      </c>
      <c r="J2426" t="str">
        <f>VLOOKUP(B2426,Paramètres!$A$4:$C$11,3,FALSE)</f>
        <v>Paris</v>
      </c>
      <c r="K2426" s="13">
        <f>IFERROR(H2426/G2426,"")</f>
        <v>4.7333333333333334</v>
      </c>
      <c r="L2426" s="14">
        <f>IFERROR(I2426/G2426,"")</f>
        <v>0.1</v>
      </c>
      <c r="M2426" s="11" t="str">
        <f>IF(K2426&gt;=Paramètres!$F$6,"Très forte",IF(K2426&gt;=Paramètres!$F$5,"Forte",IF(K2426&gt;=Paramètres!$F$4,"Modérée","Faible")))</f>
        <v>Faible</v>
      </c>
    </row>
    <row r="2427" spans="1:13">
      <c r="A2427" t="s">
        <v>144</v>
      </c>
      <c r="B2427" s="11">
        <v>95</v>
      </c>
      <c r="C2427" t="s">
        <v>90</v>
      </c>
      <c r="D2427" t="s">
        <v>22</v>
      </c>
      <c r="E2427" t="s">
        <v>435</v>
      </c>
      <c r="F2427" t="s">
        <v>92</v>
      </c>
      <c r="G2427" s="12">
        <v>40</v>
      </c>
      <c r="H2427" s="12">
        <v>189</v>
      </c>
      <c r="I2427" s="12">
        <v>44</v>
      </c>
      <c r="J2427" t="str">
        <f>VLOOKUP(B2427,Paramètres!$A$4:$C$11,3,FALSE)</f>
        <v>Grande couronne</v>
      </c>
      <c r="K2427" s="13">
        <f>IFERROR(H2427/G2427,"")</f>
        <v>4.7249999999999996</v>
      </c>
      <c r="L2427" s="14">
        <f>IFERROR(I2427/G2427,"")</f>
        <v>1.1000000000000001</v>
      </c>
      <c r="M2427" s="11" t="str">
        <f>IF(K2427&gt;=Paramètres!$F$6,"Très forte",IF(K2427&gt;=Paramètres!$F$5,"Forte",IF(K2427&gt;=Paramètres!$F$4,"Modérée","Faible")))</f>
        <v>Faible</v>
      </c>
    </row>
    <row r="2428" spans="1:13">
      <c r="A2428" t="s">
        <v>108</v>
      </c>
      <c r="B2428" s="11">
        <v>93</v>
      </c>
      <c r="C2428" t="s">
        <v>100</v>
      </c>
      <c r="D2428" t="s">
        <v>22</v>
      </c>
      <c r="E2428" t="s">
        <v>114</v>
      </c>
      <c r="F2428" t="s">
        <v>88</v>
      </c>
      <c r="G2428" s="12">
        <v>25</v>
      </c>
      <c r="H2428" s="12">
        <v>118</v>
      </c>
      <c r="I2428" s="12">
        <v>15</v>
      </c>
      <c r="J2428" t="str">
        <f>VLOOKUP(B2428,Paramètres!$A$4:$C$11,3,FALSE)</f>
        <v>Petite couronne</v>
      </c>
      <c r="K2428" s="13">
        <f>IFERROR(H2428/G2428,"")</f>
        <v>4.72</v>
      </c>
      <c r="L2428" s="14">
        <f>IFERROR(I2428/G2428,"")</f>
        <v>0.6</v>
      </c>
      <c r="M2428" s="11" t="str">
        <f>IF(K2428&gt;=Paramètres!$F$6,"Très forte",IF(K2428&gt;=Paramètres!$F$5,"Forte",IF(K2428&gt;=Paramètres!$F$4,"Modérée","Faible")))</f>
        <v>Faible</v>
      </c>
    </row>
    <row r="2429" spans="1:13">
      <c r="A2429" t="s">
        <v>152</v>
      </c>
      <c r="B2429" s="11">
        <v>75</v>
      </c>
      <c r="C2429" t="s">
        <v>86</v>
      </c>
      <c r="D2429" t="s">
        <v>22</v>
      </c>
      <c r="E2429" t="s">
        <v>437</v>
      </c>
      <c r="F2429" t="s">
        <v>88</v>
      </c>
      <c r="G2429" s="12">
        <v>175</v>
      </c>
      <c r="H2429" s="12">
        <v>825</v>
      </c>
      <c r="I2429" s="12">
        <v>171</v>
      </c>
      <c r="J2429" t="str">
        <f>VLOOKUP(B2429,Paramètres!$A$4:$C$11,3,FALSE)</f>
        <v>Paris</v>
      </c>
      <c r="K2429" s="13">
        <f>IFERROR(H2429/G2429,"")</f>
        <v>4.7142857142857144</v>
      </c>
      <c r="L2429" s="14">
        <f>IFERROR(I2429/G2429,"")</f>
        <v>0.97714285714285709</v>
      </c>
      <c r="M2429" s="11" t="str">
        <f>IF(K2429&gt;=Paramètres!$F$6,"Très forte",IF(K2429&gt;=Paramètres!$F$5,"Forte",IF(K2429&gt;=Paramètres!$F$4,"Modérée","Faible")))</f>
        <v>Faible</v>
      </c>
    </row>
    <row r="2430" spans="1:13">
      <c r="A2430" t="s">
        <v>119</v>
      </c>
      <c r="B2430" s="11">
        <v>75</v>
      </c>
      <c r="C2430" t="s">
        <v>86</v>
      </c>
      <c r="D2430" t="s">
        <v>22</v>
      </c>
      <c r="E2430" t="s">
        <v>173</v>
      </c>
      <c r="F2430" t="s">
        <v>88</v>
      </c>
      <c r="G2430" s="12">
        <v>390</v>
      </c>
      <c r="H2430" s="12">
        <v>1834</v>
      </c>
      <c r="I2430" s="12">
        <v>387</v>
      </c>
      <c r="J2430" t="str">
        <f>VLOOKUP(B2430,Paramètres!$A$4:$C$11,3,FALSE)</f>
        <v>Paris</v>
      </c>
      <c r="K2430" s="13">
        <f>IFERROR(H2430/G2430,"")</f>
        <v>4.7025641025641027</v>
      </c>
      <c r="L2430" s="14">
        <f>IFERROR(I2430/G2430,"")</f>
        <v>0.99230769230769234</v>
      </c>
      <c r="M2430" s="11" t="str">
        <f>IF(K2430&gt;=Paramètres!$F$6,"Très forte",IF(K2430&gt;=Paramètres!$F$5,"Forte",IF(K2430&gt;=Paramètres!$F$4,"Modérée","Faible")))</f>
        <v>Faible</v>
      </c>
    </row>
    <row r="2431" spans="1:13">
      <c r="A2431" t="s">
        <v>127</v>
      </c>
      <c r="B2431" s="11">
        <v>75</v>
      </c>
      <c r="C2431" t="s">
        <v>86</v>
      </c>
      <c r="D2431" t="s">
        <v>22</v>
      </c>
      <c r="E2431" t="s">
        <v>128</v>
      </c>
      <c r="F2431" t="s">
        <v>88</v>
      </c>
      <c r="G2431" s="12">
        <v>13</v>
      </c>
      <c r="H2431" s="12">
        <v>61</v>
      </c>
      <c r="I2431" s="12">
        <v>13</v>
      </c>
      <c r="J2431" t="str">
        <f>VLOOKUP(B2431,Paramètres!$A$4:$C$11,3,FALSE)</f>
        <v>Paris</v>
      </c>
      <c r="K2431" s="13">
        <f>IFERROR(H2431/G2431,"")</f>
        <v>4.6923076923076925</v>
      </c>
      <c r="L2431" s="14">
        <f>IFERROR(I2431/G2431,"")</f>
        <v>1</v>
      </c>
      <c r="M2431" s="11" t="str">
        <f>IF(K2431&gt;=Paramètres!$F$6,"Très forte",IF(K2431&gt;=Paramètres!$F$5,"Forte",IF(K2431&gt;=Paramètres!$F$4,"Modérée","Faible")))</f>
        <v>Faible</v>
      </c>
    </row>
    <row r="2432" spans="1:13">
      <c r="A2432" t="s">
        <v>119</v>
      </c>
      <c r="B2432" s="11">
        <v>75</v>
      </c>
      <c r="C2432" t="s">
        <v>86</v>
      </c>
      <c r="D2432" t="s">
        <v>22</v>
      </c>
      <c r="E2432" t="s">
        <v>122</v>
      </c>
      <c r="F2432" t="s">
        <v>88</v>
      </c>
      <c r="G2432" s="12">
        <v>120</v>
      </c>
      <c r="H2432" s="12">
        <v>562</v>
      </c>
      <c r="I2432" s="12">
        <v>119</v>
      </c>
      <c r="J2432" t="str">
        <f>VLOOKUP(B2432,Paramètres!$A$4:$C$11,3,FALSE)</f>
        <v>Paris</v>
      </c>
      <c r="K2432" s="13">
        <f>IFERROR(H2432/G2432,"")</f>
        <v>4.6833333333333336</v>
      </c>
      <c r="L2432" s="14">
        <f>IFERROR(I2432/G2432,"")</f>
        <v>0.9916666666666667</v>
      </c>
      <c r="M2432" s="11" t="str">
        <f>IF(K2432&gt;=Paramètres!$F$6,"Très forte",IF(K2432&gt;=Paramètres!$F$5,"Forte",IF(K2432&gt;=Paramètres!$F$4,"Modérée","Faible")))</f>
        <v>Faible</v>
      </c>
    </row>
    <row r="2433" spans="1:13">
      <c r="A2433" t="s">
        <v>127</v>
      </c>
      <c r="B2433" s="11">
        <v>75</v>
      </c>
      <c r="C2433" t="s">
        <v>86</v>
      </c>
      <c r="D2433" t="s">
        <v>22</v>
      </c>
      <c r="E2433" t="s">
        <v>230</v>
      </c>
      <c r="F2433" t="s">
        <v>88</v>
      </c>
      <c r="G2433" s="12">
        <v>95</v>
      </c>
      <c r="H2433" s="12">
        <v>440</v>
      </c>
      <c r="I2433" s="12">
        <v>92</v>
      </c>
      <c r="J2433" t="str">
        <f>VLOOKUP(B2433,Paramètres!$A$4:$C$11,3,FALSE)</f>
        <v>Paris</v>
      </c>
      <c r="K2433" s="13">
        <f>IFERROR(H2433/G2433,"")</f>
        <v>4.6315789473684212</v>
      </c>
      <c r="L2433" s="14">
        <f>IFERROR(I2433/G2433,"")</f>
        <v>0.96842105263157896</v>
      </c>
      <c r="M2433" s="11" t="str">
        <f>IF(K2433&gt;=Paramètres!$F$6,"Très forte",IF(K2433&gt;=Paramètres!$F$5,"Forte",IF(K2433&gt;=Paramètres!$F$4,"Modérée","Faible")))</f>
        <v>Faible</v>
      </c>
    </row>
    <row r="2434" spans="1:13">
      <c r="A2434" t="s">
        <v>119</v>
      </c>
      <c r="B2434" s="11">
        <v>75</v>
      </c>
      <c r="C2434" t="s">
        <v>86</v>
      </c>
      <c r="D2434" t="s">
        <v>22</v>
      </c>
      <c r="E2434" t="s">
        <v>779</v>
      </c>
      <c r="F2434" t="s">
        <v>92</v>
      </c>
      <c r="G2434" s="12">
        <v>230</v>
      </c>
      <c r="H2434" s="12">
        <v>1061</v>
      </c>
      <c r="I2434" s="12">
        <v>152</v>
      </c>
      <c r="J2434" t="str">
        <f>VLOOKUP(B2434,Paramètres!$A$4:$C$11,3,FALSE)</f>
        <v>Paris</v>
      </c>
      <c r="K2434" s="13">
        <f>IFERROR(H2434/G2434,"")</f>
        <v>4.6130434782608694</v>
      </c>
      <c r="L2434" s="14">
        <f>IFERROR(I2434/G2434,"")</f>
        <v>0.66086956521739126</v>
      </c>
      <c r="M2434" s="11" t="str">
        <f>IF(K2434&gt;=Paramètres!$F$6,"Très forte",IF(K2434&gt;=Paramètres!$F$5,"Forte",IF(K2434&gt;=Paramètres!$F$4,"Modérée","Faible")))</f>
        <v>Faible</v>
      </c>
    </row>
    <row r="2435" spans="1:13">
      <c r="A2435" t="s">
        <v>138</v>
      </c>
      <c r="B2435" s="11">
        <v>75</v>
      </c>
      <c r="C2435" t="s">
        <v>86</v>
      </c>
      <c r="D2435" t="s">
        <v>22</v>
      </c>
      <c r="E2435" t="s">
        <v>676</v>
      </c>
      <c r="F2435" t="s">
        <v>88</v>
      </c>
      <c r="G2435" s="12">
        <v>10</v>
      </c>
      <c r="H2435" s="12">
        <v>46</v>
      </c>
      <c r="I2435" s="12">
        <v>6</v>
      </c>
      <c r="J2435" t="str">
        <f>VLOOKUP(B2435,Paramètres!$A$4:$C$11,3,FALSE)</f>
        <v>Paris</v>
      </c>
      <c r="K2435" s="13">
        <f>IFERROR(H2435/G2435,"")</f>
        <v>4.5999999999999996</v>
      </c>
      <c r="L2435" s="14">
        <f>IFERROR(I2435/G2435,"")</f>
        <v>0.6</v>
      </c>
      <c r="M2435" s="11" t="str">
        <f>IF(K2435&gt;=Paramètres!$F$6,"Très forte",IF(K2435&gt;=Paramètres!$F$5,"Forte",IF(K2435&gt;=Paramètres!$F$4,"Modérée","Faible")))</f>
        <v>Faible</v>
      </c>
    </row>
    <row r="2436" spans="1:13">
      <c r="A2436" t="s">
        <v>265</v>
      </c>
      <c r="B2436" s="11">
        <v>93</v>
      </c>
      <c r="C2436" t="s">
        <v>100</v>
      </c>
      <c r="D2436" t="s">
        <v>22</v>
      </c>
      <c r="E2436" t="s">
        <v>754</v>
      </c>
      <c r="F2436" t="s">
        <v>88</v>
      </c>
      <c r="G2436" s="12">
        <v>55</v>
      </c>
      <c r="H2436" s="12">
        <v>252</v>
      </c>
      <c r="I2436" s="12">
        <v>51</v>
      </c>
      <c r="J2436" t="str">
        <f>VLOOKUP(B2436,Paramètres!$A$4:$C$11,3,FALSE)</f>
        <v>Petite couronne</v>
      </c>
      <c r="K2436" s="13">
        <f>IFERROR(H2436/G2436,"")</f>
        <v>4.581818181818182</v>
      </c>
      <c r="L2436" s="14">
        <f>IFERROR(I2436/G2436,"")</f>
        <v>0.92727272727272725</v>
      </c>
      <c r="M2436" s="11" t="str">
        <f>IF(K2436&gt;=Paramètres!$F$6,"Très forte",IF(K2436&gt;=Paramètres!$F$5,"Forte",IF(K2436&gt;=Paramètres!$F$4,"Modérée","Faible")))</f>
        <v>Faible</v>
      </c>
    </row>
    <row r="2437" spans="1:13">
      <c r="A2437" t="s">
        <v>119</v>
      </c>
      <c r="B2437" s="11">
        <v>75</v>
      </c>
      <c r="C2437" t="s">
        <v>86</v>
      </c>
      <c r="D2437" t="s">
        <v>22</v>
      </c>
      <c r="E2437" t="s">
        <v>477</v>
      </c>
      <c r="F2437" t="s">
        <v>88</v>
      </c>
      <c r="G2437" s="12">
        <v>257</v>
      </c>
      <c r="H2437" s="12">
        <v>1174</v>
      </c>
      <c r="I2437" s="12">
        <v>254</v>
      </c>
      <c r="J2437" t="str">
        <f>VLOOKUP(B2437,Paramètres!$A$4:$C$11,3,FALSE)</f>
        <v>Paris</v>
      </c>
      <c r="K2437" s="13">
        <f>IFERROR(H2437/G2437,"")</f>
        <v>4.5680933852140075</v>
      </c>
      <c r="L2437" s="14">
        <f>IFERROR(I2437/G2437,"")</f>
        <v>0.98832684824902728</v>
      </c>
      <c r="M2437" s="11" t="str">
        <f>IF(K2437&gt;=Paramètres!$F$6,"Très forte",IF(K2437&gt;=Paramètres!$F$5,"Forte",IF(K2437&gt;=Paramètres!$F$4,"Modérée","Faible")))</f>
        <v>Faible</v>
      </c>
    </row>
    <row r="2438" spans="1:13">
      <c r="A2438" t="s">
        <v>97</v>
      </c>
      <c r="B2438" s="11">
        <v>92</v>
      </c>
      <c r="C2438" t="s">
        <v>94</v>
      </c>
      <c r="D2438" t="s">
        <v>22</v>
      </c>
      <c r="E2438" t="s">
        <v>631</v>
      </c>
      <c r="F2438" t="s">
        <v>88</v>
      </c>
      <c r="G2438" s="12">
        <v>34</v>
      </c>
      <c r="H2438" s="12">
        <v>155</v>
      </c>
      <c r="I2438" s="12">
        <v>29</v>
      </c>
      <c r="J2438" t="str">
        <f>VLOOKUP(B2438,Paramètres!$A$4:$C$11,3,FALSE)</f>
        <v>Petite couronne</v>
      </c>
      <c r="K2438" s="13">
        <f>IFERROR(H2438/G2438,"")</f>
        <v>4.5588235294117645</v>
      </c>
      <c r="L2438" s="14">
        <f>IFERROR(I2438/G2438,"")</f>
        <v>0.8529411764705882</v>
      </c>
      <c r="M2438" s="11" t="str">
        <f>IF(K2438&gt;=Paramètres!$F$6,"Très forte",IF(K2438&gt;=Paramètres!$F$5,"Forte",IF(K2438&gt;=Paramètres!$F$4,"Modérée","Faible")))</f>
        <v>Faible</v>
      </c>
    </row>
    <row r="2439" spans="1:13">
      <c r="A2439" t="s">
        <v>108</v>
      </c>
      <c r="B2439" s="11">
        <v>93</v>
      </c>
      <c r="C2439" t="s">
        <v>100</v>
      </c>
      <c r="D2439" t="s">
        <v>22</v>
      </c>
      <c r="E2439" t="s">
        <v>113</v>
      </c>
      <c r="F2439" t="s">
        <v>88</v>
      </c>
      <c r="G2439" s="12">
        <v>27</v>
      </c>
      <c r="H2439" s="12">
        <v>122</v>
      </c>
      <c r="I2439" s="12">
        <v>22</v>
      </c>
      <c r="J2439" t="str">
        <f>VLOOKUP(B2439,Paramètres!$A$4:$C$11,3,FALSE)</f>
        <v>Petite couronne</v>
      </c>
      <c r="K2439" s="13">
        <f>IFERROR(H2439/G2439,"")</f>
        <v>4.5185185185185182</v>
      </c>
      <c r="L2439" s="14">
        <f>IFERROR(I2439/G2439,"")</f>
        <v>0.81481481481481477</v>
      </c>
      <c r="M2439" s="11" t="str">
        <f>IF(K2439&gt;=Paramètres!$F$6,"Très forte",IF(K2439&gt;=Paramètres!$F$5,"Forte",IF(K2439&gt;=Paramètres!$F$4,"Modérée","Faible")))</f>
        <v>Faible</v>
      </c>
    </row>
    <row r="2440" spans="1:13">
      <c r="A2440" t="s">
        <v>162</v>
      </c>
      <c r="B2440" s="11">
        <v>91</v>
      </c>
      <c r="C2440" t="s">
        <v>105</v>
      </c>
      <c r="D2440" t="s">
        <v>22</v>
      </c>
      <c r="E2440" t="s">
        <v>423</v>
      </c>
      <c r="F2440" t="s">
        <v>88</v>
      </c>
      <c r="G2440" s="12">
        <v>80</v>
      </c>
      <c r="H2440" s="12">
        <v>358</v>
      </c>
      <c r="I2440" s="12">
        <v>76</v>
      </c>
      <c r="J2440" t="str">
        <f>VLOOKUP(B2440,Paramètres!$A$4:$C$11,3,FALSE)</f>
        <v>Grande couronne</v>
      </c>
      <c r="K2440" s="13">
        <f>IFERROR(H2440/G2440,"")</f>
        <v>4.4749999999999996</v>
      </c>
      <c r="L2440" s="14">
        <f>IFERROR(I2440/G2440,"")</f>
        <v>0.95</v>
      </c>
      <c r="M2440" s="11" t="str">
        <f>IF(K2440&gt;=Paramètres!$F$6,"Très forte",IF(K2440&gt;=Paramètres!$F$5,"Forte",IF(K2440&gt;=Paramètres!$F$4,"Modérée","Faible")))</f>
        <v>Faible</v>
      </c>
    </row>
    <row r="2441" spans="1:13">
      <c r="A2441" t="s">
        <v>108</v>
      </c>
      <c r="B2441" s="11">
        <v>93</v>
      </c>
      <c r="C2441" t="s">
        <v>100</v>
      </c>
      <c r="D2441" t="s">
        <v>22</v>
      </c>
      <c r="E2441" t="s">
        <v>111</v>
      </c>
      <c r="F2441" t="s">
        <v>88</v>
      </c>
      <c r="G2441" s="12">
        <v>32</v>
      </c>
      <c r="H2441" s="12">
        <v>143</v>
      </c>
      <c r="I2441" s="12">
        <v>29</v>
      </c>
      <c r="J2441" t="str">
        <f>VLOOKUP(B2441,Paramètres!$A$4:$C$11,3,FALSE)</f>
        <v>Petite couronne</v>
      </c>
      <c r="K2441" s="13">
        <f>IFERROR(H2441/G2441,"")</f>
        <v>4.46875</v>
      </c>
      <c r="L2441" s="14">
        <f>IFERROR(I2441/G2441,"")</f>
        <v>0.90625</v>
      </c>
      <c r="M2441" s="11" t="str">
        <f>IF(K2441&gt;=Paramètres!$F$6,"Très forte",IF(K2441&gt;=Paramètres!$F$5,"Forte",IF(K2441&gt;=Paramètres!$F$4,"Modérée","Faible")))</f>
        <v>Faible</v>
      </c>
    </row>
    <row r="2442" spans="1:13">
      <c r="A2442" t="s">
        <v>152</v>
      </c>
      <c r="B2442" s="11">
        <v>75</v>
      </c>
      <c r="C2442" t="s">
        <v>86</v>
      </c>
      <c r="D2442" t="s">
        <v>22</v>
      </c>
      <c r="E2442" t="s">
        <v>496</v>
      </c>
      <c r="F2442" t="s">
        <v>88</v>
      </c>
      <c r="G2442" s="12">
        <v>18</v>
      </c>
      <c r="H2442" s="12">
        <v>80</v>
      </c>
      <c r="I2442" s="12">
        <v>18</v>
      </c>
      <c r="J2442" t="str">
        <f>VLOOKUP(B2442,Paramètres!$A$4:$C$11,3,FALSE)</f>
        <v>Paris</v>
      </c>
      <c r="K2442" s="13">
        <f>IFERROR(H2442/G2442,"")</f>
        <v>4.4444444444444446</v>
      </c>
      <c r="L2442" s="14">
        <f>IFERROR(I2442/G2442,"")</f>
        <v>1</v>
      </c>
      <c r="M2442" s="11" t="str">
        <f>IF(K2442&gt;=Paramètres!$F$6,"Très forte",IF(K2442&gt;=Paramètres!$F$5,"Forte",IF(K2442&gt;=Paramètres!$F$4,"Modérée","Faible")))</f>
        <v>Faible</v>
      </c>
    </row>
    <row r="2443" spans="1:13">
      <c r="A2443" t="s">
        <v>138</v>
      </c>
      <c r="B2443" s="11">
        <v>75</v>
      </c>
      <c r="C2443" t="s">
        <v>86</v>
      </c>
      <c r="D2443" t="s">
        <v>22</v>
      </c>
      <c r="E2443" t="s">
        <v>681</v>
      </c>
      <c r="F2443" t="s">
        <v>88</v>
      </c>
      <c r="G2443" s="12">
        <v>45</v>
      </c>
      <c r="H2443" s="12">
        <v>200</v>
      </c>
      <c r="I2443" s="12">
        <v>41</v>
      </c>
      <c r="J2443" t="str">
        <f>VLOOKUP(B2443,Paramètres!$A$4:$C$11,3,FALSE)</f>
        <v>Paris</v>
      </c>
      <c r="K2443" s="13">
        <f>IFERROR(H2443/G2443,"")</f>
        <v>4.4444444444444446</v>
      </c>
      <c r="L2443" s="14">
        <f>IFERROR(I2443/G2443,"")</f>
        <v>0.91111111111111109</v>
      </c>
      <c r="M2443" s="11" t="str">
        <f>IF(K2443&gt;=Paramètres!$F$6,"Très forte",IF(K2443&gt;=Paramètres!$F$5,"Forte",IF(K2443&gt;=Paramètres!$F$4,"Modérée","Faible")))</f>
        <v>Faible</v>
      </c>
    </row>
    <row r="2444" spans="1:13">
      <c r="A2444" t="s">
        <v>115</v>
      </c>
      <c r="B2444" s="11">
        <v>94</v>
      </c>
      <c r="C2444" t="s">
        <v>116</v>
      </c>
      <c r="D2444" t="s">
        <v>22</v>
      </c>
      <c r="E2444" t="s">
        <v>321</v>
      </c>
      <c r="F2444" t="s">
        <v>88</v>
      </c>
      <c r="G2444" s="12">
        <v>40</v>
      </c>
      <c r="H2444" s="12">
        <v>177</v>
      </c>
      <c r="I2444" s="12">
        <v>31</v>
      </c>
      <c r="J2444" t="str">
        <f>VLOOKUP(B2444,Paramètres!$A$4:$C$11,3,FALSE)</f>
        <v>Petite couronne</v>
      </c>
      <c r="K2444" s="13">
        <f>IFERROR(H2444/G2444,"")</f>
        <v>4.4249999999999998</v>
      </c>
      <c r="L2444" s="14">
        <f>IFERROR(I2444/G2444,"")</f>
        <v>0.77500000000000002</v>
      </c>
      <c r="M2444" s="11" t="str">
        <f>IF(K2444&gt;=Paramètres!$F$6,"Très forte",IF(K2444&gt;=Paramètres!$F$5,"Forte",IF(K2444&gt;=Paramètres!$F$4,"Modérée","Faible")))</f>
        <v>Faible</v>
      </c>
    </row>
    <row r="2445" spans="1:13">
      <c r="A2445" t="s">
        <v>108</v>
      </c>
      <c r="B2445" s="11">
        <v>93</v>
      </c>
      <c r="C2445" t="s">
        <v>100</v>
      </c>
      <c r="D2445" t="s">
        <v>22</v>
      </c>
      <c r="E2445" t="s">
        <v>423</v>
      </c>
      <c r="F2445" t="s">
        <v>88</v>
      </c>
      <c r="G2445" s="12">
        <v>145</v>
      </c>
      <c r="H2445" s="12">
        <v>640</v>
      </c>
      <c r="I2445" s="12">
        <v>152</v>
      </c>
      <c r="J2445" t="str">
        <f>VLOOKUP(B2445,Paramètres!$A$4:$C$11,3,FALSE)</f>
        <v>Petite couronne</v>
      </c>
      <c r="K2445" s="13">
        <f>IFERROR(H2445/G2445,"")</f>
        <v>4.4137931034482758</v>
      </c>
      <c r="L2445" s="14">
        <f>IFERROR(I2445/G2445,"")</f>
        <v>1.0482758620689656</v>
      </c>
      <c r="M2445" s="11" t="str">
        <f>IF(K2445&gt;=Paramètres!$F$6,"Très forte",IF(K2445&gt;=Paramètres!$F$5,"Forte",IF(K2445&gt;=Paramètres!$F$4,"Modérée","Faible")))</f>
        <v>Faible</v>
      </c>
    </row>
    <row r="2446" spans="1:13">
      <c r="A2446" t="s">
        <v>131</v>
      </c>
      <c r="B2446" s="11">
        <v>77</v>
      </c>
      <c r="C2446" t="s">
        <v>132</v>
      </c>
      <c r="D2446" t="s">
        <v>22</v>
      </c>
      <c r="E2446" t="s">
        <v>255</v>
      </c>
      <c r="F2446" t="s">
        <v>88</v>
      </c>
      <c r="G2446" s="12">
        <v>70</v>
      </c>
      <c r="H2446" s="12">
        <v>308</v>
      </c>
      <c r="I2446" s="12">
        <v>69</v>
      </c>
      <c r="J2446" t="str">
        <f>VLOOKUP(B2446,Paramètres!$A$4:$C$11,3,FALSE)</f>
        <v>Grande couronne</v>
      </c>
      <c r="K2446" s="13">
        <f>IFERROR(H2446/G2446,"")</f>
        <v>4.4000000000000004</v>
      </c>
      <c r="L2446" s="14">
        <f>IFERROR(I2446/G2446,"")</f>
        <v>0.98571428571428577</v>
      </c>
      <c r="M2446" s="11" t="str">
        <f>IF(K2446&gt;=Paramètres!$F$6,"Très forte",IF(K2446&gt;=Paramètres!$F$5,"Forte",IF(K2446&gt;=Paramètres!$F$4,"Modérée","Faible")))</f>
        <v>Faible</v>
      </c>
    </row>
    <row r="2447" spans="1:13">
      <c r="A2447" t="s">
        <v>138</v>
      </c>
      <c r="B2447" s="11">
        <v>75</v>
      </c>
      <c r="C2447" t="s">
        <v>86</v>
      </c>
      <c r="D2447" t="s">
        <v>22</v>
      </c>
      <c r="E2447" t="s">
        <v>511</v>
      </c>
      <c r="F2447" t="s">
        <v>88</v>
      </c>
      <c r="G2447" s="12">
        <v>15</v>
      </c>
      <c r="H2447" s="12">
        <v>66</v>
      </c>
      <c r="I2447" s="12">
        <v>8</v>
      </c>
      <c r="J2447" t="str">
        <f>VLOOKUP(B2447,Paramètres!$A$4:$C$11,3,FALSE)</f>
        <v>Paris</v>
      </c>
      <c r="K2447" s="13">
        <f>IFERROR(H2447/G2447,"")</f>
        <v>4.4000000000000004</v>
      </c>
      <c r="L2447" s="14">
        <f>IFERROR(I2447/G2447,"")</f>
        <v>0.53333333333333333</v>
      </c>
      <c r="M2447" s="11" t="str">
        <f>IF(K2447&gt;=Paramètres!$F$6,"Très forte",IF(K2447&gt;=Paramètres!$F$5,"Forte",IF(K2447&gt;=Paramètres!$F$4,"Modérée","Faible")))</f>
        <v>Faible</v>
      </c>
    </row>
    <row r="2448" spans="1:13">
      <c r="A2448" t="s">
        <v>265</v>
      </c>
      <c r="B2448" s="11">
        <v>93</v>
      </c>
      <c r="C2448" t="s">
        <v>100</v>
      </c>
      <c r="D2448" t="s">
        <v>22</v>
      </c>
      <c r="E2448" t="s">
        <v>256</v>
      </c>
      <c r="F2448" t="s">
        <v>88</v>
      </c>
      <c r="G2448" s="12">
        <v>80</v>
      </c>
      <c r="H2448" s="12">
        <v>351</v>
      </c>
      <c r="I2448" s="12">
        <v>70</v>
      </c>
      <c r="J2448" t="str">
        <f>VLOOKUP(B2448,Paramètres!$A$4:$C$11,3,FALSE)</f>
        <v>Petite couronne</v>
      </c>
      <c r="K2448" s="13">
        <f>IFERROR(H2448/G2448,"")</f>
        <v>4.3875000000000002</v>
      </c>
      <c r="L2448" s="14">
        <f>IFERROR(I2448/G2448,"")</f>
        <v>0.875</v>
      </c>
      <c r="M2448" s="11" t="str">
        <f>IF(K2448&gt;=Paramètres!$F$6,"Très forte",IF(K2448&gt;=Paramètres!$F$5,"Forte",IF(K2448&gt;=Paramètres!$F$4,"Modérée","Faible")))</f>
        <v>Faible</v>
      </c>
    </row>
    <row r="2449" spans="1:13">
      <c r="A2449" t="s">
        <v>533</v>
      </c>
      <c r="B2449" s="11">
        <v>78</v>
      </c>
      <c r="C2449" t="s">
        <v>135</v>
      </c>
      <c r="D2449" t="s">
        <v>22</v>
      </c>
      <c r="E2449" t="s">
        <v>534</v>
      </c>
      <c r="F2449" t="s">
        <v>88</v>
      </c>
      <c r="G2449" s="12">
        <v>30</v>
      </c>
      <c r="H2449" s="12">
        <v>131</v>
      </c>
      <c r="I2449" s="12">
        <v>28</v>
      </c>
      <c r="J2449" t="str">
        <f>VLOOKUP(B2449,Paramètres!$A$4:$C$11,3,FALSE)</f>
        <v>Grande couronne</v>
      </c>
      <c r="K2449" s="13">
        <f>IFERROR(H2449/G2449,"")</f>
        <v>4.3666666666666663</v>
      </c>
      <c r="L2449" s="14">
        <f>IFERROR(I2449/G2449,"")</f>
        <v>0.93333333333333335</v>
      </c>
      <c r="M2449" s="11" t="str">
        <f>IF(K2449&gt;=Paramètres!$F$6,"Très forte",IF(K2449&gt;=Paramètres!$F$5,"Forte",IF(K2449&gt;=Paramètres!$F$4,"Modérée","Faible")))</f>
        <v>Faible</v>
      </c>
    </row>
    <row r="2450" spans="1:13">
      <c r="A2450" t="s">
        <v>119</v>
      </c>
      <c r="B2450" s="11">
        <v>75</v>
      </c>
      <c r="C2450" t="s">
        <v>86</v>
      </c>
      <c r="D2450" t="s">
        <v>22</v>
      </c>
      <c r="E2450" t="s">
        <v>590</v>
      </c>
      <c r="F2450" t="s">
        <v>92</v>
      </c>
      <c r="G2450" s="12">
        <v>150</v>
      </c>
      <c r="H2450" s="12">
        <v>652</v>
      </c>
      <c r="I2450" s="12">
        <v>150</v>
      </c>
      <c r="J2450" t="str">
        <f>VLOOKUP(B2450,Paramètres!$A$4:$C$11,3,FALSE)</f>
        <v>Paris</v>
      </c>
      <c r="K2450" s="13">
        <f>IFERROR(H2450/G2450,"")</f>
        <v>4.3466666666666667</v>
      </c>
      <c r="L2450" s="14">
        <f>IFERROR(I2450/G2450,"")</f>
        <v>1</v>
      </c>
      <c r="M2450" s="11" t="str">
        <f>IF(K2450&gt;=Paramètres!$F$6,"Très forte",IF(K2450&gt;=Paramètres!$F$5,"Forte",IF(K2450&gt;=Paramètres!$F$4,"Modérée","Faible")))</f>
        <v>Faible</v>
      </c>
    </row>
    <row r="2451" spans="1:13">
      <c r="A2451" t="s">
        <v>138</v>
      </c>
      <c r="B2451" s="11">
        <v>75</v>
      </c>
      <c r="C2451" t="s">
        <v>86</v>
      </c>
      <c r="D2451" t="s">
        <v>22</v>
      </c>
      <c r="E2451" t="s">
        <v>189</v>
      </c>
      <c r="F2451" t="s">
        <v>88</v>
      </c>
      <c r="G2451" s="12">
        <v>15</v>
      </c>
      <c r="H2451" s="12">
        <v>65</v>
      </c>
      <c r="I2451" s="12">
        <v>10</v>
      </c>
      <c r="J2451" t="str">
        <f>VLOOKUP(B2451,Paramètres!$A$4:$C$11,3,FALSE)</f>
        <v>Paris</v>
      </c>
      <c r="K2451" s="13">
        <f>IFERROR(H2451/G2451,"")</f>
        <v>4.333333333333333</v>
      </c>
      <c r="L2451" s="14">
        <f>IFERROR(I2451/G2451,"")</f>
        <v>0.66666666666666663</v>
      </c>
      <c r="M2451" s="11" t="str">
        <f>IF(K2451&gt;=Paramètres!$F$6,"Très forte",IF(K2451&gt;=Paramètres!$F$5,"Forte",IF(K2451&gt;=Paramètres!$F$4,"Modérée","Faible")))</f>
        <v>Faible</v>
      </c>
    </row>
    <row r="2452" spans="1:13">
      <c r="A2452" t="s">
        <v>108</v>
      </c>
      <c r="B2452" s="11">
        <v>93</v>
      </c>
      <c r="C2452" t="s">
        <v>100</v>
      </c>
      <c r="D2452" t="s">
        <v>22</v>
      </c>
      <c r="E2452" t="s">
        <v>612</v>
      </c>
      <c r="F2452" t="s">
        <v>88</v>
      </c>
      <c r="G2452" s="12">
        <v>70</v>
      </c>
      <c r="H2452" s="12">
        <v>302</v>
      </c>
      <c r="I2452" s="12">
        <v>58</v>
      </c>
      <c r="J2452" t="str">
        <f>VLOOKUP(B2452,Paramètres!$A$4:$C$11,3,FALSE)</f>
        <v>Petite couronne</v>
      </c>
      <c r="K2452" s="13">
        <f>IFERROR(H2452/G2452,"")</f>
        <v>4.3142857142857141</v>
      </c>
      <c r="L2452" s="14">
        <f>IFERROR(I2452/G2452,"")</f>
        <v>0.82857142857142863</v>
      </c>
      <c r="M2452" s="11" t="str">
        <f>IF(K2452&gt;=Paramètres!$F$6,"Très forte",IF(K2452&gt;=Paramètres!$F$5,"Forte",IF(K2452&gt;=Paramètres!$F$4,"Modérée","Faible")))</f>
        <v>Faible</v>
      </c>
    </row>
    <row r="2453" spans="1:13">
      <c r="A2453" t="s">
        <v>97</v>
      </c>
      <c r="B2453" s="11">
        <v>92</v>
      </c>
      <c r="C2453" t="s">
        <v>94</v>
      </c>
      <c r="D2453" t="s">
        <v>22</v>
      </c>
      <c r="E2453" t="s">
        <v>448</v>
      </c>
      <c r="F2453" t="s">
        <v>88</v>
      </c>
      <c r="G2453" s="12">
        <v>58</v>
      </c>
      <c r="H2453" s="12">
        <v>248</v>
      </c>
      <c r="I2453" s="12">
        <v>55</v>
      </c>
      <c r="J2453" t="str">
        <f>VLOOKUP(B2453,Paramètres!$A$4:$C$11,3,FALSE)</f>
        <v>Petite couronne</v>
      </c>
      <c r="K2453" s="13">
        <f>IFERROR(H2453/G2453,"")</f>
        <v>4.2758620689655169</v>
      </c>
      <c r="L2453" s="14">
        <f>IFERROR(I2453/G2453,"")</f>
        <v>0.94827586206896552</v>
      </c>
      <c r="M2453" s="11" t="str">
        <f>IF(K2453&gt;=Paramètres!$F$6,"Très forte",IF(K2453&gt;=Paramètres!$F$5,"Forte",IF(K2453&gt;=Paramètres!$F$4,"Modérée","Faible")))</f>
        <v>Faible</v>
      </c>
    </row>
    <row r="2454" spans="1:13">
      <c r="A2454" t="s">
        <v>119</v>
      </c>
      <c r="B2454" s="11">
        <v>75</v>
      </c>
      <c r="C2454" t="s">
        <v>86</v>
      </c>
      <c r="D2454" t="s">
        <v>22</v>
      </c>
      <c r="E2454" t="s">
        <v>120</v>
      </c>
      <c r="F2454" t="s">
        <v>88</v>
      </c>
      <c r="G2454" s="12">
        <v>345</v>
      </c>
      <c r="H2454" s="12">
        <v>1475</v>
      </c>
      <c r="I2454" s="12">
        <v>341</v>
      </c>
      <c r="J2454" t="str">
        <f>VLOOKUP(B2454,Paramètres!$A$4:$C$11,3,FALSE)</f>
        <v>Paris</v>
      </c>
      <c r="K2454" s="13">
        <f>IFERROR(H2454/G2454,"")</f>
        <v>4.27536231884058</v>
      </c>
      <c r="L2454" s="14">
        <f>IFERROR(I2454/G2454,"")</f>
        <v>0.98840579710144927</v>
      </c>
      <c r="M2454" s="11" t="str">
        <f>IF(K2454&gt;=Paramètres!$F$6,"Très forte",IF(K2454&gt;=Paramètres!$F$5,"Forte",IF(K2454&gt;=Paramètres!$F$4,"Modérée","Faible")))</f>
        <v>Faible</v>
      </c>
    </row>
    <row r="2455" spans="1:13">
      <c r="A2455" t="s">
        <v>108</v>
      </c>
      <c r="B2455" s="11">
        <v>93</v>
      </c>
      <c r="C2455" t="s">
        <v>100</v>
      </c>
      <c r="D2455" t="s">
        <v>22</v>
      </c>
      <c r="E2455" t="s">
        <v>255</v>
      </c>
      <c r="F2455" t="s">
        <v>88</v>
      </c>
      <c r="G2455" s="12">
        <v>95</v>
      </c>
      <c r="H2455" s="12">
        <v>406</v>
      </c>
      <c r="I2455" s="12">
        <v>95</v>
      </c>
      <c r="J2455" t="str">
        <f>VLOOKUP(B2455,Paramètres!$A$4:$C$11,3,FALSE)</f>
        <v>Petite couronne</v>
      </c>
      <c r="K2455" s="13">
        <f>IFERROR(H2455/G2455,"")</f>
        <v>4.2736842105263158</v>
      </c>
      <c r="L2455" s="14">
        <f>IFERROR(I2455/G2455,"")</f>
        <v>1</v>
      </c>
      <c r="M2455" s="11" t="str">
        <f>IF(K2455&gt;=Paramètres!$F$6,"Très forte",IF(K2455&gt;=Paramètres!$F$5,"Forte",IF(K2455&gt;=Paramètres!$F$4,"Modérée","Faible")))</f>
        <v>Faible</v>
      </c>
    </row>
    <row r="2456" spans="1:13">
      <c r="A2456" t="s">
        <v>119</v>
      </c>
      <c r="B2456" s="11">
        <v>75</v>
      </c>
      <c r="C2456" t="s">
        <v>86</v>
      </c>
      <c r="D2456" t="s">
        <v>22</v>
      </c>
      <c r="E2456" t="s">
        <v>737</v>
      </c>
      <c r="F2456" t="s">
        <v>88</v>
      </c>
      <c r="G2456" s="12">
        <v>70</v>
      </c>
      <c r="H2456" s="12">
        <v>296</v>
      </c>
      <c r="I2456" s="12">
        <v>69</v>
      </c>
      <c r="J2456" t="str">
        <f>VLOOKUP(B2456,Paramètres!$A$4:$C$11,3,FALSE)</f>
        <v>Paris</v>
      </c>
      <c r="K2456" s="13">
        <f>IFERROR(H2456/G2456,"")</f>
        <v>4.2285714285714286</v>
      </c>
      <c r="L2456" s="14">
        <f>IFERROR(I2456/G2456,"")</f>
        <v>0.98571428571428577</v>
      </c>
      <c r="M2456" s="11" t="str">
        <f>IF(K2456&gt;=Paramètres!$F$6,"Très forte",IF(K2456&gt;=Paramètres!$F$5,"Forte",IF(K2456&gt;=Paramètres!$F$4,"Modérée","Faible")))</f>
        <v>Faible</v>
      </c>
    </row>
    <row r="2457" spans="1:13">
      <c r="A2457" t="s">
        <v>144</v>
      </c>
      <c r="B2457" s="11">
        <v>95</v>
      </c>
      <c r="C2457" t="s">
        <v>90</v>
      </c>
      <c r="D2457" t="s">
        <v>22</v>
      </c>
      <c r="E2457" t="s">
        <v>165</v>
      </c>
      <c r="F2457" t="s">
        <v>88</v>
      </c>
      <c r="G2457" s="12">
        <v>160</v>
      </c>
      <c r="H2457" s="12">
        <v>676</v>
      </c>
      <c r="I2457" s="12">
        <v>156</v>
      </c>
      <c r="J2457" t="str">
        <f>VLOOKUP(B2457,Paramètres!$A$4:$C$11,3,FALSE)</f>
        <v>Grande couronne</v>
      </c>
      <c r="K2457" s="13">
        <f>IFERROR(H2457/G2457,"")</f>
        <v>4.2249999999999996</v>
      </c>
      <c r="L2457" s="14">
        <f>IFERROR(I2457/G2457,"")</f>
        <v>0.97499999999999998</v>
      </c>
      <c r="M2457" s="11" t="str">
        <f>IF(K2457&gt;=Paramètres!$F$6,"Très forte",IF(K2457&gt;=Paramètres!$F$5,"Forte",IF(K2457&gt;=Paramètres!$F$4,"Modérée","Faible")))</f>
        <v>Faible</v>
      </c>
    </row>
    <row r="2458" spans="1:13">
      <c r="A2458" t="s">
        <v>144</v>
      </c>
      <c r="B2458" s="11">
        <v>95</v>
      </c>
      <c r="C2458" t="s">
        <v>90</v>
      </c>
      <c r="D2458" t="s">
        <v>22</v>
      </c>
      <c r="E2458" t="s">
        <v>627</v>
      </c>
      <c r="F2458" t="s">
        <v>88</v>
      </c>
      <c r="G2458" s="12">
        <v>110</v>
      </c>
      <c r="H2458" s="12">
        <v>464</v>
      </c>
      <c r="I2458" s="12">
        <v>107</v>
      </c>
      <c r="J2458" t="str">
        <f>VLOOKUP(B2458,Paramètres!$A$4:$C$11,3,FALSE)</f>
        <v>Grande couronne</v>
      </c>
      <c r="K2458" s="13">
        <f>IFERROR(H2458/G2458,"")</f>
        <v>4.2181818181818178</v>
      </c>
      <c r="L2458" s="14">
        <f>IFERROR(I2458/G2458,"")</f>
        <v>0.97272727272727277</v>
      </c>
      <c r="M2458" s="11" t="str">
        <f>IF(K2458&gt;=Paramètres!$F$6,"Très forte",IF(K2458&gt;=Paramètres!$F$5,"Forte",IF(K2458&gt;=Paramètres!$F$4,"Modérée","Faible")))</f>
        <v>Faible</v>
      </c>
    </row>
    <row r="2459" spans="1:13">
      <c r="A2459" t="s">
        <v>127</v>
      </c>
      <c r="B2459" s="11">
        <v>75</v>
      </c>
      <c r="C2459" t="s">
        <v>86</v>
      </c>
      <c r="D2459" t="s">
        <v>22</v>
      </c>
      <c r="E2459" t="s">
        <v>370</v>
      </c>
      <c r="F2459" t="s">
        <v>88</v>
      </c>
      <c r="G2459" s="12">
        <v>35</v>
      </c>
      <c r="H2459" s="12">
        <v>147</v>
      </c>
      <c r="I2459" s="12">
        <v>32</v>
      </c>
      <c r="J2459" t="str">
        <f>VLOOKUP(B2459,Paramètres!$A$4:$C$11,3,FALSE)</f>
        <v>Paris</v>
      </c>
      <c r="K2459" s="13">
        <f>IFERROR(H2459/G2459,"")</f>
        <v>4.2</v>
      </c>
      <c r="L2459" s="14">
        <f>IFERROR(I2459/G2459,"")</f>
        <v>0.91428571428571426</v>
      </c>
      <c r="M2459" s="11" t="str">
        <f>IF(K2459&gt;=Paramètres!$F$6,"Très forte",IF(K2459&gt;=Paramètres!$F$5,"Forte",IF(K2459&gt;=Paramètres!$F$4,"Modérée","Faible")))</f>
        <v>Faible</v>
      </c>
    </row>
    <row r="2460" spans="1:13">
      <c r="A2460" t="s">
        <v>131</v>
      </c>
      <c r="B2460" s="11">
        <v>77</v>
      </c>
      <c r="C2460" t="s">
        <v>132</v>
      </c>
      <c r="D2460" t="s">
        <v>22</v>
      </c>
      <c r="E2460" t="s">
        <v>165</v>
      </c>
      <c r="F2460" t="s">
        <v>88</v>
      </c>
      <c r="G2460" s="12">
        <v>140</v>
      </c>
      <c r="H2460" s="12">
        <v>586</v>
      </c>
      <c r="I2460" s="12">
        <v>139</v>
      </c>
      <c r="J2460" t="str">
        <f>VLOOKUP(B2460,Paramètres!$A$4:$C$11,3,FALSE)</f>
        <v>Grande couronne</v>
      </c>
      <c r="K2460" s="13">
        <f>IFERROR(H2460/G2460,"")</f>
        <v>4.1857142857142859</v>
      </c>
      <c r="L2460" s="14">
        <f>IFERROR(I2460/G2460,"")</f>
        <v>0.99285714285714288</v>
      </c>
      <c r="M2460" s="11" t="str">
        <f>IF(K2460&gt;=Paramètres!$F$6,"Très forte",IF(K2460&gt;=Paramètres!$F$5,"Forte",IF(K2460&gt;=Paramètres!$F$4,"Modérée","Faible")))</f>
        <v>Faible</v>
      </c>
    </row>
    <row r="2461" spans="1:13">
      <c r="A2461" t="s">
        <v>190</v>
      </c>
      <c r="B2461" s="11">
        <v>75</v>
      </c>
      <c r="C2461" t="s">
        <v>86</v>
      </c>
      <c r="D2461" t="s">
        <v>22</v>
      </c>
      <c r="E2461" t="s">
        <v>451</v>
      </c>
      <c r="F2461" t="s">
        <v>88</v>
      </c>
      <c r="G2461" s="12">
        <v>75</v>
      </c>
      <c r="H2461" s="12">
        <v>313</v>
      </c>
      <c r="I2461" s="12">
        <v>52</v>
      </c>
      <c r="J2461" t="str">
        <f>VLOOKUP(B2461,Paramètres!$A$4:$C$11,3,FALSE)</f>
        <v>Paris</v>
      </c>
      <c r="K2461" s="13">
        <f>IFERROR(H2461/G2461,"")</f>
        <v>4.1733333333333329</v>
      </c>
      <c r="L2461" s="14">
        <f>IFERROR(I2461/G2461,"")</f>
        <v>0.69333333333333336</v>
      </c>
      <c r="M2461" s="11" t="str">
        <f>IF(K2461&gt;=Paramètres!$F$6,"Très forte",IF(K2461&gt;=Paramètres!$F$5,"Forte",IF(K2461&gt;=Paramètres!$F$4,"Modérée","Faible")))</f>
        <v>Faible</v>
      </c>
    </row>
    <row r="2462" spans="1:13">
      <c r="A2462" t="s">
        <v>131</v>
      </c>
      <c r="B2462" s="11">
        <v>77</v>
      </c>
      <c r="C2462" t="s">
        <v>132</v>
      </c>
      <c r="D2462" t="s">
        <v>22</v>
      </c>
      <c r="E2462" t="s">
        <v>517</v>
      </c>
      <c r="F2462" t="s">
        <v>88</v>
      </c>
      <c r="G2462" s="12">
        <v>45</v>
      </c>
      <c r="H2462" s="12">
        <v>187</v>
      </c>
      <c r="I2462" s="12">
        <v>43</v>
      </c>
      <c r="J2462" t="str">
        <f>VLOOKUP(B2462,Paramètres!$A$4:$C$11,3,FALSE)</f>
        <v>Grande couronne</v>
      </c>
      <c r="K2462" s="13">
        <f>IFERROR(H2462/G2462,"")</f>
        <v>4.1555555555555559</v>
      </c>
      <c r="L2462" s="14">
        <f>IFERROR(I2462/G2462,"")</f>
        <v>0.9555555555555556</v>
      </c>
      <c r="M2462" s="11" t="str">
        <f>IF(K2462&gt;=Paramètres!$F$6,"Très forte",IF(K2462&gt;=Paramètres!$F$5,"Forte",IF(K2462&gt;=Paramètres!$F$4,"Modérée","Faible")))</f>
        <v>Faible</v>
      </c>
    </row>
    <row r="2463" spans="1:13">
      <c r="A2463" t="s">
        <v>138</v>
      </c>
      <c r="B2463" s="11">
        <v>75</v>
      </c>
      <c r="C2463" t="s">
        <v>86</v>
      </c>
      <c r="D2463" t="s">
        <v>22</v>
      </c>
      <c r="E2463" t="s">
        <v>139</v>
      </c>
      <c r="F2463" t="s">
        <v>88</v>
      </c>
      <c r="G2463" s="12">
        <v>20</v>
      </c>
      <c r="H2463" s="12">
        <v>83</v>
      </c>
      <c r="I2463" s="12">
        <v>19</v>
      </c>
      <c r="J2463" t="str">
        <f>VLOOKUP(B2463,Paramètres!$A$4:$C$11,3,FALSE)</f>
        <v>Paris</v>
      </c>
      <c r="K2463" s="13">
        <f>IFERROR(H2463/G2463,"")</f>
        <v>4.1500000000000004</v>
      </c>
      <c r="L2463" s="14">
        <f>IFERROR(I2463/G2463,"")</f>
        <v>0.95</v>
      </c>
      <c r="M2463" s="11" t="str">
        <f>IF(K2463&gt;=Paramètres!$F$6,"Très forte",IF(K2463&gt;=Paramètres!$F$5,"Forte",IF(K2463&gt;=Paramètres!$F$4,"Modérée","Faible")))</f>
        <v>Faible</v>
      </c>
    </row>
    <row r="2464" spans="1:13">
      <c r="A2464" t="s">
        <v>110</v>
      </c>
      <c r="B2464" s="11">
        <v>75</v>
      </c>
      <c r="C2464" t="s">
        <v>86</v>
      </c>
      <c r="D2464" t="s">
        <v>22</v>
      </c>
      <c r="E2464" t="s">
        <v>179</v>
      </c>
      <c r="F2464" t="s">
        <v>88</v>
      </c>
      <c r="G2464" s="12">
        <v>135</v>
      </c>
      <c r="H2464" s="12">
        <v>559</v>
      </c>
      <c r="I2464" s="12">
        <v>130</v>
      </c>
      <c r="J2464" t="str">
        <f>VLOOKUP(B2464,Paramètres!$A$4:$C$11,3,FALSE)</f>
        <v>Paris</v>
      </c>
      <c r="K2464" s="13">
        <f>IFERROR(H2464/G2464,"")</f>
        <v>4.1407407407407408</v>
      </c>
      <c r="L2464" s="14">
        <f>IFERROR(I2464/G2464,"")</f>
        <v>0.96296296296296291</v>
      </c>
      <c r="M2464" s="11" t="str">
        <f>IF(K2464&gt;=Paramètres!$F$6,"Très forte",IF(K2464&gt;=Paramètres!$F$5,"Forte",IF(K2464&gt;=Paramètres!$F$4,"Modérée","Faible")))</f>
        <v>Faible</v>
      </c>
    </row>
    <row r="2465" spans="1:13">
      <c r="A2465" t="s">
        <v>138</v>
      </c>
      <c r="B2465" s="11">
        <v>75</v>
      </c>
      <c r="C2465" t="s">
        <v>86</v>
      </c>
      <c r="D2465" t="s">
        <v>22</v>
      </c>
      <c r="E2465" t="s">
        <v>788</v>
      </c>
      <c r="F2465" t="s">
        <v>88</v>
      </c>
      <c r="G2465" s="12">
        <v>10</v>
      </c>
      <c r="H2465" s="12">
        <v>41</v>
      </c>
      <c r="I2465" s="12">
        <v>4</v>
      </c>
      <c r="J2465" t="str">
        <f>VLOOKUP(B2465,Paramètres!$A$4:$C$11,3,FALSE)</f>
        <v>Paris</v>
      </c>
      <c r="K2465" s="13">
        <f>IFERROR(H2465/G2465,"")</f>
        <v>4.0999999999999996</v>
      </c>
      <c r="L2465" s="14">
        <f>IFERROR(I2465/G2465,"")</f>
        <v>0.4</v>
      </c>
      <c r="M2465" s="11" t="str">
        <f>IF(K2465&gt;=Paramètres!$F$6,"Très forte",IF(K2465&gt;=Paramètres!$F$5,"Forte",IF(K2465&gt;=Paramètres!$F$4,"Modérée","Faible")))</f>
        <v>Faible</v>
      </c>
    </row>
    <row r="2466" spans="1:13">
      <c r="A2466" t="s">
        <v>134</v>
      </c>
      <c r="B2466" s="11">
        <v>78</v>
      </c>
      <c r="C2466" t="s">
        <v>135</v>
      </c>
      <c r="D2466" t="s">
        <v>22</v>
      </c>
      <c r="E2466" t="s">
        <v>437</v>
      </c>
      <c r="F2466" t="s">
        <v>88</v>
      </c>
      <c r="G2466" s="12">
        <v>56</v>
      </c>
      <c r="H2466" s="12">
        <v>229</v>
      </c>
      <c r="I2466" s="12">
        <v>55</v>
      </c>
      <c r="J2466" t="str">
        <f>VLOOKUP(B2466,Paramètres!$A$4:$C$11,3,FALSE)</f>
        <v>Grande couronne</v>
      </c>
      <c r="K2466" s="13">
        <f>IFERROR(H2466/G2466,"")</f>
        <v>4.0892857142857144</v>
      </c>
      <c r="L2466" s="14">
        <f>IFERROR(I2466/G2466,"")</f>
        <v>0.9821428571428571</v>
      </c>
      <c r="M2466" s="11" t="str">
        <f>IF(K2466&gt;=Paramètres!$F$6,"Très forte",IF(K2466&gt;=Paramètres!$F$5,"Forte",IF(K2466&gt;=Paramètres!$F$4,"Modérée","Faible")))</f>
        <v>Faible</v>
      </c>
    </row>
    <row r="2467" spans="1:13">
      <c r="A2467" t="s">
        <v>119</v>
      </c>
      <c r="B2467" s="11">
        <v>75</v>
      </c>
      <c r="C2467" t="s">
        <v>86</v>
      </c>
      <c r="D2467" t="s">
        <v>22</v>
      </c>
      <c r="E2467" t="s">
        <v>738</v>
      </c>
      <c r="F2467" t="s">
        <v>88</v>
      </c>
      <c r="G2467" s="12">
        <v>60</v>
      </c>
      <c r="H2467" s="12">
        <v>244</v>
      </c>
      <c r="I2467" s="12">
        <v>59</v>
      </c>
      <c r="J2467" t="str">
        <f>VLOOKUP(B2467,Paramètres!$A$4:$C$11,3,FALSE)</f>
        <v>Paris</v>
      </c>
      <c r="K2467" s="13">
        <f>IFERROR(H2467/G2467,"")</f>
        <v>4.0666666666666664</v>
      </c>
      <c r="L2467" s="14">
        <f>IFERROR(I2467/G2467,"")</f>
        <v>0.98333333333333328</v>
      </c>
      <c r="M2467" s="11" t="str">
        <f>IF(K2467&gt;=Paramètres!$F$6,"Très forte",IF(K2467&gt;=Paramètres!$F$5,"Forte",IF(K2467&gt;=Paramètres!$F$4,"Modérée","Faible")))</f>
        <v>Faible</v>
      </c>
    </row>
    <row r="2468" spans="1:13">
      <c r="A2468" t="s">
        <v>119</v>
      </c>
      <c r="B2468" s="11">
        <v>75</v>
      </c>
      <c r="C2468" t="s">
        <v>86</v>
      </c>
      <c r="D2468" t="s">
        <v>22</v>
      </c>
      <c r="E2468" t="s">
        <v>375</v>
      </c>
      <c r="F2468" t="s">
        <v>92</v>
      </c>
      <c r="G2468" s="12">
        <v>20</v>
      </c>
      <c r="H2468" s="12">
        <v>81</v>
      </c>
      <c r="I2468" s="12">
        <v>6</v>
      </c>
      <c r="J2468" t="str">
        <f>VLOOKUP(B2468,Paramètres!$A$4:$C$11,3,FALSE)</f>
        <v>Paris</v>
      </c>
      <c r="K2468" s="13">
        <f>IFERROR(H2468/G2468,"")</f>
        <v>4.05</v>
      </c>
      <c r="L2468" s="14">
        <f>IFERROR(I2468/G2468,"")</f>
        <v>0.3</v>
      </c>
      <c r="M2468" s="11" t="str">
        <f>IF(K2468&gt;=Paramètres!$F$6,"Très forte",IF(K2468&gt;=Paramètres!$F$5,"Forte",IF(K2468&gt;=Paramètres!$F$4,"Modérée","Faible")))</f>
        <v>Faible</v>
      </c>
    </row>
    <row r="2469" spans="1:13">
      <c r="A2469" t="s">
        <v>162</v>
      </c>
      <c r="B2469" s="11">
        <v>91</v>
      </c>
      <c r="C2469" t="s">
        <v>105</v>
      </c>
      <c r="D2469" t="s">
        <v>22</v>
      </c>
      <c r="E2469" t="s">
        <v>546</v>
      </c>
      <c r="F2469" t="s">
        <v>88</v>
      </c>
      <c r="G2469" s="12">
        <v>80</v>
      </c>
      <c r="H2469" s="12">
        <v>323</v>
      </c>
      <c r="I2469" s="12">
        <v>76</v>
      </c>
      <c r="J2469" t="str">
        <f>VLOOKUP(B2469,Paramètres!$A$4:$C$11,3,FALSE)</f>
        <v>Grande couronne</v>
      </c>
      <c r="K2469" s="13">
        <f>IFERROR(H2469/G2469,"")</f>
        <v>4.0374999999999996</v>
      </c>
      <c r="L2469" s="14">
        <f>IFERROR(I2469/G2469,"")</f>
        <v>0.95</v>
      </c>
      <c r="M2469" s="11" t="str">
        <f>IF(K2469&gt;=Paramètres!$F$6,"Très forte",IF(K2469&gt;=Paramètres!$F$5,"Forte",IF(K2469&gt;=Paramètres!$F$4,"Modérée","Faible")))</f>
        <v>Faible</v>
      </c>
    </row>
    <row r="2470" spans="1:13">
      <c r="A2470" t="s">
        <v>138</v>
      </c>
      <c r="B2470" s="11">
        <v>75</v>
      </c>
      <c r="C2470" t="s">
        <v>86</v>
      </c>
      <c r="D2470" t="s">
        <v>22</v>
      </c>
      <c r="E2470" t="s">
        <v>182</v>
      </c>
      <c r="F2470" t="s">
        <v>88</v>
      </c>
      <c r="G2470" s="12">
        <v>30</v>
      </c>
      <c r="H2470" s="12">
        <v>121</v>
      </c>
      <c r="I2470" s="12">
        <v>29</v>
      </c>
      <c r="J2470" t="str">
        <f>VLOOKUP(B2470,Paramètres!$A$4:$C$11,3,FALSE)</f>
        <v>Paris</v>
      </c>
      <c r="K2470" s="13">
        <f>IFERROR(H2470/G2470,"")</f>
        <v>4.0333333333333332</v>
      </c>
      <c r="L2470" s="14">
        <f>IFERROR(I2470/G2470,"")</f>
        <v>0.96666666666666667</v>
      </c>
      <c r="M2470" s="11" t="str">
        <f>IF(K2470&gt;=Paramètres!$F$6,"Très forte",IF(K2470&gt;=Paramètres!$F$5,"Forte",IF(K2470&gt;=Paramètres!$F$4,"Modérée","Faible")))</f>
        <v>Faible</v>
      </c>
    </row>
    <row r="2471" spans="1:13">
      <c r="A2471" t="s">
        <v>138</v>
      </c>
      <c r="B2471" s="11">
        <v>75</v>
      </c>
      <c r="C2471" t="s">
        <v>86</v>
      </c>
      <c r="D2471" t="s">
        <v>22</v>
      </c>
      <c r="E2471" t="s">
        <v>382</v>
      </c>
      <c r="F2471" t="s">
        <v>88</v>
      </c>
      <c r="G2471" s="12">
        <v>30</v>
      </c>
      <c r="H2471" s="12">
        <v>121</v>
      </c>
      <c r="I2471" s="12">
        <v>28</v>
      </c>
      <c r="J2471" t="str">
        <f>VLOOKUP(B2471,Paramètres!$A$4:$C$11,3,FALSE)</f>
        <v>Paris</v>
      </c>
      <c r="K2471" s="13">
        <f>IFERROR(H2471/G2471,"")</f>
        <v>4.0333333333333332</v>
      </c>
      <c r="L2471" s="14">
        <f>IFERROR(I2471/G2471,"")</f>
        <v>0.93333333333333335</v>
      </c>
      <c r="M2471" s="11" t="str">
        <f>IF(K2471&gt;=Paramètres!$F$6,"Très forte",IF(K2471&gt;=Paramètres!$F$5,"Forte",IF(K2471&gt;=Paramètres!$F$4,"Modérée","Faible")))</f>
        <v>Faible</v>
      </c>
    </row>
    <row r="2472" spans="1:13">
      <c r="A2472" t="s">
        <v>115</v>
      </c>
      <c r="B2472" s="11">
        <v>94</v>
      </c>
      <c r="C2472" t="s">
        <v>116</v>
      </c>
      <c r="D2472" t="s">
        <v>22</v>
      </c>
      <c r="E2472" t="s">
        <v>297</v>
      </c>
      <c r="F2472" t="s">
        <v>88</v>
      </c>
      <c r="G2472" s="12">
        <v>85</v>
      </c>
      <c r="H2472" s="12">
        <v>341</v>
      </c>
      <c r="I2472" s="12">
        <v>83</v>
      </c>
      <c r="J2472" t="str">
        <f>VLOOKUP(B2472,Paramètres!$A$4:$C$11,3,FALSE)</f>
        <v>Petite couronne</v>
      </c>
      <c r="K2472" s="13">
        <f>IFERROR(H2472/G2472,"")</f>
        <v>4.0117647058823529</v>
      </c>
      <c r="L2472" s="14">
        <f>IFERROR(I2472/G2472,"")</f>
        <v>0.97647058823529409</v>
      </c>
      <c r="M2472" s="11" t="str">
        <f>IF(K2472&gt;=Paramètres!$F$6,"Très forte",IF(K2472&gt;=Paramètres!$F$5,"Forte",IF(K2472&gt;=Paramètres!$F$4,"Modérée","Faible")))</f>
        <v>Faible</v>
      </c>
    </row>
    <row r="2473" spans="1:13">
      <c r="A2473" t="s">
        <v>119</v>
      </c>
      <c r="B2473" s="11">
        <v>75</v>
      </c>
      <c r="C2473" t="s">
        <v>86</v>
      </c>
      <c r="D2473" t="s">
        <v>22</v>
      </c>
      <c r="E2473" t="s">
        <v>306</v>
      </c>
      <c r="F2473" t="s">
        <v>88</v>
      </c>
      <c r="G2473" s="12">
        <v>10</v>
      </c>
      <c r="H2473" s="12">
        <v>40</v>
      </c>
      <c r="I2473" s="12">
        <v>10</v>
      </c>
      <c r="J2473" t="str">
        <f>VLOOKUP(B2473,Paramètres!$A$4:$C$11,3,FALSE)</f>
        <v>Paris</v>
      </c>
      <c r="K2473" s="13">
        <f>IFERROR(H2473/G2473,"")</f>
        <v>4</v>
      </c>
      <c r="L2473" s="14">
        <f>IFERROR(I2473/G2473,"")</f>
        <v>1</v>
      </c>
      <c r="M2473" s="11" t="str">
        <f>IF(K2473&gt;=Paramètres!$F$6,"Très forte",IF(K2473&gt;=Paramètres!$F$5,"Forte",IF(K2473&gt;=Paramètres!$F$4,"Modérée","Faible")))</f>
        <v>Faible</v>
      </c>
    </row>
    <row r="2474" spans="1:13">
      <c r="A2474" t="s">
        <v>138</v>
      </c>
      <c r="B2474" s="11">
        <v>75</v>
      </c>
      <c r="C2474" t="s">
        <v>86</v>
      </c>
      <c r="D2474" t="s">
        <v>22</v>
      </c>
      <c r="E2474" t="s">
        <v>677</v>
      </c>
      <c r="F2474" t="s">
        <v>88</v>
      </c>
      <c r="G2474" s="12">
        <v>30</v>
      </c>
      <c r="H2474" s="12">
        <v>119</v>
      </c>
      <c r="I2474" s="12">
        <v>28</v>
      </c>
      <c r="J2474" t="str">
        <f>VLOOKUP(B2474,Paramètres!$A$4:$C$11,3,FALSE)</f>
        <v>Paris</v>
      </c>
      <c r="K2474" s="13">
        <f>IFERROR(H2474/G2474,"")</f>
        <v>3.9666666666666668</v>
      </c>
      <c r="L2474" s="14">
        <f>IFERROR(I2474/G2474,"")</f>
        <v>0.93333333333333335</v>
      </c>
      <c r="M2474" s="11" t="str">
        <f>IF(K2474&gt;=Paramètres!$F$6,"Très forte",IF(K2474&gt;=Paramètres!$F$5,"Forte",IF(K2474&gt;=Paramètres!$F$4,"Modérée","Faible")))</f>
        <v>Faible</v>
      </c>
    </row>
    <row r="2475" spans="1:13">
      <c r="A2475" t="s">
        <v>119</v>
      </c>
      <c r="B2475" s="11">
        <v>75</v>
      </c>
      <c r="C2475" t="s">
        <v>86</v>
      </c>
      <c r="D2475" t="s">
        <v>22</v>
      </c>
      <c r="E2475" t="s">
        <v>171</v>
      </c>
      <c r="F2475" t="s">
        <v>88</v>
      </c>
      <c r="G2475" s="12">
        <v>80</v>
      </c>
      <c r="H2475" s="12">
        <v>317</v>
      </c>
      <c r="I2475" s="12">
        <v>77</v>
      </c>
      <c r="J2475" t="str">
        <f>VLOOKUP(B2475,Paramètres!$A$4:$C$11,3,FALSE)</f>
        <v>Paris</v>
      </c>
      <c r="K2475" s="13">
        <f>IFERROR(H2475/G2475,"")</f>
        <v>3.9624999999999999</v>
      </c>
      <c r="L2475" s="14">
        <f>IFERROR(I2475/G2475,"")</f>
        <v>0.96250000000000002</v>
      </c>
      <c r="M2475" s="11" t="str">
        <f>IF(K2475&gt;=Paramètres!$F$6,"Très forte",IF(K2475&gt;=Paramètres!$F$5,"Forte",IF(K2475&gt;=Paramètres!$F$4,"Modérée","Faible")))</f>
        <v>Faible</v>
      </c>
    </row>
    <row r="2476" spans="1:13">
      <c r="A2476" t="s">
        <v>127</v>
      </c>
      <c r="B2476" s="11">
        <v>75</v>
      </c>
      <c r="C2476" t="s">
        <v>86</v>
      </c>
      <c r="D2476" t="s">
        <v>22</v>
      </c>
      <c r="E2476" t="s">
        <v>535</v>
      </c>
      <c r="F2476" t="s">
        <v>88</v>
      </c>
      <c r="G2476" s="12">
        <v>25</v>
      </c>
      <c r="H2476" s="12">
        <v>99</v>
      </c>
      <c r="I2476" s="12">
        <v>25</v>
      </c>
      <c r="J2476" t="str">
        <f>VLOOKUP(B2476,Paramètres!$A$4:$C$11,3,FALSE)</f>
        <v>Paris</v>
      </c>
      <c r="K2476" s="13">
        <f>IFERROR(H2476/G2476,"")</f>
        <v>3.96</v>
      </c>
      <c r="L2476" s="14">
        <f>IFERROR(I2476/G2476,"")</f>
        <v>1</v>
      </c>
      <c r="M2476" s="11" t="str">
        <f>IF(K2476&gt;=Paramètres!$F$6,"Très forte",IF(K2476&gt;=Paramètres!$F$5,"Forte",IF(K2476&gt;=Paramètres!$F$4,"Modérée","Faible")))</f>
        <v>Faible</v>
      </c>
    </row>
    <row r="2477" spans="1:13">
      <c r="A2477" t="s">
        <v>138</v>
      </c>
      <c r="B2477" s="11">
        <v>75</v>
      </c>
      <c r="C2477" t="s">
        <v>86</v>
      </c>
      <c r="D2477" t="s">
        <v>22</v>
      </c>
      <c r="E2477" t="s">
        <v>381</v>
      </c>
      <c r="F2477" t="s">
        <v>88</v>
      </c>
      <c r="G2477" s="12">
        <v>15</v>
      </c>
      <c r="H2477" s="12">
        <v>59</v>
      </c>
      <c r="I2477" s="12">
        <v>13</v>
      </c>
      <c r="J2477" t="str">
        <f>VLOOKUP(B2477,Paramètres!$A$4:$C$11,3,FALSE)</f>
        <v>Paris</v>
      </c>
      <c r="K2477" s="13">
        <f>IFERROR(H2477/G2477,"")</f>
        <v>3.9333333333333331</v>
      </c>
      <c r="L2477" s="14">
        <f>IFERROR(I2477/G2477,"")</f>
        <v>0.8666666666666667</v>
      </c>
      <c r="M2477" s="11" t="str">
        <f>IF(K2477&gt;=Paramètres!$F$6,"Très forte",IF(K2477&gt;=Paramètres!$F$5,"Forte",IF(K2477&gt;=Paramètres!$F$4,"Modérée","Faible")))</f>
        <v>Faible</v>
      </c>
    </row>
    <row r="2478" spans="1:13">
      <c r="A2478" t="s">
        <v>134</v>
      </c>
      <c r="B2478" s="11">
        <v>78</v>
      </c>
      <c r="C2478" t="s">
        <v>135</v>
      </c>
      <c r="D2478" t="s">
        <v>22</v>
      </c>
      <c r="E2478" t="s">
        <v>752</v>
      </c>
      <c r="F2478" t="s">
        <v>92</v>
      </c>
      <c r="G2478" s="12">
        <v>30</v>
      </c>
      <c r="H2478" s="12">
        <v>118</v>
      </c>
      <c r="I2478" s="12">
        <v>0</v>
      </c>
      <c r="J2478" t="str">
        <f>VLOOKUP(B2478,Paramètres!$A$4:$C$11,3,FALSE)</f>
        <v>Grande couronne</v>
      </c>
      <c r="K2478" s="13">
        <f>IFERROR(H2478/G2478,"")</f>
        <v>3.9333333333333331</v>
      </c>
      <c r="L2478" s="14">
        <f>IFERROR(I2478/G2478,"")</f>
        <v>0</v>
      </c>
      <c r="M2478" s="11" t="str">
        <f>IF(K2478&gt;=Paramètres!$F$6,"Très forte",IF(K2478&gt;=Paramètres!$F$5,"Forte",IF(K2478&gt;=Paramètres!$F$4,"Modérée","Faible")))</f>
        <v>Faible</v>
      </c>
    </row>
    <row r="2479" spans="1:13">
      <c r="A2479" t="s">
        <v>119</v>
      </c>
      <c r="B2479" s="11">
        <v>75</v>
      </c>
      <c r="C2479" t="s">
        <v>86</v>
      </c>
      <c r="D2479" t="s">
        <v>22</v>
      </c>
      <c r="E2479" t="s">
        <v>780</v>
      </c>
      <c r="F2479" t="s">
        <v>88</v>
      </c>
      <c r="G2479" s="12">
        <v>60</v>
      </c>
      <c r="H2479" s="12">
        <v>236</v>
      </c>
      <c r="I2479" s="12">
        <v>60</v>
      </c>
      <c r="J2479" t="str">
        <f>VLOOKUP(B2479,Paramètres!$A$4:$C$11,3,FALSE)</f>
        <v>Paris</v>
      </c>
      <c r="K2479" s="13">
        <f>IFERROR(H2479/G2479,"")</f>
        <v>3.9333333333333331</v>
      </c>
      <c r="L2479" s="14">
        <f>IFERROR(I2479/G2479,"")</f>
        <v>1</v>
      </c>
      <c r="M2479" s="11" t="str">
        <f>IF(K2479&gt;=Paramètres!$F$6,"Très forte",IF(K2479&gt;=Paramètres!$F$5,"Forte",IF(K2479&gt;=Paramètres!$F$4,"Modérée","Faible")))</f>
        <v>Faible</v>
      </c>
    </row>
    <row r="2480" spans="1:13">
      <c r="A2480" t="s">
        <v>138</v>
      </c>
      <c r="B2480" s="11">
        <v>75</v>
      </c>
      <c r="C2480" t="s">
        <v>86</v>
      </c>
      <c r="D2480" t="s">
        <v>22</v>
      </c>
      <c r="E2480" t="s">
        <v>679</v>
      </c>
      <c r="F2480" t="s">
        <v>88</v>
      </c>
      <c r="G2480" s="12">
        <v>20</v>
      </c>
      <c r="H2480" s="12">
        <v>78</v>
      </c>
      <c r="I2480" s="12">
        <v>19</v>
      </c>
      <c r="J2480" t="str">
        <f>VLOOKUP(B2480,Paramètres!$A$4:$C$11,3,FALSE)</f>
        <v>Paris</v>
      </c>
      <c r="K2480" s="13">
        <f>IFERROR(H2480/G2480,"")</f>
        <v>3.9</v>
      </c>
      <c r="L2480" s="14">
        <f>IFERROR(I2480/G2480,"")</f>
        <v>0.95</v>
      </c>
      <c r="M2480" s="11" t="str">
        <f>IF(K2480&gt;=Paramètres!$F$6,"Très forte",IF(K2480&gt;=Paramètres!$F$5,"Forte",IF(K2480&gt;=Paramètres!$F$4,"Modérée","Faible")))</f>
        <v>Faible</v>
      </c>
    </row>
    <row r="2481" spans="1:13">
      <c r="A2481" t="s">
        <v>97</v>
      </c>
      <c r="B2481" s="11">
        <v>92</v>
      </c>
      <c r="C2481" t="s">
        <v>94</v>
      </c>
      <c r="D2481" t="s">
        <v>22</v>
      </c>
      <c r="E2481" t="s">
        <v>578</v>
      </c>
      <c r="F2481" t="s">
        <v>88</v>
      </c>
      <c r="G2481" s="12">
        <v>35</v>
      </c>
      <c r="H2481" s="12">
        <v>135</v>
      </c>
      <c r="I2481" s="12">
        <v>35</v>
      </c>
      <c r="J2481" t="str">
        <f>VLOOKUP(B2481,Paramètres!$A$4:$C$11,3,FALSE)</f>
        <v>Petite couronne</v>
      </c>
      <c r="K2481" s="13">
        <f>IFERROR(H2481/G2481,"")</f>
        <v>3.8571428571428572</v>
      </c>
      <c r="L2481" s="14">
        <f>IFERROR(I2481/G2481,"")</f>
        <v>1</v>
      </c>
      <c r="M2481" s="11" t="str">
        <f>IF(K2481&gt;=Paramètres!$F$6,"Très forte",IF(K2481&gt;=Paramètres!$F$5,"Forte",IF(K2481&gt;=Paramètres!$F$4,"Modérée","Faible")))</f>
        <v>Faible</v>
      </c>
    </row>
    <row r="2482" spans="1:13">
      <c r="A2482" t="s">
        <v>134</v>
      </c>
      <c r="B2482" s="11">
        <v>78</v>
      </c>
      <c r="C2482" t="s">
        <v>135</v>
      </c>
      <c r="D2482" t="s">
        <v>22</v>
      </c>
      <c r="E2482" t="s">
        <v>256</v>
      </c>
      <c r="F2482" t="s">
        <v>88</v>
      </c>
      <c r="G2482" s="12">
        <v>78</v>
      </c>
      <c r="H2482" s="12">
        <v>300</v>
      </c>
      <c r="I2482" s="12">
        <v>72</v>
      </c>
      <c r="J2482" t="str">
        <f>VLOOKUP(B2482,Paramètres!$A$4:$C$11,3,FALSE)</f>
        <v>Grande couronne</v>
      </c>
      <c r="K2482" s="13">
        <f>IFERROR(H2482/G2482,"")</f>
        <v>3.8461538461538463</v>
      </c>
      <c r="L2482" s="14">
        <f>IFERROR(I2482/G2482,"")</f>
        <v>0.92307692307692313</v>
      </c>
      <c r="M2482" s="11" t="str">
        <f>IF(K2482&gt;=Paramètres!$F$6,"Très forte",IF(K2482&gt;=Paramètres!$F$5,"Forte",IF(K2482&gt;=Paramètres!$F$4,"Modérée","Faible")))</f>
        <v>Faible</v>
      </c>
    </row>
    <row r="2483" spans="1:13">
      <c r="A2483" t="s">
        <v>138</v>
      </c>
      <c r="B2483" s="11">
        <v>75</v>
      </c>
      <c r="C2483" t="s">
        <v>86</v>
      </c>
      <c r="D2483" t="s">
        <v>22</v>
      </c>
      <c r="E2483" t="s">
        <v>386</v>
      </c>
      <c r="F2483" t="s">
        <v>88</v>
      </c>
      <c r="G2483" s="12">
        <v>90</v>
      </c>
      <c r="H2483" s="12">
        <v>344</v>
      </c>
      <c r="I2483" s="12">
        <v>76</v>
      </c>
      <c r="J2483" t="str">
        <f>VLOOKUP(B2483,Paramètres!$A$4:$C$11,3,FALSE)</f>
        <v>Paris</v>
      </c>
      <c r="K2483" s="13">
        <f>IFERROR(H2483/G2483,"")</f>
        <v>3.8222222222222224</v>
      </c>
      <c r="L2483" s="14">
        <f>IFERROR(I2483/G2483,"")</f>
        <v>0.84444444444444444</v>
      </c>
      <c r="M2483" s="11" t="str">
        <f>IF(K2483&gt;=Paramètres!$F$6,"Très forte",IF(K2483&gt;=Paramètres!$F$5,"Forte",IF(K2483&gt;=Paramètres!$F$4,"Modérée","Faible")))</f>
        <v>Faible</v>
      </c>
    </row>
    <row r="2484" spans="1:13">
      <c r="A2484" t="s">
        <v>127</v>
      </c>
      <c r="B2484" s="11">
        <v>75</v>
      </c>
      <c r="C2484" t="s">
        <v>86</v>
      </c>
      <c r="D2484" t="s">
        <v>22</v>
      </c>
      <c r="E2484" t="s">
        <v>318</v>
      </c>
      <c r="F2484" t="s">
        <v>88</v>
      </c>
      <c r="G2484" s="12">
        <v>19</v>
      </c>
      <c r="H2484" s="12">
        <v>72</v>
      </c>
      <c r="I2484" s="12">
        <v>19</v>
      </c>
      <c r="J2484" t="str">
        <f>VLOOKUP(B2484,Paramètres!$A$4:$C$11,3,FALSE)</f>
        <v>Paris</v>
      </c>
      <c r="K2484" s="13">
        <f>IFERROR(H2484/G2484,"")</f>
        <v>3.7894736842105261</v>
      </c>
      <c r="L2484" s="14">
        <f>IFERROR(I2484/G2484,"")</f>
        <v>1</v>
      </c>
      <c r="M2484" s="11" t="str">
        <f>IF(K2484&gt;=Paramètres!$F$6,"Très forte",IF(K2484&gt;=Paramètres!$F$5,"Forte",IF(K2484&gt;=Paramètres!$F$4,"Modérée","Faible")))</f>
        <v>Faible</v>
      </c>
    </row>
    <row r="2485" spans="1:13">
      <c r="A2485" t="s">
        <v>127</v>
      </c>
      <c r="B2485" s="11">
        <v>75</v>
      </c>
      <c r="C2485" t="s">
        <v>86</v>
      </c>
      <c r="D2485" t="s">
        <v>22</v>
      </c>
      <c r="E2485" t="s">
        <v>408</v>
      </c>
      <c r="F2485" t="s">
        <v>88</v>
      </c>
      <c r="G2485" s="12">
        <v>52</v>
      </c>
      <c r="H2485" s="12">
        <v>196</v>
      </c>
      <c r="I2485" s="12">
        <v>51</v>
      </c>
      <c r="J2485" t="str">
        <f>VLOOKUP(B2485,Paramètres!$A$4:$C$11,3,FALSE)</f>
        <v>Paris</v>
      </c>
      <c r="K2485" s="13">
        <f>IFERROR(H2485/G2485,"")</f>
        <v>3.7692307692307692</v>
      </c>
      <c r="L2485" s="14">
        <f>IFERROR(I2485/G2485,"")</f>
        <v>0.98076923076923073</v>
      </c>
      <c r="M2485" s="11" t="str">
        <f>IF(K2485&gt;=Paramètres!$F$6,"Très forte",IF(K2485&gt;=Paramètres!$F$5,"Forte",IF(K2485&gt;=Paramètres!$F$4,"Modérée","Faible")))</f>
        <v>Faible</v>
      </c>
    </row>
    <row r="2486" spans="1:13">
      <c r="A2486" t="s">
        <v>148</v>
      </c>
      <c r="B2486" s="11">
        <v>75</v>
      </c>
      <c r="C2486" t="s">
        <v>86</v>
      </c>
      <c r="D2486" t="s">
        <v>22</v>
      </c>
      <c r="E2486" t="s">
        <v>151</v>
      </c>
      <c r="F2486" t="s">
        <v>92</v>
      </c>
      <c r="G2486" s="12">
        <v>20</v>
      </c>
      <c r="H2486" s="12">
        <v>75</v>
      </c>
      <c r="I2486" s="12">
        <v>18</v>
      </c>
      <c r="J2486" t="str">
        <f>VLOOKUP(B2486,Paramètres!$A$4:$C$11,3,FALSE)</f>
        <v>Paris</v>
      </c>
      <c r="K2486" s="13">
        <f>IFERROR(H2486/G2486,"")</f>
        <v>3.75</v>
      </c>
      <c r="L2486" s="14">
        <f>IFERROR(I2486/G2486,"")</f>
        <v>0.9</v>
      </c>
      <c r="M2486" s="11" t="str">
        <f>IF(K2486&gt;=Paramètres!$F$6,"Très forte",IF(K2486&gt;=Paramètres!$F$5,"Forte",IF(K2486&gt;=Paramètres!$F$4,"Modérée","Faible")))</f>
        <v>Faible</v>
      </c>
    </row>
    <row r="2487" spans="1:13">
      <c r="A2487" t="s">
        <v>144</v>
      </c>
      <c r="B2487" s="11">
        <v>95</v>
      </c>
      <c r="C2487" t="s">
        <v>90</v>
      </c>
      <c r="D2487" t="s">
        <v>22</v>
      </c>
      <c r="E2487" t="s">
        <v>437</v>
      </c>
      <c r="F2487" t="s">
        <v>88</v>
      </c>
      <c r="G2487" s="12">
        <v>115</v>
      </c>
      <c r="H2487" s="12">
        <v>430</v>
      </c>
      <c r="I2487" s="12">
        <v>111</v>
      </c>
      <c r="J2487" t="str">
        <f>VLOOKUP(B2487,Paramètres!$A$4:$C$11,3,FALSE)</f>
        <v>Grande couronne</v>
      </c>
      <c r="K2487" s="13">
        <f>IFERROR(H2487/G2487,"")</f>
        <v>3.7391304347826089</v>
      </c>
      <c r="L2487" s="14">
        <f>IFERROR(I2487/G2487,"")</f>
        <v>0.9652173913043478</v>
      </c>
      <c r="M2487" s="11" t="str">
        <f>IF(K2487&gt;=Paramètres!$F$6,"Très forte",IF(K2487&gt;=Paramètres!$F$5,"Forte",IF(K2487&gt;=Paramètres!$F$4,"Modérée","Faible")))</f>
        <v>Faible</v>
      </c>
    </row>
    <row r="2488" spans="1:13">
      <c r="A2488" t="s">
        <v>190</v>
      </c>
      <c r="B2488" s="11">
        <v>75</v>
      </c>
      <c r="C2488" t="s">
        <v>86</v>
      </c>
      <c r="D2488" t="s">
        <v>22</v>
      </c>
      <c r="E2488" t="s">
        <v>757</v>
      </c>
      <c r="F2488" t="s">
        <v>88</v>
      </c>
      <c r="G2488" s="12">
        <v>120</v>
      </c>
      <c r="H2488" s="12">
        <v>448</v>
      </c>
      <c r="I2488" s="12">
        <v>118</v>
      </c>
      <c r="J2488" t="str">
        <f>VLOOKUP(B2488,Paramètres!$A$4:$C$11,3,FALSE)</f>
        <v>Paris</v>
      </c>
      <c r="K2488" s="13">
        <f>IFERROR(H2488/G2488,"")</f>
        <v>3.7333333333333334</v>
      </c>
      <c r="L2488" s="14">
        <f>IFERROR(I2488/G2488,"")</f>
        <v>0.98333333333333328</v>
      </c>
      <c r="M2488" s="11" t="str">
        <f>IF(K2488&gt;=Paramètres!$F$6,"Très forte",IF(K2488&gt;=Paramètres!$F$5,"Forte",IF(K2488&gt;=Paramètres!$F$4,"Modérée","Faible")))</f>
        <v>Faible</v>
      </c>
    </row>
    <row r="2489" spans="1:13">
      <c r="A2489" t="s">
        <v>138</v>
      </c>
      <c r="B2489" s="11">
        <v>75</v>
      </c>
      <c r="C2489" t="s">
        <v>86</v>
      </c>
      <c r="D2489" t="s">
        <v>22</v>
      </c>
      <c r="E2489" t="s">
        <v>783</v>
      </c>
      <c r="F2489" t="s">
        <v>88</v>
      </c>
      <c r="G2489" s="12">
        <v>150</v>
      </c>
      <c r="H2489" s="12">
        <v>558</v>
      </c>
      <c r="I2489" s="12">
        <v>148</v>
      </c>
      <c r="J2489" t="str">
        <f>VLOOKUP(B2489,Paramètres!$A$4:$C$11,3,FALSE)</f>
        <v>Paris</v>
      </c>
      <c r="K2489" s="13">
        <f>IFERROR(H2489/G2489,"")</f>
        <v>3.72</v>
      </c>
      <c r="L2489" s="14">
        <f>IFERROR(I2489/G2489,"")</f>
        <v>0.98666666666666669</v>
      </c>
      <c r="M2489" s="11" t="str">
        <f>IF(K2489&gt;=Paramètres!$F$6,"Très forte",IF(K2489&gt;=Paramètres!$F$5,"Forte",IF(K2489&gt;=Paramètres!$F$4,"Modérée","Faible")))</f>
        <v>Faible</v>
      </c>
    </row>
    <row r="2490" spans="1:13">
      <c r="A2490" t="s">
        <v>127</v>
      </c>
      <c r="B2490" s="11">
        <v>75</v>
      </c>
      <c r="C2490" t="s">
        <v>86</v>
      </c>
      <c r="D2490" t="s">
        <v>22</v>
      </c>
      <c r="E2490" t="s">
        <v>766</v>
      </c>
      <c r="F2490" t="s">
        <v>92</v>
      </c>
      <c r="G2490" s="12">
        <v>7</v>
      </c>
      <c r="H2490" s="12">
        <v>26</v>
      </c>
      <c r="I2490" s="12">
        <v>4</v>
      </c>
      <c r="J2490" t="str">
        <f>VLOOKUP(B2490,Paramètres!$A$4:$C$11,3,FALSE)</f>
        <v>Paris</v>
      </c>
      <c r="K2490" s="13">
        <f>IFERROR(H2490/G2490,"")</f>
        <v>3.7142857142857144</v>
      </c>
      <c r="L2490" s="14">
        <f>IFERROR(I2490/G2490,"")</f>
        <v>0.5714285714285714</v>
      </c>
      <c r="M2490" s="11" t="str">
        <f>IF(K2490&gt;=Paramètres!$F$6,"Très forte",IF(K2490&gt;=Paramètres!$F$5,"Forte",IF(K2490&gt;=Paramètres!$F$4,"Modérée","Faible")))</f>
        <v>Faible</v>
      </c>
    </row>
    <row r="2491" spans="1:13">
      <c r="A2491" t="s">
        <v>110</v>
      </c>
      <c r="B2491" s="11">
        <v>75</v>
      </c>
      <c r="C2491" t="s">
        <v>86</v>
      </c>
      <c r="D2491" t="s">
        <v>22</v>
      </c>
      <c r="E2491" t="s">
        <v>482</v>
      </c>
      <c r="F2491" t="s">
        <v>88</v>
      </c>
      <c r="G2491" s="12">
        <v>37</v>
      </c>
      <c r="H2491" s="12">
        <v>137</v>
      </c>
      <c r="I2491" s="12">
        <v>36</v>
      </c>
      <c r="J2491" t="str">
        <f>VLOOKUP(B2491,Paramètres!$A$4:$C$11,3,FALSE)</f>
        <v>Paris</v>
      </c>
      <c r="K2491" s="13">
        <f>IFERROR(H2491/G2491,"")</f>
        <v>3.7027027027027026</v>
      </c>
      <c r="L2491" s="14">
        <f>IFERROR(I2491/G2491,"")</f>
        <v>0.97297297297297303</v>
      </c>
      <c r="M2491" s="11" t="str">
        <f>IF(K2491&gt;=Paramètres!$F$6,"Très forte",IF(K2491&gt;=Paramètres!$F$5,"Forte",IF(K2491&gt;=Paramètres!$F$4,"Modérée","Faible")))</f>
        <v>Faible</v>
      </c>
    </row>
    <row r="2492" spans="1:13">
      <c r="A2492" t="s">
        <v>138</v>
      </c>
      <c r="B2492" s="11">
        <v>75</v>
      </c>
      <c r="C2492" t="s">
        <v>86</v>
      </c>
      <c r="D2492" t="s">
        <v>22</v>
      </c>
      <c r="E2492" t="s">
        <v>379</v>
      </c>
      <c r="F2492" t="s">
        <v>88</v>
      </c>
      <c r="G2492" s="12">
        <v>10</v>
      </c>
      <c r="H2492" s="12">
        <v>37</v>
      </c>
      <c r="I2492" s="12">
        <v>7</v>
      </c>
      <c r="J2492" t="str">
        <f>VLOOKUP(B2492,Paramètres!$A$4:$C$11,3,FALSE)</f>
        <v>Paris</v>
      </c>
      <c r="K2492" s="13">
        <f>IFERROR(H2492/G2492,"")</f>
        <v>3.7</v>
      </c>
      <c r="L2492" s="14">
        <f>IFERROR(I2492/G2492,"")</f>
        <v>0.7</v>
      </c>
      <c r="M2492" s="11" t="str">
        <f>IF(K2492&gt;=Paramètres!$F$6,"Très forte",IF(K2492&gt;=Paramètres!$F$5,"Forte",IF(K2492&gt;=Paramètres!$F$4,"Modérée","Faible")))</f>
        <v>Faible</v>
      </c>
    </row>
    <row r="2493" spans="1:13">
      <c r="A2493" t="s">
        <v>138</v>
      </c>
      <c r="B2493" s="11">
        <v>75</v>
      </c>
      <c r="C2493" t="s">
        <v>86</v>
      </c>
      <c r="D2493" t="s">
        <v>22</v>
      </c>
      <c r="E2493" t="s">
        <v>786</v>
      </c>
      <c r="F2493" t="s">
        <v>88</v>
      </c>
      <c r="G2493" s="12">
        <v>10</v>
      </c>
      <c r="H2493" s="12">
        <v>37</v>
      </c>
      <c r="I2493" s="12">
        <v>5</v>
      </c>
      <c r="J2493" t="str">
        <f>VLOOKUP(B2493,Paramètres!$A$4:$C$11,3,FALSE)</f>
        <v>Paris</v>
      </c>
      <c r="K2493" s="13">
        <f>IFERROR(H2493/G2493,"")</f>
        <v>3.7</v>
      </c>
      <c r="L2493" s="14">
        <f>IFERROR(I2493/G2493,"")</f>
        <v>0.5</v>
      </c>
      <c r="M2493" s="11" t="str">
        <f>IF(K2493&gt;=Paramètres!$F$6,"Très forte",IF(K2493&gt;=Paramètres!$F$5,"Forte",IF(K2493&gt;=Paramètres!$F$4,"Modérée","Faible")))</f>
        <v>Faible</v>
      </c>
    </row>
    <row r="2494" spans="1:13">
      <c r="A2494" t="s">
        <v>119</v>
      </c>
      <c r="B2494" s="11">
        <v>75</v>
      </c>
      <c r="C2494" t="s">
        <v>86</v>
      </c>
      <c r="D2494" t="s">
        <v>22</v>
      </c>
      <c r="E2494" t="s">
        <v>176</v>
      </c>
      <c r="F2494" t="s">
        <v>92</v>
      </c>
      <c r="G2494" s="12">
        <v>35</v>
      </c>
      <c r="H2494" s="12">
        <v>129</v>
      </c>
      <c r="I2494" s="12">
        <v>15</v>
      </c>
      <c r="J2494" t="str">
        <f>VLOOKUP(B2494,Paramètres!$A$4:$C$11,3,FALSE)</f>
        <v>Paris</v>
      </c>
      <c r="K2494" s="13">
        <f>IFERROR(H2494/G2494,"")</f>
        <v>3.6857142857142855</v>
      </c>
      <c r="L2494" s="14">
        <f>IFERROR(I2494/G2494,"")</f>
        <v>0.42857142857142855</v>
      </c>
      <c r="M2494" s="11" t="str">
        <f>IF(K2494&gt;=Paramètres!$F$6,"Très forte",IF(K2494&gt;=Paramètres!$F$5,"Forte",IF(K2494&gt;=Paramètres!$F$4,"Modérée","Faible")))</f>
        <v>Faible</v>
      </c>
    </row>
    <row r="2495" spans="1:13">
      <c r="A2495" t="s">
        <v>127</v>
      </c>
      <c r="B2495" s="11">
        <v>75</v>
      </c>
      <c r="C2495" t="s">
        <v>86</v>
      </c>
      <c r="D2495" t="s">
        <v>22</v>
      </c>
      <c r="E2495" t="s">
        <v>658</v>
      </c>
      <c r="F2495" t="s">
        <v>88</v>
      </c>
      <c r="G2495" s="12">
        <v>111</v>
      </c>
      <c r="H2495" s="12">
        <v>409</v>
      </c>
      <c r="I2495" s="12">
        <v>111</v>
      </c>
      <c r="J2495" t="str">
        <f>VLOOKUP(B2495,Paramètres!$A$4:$C$11,3,FALSE)</f>
        <v>Paris</v>
      </c>
      <c r="K2495" s="13">
        <f>IFERROR(H2495/G2495,"")</f>
        <v>3.6846846846846848</v>
      </c>
      <c r="L2495" s="14">
        <f>IFERROR(I2495/G2495,"")</f>
        <v>1</v>
      </c>
      <c r="M2495" s="11" t="str">
        <f>IF(K2495&gt;=Paramètres!$F$6,"Très forte",IF(K2495&gt;=Paramètres!$F$5,"Forte",IF(K2495&gt;=Paramètres!$F$4,"Modérée","Faible")))</f>
        <v>Faible</v>
      </c>
    </row>
    <row r="2496" spans="1:13">
      <c r="A2496" t="s">
        <v>110</v>
      </c>
      <c r="B2496" s="11">
        <v>75</v>
      </c>
      <c r="C2496" t="s">
        <v>86</v>
      </c>
      <c r="D2496" t="s">
        <v>22</v>
      </c>
      <c r="E2496" t="s">
        <v>525</v>
      </c>
      <c r="F2496" t="s">
        <v>88</v>
      </c>
      <c r="G2496" s="12">
        <v>40</v>
      </c>
      <c r="H2496" s="12">
        <v>147</v>
      </c>
      <c r="I2496" s="12">
        <v>40</v>
      </c>
      <c r="J2496" t="str">
        <f>VLOOKUP(B2496,Paramètres!$A$4:$C$11,3,FALSE)</f>
        <v>Paris</v>
      </c>
      <c r="K2496" s="13">
        <f>IFERROR(H2496/G2496,"")</f>
        <v>3.6749999999999998</v>
      </c>
      <c r="L2496" s="14">
        <f>IFERROR(I2496/G2496,"")</f>
        <v>1</v>
      </c>
      <c r="M2496" s="11" t="str">
        <f>IF(K2496&gt;=Paramètres!$F$6,"Très forte",IF(K2496&gt;=Paramètres!$F$5,"Forte",IF(K2496&gt;=Paramètres!$F$4,"Modérée","Faible")))</f>
        <v>Faible</v>
      </c>
    </row>
    <row r="2497" spans="1:13">
      <c r="A2497" t="s">
        <v>97</v>
      </c>
      <c r="B2497" s="11">
        <v>92</v>
      </c>
      <c r="C2497" t="s">
        <v>94</v>
      </c>
      <c r="D2497" t="s">
        <v>22</v>
      </c>
      <c r="E2497" t="s">
        <v>293</v>
      </c>
      <c r="F2497" t="s">
        <v>88</v>
      </c>
      <c r="G2497" s="12">
        <v>15</v>
      </c>
      <c r="H2497" s="12">
        <v>55</v>
      </c>
      <c r="I2497" s="12">
        <v>15</v>
      </c>
      <c r="J2497" t="str">
        <f>VLOOKUP(B2497,Paramètres!$A$4:$C$11,3,FALSE)</f>
        <v>Petite couronne</v>
      </c>
      <c r="K2497" s="13">
        <f>IFERROR(H2497/G2497,"")</f>
        <v>3.6666666666666665</v>
      </c>
      <c r="L2497" s="14">
        <f>IFERROR(I2497/G2497,"")</f>
        <v>1</v>
      </c>
      <c r="M2497" s="11" t="str">
        <f>IF(K2497&gt;=Paramètres!$F$6,"Très forte",IF(K2497&gt;=Paramètres!$F$5,"Forte",IF(K2497&gt;=Paramètres!$F$4,"Modérée","Faible")))</f>
        <v>Faible</v>
      </c>
    </row>
    <row r="2498" spans="1:13">
      <c r="A2498" t="s">
        <v>190</v>
      </c>
      <c r="B2498" s="11">
        <v>75</v>
      </c>
      <c r="C2498" t="s">
        <v>86</v>
      </c>
      <c r="D2498" t="s">
        <v>22</v>
      </c>
      <c r="E2498" t="s">
        <v>389</v>
      </c>
      <c r="F2498" t="s">
        <v>88</v>
      </c>
      <c r="G2498" s="12">
        <v>150</v>
      </c>
      <c r="H2498" s="12">
        <v>548</v>
      </c>
      <c r="I2498" s="12">
        <v>140</v>
      </c>
      <c r="J2498" t="str">
        <f>VLOOKUP(B2498,Paramètres!$A$4:$C$11,3,FALSE)</f>
        <v>Paris</v>
      </c>
      <c r="K2498" s="13">
        <f>IFERROR(H2498/G2498,"")</f>
        <v>3.6533333333333333</v>
      </c>
      <c r="L2498" s="14">
        <f>IFERROR(I2498/G2498,"")</f>
        <v>0.93333333333333335</v>
      </c>
      <c r="M2498" s="11" t="str">
        <f>IF(K2498&gt;=Paramètres!$F$6,"Très forte",IF(K2498&gt;=Paramètres!$F$5,"Forte",IF(K2498&gt;=Paramètres!$F$4,"Modérée","Faible")))</f>
        <v>Faible</v>
      </c>
    </row>
    <row r="2499" spans="1:13">
      <c r="A2499" t="s">
        <v>138</v>
      </c>
      <c r="B2499" s="11">
        <v>75</v>
      </c>
      <c r="C2499" t="s">
        <v>86</v>
      </c>
      <c r="D2499" t="s">
        <v>22</v>
      </c>
      <c r="E2499" t="s">
        <v>717</v>
      </c>
      <c r="F2499" t="s">
        <v>88</v>
      </c>
      <c r="G2499" s="12">
        <v>25</v>
      </c>
      <c r="H2499" s="12">
        <v>91</v>
      </c>
      <c r="I2499" s="12">
        <v>25</v>
      </c>
      <c r="J2499" t="str">
        <f>VLOOKUP(B2499,Paramètres!$A$4:$C$11,3,FALSE)</f>
        <v>Paris</v>
      </c>
      <c r="K2499" s="13">
        <f>IFERROR(H2499/G2499,"")</f>
        <v>3.64</v>
      </c>
      <c r="L2499" s="14">
        <f>IFERROR(I2499/G2499,"")</f>
        <v>1</v>
      </c>
      <c r="M2499" s="11" t="str">
        <f>IF(K2499&gt;=Paramètres!$F$6,"Très forte",IF(K2499&gt;=Paramètres!$F$5,"Forte",IF(K2499&gt;=Paramètres!$F$4,"Modérée","Faible")))</f>
        <v>Faible</v>
      </c>
    </row>
    <row r="2500" spans="1:13">
      <c r="A2500" t="s">
        <v>138</v>
      </c>
      <c r="B2500" s="11">
        <v>75</v>
      </c>
      <c r="C2500" t="s">
        <v>86</v>
      </c>
      <c r="D2500" t="s">
        <v>22</v>
      </c>
      <c r="E2500" t="s">
        <v>188</v>
      </c>
      <c r="F2500" t="s">
        <v>88</v>
      </c>
      <c r="G2500" s="12">
        <v>110</v>
      </c>
      <c r="H2500" s="12">
        <v>400</v>
      </c>
      <c r="I2500" s="12">
        <v>106</v>
      </c>
      <c r="J2500" t="str">
        <f>VLOOKUP(B2500,Paramètres!$A$4:$C$11,3,FALSE)</f>
        <v>Paris</v>
      </c>
      <c r="K2500" s="13">
        <f>IFERROR(H2500/G2500,"")</f>
        <v>3.6363636363636362</v>
      </c>
      <c r="L2500" s="14">
        <f>IFERROR(I2500/G2500,"")</f>
        <v>0.96363636363636362</v>
      </c>
      <c r="M2500" s="11" t="str">
        <f>IF(K2500&gt;=Paramètres!$F$6,"Très forte",IF(K2500&gt;=Paramètres!$F$5,"Forte",IF(K2500&gt;=Paramètres!$F$4,"Modérée","Faible")))</f>
        <v>Faible</v>
      </c>
    </row>
    <row r="2501" spans="1:13">
      <c r="A2501" t="s">
        <v>108</v>
      </c>
      <c r="B2501" s="11">
        <v>93</v>
      </c>
      <c r="C2501" t="s">
        <v>100</v>
      </c>
      <c r="D2501" t="s">
        <v>22</v>
      </c>
      <c r="E2501" t="s">
        <v>596</v>
      </c>
      <c r="F2501" t="s">
        <v>88</v>
      </c>
      <c r="G2501" s="12">
        <v>25</v>
      </c>
      <c r="H2501" s="12">
        <v>90</v>
      </c>
      <c r="I2501" s="12">
        <v>21</v>
      </c>
      <c r="J2501" t="str">
        <f>VLOOKUP(B2501,Paramètres!$A$4:$C$11,3,FALSE)</f>
        <v>Petite couronne</v>
      </c>
      <c r="K2501" s="13">
        <f>IFERROR(H2501/G2501,"")</f>
        <v>3.6</v>
      </c>
      <c r="L2501" s="14">
        <f>IFERROR(I2501/G2501,"")</f>
        <v>0.84</v>
      </c>
      <c r="M2501" s="11" t="str">
        <f>IF(K2501&gt;=Paramètres!$F$6,"Très forte",IF(K2501&gt;=Paramètres!$F$5,"Forte",IF(K2501&gt;=Paramètres!$F$4,"Modérée","Faible")))</f>
        <v>Faible</v>
      </c>
    </row>
    <row r="2502" spans="1:13">
      <c r="A2502" t="s">
        <v>119</v>
      </c>
      <c r="B2502" s="11">
        <v>75</v>
      </c>
      <c r="C2502" t="s">
        <v>86</v>
      </c>
      <c r="D2502" t="s">
        <v>22</v>
      </c>
      <c r="E2502" t="s">
        <v>651</v>
      </c>
      <c r="F2502" t="s">
        <v>88</v>
      </c>
      <c r="G2502" s="12">
        <v>25</v>
      </c>
      <c r="H2502" s="12">
        <v>90</v>
      </c>
      <c r="I2502" s="12">
        <v>24</v>
      </c>
      <c r="J2502" t="str">
        <f>VLOOKUP(B2502,Paramètres!$A$4:$C$11,3,FALSE)</f>
        <v>Paris</v>
      </c>
      <c r="K2502" s="13">
        <f>IFERROR(H2502/G2502,"")</f>
        <v>3.6</v>
      </c>
      <c r="L2502" s="14">
        <f>IFERROR(I2502/G2502,"")</f>
        <v>0.96</v>
      </c>
      <c r="M2502" s="11" t="str">
        <f>IF(K2502&gt;=Paramètres!$F$6,"Très forte",IF(K2502&gt;=Paramètres!$F$5,"Forte",IF(K2502&gt;=Paramètres!$F$4,"Modérée","Faible")))</f>
        <v>Faible</v>
      </c>
    </row>
    <row r="2503" spans="1:13">
      <c r="A2503" t="s">
        <v>138</v>
      </c>
      <c r="B2503" s="11">
        <v>75</v>
      </c>
      <c r="C2503" t="s">
        <v>86</v>
      </c>
      <c r="D2503" t="s">
        <v>22</v>
      </c>
      <c r="E2503" t="s">
        <v>678</v>
      </c>
      <c r="F2503" t="s">
        <v>88</v>
      </c>
      <c r="G2503" s="12">
        <v>15</v>
      </c>
      <c r="H2503" s="12">
        <v>54</v>
      </c>
      <c r="I2503" s="12">
        <v>12</v>
      </c>
      <c r="J2503" t="str">
        <f>VLOOKUP(B2503,Paramètres!$A$4:$C$11,3,FALSE)</f>
        <v>Paris</v>
      </c>
      <c r="K2503" s="13">
        <f>IFERROR(H2503/G2503,"")</f>
        <v>3.6</v>
      </c>
      <c r="L2503" s="14">
        <f>IFERROR(I2503/G2503,"")</f>
        <v>0.8</v>
      </c>
      <c r="M2503" s="11" t="str">
        <f>IF(K2503&gt;=Paramètres!$F$6,"Très forte",IF(K2503&gt;=Paramètres!$F$5,"Forte",IF(K2503&gt;=Paramètres!$F$4,"Modérée","Faible")))</f>
        <v>Faible</v>
      </c>
    </row>
    <row r="2504" spans="1:13">
      <c r="A2504" t="s">
        <v>138</v>
      </c>
      <c r="B2504" s="11">
        <v>75</v>
      </c>
      <c r="C2504" t="s">
        <v>86</v>
      </c>
      <c r="D2504" t="s">
        <v>22</v>
      </c>
      <c r="E2504" t="s">
        <v>682</v>
      </c>
      <c r="F2504" t="s">
        <v>88</v>
      </c>
      <c r="G2504" s="12">
        <v>15</v>
      </c>
      <c r="H2504" s="12">
        <v>54</v>
      </c>
      <c r="I2504" s="12">
        <v>13</v>
      </c>
      <c r="J2504" t="str">
        <f>VLOOKUP(B2504,Paramètres!$A$4:$C$11,3,FALSE)</f>
        <v>Paris</v>
      </c>
      <c r="K2504" s="13">
        <f>IFERROR(H2504/G2504,"")</f>
        <v>3.6</v>
      </c>
      <c r="L2504" s="14">
        <f>IFERROR(I2504/G2504,"")</f>
        <v>0.8666666666666667</v>
      </c>
      <c r="M2504" s="11" t="str">
        <f>IF(K2504&gt;=Paramètres!$F$6,"Très forte",IF(K2504&gt;=Paramètres!$F$5,"Forte",IF(K2504&gt;=Paramètres!$F$4,"Modérée","Faible")))</f>
        <v>Faible</v>
      </c>
    </row>
    <row r="2505" spans="1:13">
      <c r="A2505" t="s">
        <v>138</v>
      </c>
      <c r="B2505" s="11">
        <v>75</v>
      </c>
      <c r="C2505" t="s">
        <v>86</v>
      </c>
      <c r="D2505" t="s">
        <v>22</v>
      </c>
      <c r="E2505" t="s">
        <v>687</v>
      </c>
      <c r="F2505" t="s">
        <v>88</v>
      </c>
      <c r="G2505" s="12">
        <v>10</v>
      </c>
      <c r="H2505" s="12">
        <v>36</v>
      </c>
      <c r="I2505" s="12">
        <v>4</v>
      </c>
      <c r="J2505" t="str">
        <f>VLOOKUP(B2505,Paramètres!$A$4:$C$11,3,FALSE)</f>
        <v>Paris</v>
      </c>
      <c r="K2505" s="13">
        <f>IFERROR(H2505/G2505,"")</f>
        <v>3.6</v>
      </c>
      <c r="L2505" s="14">
        <f>IFERROR(I2505/G2505,"")</f>
        <v>0.4</v>
      </c>
      <c r="M2505" s="11" t="str">
        <f>IF(K2505&gt;=Paramètres!$F$6,"Très forte",IF(K2505&gt;=Paramètres!$F$5,"Forte",IF(K2505&gt;=Paramètres!$F$4,"Modérée","Faible")))</f>
        <v>Faible</v>
      </c>
    </row>
    <row r="2506" spans="1:13">
      <c r="A2506" t="s">
        <v>390</v>
      </c>
      <c r="B2506" s="11">
        <v>75</v>
      </c>
      <c r="C2506" t="s">
        <v>86</v>
      </c>
      <c r="D2506" t="s">
        <v>22</v>
      </c>
      <c r="E2506" t="s">
        <v>652</v>
      </c>
      <c r="F2506" t="s">
        <v>92</v>
      </c>
      <c r="G2506" s="12">
        <v>20</v>
      </c>
      <c r="H2506" s="12">
        <v>71</v>
      </c>
      <c r="I2506" s="12">
        <v>2</v>
      </c>
      <c r="J2506" t="str">
        <f>VLOOKUP(B2506,Paramètres!$A$4:$C$11,3,FALSE)</f>
        <v>Paris</v>
      </c>
      <c r="K2506" s="13">
        <f>IFERROR(H2506/G2506,"")</f>
        <v>3.55</v>
      </c>
      <c r="L2506" s="14">
        <f>IFERROR(I2506/G2506,"")</f>
        <v>0.1</v>
      </c>
      <c r="M2506" s="11" t="str">
        <f>IF(K2506&gt;=Paramètres!$F$6,"Très forte",IF(K2506&gt;=Paramètres!$F$5,"Forte",IF(K2506&gt;=Paramètres!$F$4,"Modérée","Faible")))</f>
        <v>Faible</v>
      </c>
    </row>
    <row r="2507" spans="1:13">
      <c r="A2507" t="s">
        <v>119</v>
      </c>
      <c r="B2507" s="11">
        <v>75</v>
      </c>
      <c r="C2507" t="s">
        <v>86</v>
      </c>
      <c r="D2507" t="s">
        <v>22</v>
      </c>
      <c r="E2507" t="s">
        <v>736</v>
      </c>
      <c r="F2507" t="s">
        <v>88</v>
      </c>
      <c r="G2507" s="12">
        <v>40</v>
      </c>
      <c r="H2507" s="12">
        <v>142</v>
      </c>
      <c r="I2507" s="12">
        <v>39</v>
      </c>
      <c r="J2507" t="str">
        <f>VLOOKUP(B2507,Paramètres!$A$4:$C$11,3,FALSE)</f>
        <v>Paris</v>
      </c>
      <c r="K2507" s="13">
        <f>IFERROR(H2507/G2507,"")</f>
        <v>3.55</v>
      </c>
      <c r="L2507" s="14">
        <f>IFERROR(I2507/G2507,"")</f>
        <v>0.97499999999999998</v>
      </c>
      <c r="M2507" s="11" t="str">
        <f>IF(K2507&gt;=Paramètres!$F$6,"Très forte",IF(K2507&gt;=Paramètres!$F$5,"Forte",IF(K2507&gt;=Paramètres!$F$4,"Modérée","Faible")))</f>
        <v>Faible</v>
      </c>
    </row>
    <row r="2508" spans="1:13">
      <c r="A2508" t="s">
        <v>138</v>
      </c>
      <c r="B2508" s="11">
        <v>75</v>
      </c>
      <c r="C2508" t="s">
        <v>86</v>
      </c>
      <c r="D2508" t="s">
        <v>22</v>
      </c>
      <c r="E2508" t="s">
        <v>674</v>
      </c>
      <c r="F2508" t="s">
        <v>88</v>
      </c>
      <c r="G2508" s="12">
        <v>15</v>
      </c>
      <c r="H2508" s="12">
        <v>53</v>
      </c>
      <c r="I2508" s="12">
        <v>15</v>
      </c>
      <c r="J2508" t="str">
        <f>VLOOKUP(B2508,Paramètres!$A$4:$C$11,3,FALSE)</f>
        <v>Paris</v>
      </c>
      <c r="K2508" s="13">
        <f>IFERROR(H2508/G2508,"")</f>
        <v>3.5333333333333332</v>
      </c>
      <c r="L2508" s="14">
        <f>IFERROR(I2508/G2508,"")</f>
        <v>1</v>
      </c>
      <c r="M2508" s="11" t="str">
        <f>IF(K2508&gt;=Paramètres!$F$6,"Très forte",IF(K2508&gt;=Paramètres!$F$5,"Forte",IF(K2508&gt;=Paramètres!$F$4,"Modérée","Faible")))</f>
        <v>Faible</v>
      </c>
    </row>
    <row r="2509" spans="1:13">
      <c r="A2509" t="s">
        <v>138</v>
      </c>
      <c r="B2509" s="11">
        <v>75</v>
      </c>
      <c r="C2509" t="s">
        <v>86</v>
      </c>
      <c r="D2509" t="s">
        <v>22</v>
      </c>
      <c r="E2509" t="s">
        <v>298</v>
      </c>
      <c r="F2509" t="s">
        <v>88</v>
      </c>
      <c r="G2509" s="12">
        <v>10</v>
      </c>
      <c r="H2509" s="12">
        <v>35</v>
      </c>
      <c r="I2509" s="12">
        <v>4</v>
      </c>
      <c r="J2509" t="str">
        <f>VLOOKUP(B2509,Paramètres!$A$4:$C$11,3,FALSE)</f>
        <v>Paris</v>
      </c>
      <c r="K2509" s="13">
        <f>IFERROR(H2509/G2509,"")</f>
        <v>3.5</v>
      </c>
      <c r="L2509" s="14">
        <f>IFERROR(I2509/G2509,"")</f>
        <v>0.4</v>
      </c>
      <c r="M2509" s="11" t="str">
        <f>IF(K2509&gt;=Paramètres!$F$6,"Très forte",IF(K2509&gt;=Paramètres!$F$5,"Forte",IF(K2509&gt;=Paramètres!$F$4,"Modérée","Faible")))</f>
        <v>Faible</v>
      </c>
    </row>
    <row r="2510" spans="1:13">
      <c r="A2510" t="s">
        <v>138</v>
      </c>
      <c r="B2510" s="11">
        <v>75</v>
      </c>
      <c r="C2510" t="s">
        <v>86</v>
      </c>
      <c r="D2510" t="s">
        <v>22</v>
      </c>
      <c r="E2510" t="s">
        <v>388</v>
      </c>
      <c r="F2510" t="s">
        <v>88</v>
      </c>
      <c r="G2510" s="12">
        <v>10</v>
      </c>
      <c r="H2510" s="12">
        <v>35</v>
      </c>
      <c r="I2510" s="12">
        <v>5</v>
      </c>
      <c r="J2510" t="str">
        <f>VLOOKUP(B2510,Paramètres!$A$4:$C$11,3,FALSE)</f>
        <v>Paris</v>
      </c>
      <c r="K2510" s="13">
        <f>IFERROR(H2510/G2510,"")</f>
        <v>3.5</v>
      </c>
      <c r="L2510" s="14">
        <f>IFERROR(I2510/G2510,"")</f>
        <v>0.5</v>
      </c>
      <c r="M2510" s="11" t="str">
        <f>IF(K2510&gt;=Paramètres!$F$6,"Très forte",IF(K2510&gt;=Paramètres!$F$5,"Forte",IF(K2510&gt;=Paramètres!$F$4,"Modérée","Faible")))</f>
        <v>Faible</v>
      </c>
    </row>
    <row r="2511" spans="1:13">
      <c r="A2511" t="s">
        <v>138</v>
      </c>
      <c r="B2511" s="11">
        <v>75</v>
      </c>
      <c r="C2511" t="s">
        <v>86</v>
      </c>
      <c r="D2511" t="s">
        <v>22</v>
      </c>
      <c r="E2511" t="s">
        <v>685</v>
      </c>
      <c r="F2511" t="s">
        <v>88</v>
      </c>
      <c r="G2511" s="12">
        <v>10</v>
      </c>
      <c r="H2511" s="12">
        <v>35</v>
      </c>
      <c r="I2511" s="12">
        <v>5</v>
      </c>
      <c r="J2511" t="str">
        <f>VLOOKUP(B2511,Paramètres!$A$4:$C$11,3,FALSE)</f>
        <v>Paris</v>
      </c>
      <c r="K2511" s="13">
        <f>IFERROR(H2511/G2511,"")</f>
        <v>3.5</v>
      </c>
      <c r="L2511" s="14">
        <f>IFERROR(I2511/G2511,"")</f>
        <v>0.5</v>
      </c>
      <c r="M2511" s="11" t="str">
        <f>IF(K2511&gt;=Paramètres!$F$6,"Très forte",IF(K2511&gt;=Paramètres!$F$5,"Forte",IF(K2511&gt;=Paramètres!$F$4,"Modérée","Faible")))</f>
        <v>Faible</v>
      </c>
    </row>
    <row r="2512" spans="1:13">
      <c r="A2512" t="s">
        <v>190</v>
      </c>
      <c r="B2512" s="11">
        <v>75</v>
      </c>
      <c r="C2512" t="s">
        <v>86</v>
      </c>
      <c r="D2512" t="s">
        <v>22</v>
      </c>
      <c r="E2512" t="s">
        <v>517</v>
      </c>
      <c r="F2512" t="s">
        <v>92</v>
      </c>
      <c r="G2512" s="12">
        <v>30</v>
      </c>
      <c r="H2512" s="12">
        <v>103</v>
      </c>
      <c r="I2512" s="12">
        <v>13</v>
      </c>
      <c r="J2512" t="str">
        <f>VLOOKUP(B2512,Paramètres!$A$4:$C$11,3,FALSE)</f>
        <v>Paris</v>
      </c>
      <c r="K2512" s="13">
        <f>IFERROR(H2512/G2512,"")</f>
        <v>3.4333333333333331</v>
      </c>
      <c r="L2512" s="14">
        <f>IFERROR(I2512/G2512,"")</f>
        <v>0.43333333333333335</v>
      </c>
      <c r="M2512" s="11" t="str">
        <f>IF(K2512&gt;=Paramètres!$F$6,"Très forte",IF(K2512&gt;=Paramètres!$F$5,"Forte",IF(K2512&gt;=Paramètres!$F$4,"Modérée","Faible")))</f>
        <v>Faible</v>
      </c>
    </row>
    <row r="2513" spans="1:13">
      <c r="A2513" t="s">
        <v>131</v>
      </c>
      <c r="B2513" s="11">
        <v>77</v>
      </c>
      <c r="C2513" t="s">
        <v>132</v>
      </c>
      <c r="D2513" t="s">
        <v>22</v>
      </c>
      <c r="E2513" t="s">
        <v>256</v>
      </c>
      <c r="F2513" t="s">
        <v>88</v>
      </c>
      <c r="G2513" s="12">
        <v>95</v>
      </c>
      <c r="H2513" s="12">
        <v>323</v>
      </c>
      <c r="I2513" s="12">
        <v>73</v>
      </c>
      <c r="J2513" t="str">
        <f>VLOOKUP(B2513,Paramètres!$A$4:$C$11,3,FALSE)</f>
        <v>Grande couronne</v>
      </c>
      <c r="K2513" s="13">
        <f>IFERROR(H2513/G2513,"")</f>
        <v>3.4</v>
      </c>
      <c r="L2513" s="14">
        <f>IFERROR(I2513/G2513,"")</f>
        <v>0.76842105263157889</v>
      </c>
      <c r="M2513" s="11" t="str">
        <f>IF(K2513&gt;=Paramètres!$F$6,"Très forte",IF(K2513&gt;=Paramètres!$F$5,"Forte",IF(K2513&gt;=Paramètres!$F$4,"Modérée","Faible")))</f>
        <v>Faible</v>
      </c>
    </row>
    <row r="2514" spans="1:13">
      <c r="A2514" t="s">
        <v>138</v>
      </c>
      <c r="B2514" s="11">
        <v>75</v>
      </c>
      <c r="C2514" t="s">
        <v>86</v>
      </c>
      <c r="D2514" t="s">
        <v>22</v>
      </c>
      <c r="E2514" t="s">
        <v>784</v>
      </c>
      <c r="F2514" t="s">
        <v>88</v>
      </c>
      <c r="G2514" s="12">
        <v>10</v>
      </c>
      <c r="H2514" s="12">
        <v>34</v>
      </c>
      <c r="I2514" s="12">
        <v>10</v>
      </c>
      <c r="J2514" t="str">
        <f>VLOOKUP(B2514,Paramètres!$A$4:$C$11,3,FALSE)</f>
        <v>Paris</v>
      </c>
      <c r="K2514" s="13">
        <f>IFERROR(H2514/G2514,"")</f>
        <v>3.4</v>
      </c>
      <c r="L2514" s="14">
        <f>IFERROR(I2514/G2514,"")</f>
        <v>1</v>
      </c>
      <c r="M2514" s="11" t="str">
        <f>IF(K2514&gt;=Paramètres!$F$6,"Très forte",IF(K2514&gt;=Paramètres!$F$5,"Forte",IF(K2514&gt;=Paramètres!$F$4,"Modérée","Faible")))</f>
        <v>Faible</v>
      </c>
    </row>
    <row r="2515" spans="1:13">
      <c r="A2515" t="s">
        <v>119</v>
      </c>
      <c r="B2515" s="11">
        <v>75</v>
      </c>
      <c r="C2515" t="s">
        <v>86</v>
      </c>
      <c r="D2515" t="s">
        <v>22</v>
      </c>
      <c r="E2515" t="s">
        <v>372</v>
      </c>
      <c r="F2515" t="s">
        <v>88</v>
      </c>
      <c r="G2515" s="12">
        <v>55</v>
      </c>
      <c r="H2515" s="12">
        <v>186</v>
      </c>
      <c r="I2515" s="12">
        <v>40</v>
      </c>
      <c r="J2515" t="str">
        <f>VLOOKUP(B2515,Paramètres!$A$4:$C$11,3,FALSE)</f>
        <v>Paris</v>
      </c>
      <c r="K2515" s="13">
        <f>IFERROR(H2515/G2515,"")</f>
        <v>3.3818181818181818</v>
      </c>
      <c r="L2515" s="14">
        <f>IFERROR(I2515/G2515,"")</f>
        <v>0.72727272727272729</v>
      </c>
      <c r="M2515" s="11" t="str">
        <f>IF(K2515&gt;=Paramètres!$F$6,"Très forte",IF(K2515&gt;=Paramètres!$F$5,"Forte",IF(K2515&gt;=Paramètres!$F$4,"Modérée","Faible")))</f>
        <v>Faible</v>
      </c>
    </row>
    <row r="2516" spans="1:13">
      <c r="A2516" t="s">
        <v>127</v>
      </c>
      <c r="B2516" s="11">
        <v>75</v>
      </c>
      <c r="C2516" t="s">
        <v>86</v>
      </c>
      <c r="D2516" t="s">
        <v>22</v>
      </c>
      <c r="E2516" t="s">
        <v>229</v>
      </c>
      <c r="F2516" t="s">
        <v>88</v>
      </c>
      <c r="G2516" s="12">
        <v>68</v>
      </c>
      <c r="H2516" s="12">
        <v>225</v>
      </c>
      <c r="I2516" s="12">
        <v>68</v>
      </c>
      <c r="J2516" t="str">
        <f>VLOOKUP(B2516,Paramètres!$A$4:$C$11,3,FALSE)</f>
        <v>Paris</v>
      </c>
      <c r="K2516" s="13">
        <f>IFERROR(H2516/G2516,"")</f>
        <v>3.3088235294117645</v>
      </c>
      <c r="L2516" s="14">
        <f>IFERROR(I2516/G2516,"")</f>
        <v>1</v>
      </c>
      <c r="M2516" s="11" t="str">
        <f>IF(K2516&gt;=Paramètres!$F$6,"Très forte",IF(K2516&gt;=Paramètres!$F$5,"Forte",IF(K2516&gt;=Paramètres!$F$4,"Modérée","Faible")))</f>
        <v>Faible</v>
      </c>
    </row>
    <row r="2517" spans="1:13">
      <c r="A2517" t="s">
        <v>190</v>
      </c>
      <c r="B2517" s="11">
        <v>75</v>
      </c>
      <c r="C2517" t="s">
        <v>86</v>
      </c>
      <c r="D2517" t="s">
        <v>22</v>
      </c>
      <c r="E2517" t="s">
        <v>224</v>
      </c>
      <c r="F2517" t="s">
        <v>88</v>
      </c>
      <c r="G2517" s="12">
        <v>30</v>
      </c>
      <c r="H2517" s="12">
        <v>99</v>
      </c>
      <c r="I2517" s="12">
        <v>20</v>
      </c>
      <c r="J2517" t="str">
        <f>VLOOKUP(B2517,Paramètres!$A$4:$C$11,3,FALSE)</f>
        <v>Paris</v>
      </c>
      <c r="K2517" s="13">
        <f>IFERROR(H2517/G2517,"")</f>
        <v>3.3</v>
      </c>
      <c r="L2517" s="14">
        <f>IFERROR(I2517/G2517,"")</f>
        <v>0.66666666666666663</v>
      </c>
      <c r="M2517" s="11" t="str">
        <f>IF(K2517&gt;=Paramètres!$F$6,"Très forte",IF(K2517&gt;=Paramètres!$F$5,"Forte",IF(K2517&gt;=Paramètres!$F$4,"Modérée","Faible")))</f>
        <v>Faible</v>
      </c>
    </row>
    <row r="2518" spans="1:13">
      <c r="A2518" t="s">
        <v>127</v>
      </c>
      <c r="B2518" s="11">
        <v>75</v>
      </c>
      <c r="C2518" t="s">
        <v>86</v>
      </c>
      <c r="D2518" t="s">
        <v>22</v>
      </c>
      <c r="E2518" t="s">
        <v>536</v>
      </c>
      <c r="F2518" t="s">
        <v>88</v>
      </c>
      <c r="G2518" s="12">
        <v>30</v>
      </c>
      <c r="H2518" s="12">
        <v>98</v>
      </c>
      <c r="I2518" s="12">
        <v>30</v>
      </c>
      <c r="J2518" t="str">
        <f>VLOOKUP(B2518,Paramètres!$A$4:$C$11,3,FALSE)</f>
        <v>Paris</v>
      </c>
      <c r="K2518" s="13">
        <f>IFERROR(H2518/G2518,"")</f>
        <v>3.2666666666666666</v>
      </c>
      <c r="L2518" s="14">
        <f>IFERROR(I2518/G2518,"")</f>
        <v>1</v>
      </c>
      <c r="M2518" s="11" t="str">
        <f>IF(K2518&gt;=Paramètres!$F$6,"Très forte",IF(K2518&gt;=Paramètres!$F$5,"Forte",IF(K2518&gt;=Paramètres!$F$4,"Modérée","Faible")))</f>
        <v>Faible</v>
      </c>
    </row>
    <row r="2519" spans="1:13">
      <c r="A2519" t="s">
        <v>138</v>
      </c>
      <c r="B2519" s="11">
        <v>75</v>
      </c>
      <c r="C2519" t="s">
        <v>86</v>
      </c>
      <c r="D2519" t="s">
        <v>22</v>
      </c>
      <c r="E2519" t="s">
        <v>186</v>
      </c>
      <c r="F2519" t="s">
        <v>88</v>
      </c>
      <c r="G2519" s="12">
        <v>20</v>
      </c>
      <c r="H2519" s="12">
        <v>65</v>
      </c>
      <c r="I2519" s="12">
        <v>17</v>
      </c>
      <c r="J2519" t="str">
        <f>VLOOKUP(B2519,Paramètres!$A$4:$C$11,3,FALSE)</f>
        <v>Paris</v>
      </c>
      <c r="K2519" s="13">
        <f>IFERROR(H2519/G2519,"")</f>
        <v>3.25</v>
      </c>
      <c r="L2519" s="14">
        <f>IFERROR(I2519/G2519,"")</f>
        <v>0.85</v>
      </c>
      <c r="M2519" s="11" t="str">
        <f>IF(K2519&gt;=Paramètres!$F$6,"Très forte",IF(K2519&gt;=Paramètres!$F$5,"Forte",IF(K2519&gt;=Paramètres!$F$4,"Modérée","Faible")))</f>
        <v>Faible</v>
      </c>
    </row>
    <row r="2520" spans="1:13">
      <c r="A2520" t="s">
        <v>119</v>
      </c>
      <c r="B2520" s="11">
        <v>75</v>
      </c>
      <c r="C2520" t="s">
        <v>86</v>
      </c>
      <c r="D2520" t="s">
        <v>22</v>
      </c>
      <c r="E2520" t="s">
        <v>500</v>
      </c>
      <c r="F2520" t="s">
        <v>88</v>
      </c>
      <c r="G2520" s="12">
        <v>40</v>
      </c>
      <c r="H2520" s="12">
        <v>130</v>
      </c>
      <c r="I2520" s="12">
        <v>39</v>
      </c>
      <c r="J2520" t="str">
        <f>VLOOKUP(B2520,Paramètres!$A$4:$C$11,3,FALSE)</f>
        <v>Paris</v>
      </c>
      <c r="K2520" s="13">
        <f>IFERROR(H2520/G2520,"")</f>
        <v>3.25</v>
      </c>
      <c r="L2520" s="14">
        <f>IFERROR(I2520/G2520,"")</f>
        <v>0.97499999999999998</v>
      </c>
      <c r="M2520" s="11" t="str">
        <f>IF(K2520&gt;=Paramètres!$F$6,"Très forte",IF(K2520&gt;=Paramètres!$F$5,"Forte",IF(K2520&gt;=Paramètres!$F$4,"Modérée","Faible")))</f>
        <v>Faible</v>
      </c>
    </row>
    <row r="2521" spans="1:13">
      <c r="A2521" t="s">
        <v>138</v>
      </c>
      <c r="B2521" s="11">
        <v>75</v>
      </c>
      <c r="C2521" t="s">
        <v>86</v>
      </c>
      <c r="D2521" t="s">
        <v>22</v>
      </c>
      <c r="E2521" t="s">
        <v>140</v>
      </c>
      <c r="F2521" t="s">
        <v>88</v>
      </c>
      <c r="G2521" s="12">
        <v>60</v>
      </c>
      <c r="H2521" s="12">
        <v>194</v>
      </c>
      <c r="I2521" s="12">
        <v>44</v>
      </c>
      <c r="J2521" t="str">
        <f>VLOOKUP(B2521,Paramètres!$A$4:$C$11,3,FALSE)</f>
        <v>Paris</v>
      </c>
      <c r="K2521" s="13">
        <f>IFERROR(H2521/G2521,"")</f>
        <v>3.2333333333333334</v>
      </c>
      <c r="L2521" s="14">
        <f>IFERROR(I2521/G2521,"")</f>
        <v>0.73333333333333328</v>
      </c>
      <c r="M2521" s="11" t="str">
        <f>IF(K2521&gt;=Paramètres!$F$6,"Très forte",IF(K2521&gt;=Paramètres!$F$5,"Forte",IF(K2521&gt;=Paramètres!$F$4,"Modérée","Faible")))</f>
        <v>Faible</v>
      </c>
    </row>
    <row r="2522" spans="1:13">
      <c r="A2522" t="s">
        <v>119</v>
      </c>
      <c r="B2522" s="11">
        <v>75</v>
      </c>
      <c r="C2522" t="s">
        <v>86</v>
      </c>
      <c r="D2522" t="s">
        <v>22</v>
      </c>
      <c r="E2522" t="s">
        <v>501</v>
      </c>
      <c r="F2522" t="s">
        <v>88</v>
      </c>
      <c r="G2522" s="12">
        <v>70</v>
      </c>
      <c r="H2522" s="12">
        <v>226</v>
      </c>
      <c r="I2522" s="12">
        <v>69</v>
      </c>
      <c r="J2522" t="str">
        <f>VLOOKUP(B2522,Paramètres!$A$4:$C$11,3,FALSE)</f>
        <v>Paris</v>
      </c>
      <c r="K2522" s="13">
        <f>IFERROR(H2522/G2522,"")</f>
        <v>3.2285714285714286</v>
      </c>
      <c r="L2522" s="14">
        <f>IFERROR(I2522/G2522,"")</f>
        <v>0.98571428571428577</v>
      </c>
      <c r="M2522" s="11" t="str">
        <f>IF(K2522&gt;=Paramètres!$F$6,"Très forte",IF(K2522&gt;=Paramètres!$F$5,"Forte",IF(K2522&gt;=Paramètres!$F$4,"Modérée","Faible")))</f>
        <v>Faible</v>
      </c>
    </row>
    <row r="2523" spans="1:13">
      <c r="A2523" t="s">
        <v>138</v>
      </c>
      <c r="B2523" s="11">
        <v>75</v>
      </c>
      <c r="C2523" t="s">
        <v>86</v>
      </c>
      <c r="D2523" t="s">
        <v>22</v>
      </c>
      <c r="E2523" t="s">
        <v>383</v>
      </c>
      <c r="F2523" t="s">
        <v>88</v>
      </c>
      <c r="G2523" s="12">
        <v>25</v>
      </c>
      <c r="H2523" s="12">
        <v>80</v>
      </c>
      <c r="I2523" s="12">
        <v>22</v>
      </c>
      <c r="J2523" t="str">
        <f>VLOOKUP(B2523,Paramètres!$A$4:$C$11,3,FALSE)</f>
        <v>Paris</v>
      </c>
      <c r="K2523" s="13">
        <f>IFERROR(H2523/G2523,"")</f>
        <v>3.2</v>
      </c>
      <c r="L2523" s="14">
        <f>IFERROR(I2523/G2523,"")</f>
        <v>0.88</v>
      </c>
      <c r="M2523" s="11" t="str">
        <f>IF(K2523&gt;=Paramètres!$F$6,"Très forte",IF(K2523&gt;=Paramètres!$F$5,"Forte",IF(K2523&gt;=Paramètres!$F$4,"Modérée","Faible")))</f>
        <v>Faible</v>
      </c>
    </row>
    <row r="2524" spans="1:13">
      <c r="A2524" t="s">
        <v>119</v>
      </c>
      <c r="B2524" s="11">
        <v>75</v>
      </c>
      <c r="C2524" t="s">
        <v>86</v>
      </c>
      <c r="D2524" t="s">
        <v>22</v>
      </c>
      <c r="E2524" t="s">
        <v>586</v>
      </c>
      <c r="F2524" t="s">
        <v>88</v>
      </c>
      <c r="G2524" s="12">
        <v>25</v>
      </c>
      <c r="H2524" s="12">
        <v>80</v>
      </c>
      <c r="I2524" s="12">
        <v>22</v>
      </c>
      <c r="J2524" t="str">
        <f>VLOOKUP(B2524,Paramètres!$A$4:$C$11,3,FALSE)</f>
        <v>Paris</v>
      </c>
      <c r="K2524" s="13">
        <f>IFERROR(H2524/G2524,"")</f>
        <v>3.2</v>
      </c>
      <c r="L2524" s="14">
        <f>IFERROR(I2524/G2524,"")</f>
        <v>0.88</v>
      </c>
      <c r="M2524" s="11" t="str">
        <f>IF(K2524&gt;=Paramètres!$F$6,"Très forte",IF(K2524&gt;=Paramètres!$F$5,"Forte",IF(K2524&gt;=Paramètres!$F$4,"Modérée","Faible")))</f>
        <v>Faible</v>
      </c>
    </row>
    <row r="2525" spans="1:13">
      <c r="A2525" t="s">
        <v>138</v>
      </c>
      <c r="B2525" s="11">
        <v>75</v>
      </c>
      <c r="C2525" t="s">
        <v>86</v>
      </c>
      <c r="D2525" t="s">
        <v>22</v>
      </c>
      <c r="E2525" t="s">
        <v>690</v>
      </c>
      <c r="F2525" t="s">
        <v>88</v>
      </c>
      <c r="G2525" s="12">
        <v>10</v>
      </c>
      <c r="H2525" s="12">
        <v>32</v>
      </c>
      <c r="I2525" s="12">
        <v>6</v>
      </c>
      <c r="J2525" t="str">
        <f>VLOOKUP(B2525,Paramètres!$A$4:$C$11,3,FALSE)</f>
        <v>Paris</v>
      </c>
      <c r="K2525" s="13">
        <f>IFERROR(H2525/G2525,"")</f>
        <v>3.2</v>
      </c>
      <c r="L2525" s="14">
        <f>IFERROR(I2525/G2525,"")</f>
        <v>0.6</v>
      </c>
      <c r="M2525" s="11" t="str">
        <f>IF(K2525&gt;=Paramètres!$F$6,"Très forte",IF(K2525&gt;=Paramètres!$F$5,"Forte",IF(K2525&gt;=Paramètres!$F$4,"Modérée","Faible")))</f>
        <v>Faible</v>
      </c>
    </row>
    <row r="2526" spans="1:13">
      <c r="A2526" t="s">
        <v>138</v>
      </c>
      <c r="B2526" s="11">
        <v>75</v>
      </c>
      <c r="C2526" t="s">
        <v>86</v>
      </c>
      <c r="D2526" t="s">
        <v>22</v>
      </c>
      <c r="E2526" t="s">
        <v>785</v>
      </c>
      <c r="F2526" t="s">
        <v>88</v>
      </c>
      <c r="G2526" s="12">
        <v>15</v>
      </c>
      <c r="H2526" s="12">
        <v>48</v>
      </c>
      <c r="I2526" s="12">
        <v>14</v>
      </c>
      <c r="J2526" t="str">
        <f>VLOOKUP(B2526,Paramètres!$A$4:$C$11,3,FALSE)</f>
        <v>Paris</v>
      </c>
      <c r="K2526" s="13">
        <f>IFERROR(H2526/G2526,"")</f>
        <v>3.2</v>
      </c>
      <c r="L2526" s="14">
        <f>IFERROR(I2526/G2526,"")</f>
        <v>0.93333333333333335</v>
      </c>
      <c r="M2526" s="11" t="str">
        <f>IF(K2526&gt;=Paramètres!$F$6,"Très forte",IF(K2526&gt;=Paramètres!$F$5,"Forte",IF(K2526&gt;=Paramètres!$F$4,"Modérée","Faible")))</f>
        <v>Faible</v>
      </c>
    </row>
    <row r="2527" spans="1:13">
      <c r="A2527" t="s">
        <v>138</v>
      </c>
      <c r="B2527" s="11">
        <v>75</v>
      </c>
      <c r="C2527" t="s">
        <v>86</v>
      </c>
      <c r="D2527" t="s">
        <v>22</v>
      </c>
      <c r="E2527" t="s">
        <v>187</v>
      </c>
      <c r="F2527" t="s">
        <v>88</v>
      </c>
      <c r="G2527" s="12">
        <v>20</v>
      </c>
      <c r="H2527" s="12">
        <v>63</v>
      </c>
      <c r="I2527" s="12">
        <v>16</v>
      </c>
      <c r="J2527" t="str">
        <f>VLOOKUP(B2527,Paramètres!$A$4:$C$11,3,FALSE)</f>
        <v>Paris</v>
      </c>
      <c r="K2527" s="13">
        <f>IFERROR(H2527/G2527,"")</f>
        <v>3.15</v>
      </c>
      <c r="L2527" s="14">
        <f>IFERROR(I2527/G2527,"")</f>
        <v>0.8</v>
      </c>
      <c r="M2527" s="11" t="str">
        <f>IF(K2527&gt;=Paramètres!$F$6,"Très forte",IF(K2527&gt;=Paramètres!$F$5,"Forte",IF(K2527&gt;=Paramètres!$F$4,"Modérée","Faible")))</f>
        <v>Faible</v>
      </c>
    </row>
    <row r="2528" spans="1:13">
      <c r="A2528" t="s">
        <v>127</v>
      </c>
      <c r="B2528" s="11">
        <v>75</v>
      </c>
      <c r="C2528" t="s">
        <v>86</v>
      </c>
      <c r="D2528" t="s">
        <v>22</v>
      </c>
      <c r="E2528" t="s">
        <v>536</v>
      </c>
      <c r="F2528" t="s">
        <v>88</v>
      </c>
      <c r="G2528" s="12">
        <v>30</v>
      </c>
      <c r="H2528" s="12">
        <v>94</v>
      </c>
      <c r="I2528" s="12">
        <v>28</v>
      </c>
      <c r="J2528" t="str">
        <f>VLOOKUP(B2528,Paramètres!$A$4:$C$11,3,FALSE)</f>
        <v>Paris</v>
      </c>
      <c r="K2528" s="13">
        <f>IFERROR(H2528/G2528,"")</f>
        <v>3.1333333333333333</v>
      </c>
      <c r="L2528" s="14">
        <f>IFERROR(I2528/G2528,"")</f>
        <v>0.93333333333333335</v>
      </c>
      <c r="M2528" s="11" t="str">
        <f>IF(K2528&gt;=Paramètres!$F$6,"Très forte",IF(K2528&gt;=Paramètres!$F$5,"Forte",IF(K2528&gt;=Paramètres!$F$4,"Modérée","Faible")))</f>
        <v>Faible</v>
      </c>
    </row>
    <row r="2529" spans="1:13">
      <c r="A2529" t="s">
        <v>152</v>
      </c>
      <c r="B2529" s="11">
        <v>75</v>
      </c>
      <c r="C2529" t="s">
        <v>86</v>
      </c>
      <c r="D2529" t="s">
        <v>22</v>
      </c>
      <c r="E2529" t="s">
        <v>465</v>
      </c>
      <c r="F2529" t="s">
        <v>88</v>
      </c>
      <c r="G2529" s="12">
        <v>1500</v>
      </c>
      <c r="H2529" s="12">
        <v>4608</v>
      </c>
      <c r="I2529" s="12">
        <v>2187</v>
      </c>
      <c r="J2529" t="str">
        <f>VLOOKUP(B2529,Paramètres!$A$4:$C$11,3,FALSE)</f>
        <v>Paris</v>
      </c>
      <c r="K2529" s="13">
        <f>IFERROR(H2529/G2529,"")</f>
        <v>3.0720000000000001</v>
      </c>
      <c r="L2529" s="14">
        <f>IFERROR(I2529/G2529,"")</f>
        <v>1.458</v>
      </c>
      <c r="M2529" s="11" t="str">
        <f>IF(K2529&gt;=Paramètres!$F$6,"Très forte",IF(K2529&gt;=Paramètres!$F$5,"Forte",IF(K2529&gt;=Paramètres!$F$4,"Modérée","Faible")))</f>
        <v>Faible</v>
      </c>
    </row>
    <row r="2530" spans="1:13">
      <c r="A2530" t="s">
        <v>108</v>
      </c>
      <c r="B2530" s="11">
        <v>93</v>
      </c>
      <c r="C2530" t="s">
        <v>100</v>
      </c>
      <c r="D2530" t="s">
        <v>22</v>
      </c>
      <c r="E2530" t="s">
        <v>595</v>
      </c>
      <c r="F2530" t="s">
        <v>88</v>
      </c>
      <c r="G2530" s="12">
        <v>25</v>
      </c>
      <c r="H2530" s="12">
        <v>74</v>
      </c>
      <c r="I2530" s="12">
        <v>6</v>
      </c>
      <c r="J2530" t="str">
        <f>VLOOKUP(B2530,Paramètres!$A$4:$C$11,3,FALSE)</f>
        <v>Petite couronne</v>
      </c>
      <c r="K2530" s="13">
        <f>IFERROR(H2530/G2530,"")</f>
        <v>2.96</v>
      </c>
      <c r="L2530" s="14">
        <f>IFERROR(I2530/G2530,"")</f>
        <v>0.24</v>
      </c>
      <c r="M2530" s="11" t="str">
        <f>IF(K2530&gt;=Paramètres!$F$6,"Très forte",IF(K2530&gt;=Paramètres!$F$5,"Forte",IF(K2530&gt;=Paramètres!$F$4,"Modérée","Faible")))</f>
        <v>Faible</v>
      </c>
    </row>
    <row r="2531" spans="1:13">
      <c r="A2531" t="s">
        <v>138</v>
      </c>
      <c r="B2531" s="11">
        <v>75</v>
      </c>
      <c r="C2531" t="s">
        <v>86</v>
      </c>
      <c r="D2531" t="s">
        <v>22</v>
      </c>
      <c r="E2531" t="s">
        <v>683</v>
      </c>
      <c r="F2531" t="s">
        <v>88</v>
      </c>
      <c r="G2531" s="12">
        <v>25</v>
      </c>
      <c r="H2531" s="12">
        <v>74</v>
      </c>
      <c r="I2531" s="12">
        <v>22</v>
      </c>
      <c r="J2531" t="str">
        <f>VLOOKUP(B2531,Paramètres!$A$4:$C$11,3,FALSE)</f>
        <v>Paris</v>
      </c>
      <c r="K2531" s="13">
        <f>IFERROR(H2531/G2531,"")</f>
        <v>2.96</v>
      </c>
      <c r="L2531" s="14">
        <f>IFERROR(I2531/G2531,"")</f>
        <v>0.88</v>
      </c>
      <c r="M2531" s="11" t="str">
        <f>IF(K2531&gt;=Paramètres!$F$6,"Très forte",IF(K2531&gt;=Paramètres!$F$5,"Forte",IF(K2531&gt;=Paramètres!$F$4,"Modérée","Faible")))</f>
        <v>Faible</v>
      </c>
    </row>
    <row r="2532" spans="1:13">
      <c r="A2532" t="s">
        <v>119</v>
      </c>
      <c r="B2532" s="11">
        <v>75</v>
      </c>
      <c r="C2532" t="s">
        <v>86</v>
      </c>
      <c r="D2532" t="s">
        <v>22</v>
      </c>
      <c r="E2532" t="s">
        <v>339</v>
      </c>
      <c r="F2532" t="s">
        <v>88</v>
      </c>
      <c r="G2532" s="12">
        <v>90</v>
      </c>
      <c r="H2532" s="12">
        <v>264</v>
      </c>
      <c r="I2532" s="12">
        <v>88</v>
      </c>
      <c r="J2532" t="str">
        <f>VLOOKUP(B2532,Paramètres!$A$4:$C$11,3,FALSE)</f>
        <v>Paris</v>
      </c>
      <c r="K2532" s="13">
        <f>IFERROR(H2532/G2532,"")</f>
        <v>2.9333333333333331</v>
      </c>
      <c r="L2532" s="14">
        <f>IFERROR(I2532/G2532,"")</f>
        <v>0.97777777777777775</v>
      </c>
      <c r="M2532" s="11" t="str">
        <f>IF(K2532&gt;=Paramètres!$F$6,"Très forte",IF(K2532&gt;=Paramètres!$F$5,"Forte",IF(K2532&gt;=Paramètres!$F$4,"Modérée","Faible")))</f>
        <v>Faible</v>
      </c>
    </row>
    <row r="2533" spans="1:13">
      <c r="A2533" t="s">
        <v>119</v>
      </c>
      <c r="B2533" s="11">
        <v>75</v>
      </c>
      <c r="C2533" t="s">
        <v>86</v>
      </c>
      <c r="D2533" t="s">
        <v>22</v>
      </c>
      <c r="E2533" t="s">
        <v>172</v>
      </c>
      <c r="F2533" t="s">
        <v>88</v>
      </c>
      <c r="G2533" s="12">
        <v>55</v>
      </c>
      <c r="H2533" s="12">
        <v>158</v>
      </c>
      <c r="I2533" s="12">
        <v>47</v>
      </c>
      <c r="J2533" t="str">
        <f>VLOOKUP(B2533,Paramètres!$A$4:$C$11,3,FALSE)</f>
        <v>Paris</v>
      </c>
      <c r="K2533" s="13">
        <f>IFERROR(H2533/G2533,"")</f>
        <v>2.8727272727272726</v>
      </c>
      <c r="L2533" s="14">
        <f>IFERROR(I2533/G2533,"")</f>
        <v>0.8545454545454545</v>
      </c>
      <c r="M2533" s="11" t="str">
        <f>IF(K2533&gt;=Paramètres!$F$6,"Très forte",IF(K2533&gt;=Paramètres!$F$5,"Forte",IF(K2533&gt;=Paramètres!$F$4,"Modérée","Faible")))</f>
        <v>Faible</v>
      </c>
    </row>
    <row r="2534" spans="1:13">
      <c r="A2534" t="s">
        <v>89</v>
      </c>
      <c r="B2534" s="11">
        <v>95</v>
      </c>
      <c r="C2534" t="s">
        <v>90</v>
      </c>
      <c r="D2534" t="s">
        <v>22</v>
      </c>
      <c r="E2534" t="s">
        <v>286</v>
      </c>
      <c r="F2534" t="s">
        <v>92</v>
      </c>
      <c r="G2534" s="12">
        <v>160</v>
      </c>
      <c r="H2534" s="12">
        <v>454</v>
      </c>
      <c r="I2534" s="12">
        <v>160</v>
      </c>
      <c r="J2534" t="str">
        <f>VLOOKUP(B2534,Paramètres!$A$4:$C$11,3,FALSE)</f>
        <v>Grande couronne</v>
      </c>
      <c r="K2534" s="13">
        <f>IFERROR(H2534/G2534,"")</f>
        <v>2.8374999999999999</v>
      </c>
      <c r="L2534" s="14">
        <f>IFERROR(I2534/G2534,"")</f>
        <v>1</v>
      </c>
      <c r="M2534" s="11" t="str">
        <f>IF(K2534&gt;=Paramètres!$F$6,"Très forte",IF(K2534&gt;=Paramètres!$F$5,"Forte",IF(K2534&gt;=Paramètres!$F$4,"Modérée","Faible")))</f>
        <v>Faible</v>
      </c>
    </row>
    <row r="2535" spans="1:13">
      <c r="A2535" t="s">
        <v>138</v>
      </c>
      <c r="B2535" s="11">
        <v>75</v>
      </c>
      <c r="C2535" t="s">
        <v>86</v>
      </c>
      <c r="D2535" t="s">
        <v>22</v>
      </c>
      <c r="E2535" t="s">
        <v>675</v>
      </c>
      <c r="F2535" t="s">
        <v>88</v>
      </c>
      <c r="G2535" s="12">
        <v>15</v>
      </c>
      <c r="H2535" s="12">
        <v>42</v>
      </c>
      <c r="I2535" s="12">
        <v>12</v>
      </c>
      <c r="J2535" t="str">
        <f>VLOOKUP(B2535,Paramètres!$A$4:$C$11,3,FALSE)</f>
        <v>Paris</v>
      </c>
      <c r="K2535" s="13">
        <f>IFERROR(H2535/G2535,"")</f>
        <v>2.8</v>
      </c>
      <c r="L2535" s="14">
        <f>IFERROR(I2535/G2535,"")</f>
        <v>0.8</v>
      </c>
      <c r="M2535" s="11" t="str">
        <f>IF(K2535&gt;=Paramètres!$F$6,"Très forte",IF(K2535&gt;=Paramètres!$F$5,"Forte",IF(K2535&gt;=Paramètres!$F$4,"Modérée","Faible")))</f>
        <v>Faible</v>
      </c>
    </row>
    <row r="2536" spans="1:13">
      <c r="A2536" t="s">
        <v>138</v>
      </c>
      <c r="B2536" s="11">
        <v>75</v>
      </c>
      <c r="C2536" t="s">
        <v>86</v>
      </c>
      <c r="D2536" t="s">
        <v>22</v>
      </c>
      <c r="E2536" t="s">
        <v>181</v>
      </c>
      <c r="F2536" t="s">
        <v>88</v>
      </c>
      <c r="G2536" s="12">
        <v>65</v>
      </c>
      <c r="H2536" s="12">
        <v>181</v>
      </c>
      <c r="I2536" s="12">
        <v>63</v>
      </c>
      <c r="J2536" t="str">
        <f>VLOOKUP(B2536,Paramètres!$A$4:$C$11,3,FALSE)</f>
        <v>Paris</v>
      </c>
      <c r="K2536" s="13">
        <f>IFERROR(H2536/G2536,"")</f>
        <v>2.7846153846153845</v>
      </c>
      <c r="L2536" s="14">
        <f>IFERROR(I2536/G2536,"")</f>
        <v>0.96923076923076923</v>
      </c>
      <c r="M2536" s="11" t="str">
        <f>IF(K2536&gt;=Paramètres!$F$6,"Très forte",IF(K2536&gt;=Paramètres!$F$5,"Forte",IF(K2536&gt;=Paramètres!$F$4,"Modérée","Faible")))</f>
        <v>Faible</v>
      </c>
    </row>
    <row r="2537" spans="1:13">
      <c r="A2537" t="s">
        <v>418</v>
      </c>
      <c r="B2537" s="11">
        <v>92</v>
      </c>
      <c r="C2537" t="s">
        <v>94</v>
      </c>
      <c r="D2537" t="s">
        <v>22</v>
      </c>
      <c r="E2537" t="s">
        <v>419</v>
      </c>
      <c r="F2537" t="s">
        <v>88</v>
      </c>
      <c r="G2537" s="12">
        <v>60</v>
      </c>
      <c r="H2537" s="12">
        <v>167</v>
      </c>
      <c r="I2537" s="12">
        <v>56</v>
      </c>
      <c r="J2537" t="str">
        <f>VLOOKUP(B2537,Paramètres!$A$4:$C$11,3,FALSE)</f>
        <v>Petite couronne</v>
      </c>
      <c r="K2537" s="13">
        <f>IFERROR(H2537/G2537,"")</f>
        <v>2.7833333333333332</v>
      </c>
      <c r="L2537" s="14">
        <f>IFERROR(I2537/G2537,"")</f>
        <v>0.93333333333333335</v>
      </c>
      <c r="M2537" s="11" t="str">
        <f>IF(K2537&gt;=Paramètres!$F$6,"Très forte",IF(K2537&gt;=Paramètres!$F$5,"Forte",IF(K2537&gt;=Paramètres!$F$4,"Modérée","Faible")))</f>
        <v>Faible</v>
      </c>
    </row>
    <row r="2538" spans="1:13">
      <c r="A2538" t="s">
        <v>119</v>
      </c>
      <c r="B2538" s="11">
        <v>75</v>
      </c>
      <c r="C2538" t="s">
        <v>86</v>
      </c>
      <c r="D2538" t="s">
        <v>22</v>
      </c>
      <c r="E2538" t="s">
        <v>217</v>
      </c>
      <c r="F2538" t="s">
        <v>92</v>
      </c>
      <c r="G2538" s="12">
        <v>20</v>
      </c>
      <c r="H2538" s="12">
        <v>55</v>
      </c>
      <c r="I2538" s="12">
        <v>9</v>
      </c>
      <c r="J2538" t="str">
        <f>VLOOKUP(B2538,Paramètres!$A$4:$C$11,3,FALSE)</f>
        <v>Paris</v>
      </c>
      <c r="K2538" s="13">
        <f>IFERROR(H2538/G2538,"")</f>
        <v>2.75</v>
      </c>
      <c r="L2538" s="14">
        <f>IFERROR(I2538/G2538,"")</f>
        <v>0.45</v>
      </c>
      <c r="M2538" s="11" t="str">
        <f>IF(K2538&gt;=Paramètres!$F$6,"Très forte",IF(K2538&gt;=Paramètres!$F$5,"Forte",IF(K2538&gt;=Paramètres!$F$4,"Modérée","Faible")))</f>
        <v>Faible</v>
      </c>
    </row>
    <row r="2539" spans="1:13">
      <c r="A2539" t="s">
        <v>138</v>
      </c>
      <c r="B2539" s="11">
        <v>75</v>
      </c>
      <c r="C2539" t="s">
        <v>86</v>
      </c>
      <c r="D2539" t="s">
        <v>22</v>
      </c>
      <c r="E2539" t="s">
        <v>689</v>
      </c>
      <c r="F2539" t="s">
        <v>88</v>
      </c>
      <c r="G2539" s="12">
        <v>50</v>
      </c>
      <c r="H2539" s="12">
        <v>136</v>
      </c>
      <c r="I2539" s="12">
        <v>47</v>
      </c>
      <c r="J2539" t="str">
        <f>VLOOKUP(B2539,Paramètres!$A$4:$C$11,3,FALSE)</f>
        <v>Paris</v>
      </c>
      <c r="K2539" s="13">
        <f>IFERROR(H2539/G2539,"")</f>
        <v>2.72</v>
      </c>
      <c r="L2539" s="14">
        <f>IFERROR(I2539/G2539,"")</f>
        <v>0.94</v>
      </c>
      <c r="M2539" s="11" t="str">
        <f>IF(K2539&gt;=Paramètres!$F$6,"Très forte",IF(K2539&gt;=Paramètres!$F$5,"Forte",IF(K2539&gt;=Paramètres!$F$4,"Modérée","Faible")))</f>
        <v>Faible</v>
      </c>
    </row>
    <row r="2540" spans="1:13">
      <c r="A2540" t="s">
        <v>138</v>
      </c>
      <c r="B2540" s="11">
        <v>75</v>
      </c>
      <c r="C2540" t="s">
        <v>86</v>
      </c>
      <c r="D2540" t="s">
        <v>22</v>
      </c>
      <c r="E2540" t="s">
        <v>384</v>
      </c>
      <c r="F2540" t="s">
        <v>88</v>
      </c>
      <c r="G2540" s="12">
        <v>10</v>
      </c>
      <c r="H2540" s="12">
        <v>26</v>
      </c>
      <c r="I2540" s="12">
        <v>7</v>
      </c>
      <c r="J2540" t="str">
        <f>VLOOKUP(B2540,Paramètres!$A$4:$C$11,3,FALSE)</f>
        <v>Paris</v>
      </c>
      <c r="K2540" s="13">
        <f>IFERROR(H2540/G2540,"")</f>
        <v>2.6</v>
      </c>
      <c r="L2540" s="14">
        <f>IFERROR(I2540/G2540,"")</f>
        <v>0.7</v>
      </c>
      <c r="M2540" s="11" t="str">
        <f>IF(K2540&gt;=Paramètres!$F$6,"Très forte",IF(K2540&gt;=Paramètres!$F$5,"Forte",IF(K2540&gt;=Paramètres!$F$4,"Modérée","Faible")))</f>
        <v>Faible</v>
      </c>
    </row>
    <row r="2541" spans="1:13">
      <c r="A2541" t="s">
        <v>138</v>
      </c>
      <c r="B2541" s="11">
        <v>75</v>
      </c>
      <c r="C2541" t="s">
        <v>86</v>
      </c>
      <c r="D2541" t="s">
        <v>22</v>
      </c>
      <c r="E2541" t="s">
        <v>787</v>
      </c>
      <c r="F2541" t="s">
        <v>88</v>
      </c>
      <c r="G2541" s="12">
        <v>10</v>
      </c>
      <c r="H2541" s="12">
        <v>26</v>
      </c>
      <c r="I2541" s="12">
        <v>3</v>
      </c>
      <c r="J2541" t="str">
        <f>VLOOKUP(B2541,Paramètres!$A$4:$C$11,3,FALSE)</f>
        <v>Paris</v>
      </c>
      <c r="K2541" s="13">
        <f>IFERROR(H2541/G2541,"")</f>
        <v>2.6</v>
      </c>
      <c r="L2541" s="14">
        <f>IFERROR(I2541/G2541,"")</f>
        <v>0.3</v>
      </c>
      <c r="M2541" s="11" t="str">
        <f>IF(K2541&gt;=Paramètres!$F$6,"Très forte",IF(K2541&gt;=Paramètres!$F$5,"Forte",IF(K2541&gt;=Paramètres!$F$4,"Modérée","Faible")))</f>
        <v>Faible</v>
      </c>
    </row>
    <row r="2542" spans="1:13">
      <c r="A2542" t="s">
        <v>119</v>
      </c>
      <c r="B2542" s="11">
        <v>75</v>
      </c>
      <c r="C2542" t="s">
        <v>86</v>
      </c>
      <c r="D2542" t="s">
        <v>22</v>
      </c>
      <c r="E2542" t="s">
        <v>502</v>
      </c>
      <c r="F2542" t="s">
        <v>88</v>
      </c>
      <c r="G2542" s="12">
        <v>55</v>
      </c>
      <c r="H2542" s="12">
        <v>141</v>
      </c>
      <c r="I2542" s="12">
        <v>53</v>
      </c>
      <c r="J2542" t="str">
        <f>VLOOKUP(B2542,Paramètres!$A$4:$C$11,3,FALSE)</f>
        <v>Paris</v>
      </c>
      <c r="K2542" s="13">
        <f>IFERROR(H2542/G2542,"")</f>
        <v>2.5636363636363635</v>
      </c>
      <c r="L2542" s="14">
        <f>IFERROR(I2542/G2542,"")</f>
        <v>0.96363636363636362</v>
      </c>
      <c r="M2542" s="11" t="str">
        <f>IF(K2542&gt;=Paramètres!$F$6,"Très forte",IF(K2542&gt;=Paramètres!$F$5,"Forte",IF(K2542&gt;=Paramètres!$F$4,"Modérée","Faible")))</f>
        <v>Faible</v>
      </c>
    </row>
    <row r="2543" spans="1:13">
      <c r="A2543" t="s">
        <v>190</v>
      </c>
      <c r="B2543" s="11">
        <v>75</v>
      </c>
      <c r="C2543" t="s">
        <v>86</v>
      </c>
      <c r="D2543" t="s">
        <v>22</v>
      </c>
      <c r="E2543" t="s">
        <v>790</v>
      </c>
      <c r="F2543" t="s">
        <v>88</v>
      </c>
      <c r="G2543" s="12">
        <v>110</v>
      </c>
      <c r="H2543" s="12">
        <v>270</v>
      </c>
      <c r="I2543" s="12">
        <v>42</v>
      </c>
      <c r="J2543" t="str">
        <f>VLOOKUP(B2543,Paramètres!$A$4:$C$11,3,FALSE)</f>
        <v>Paris</v>
      </c>
      <c r="K2543" s="13">
        <f>IFERROR(H2543/G2543,"")</f>
        <v>2.4545454545454546</v>
      </c>
      <c r="L2543" s="14">
        <f>IFERROR(I2543/G2543,"")</f>
        <v>0.38181818181818183</v>
      </c>
      <c r="M2543" s="11" t="str">
        <f>IF(K2543&gt;=Paramètres!$F$6,"Très forte",IF(K2543&gt;=Paramètres!$F$5,"Forte",IF(K2543&gt;=Paramètres!$F$4,"Modérée","Faible")))</f>
        <v>Faible</v>
      </c>
    </row>
    <row r="2544" spans="1:13">
      <c r="A2544" t="s">
        <v>138</v>
      </c>
      <c r="B2544" s="11">
        <v>75</v>
      </c>
      <c r="C2544" t="s">
        <v>86</v>
      </c>
      <c r="D2544" t="s">
        <v>22</v>
      </c>
      <c r="E2544" t="s">
        <v>385</v>
      </c>
      <c r="F2544" t="s">
        <v>88</v>
      </c>
      <c r="G2544" s="12">
        <v>10</v>
      </c>
      <c r="H2544" s="12">
        <v>24</v>
      </c>
      <c r="I2544" s="12">
        <v>3</v>
      </c>
      <c r="J2544" t="str">
        <f>VLOOKUP(B2544,Paramètres!$A$4:$C$11,3,FALSE)</f>
        <v>Paris</v>
      </c>
      <c r="K2544" s="13">
        <f>IFERROR(H2544/G2544,"")</f>
        <v>2.4</v>
      </c>
      <c r="L2544" s="14">
        <f>IFERROR(I2544/G2544,"")</f>
        <v>0.3</v>
      </c>
      <c r="M2544" s="11" t="str">
        <f>IF(K2544&gt;=Paramètres!$F$6,"Très forte",IF(K2544&gt;=Paramètres!$F$5,"Forte",IF(K2544&gt;=Paramètres!$F$4,"Modérée","Faible")))</f>
        <v>Faible</v>
      </c>
    </row>
    <row r="2545" spans="1:13">
      <c r="A2545" t="s">
        <v>119</v>
      </c>
      <c r="B2545" s="11">
        <v>75</v>
      </c>
      <c r="C2545" t="s">
        <v>86</v>
      </c>
      <c r="D2545" t="s">
        <v>22</v>
      </c>
      <c r="E2545" t="s">
        <v>668</v>
      </c>
      <c r="F2545" t="s">
        <v>88</v>
      </c>
      <c r="G2545" s="12">
        <v>140</v>
      </c>
      <c r="H2545" s="12">
        <v>331</v>
      </c>
      <c r="I2545" s="12">
        <v>124</v>
      </c>
      <c r="J2545" t="str">
        <f>VLOOKUP(B2545,Paramètres!$A$4:$C$11,3,FALSE)</f>
        <v>Paris</v>
      </c>
      <c r="K2545" s="13">
        <f>IFERROR(H2545/G2545,"")</f>
        <v>2.3642857142857143</v>
      </c>
      <c r="L2545" s="14">
        <f>IFERROR(I2545/G2545,"")</f>
        <v>0.88571428571428568</v>
      </c>
      <c r="M2545" s="11" t="str">
        <f>IF(K2545&gt;=Paramètres!$F$6,"Très forte",IF(K2545&gt;=Paramètres!$F$5,"Forte",IF(K2545&gt;=Paramètres!$F$4,"Modérée","Faible")))</f>
        <v>Faible</v>
      </c>
    </row>
    <row r="2546" spans="1:13">
      <c r="A2546" t="s">
        <v>190</v>
      </c>
      <c r="B2546" s="11">
        <v>75</v>
      </c>
      <c r="C2546" t="s">
        <v>86</v>
      </c>
      <c r="D2546" t="s">
        <v>22</v>
      </c>
      <c r="E2546" t="s">
        <v>514</v>
      </c>
      <c r="F2546" t="s">
        <v>88</v>
      </c>
      <c r="G2546" s="12">
        <v>120</v>
      </c>
      <c r="H2546" s="12">
        <v>241</v>
      </c>
      <c r="I2546" s="12">
        <v>35</v>
      </c>
      <c r="J2546" t="str">
        <f>VLOOKUP(B2546,Paramètres!$A$4:$C$11,3,FALSE)</f>
        <v>Paris</v>
      </c>
      <c r="K2546" s="13">
        <f>IFERROR(H2546/G2546,"")</f>
        <v>2.0083333333333333</v>
      </c>
      <c r="L2546" s="14">
        <f>IFERROR(I2546/G2546,"")</f>
        <v>0.29166666666666669</v>
      </c>
      <c r="M2546" s="11" t="str">
        <f>IF(K2546&gt;=Paramètres!$F$6,"Très forte",IF(K2546&gt;=Paramètres!$F$5,"Forte",IF(K2546&gt;=Paramètres!$F$4,"Modérée","Faible")))</f>
        <v>Faible</v>
      </c>
    </row>
    <row r="2547" spans="1:13">
      <c r="A2547" t="s">
        <v>138</v>
      </c>
      <c r="B2547" s="11">
        <v>75</v>
      </c>
      <c r="C2547" t="s">
        <v>86</v>
      </c>
      <c r="D2547" t="s">
        <v>22</v>
      </c>
      <c r="E2547" t="s">
        <v>380</v>
      </c>
      <c r="F2547" t="s">
        <v>88</v>
      </c>
      <c r="G2547" s="12">
        <v>10</v>
      </c>
      <c r="H2547" s="12">
        <v>18</v>
      </c>
      <c r="I2547" s="12">
        <v>0</v>
      </c>
      <c r="J2547" t="str">
        <f>VLOOKUP(B2547,Paramètres!$A$4:$C$11,3,FALSE)</f>
        <v>Paris</v>
      </c>
      <c r="K2547" s="13">
        <f>IFERROR(H2547/G2547,"")</f>
        <v>1.8</v>
      </c>
      <c r="L2547" s="14">
        <f>IFERROR(I2547/G2547,"")</f>
        <v>0</v>
      </c>
      <c r="M2547" s="11" t="str">
        <f>IF(K2547&gt;=Paramètres!$F$6,"Très forte",IF(K2547&gt;=Paramètres!$F$5,"Forte",IF(K2547&gt;=Paramètres!$F$4,"Modérée","Faible")))</f>
        <v>Faible</v>
      </c>
    </row>
    <row r="2548" spans="1:13">
      <c r="A2548" t="s">
        <v>85</v>
      </c>
      <c r="B2548" s="11">
        <v>75</v>
      </c>
      <c r="C2548" t="s">
        <v>86</v>
      </c>
      <c r="D2548" t="s">
        <v>22</v>
      </c>
      <c r="E2548" t="s">
        <v>87</v>
      </c>
      <c r="F2548" t="s">
        <v>88</v>
      </c>
      <c r="G2548" s="12">
        <v>50</v>
      </c>
      <c r="H2548" s="12">
        <v>86</v>
      </c>
      <c r="I2548" s="12">
        <v>10</v>
      </c>
      <c r="J2548" t="str">
        <f>VLOOKUP(B2548,Paramètres!$A$4:$C$11,3,FALSE)</f>
        <v>Paris</v>
      </c>
      <c r="K2548" s="13">
        <f>IFERROR(H2548/G2548,"")</f>
        <v>1.72</v>
      </c>
      <c r="L2548" s="14">
        <f>IFERROR(I2548/G2548,"")</f>
        <v>0.2</v>
      </c>
      <c r="M2548" s="11" t="str">
        <f>IF(K2548&gt;=Paramètres!$F$6,"Très forte",IF(K2548&gt;=Paramètres!$F$5,"Forte",IF(K2548&gt;=Paramètres!$F$4,"Modérée","Faible")))</f>
        <v>Faible</v>
      </c>
    </row>
    <row r="2549" spans="1:13">
      <c r="A2549" t="s">
        <v>138</v>
      </c>
      <c r="B2549" s="11">
        <v>75</v>
      </c>
      <c r="C2549" t="s">
        <v>86</v>
      </c>
      <c r="D2549" t="s">
        <v>22</v>
      </c>
      <c r="E2549" t="s">
        <v>183</v>
      </c>
      <c r="F2549" t="s">
        <v>88</v>
      </c>
      <c r="G2549" s="12">
        <v>10</v>
      </c>
      <c r="H2549" s="12">
        <v>17</v>
      </c>
      <c r="I2549" s="12">
        <v>3</v>
      </c>
      <c r="J2549" t="str">
        <f>VLOOKUP(B2549,Paramètres!$A$4:$C$11,3,FALSE)</f>
        <v>Paris</v>
      </c>
      <c r="K2549" s="13">
        <f>IFERROR(H2549/G2549,"")</f>
        <v>1.7</v>
      </c>
      <c r="L2549" s="14">
        <f>IFERROR(I2549/G2549,"")</f>
        <v>0.3</v>
      </c>
      <c r="M2549" s="11" t="str">
        <f>IF(K2549&gt;=Paramètres!$F$6,"Très forte",IF(K2549&gt;=Paramètres!$F$5,"Forte",IF(K2549&gt;=Paramètres!$F$4,"Modérée","Faible")))</f>
        <v>Faible</v>
      </c>
    </row>
    <row r="2550" spans="1:13">
      <c r="A2550" t="s">
        <v>190</v>
      </c>
      <c r="B2550" s="11">
        <v>75</v>
      </c>
      <c r="C2550" t="s">
        <v>86</v>
      </c>
      <c r="D2550" t="s">
        <v>22</v>
      </c>
      <c r="E2550" t="s">
        <v>442</v>
      </c>
      <c r="F2550" t="s">
        <v>88</v>
      </c>
      <c r="G2550" s="12">
        <v>30</v>
      </c>
      <c r="H2550" s="12">
        <v>44</v>
      </c>
      <c r="I2550" s="12">
        <v>6</v>
      </c>
      <c r="J2550" t="str">
        <f>VLOOKUP(B2550,Paramètres!$A$4:$C$11,3,FALSE)</f>
        <v>Paris</v>
      </c>
      <c r="K2550" s="13">
        <f>IFERROR(H2550/G2550,"")</f>
        <v>1.4666666666666666</v>
      </c>
      <c r="L2550" s="14">
        <f>IFERROR(I2550/G2550,"")</f>
        <v>0.2</v>
      </c>
      <c r="M2550" s="11" t="str">
        <f>IF(K2550&gt;=Paramètres!$F$6,"Très forte",IF(K2550&gt;=Paramètres!$F$5,"Forte",IF(K2550&gt;=Paramètres!$F$4,"Modérée","Faible")))</f>
        <v>Faible</v>
      </c>
    </row>
    <row r="2551" spans="1:13">
      <c r="A2551" t="s">
        <v>190</v>
      </c>
      <c r="B2551" s="11">
        <v>75</v>
      </c>
      <c r="C2551" t="s">
        <v>86</v>
      </c>
      <c r="D2551" t="s">
        <v>22</v>
      </c>
      <c r="E2551" t="s">
        <v>789</v>
      </c>
      <c r="F2551" t="s">
        <v>88</v>
      </c>
      <c r="G2551" s="12">
        <v>60</v>
      </c>
      <c r="H2551" s="12">
        <v>77</v>
      </c>
      <c r="I2551" s="12">
        <v>11</v>
      </c>
      <c r="J2551" t="str">
        <f>VLOOKUP(B2551,Paramètres!$A$4:$C$11,3,FALSE)</f>
        <v>Paris</v>
      </c>
      <c r="K2551" s="13">
        <f>IFERROR(H2551/G2551,"")</f>
        <v>1.2833333333333334</v>
      </c>
      <c r="L2551" s="14">
        <f>IFERROR(I2551/G2551,"")</f>
        <v>0.18333333333333332</v>
      </c>
      <c r="M2551" s="11" t="str">
        <f>IF(K2551&gt;=Paramètres!$F$6,"Très forte",IF(K2551&gt;=Paramètres!$F$5,"Forte",IF(K2551&gt;=Paramètres!$F$4,"Modérée","Faible")))</f>
        <v>Faible</v>
      </c>
    </row>
    <row r="2552" spans="1:13">
      <c r="A2552" t="s">
        <v>119</v>
      </c>
      <c r="B2552" s="11">
        <v>75</v>
      </c>
      <c r="C2552" t="s">
        <v>86</v>
      </c>
      <c r="D2552" t="s">
        <v>101</v>
      </c>
      <c r="E2552" t="s">
        <v>220</v>
      </c>
      <c r="F2552" t="s">
        <v>88</v>
      </c>
      <c r="G2552" s="12">
        <v>5</v>
      </c>
      <c r="H2552" s="12">
        <v>2233</v>
      </c>
      <c r="I2552" s="12">
        <v>5</v>
      </c>
      <c r="J2552" t="str">
        <f>VLOOKUP(B2552,Paramètres!$A$4:$C$11,3,FALSE)</f>
        <v>Paris</v>
      </c>
      <c r="K2552" s="13">
        <f>IFERROR(H2552/G2552,"")</f>
        <v>446.6</v>
      </c>
      <c r="L2552" s="14">
        <f>IFERROR(I2552/G2552,"")</f>
        <v>1</v>
      </c>
      <c r="M2552" s="11" t="str">
        <f>IF(K2552&gt;=Paramètres!$F$6,"Très forte",IF(K2552&gt;=Paramètres!$F$5,"Forte",IF(K2552&gt;=Paramètres!$F$4,"Modérée","Faible")))</f>
        <v>Très forte</v>
      </c>
    </row>
    <row r="2553" spans="1:13">
      <c r="A2553" t="s">
        <v>119</v>
      </c>
      <c r="B2553" s="11">
        <v>75</v>
      </c>
      <c r="C2553" t="s">
        <v>86</v>
      </c>
      <c r="D2553" t="s">
        <v>101</v>
      </c>
      <c r="E2553" t="s">
        <v>404</v>
      </c>
      <c r="F2553" t="s">
        <v>88</v>
      </c>
      <c r="G2553" s="12">
        <v>5</v>
      </c>
      <c r="H2553" s="12">
        <v>2053</v>
      </c>
      <c r="I2553" s="12">
        <v>5</v>
      </c>
      <c r="J2553" t="str">
        <f>VLOOKUP(B2553,Paramètres!$A$4:$C$11,3,FALSE)</f>
        <v>Paris</v>
      </c>
      <c r="K2553" s="13">
        <f>IFERROR(H2553/G2553,"")</f>
        <v>410.6</v>
      </c>
      <c r="L2553" s="14">
        <f>IFERROR(I2553/G2553,"")</f>
        <v>1</v>
      </c>
      <c r="M2553" s="11" t="str">
        <f>IF(K2553&gt;=Paramètres!$F$6,"Très forte",IF(K2553&gt;=Paramètres!$F$5,"Forte",IF(K2553&gt;=Paramètres!$F$4,"Modérée","Faible")))</f>
        <v>Très forte</v>
      </c>
    </row>
    <row r="2554" spans="1:13">
      <c r="A2554" t="s">
        <v>110</v>
      </c>
      <c r="B2554" s="11">
        <v>75</v>
      </c>
      <c r="C2554" t="s">
        <v>86</v>
      </c>
      <c r="D2554" t="s">
        <v>101</v>
      </c>
      <c r="E2554" t="s">
        <v>508</v>
      </c>
      <c r="F2554" t="s">
        <v>88</v>
      </c>
      <c r="G2554" s="12">
        <v>15</v>
      </c>
      <c r="H2554" s="12">
        <v>4458</v>
      </c>
      <c r="I2554" s="12">
        <v>15</v>
      </c>
      <c r="J2554" t="str">
        <f>VLOOKUP(B2554,Paramètres!$A$4:$C$11,3,FALSE)</f>
        <v>Paris</v>
      </c>
      <c r="K2554" s="13">
        <f>IFERROR(H2554/G2554,"")</f>
        <v>297.2</v>
      </c>
      <c r="L2554" s="14">
        <f>IFERROR(I2554/G2554,"")</f>
        <v>1</v>
      </c>
      <c r="M2554" s="11" t="str">
        <f>IF(K2554&gt;=Paramètres!$F$6,"Très forte",IF(K2554&gt;=Paramètres!$F$5,"Forte",IF(K2554&gt;=Paramètres!$F$4,"Modérée","Faible")))</f>
        <v>Très forte</v>
      </c>
    </row>
    <row r="2555" spans="1:13">
      <c r="A2555" t="s">
        <v>119</v>
      </c>
      <c r="B2555" s="11">
        <v>75</v>
      </c>
      <c r="C2555" t="s">
        <v>86</v>
      </c>
      <c r="D2555" t="s">
        <v>101</v>
      </c>
      <c r="E2555" t="s">
        <v>221</v>
      </c>
      <c r="F2555" t="s">
        <v>88</v>
      </c>
      <c r="G2555" s="12">
        <v>15</v>
      </c>
      <c r="H2555" s="12">
        <v>2797</v>
      </c>
      <c r="I2555" s="12">
        <v>13</v>
      </c>
      <c r="J2555" t="str">
        <f>VLOOKUP(B2555,Paramètres!$A$4:$C$11,3,FALSE)</f>
        <v>Paris</v>
      </c>
      <c r="K2555" s="13">
        <f>IFERROR(H2555/G2555,"")</f>
        <v>186.46666666666667</v>
      </c>
      <c r="L2555" s="14">
        <f>IFERROR(I2555/G2555,"")</f>
        <v>0.8666666666666667</v>
      </c>
      <c r="M2555" s="11" t="str">
        <f>IF(K2555&gt;=Paramètres!$F$6,"Très forte",IF(K2555&gt;=Paramètres!$F$5,"Forte",IF(K2555&gt;=Paramètres!$F$4,"Modérée","Faible")))</f>
        <v>Très forte</v>
      </c>
    </row>
    <row r="2556" spans="1:13">
      <c r="A2556" t="s">
        <v>110</v>
      </c>
      <c r="B2556" s="11">
        <v>75</v>
      </c>
      <c r="C2556" t="s">
        <v>86</v>
      </c>
      <c r="D2556" t="s">
        <v>101</v>
      </c>
      <c r="E2556" t="s">
        <v>102</v>
      </c>
      <c r="F2556" t="s">
        <v>88</v>
      </c>
      <c r="G2556" s="12">
        <v>40</v>
      </c>
      <c r="H2556" s="12">
        <v>7039</v>
      </c>
      <c r="I2556" s="12">
        <v>40</v>
      </c>
      <c r="J2556" t="str">
        <f>VLOOKUP(B2556,Paramètres!$A$4:$C$11,3,FALSE)</f>
        <v>Paris</v>
      </c>
      <c r="K2556" s="13">
        <f>IFERROR(H2556/G2556,"")</f>
        <v>175.97499999999999</v>
      </c>
      <c r="L2556" s="14">
        <f>IFERROR(I2556/G2556,"")</f>
        <v>1</v>
      </c>
      <c r="M2556" s="11" t="str">
        <f>IF(K2556&gt;=Paramètres!$F$6,"Très forte",IF(K2556&gt;=Paramètres!$F$5,"Forte",IF(K2556&gt;=Paramètres!$F$4,"Modérée","Faible")))</f>
        <v>Très forte</v>
      </c>
    </row>
    <row r="2557" spans="1:13">
      <c r="A2557" t="s">
        <v>97</v>
      </c>
      <c r="B2557" s="11">
        <v>92</v>
      </c>
      <c r="C2557" t="s">
        <v>94</v>
      </c>
      <c r="D2557" t="s">
        <v>101</v>
      </c>
      <c r="E2557" t="s">
        <v>545</v>
      </c>
      <c r="F2557" t="s">
        <v>88</v>
      </c>
      <c r="G2557" s="12">
        <v>35</v>
      </c>
      <c r="H2557" s="12">
        <v>5981</v>
      </c>
      <c r="I2557" s="12">
        <v>35</v>
      </c>
      <c r="J2557" t="str">
        <f>VLOOKUP(B2557,Paramètres!$A$4:$C$11,3,FALSE)</f>
        <v>Petite couronne</v>
      </c>
      <c r="K2557" s="13">
        <f>IFERROR(H2557/G2557,"")</f>
        <v>170.88571428571427</v>
      </c>
      <c r="L2557" s="14">
        <f>IFERROR(I2557/G2557,"")</f>
        <v>1</v>
      </c>
      <c r="M2557" s="11" t="str">
        <f>IF(K2557&gt;=Paramètres!$F$6,"Très forte",IF(K2557&gt;=Paramètres!$F$5,"Forte",IF(K2557&gt;=Paramètres!$F$4,"Modérée","Faible")))</f>
        <v>Très forte</v>
      </c>
    </row>
    <row r="2558" spans="1:13">
      <c r="A2558" t="s">
        <v>119</v>
      </c>
      <c r="B2558" s="11">
        <v>75</v>
      </c>
      <c r="C2558" t="s">
        <v>86</v>
      </c>
      <c r="D2558" t="s">
        <v>101</v>
      </c>
      <c r="E2558" t="s">
        <v>700</v>
      </c>
      <c r="F2558" t="s">
        <v>88</v>
      </c>
      <c r="G2558" s="12">
        <v>5</v>
      </c>
      <c r="H2558" s="12">
        <v>814</v>
      </c>
      <c r="I2558" s="12">
        <v>5</v>
      </c>
      <c r="J2558" t="str">
        <f>VLOOKUP(B2558,Paramètres!$A$4:$C$11,3,FALSE)</f>
        <v>Paris</v>
      </c>
      <c r="K2558" s="13">
        <f>IFERROR(H2558/G2558,"")</f>
        <v>162.80000000000001</v>
      </c>
      <c r="L2558" s="14">
        <f>IFERROR(I2558/G2558,"")</f>
        <v>1</v>
      </c>
      <c r="M2558" s="11" t="str">
        <f>IF(K2558&gt;=Paramètres!$F$6,"Très forte",IF(K2558&gt;=Paramètres!$F$5,"Forte",IF(K2558&gt;=Paramètres!$F$4,"Modérée","Faible")))</f>
        <v>Très forte</v>
      </c>
    </row>
    <row r="2559" spans="1:13">
      <c r="A2559" t="s">
        <v>110</v>
      </c>
      <c r="B2559" s="11">
        <v>75</v>
      </c>
      <c r="C2559" t="s">
        <v>86</v>
      </c>
      <c r="D2559" t="s">
        <v>101</v>
      </c>
      <c r="E2559" t="s">
        <v>377</v>
      </c>
      <c r="F2559" t="s">
        <v>88</v>
      </c>
      <c r="G2559" s="12">
        <v>6</v>
      </c>
      <c r="H2559" s="12">
        <v>855</v>
      </c>
      <c r="I2559" s="12">
        <v>6</v>
      </c>
      <c r="J2559" t="str">
        <f>VLOOKUP(B2559,Paramètres!$A$4:$C$11,3,FALSE)</f>
        <v>Paris</v>
      </c>
      <c r="K2559" s="13">
        <f>IFERROR(H2559/G2559,"")</f>
        <v>142.5</v>
      </c>
      <c r="L2559" s="14">
        <f>IFERROR(I2559/G2559,"")</f>
        <v>1</v>
      </c>
      <c r="M2559" s="11" t="str">
        <f>IF(K2559&gt;=Paramètres!$F$6,"Très forte",IF(K2559&gt;=Paramètres!$F$5,"Forte",IF(K2559&gt;=Paramètres!$F$4,"Modérée","Faible")))</f>
        <v>Très forte</v>
      </c>
    </row>
    <row r="2560" spans="1:13">
      <c r="A2560" t="s">
        <v>99</v>
      </c>
      <c r="B2560" s="11">
        <v>93</v>
      </c>
      <c r="C2560" t="s">
        <v>100</v>
      </c>
      <c r="D2560" t="s">
        <v>101</v>
      </c>
      <c r="E2560" t="s">
        <v>102</v>
      </c>
      <c r="F2560" t="s">
        <v>88</v>
      </c>
      <c r="G2560" s="12">
        <v>30</v>
      </c>
      <c r="H2560" s="12">
        <v>4179</v>
      </c>
      <c r="I2560" s="12">
        <v>30</v>
      </c>
      <c r="J2560" t="str">
        <f>VLOOKUP(B2560,Paramètres!$A$4:$C$11,3,FALSE)</f>
        <v>Petite couronne</v>
      </c>
      <c r="K2560" s="13">
        <f>IFERROR(H2560/G2560,"")</f>
        <v>139.30000000000001</v>
      </c>
      <c r="L2560" s="14">
        <f>IFERROR(I2560/G2560,"")</f>
        <v>1</v>
      </c>
      <c r="M2560" s="11" t="str">
        <f>IF(K2560&gt;=Paramètres!$F$6,"Très forte",IF(K2560&gt;=Paramètres!$F$5,"Forte",IF(K2560&gt;=Paramètres!$F$4,"Modérée","Faible")))</f>
        <v>Très forte</v>
      </c>
    </row>
    <row r="2561" spans="1:13">
      <c r="A2561" t="s">
        <v>119</v>
      </c>
      <c r="B2561" s="11">
        <v>75</v>
      </c>
      <c r="C2561" t="s">
        <v>86</v>
      </c>
      <c r="D2561" t="s">
        <v>101</v>
      </c>
      <c r="E2561" t="s">
        <v>219</v>
      </c>
      <c r="F2561" t="s">
        <v>88</v>
      </c>
      <c r="G2561" s="12">
        <v>5</v>
      </c>
      <c r="H2561" s="12">
        <v>630</v>
      </c>
      <c r="I2561" s="12">
        <v>6</v>
      </c>
      <c r="J2561" t="str">
        <f>VLOOKUP(B2561,Paramètres!$A$4:$C$11,3,FALSE)</f>
        <v>Paris</v>
      </c>
      <c r="K2561" s="13">
        <f>IFERROR(H2561/G2561,"")</f>
        <v>126</v>
      </c>
      <c r="L2561" s="14">
        <f>IFERROR(I2561/G2561,"")</f>
        <v>1.2</v>
      </c>
      <c r="M2561" s="11" t="str">
        <f>IF(K2561&gt;=Paramètres!$F$6,"Très forte",IF(K2561&gt;=Paramètres!$F$5,"Forte",IF(K2561&gt;=Paramètres!$F$4,"Modérée","Faible")))</f>
        <v>Très forte</v>
      </c>
    </row>
    <row r="2562" spans="1:13">
      <c r="A2562" t="s">
        <v>115</v>
      </c>
      <c r="B2562" s="11">
        <v>94</v>
      </c>
      <c r="C2562" t="s">
        <v>116</v>
      </c>
      <c r="D2562" t="s">
        <v>101</v>
      </c>
      <c r="E2562" t="s">
        <v>117</v>
      </c>
      <c r="F2562" t="s">
        <v>88</v>
      </c>
      <c r="G2562" s="12">
        <v>30</v>
      </c>
      <c r="H2562" s="12">
        <v>3342</v>
      </c>
      <c r="I2562" s="12">
        <v>30</v>
      </c>
      <c r="J2562" t="str">
        <f>VLOOKUP(B2562,Paramètres!$A$4:$C$11,3,FALSE)</f>
        <v>Petite couronne</v>
      </c>
      <c r="K2562" s="13">
        <f>IFERROR(H2562/G2562,"")</f>
        <v>111.4</v>
      </c>
      <c r="L2562" s="14">
        <f>IFERROR(I2562/G2562,"")</f>
        <v>1</v>
      </c>
      <c r="M2562" s="11" t="str">
        <f>IF(K2562&gt;=Paramètres!$F$6,"Très forte",IF(K2562&gt;=Paramètres!$F$5,"Forte",IF(K2562&gt;=Paramètres!$F$4,"Modérée","Faible")))</f>
        <v>Très forte</v>
      </c>
    </row>
    <row r="2563" spans="1:13">
      <c r="A2563" t="s">
        <v>110</v>
      </c>
      <c r="B2563" s="11">
        <v>75</v>
      </c>
      <c r="C2563" t="s">
        <v>86</v>
      </c>
      <c r="D2563" t="s">
        <v>101</v>
      </c>
      <c r="E2563" t="s">
        <v>137</v>
      </c>
      <c r="F2563" t="s">
        <v>88</v>
      </c>
      <c r="G2563" s="12">
        <v>80</v>
      </c>
      <c r="H2563" s="12">
        <v>8170</v>
      </c>
      <c r="I2563" s="12">
        <v>80</v>
      </c>
      <c r="J2563" t="str">
        <f>VLOOKUP(B2563,Paramètres!$A$4:$C$11,3,FALSE)</f>
        <v>Paris</v>
      </c>
      <c r="K2563" s="13">
        <f>IFERROR(H2563/G2563,"")</f>
        <v>102.125</v>
      </c>
      <c r="L2563" s="14">
        <f>IFERROR(I2563/G2563,"")</f>
        <v>1</v>
      </c>
      <c r="M2563" s="11" t="str">
        <f>IF(K2563&gt;=Paramètres!$F$6,"Très forte",IF(K2563&gt;=Paramètres!$F$5,"Forte",IF(K2563&gt;=Paramètres!$F$4,"Modérée","Faible")))</f>
        <v>Très forte</v>
      </c>
    </row>
    <row r="2564" spans="1:13">
      <c r="A2564" t="s">
        <v>104</v>
      </c>
      <c r="B2564" s="11">
        <v>91</v>
      </c>
      <c r="C2564" t="s">
        <v>105</v>
      </c>
      <c r="D2564" t="s">
        <v>101</v>
      </c>
      <c r="E2564" t="s">
        <v>539</v>
      </c>
      <c r="F2564" t="s">
        <v>88</v>
      </c>
      <c r="G2564" s="12">
        <v>15</v>
      </c>
      <c r="H2564" s="12">
        <v>1487</v>
      </c>
      <c r="I2564" s="12">
        <v>16</v>
      </c>
      <c r="J2564" t="str">
        <f>VLOOKUP(B2564,Paramètres!$A$4:$C$11,3,FALSE)</f>
        <v>Grande couronne</v>
      </c>
      <c r="K2564" s="13">
        <f>IFERROR(H2564/G2564,"")</f>
        <v>99.13333333333334</v>
      </c>
      <c r="L2564" s="14">
        <f>IFERROR(I2564/G2564,"")</f>
        <v>1.0666666666666667</v>
      </c>
      <c r="M2564" s="11" t="str">
        <f>IF(K2564&gt;=Paramètres!$F$6,"Très forte",IF(K2564&gt;=Paramètres!$F$5,"Forte",IF(K2564&gt;=Paramètres!$F$4,"Modérée","Faible")))</f>
        <v>Très forte</v>
      </c>
    </row>
    <row r="2565" spans="1:13">
      <c r="A2565" t="s">
        <v>110</v>
      </c>
      <c r="B2565" s="11">
        <v>75</v>
      </c>
      <c r="C2565" t="s">
        <v>86</v>
      </c>
      <c r="D2565" t="s">
        <v>101</v>
      </c>
      <c r="E2565" t="s">
        <v>315</v>
      </c>
      <c r="F2565" t="s">
        <v>88</v>
      </c>
      <c r="G2565" s="12">
        <v>24</v>
      </c>
      <c r="H2565" s="12">
        <v>2289</v>
      </c>
      <c r="I2565" s="12">
        <v>24</v>
      </c>
      <c r="J2565" t="str">
        <f>VLOOKUP(B2565,Paramètres!$A$4:$C$11,3,FALSE)</f>
        <v>Paris</v>
      </c>
      <c r="K2565" s="13">
        <f>IFERROR(H2565/G2565,"")</f>
        <v>95.375</v>
      </c>
      <c r="L2565" s="14">
        <f>IFERROR(I2565/G2565,"")</f>
        <v>1</v>
      </c>
      <c r="M2565" s="11" t="str">
        <f>IF(K2565&gt;=Paramètres!$F$6,"Très forte",IF(K2565&gt;=Paramètres!$F$5,"Forte",IF(K2565&gt;=Paramètres!$F$4,"Modérée","Faible")))</f>
        <v>Très forte</v>
      </c>
    </row>
    <row r="2566" spans="1:13">
      <c r="A2566" t="s">
        <v>115</v>
      </c>
      <c r="B2566" s="11">
        <v>94</v>
      </c>
      <c r="C2566" t="s">
        <v>116</v>
      </c>
      <c r="D2566" t="s">
        <v>101</v>
      </c>
      <c r="E2566" t="s">
        <v>126</v>
      </c>
      <c r="F2566" t="s">
        <v>88</v>
      </c>
      <c r="G2566" s="12">
        <v>25</v>
      </c>
      <c r="H2566" s="12">
        <v>2326</v>
      </c>
      <c r="I2566" s="12">
        <v>25</v>
      </c>
      <c r="J2566" t="str">
        <f>VLOOKUP(B2566,Paramètres!$A$4:$C$11,3,FALSE)</f>
        <v>Petite couronne</v>
      </c>
      <c r="K2566" s="13">
        <f>IFERROR(H2566/G2566,"")</f>
        <v>93.04</v>
      </c>
      <c r="L2566" s="14">
        <f>IFERROR(I2566/G2566,"")</f>
        <v>1</v>
      </c>
      <c r="M2566" s="11" t="str">
        <f>IF(K2566&gt;=Paramètres!$F$6,"Très forte",IF(K2566&gt;=Paramètres!$F$5,"Forte",IF(K2566&gt;=Paramètres!$F$4,"Modérée","Faible")))</f>
        <v>Très forte</v>
      </c>
    </row>
    <row r="2567" spans="1:13">
      <c r="A2567" t="s">
        <v>110</v>
      </c>
      <c r="B2567" s="11">
        <v>75</v>
      </c>
      <c r="C2567" t="s">
        <v>86</v>
      </c>
      <c r="D2567" t="s">
        <v>101</v>
      </c>
      <c r="E2567" t="s">
        <v>376</v>
      </c>
      <c r="F2567" t="s">
        <v>88</v>
      </c>
      <c r="G2567" s="12">
        <v>10</v>
      </c>
      <c r="H2567" s="12">
        <v>889</v>
      </c>
      <c r="I2567" s="12">
        <v>10</v>
      </c>
      <c r="J2567" t="str">
        <f>VLOOKUP(B2567,Paramètres!$A$4:$C$11,3,FALSE)</f>
        <v>Paris</v>
      </c>
      <c r="K2567" s="13">
        <f>IFERROR(H2567/G2567,"")</f>
        <v>88.9</v>
      </c>
      <c r="L2567" s="14">
        <f>IFERROR(I2567/G2567,"")</f>
        <v>1</v>
      </c>
      <c r="M2567" s="11" t="str">
        <f>IF(K2567&gt;=Paramètres!$F$6,"Très forte",IF(K2567&gt;=Paramètres!$F$5,"Forte",IF(K2567&gt;=Paramètres!$F$4,"Modérée","Faible")))</f>
        <v>Très forte</v>
      </c>
    </row>
    <row r="2568" spans="1:13">
      <c r="A2568" t="s">
        <v>110</v>
      </c>
      <c r="B2568" s="11">
        <v>75</v>
      </c>
      <c r="C2568" t="s">
        <v>86</v>
      </c>
      <c r="D2568" t="s">
        <v>101</v>
      </c>
      <c r="E2568" t="s">
        <v>608</v>
      </c>
      <c r="F2568" t="s">
        <v>88</v>
      </c>
      <c r="G2568" s="12">
        <v>25</v>
      </c>
      <c r="H2568" s="12">
        <v>2151</v>
      </c>
      <c r="I2568" s="12">
        <v>24</v>
      </c>
      <c r="J2568" t="str">
        <f>VLOOKUP(B2568,Paramètres!$A$4:$C$11,3,FALSE)</f>
        <v>Paris</v>
      </c>
      <c r="K2568" s="13">
        <f>IFERROR(H2568/G2568,"")</f>
        <v>86.04</v>
      </c>
      <c r="L2568" s="14">
        <f>IFERROR(I2568/G2568,"")</f>
        <v>0.96</v>
      </c>
      <c r="M2568" s="11" t="str">
        <f>IF(K2568&gt;=Paramètres!$F$6,"Très forte",IF(K2568&gt;=Paramètres!$F$5,"Forte",IF(K2568&gt;=Paramètres!$F$4,"Modérée","Faible")))</f>
        <v>Très forte</v>
      </c>
    </row>
    <row r="2569" spans="1:13">
      <c r="A2569" t="s">
        <v>104</v>
      </c>
      <c r="B2569" s="11">
        <v>91</v>
      </c>
      <c r="C2569" t="s">
        <v>105</v>
      </c>
      <c r="D2569" t="s">
        <v>101</v>
      </c>
      <c r="E2569" t="s">
        <v>341</v>
      </c>
      <c r="F2569" t="s">
        <v>88</v>
      </c>
      <c r="G2569" s="12">
        <v>30</v>
      </c>
      <c r="H2569" s="12">
        <v>2544</v>
      </c>
      <c r="I2569" s="12">
        <v>28</v>
      </c>
      <c r="J2569" t="str">
        <f>VLOOKUP(B2569,Paramètres!$A$4:$C$11,3,FALSE)</f>
        <v>Grande couronne</v>
      </c>
      <c r="K2569" s="13">
        <f>IFERROR(H2569/G2569,"")</f>
        <v>84.8</v>
      </c>
      <c r="L2569" s="14">
        <f>IFERROR(I2569/G2569,"")</f>
        <v>0.93333333333333335</v>
      </c>
      <c r="M2569" s="11" t="str">
        <f>IF(K2569&gt;=Paramètres!$F$6,"Très forte",IF(K2569&gt;=Paramètres!$F$5,"Forte",IF(K2569&gt;=Paramètres!$F$4,"Modérée","Faible")))</f>
        <v>Très forte</v>
      </c>
    </row>
    <row r="2570" spans="1:13">
      <c r="A2570" t="s">
        <v>115</v>
      </c>
      <c r="B2570" s="11">
        <v>94</v>
      </c>
      <c r="C2570" t="s">
        <v>116</v>
      </c>
      <c r="D2570" t="s">
        <v>101</v>
      </c>
      <c r="E2570" t="s">
        <v>603</v>
      </c>
      <c r="F2570" t="s">
        <v>88</v>
      </c>
      <c r="G2570" s="12">
        <v>30</v>
      </c>
      <c r="H2570" s="12">
        <v>2498</v>
      </c>
      <c r="I2570" s="12">
        <v>29</v>
      </c>
      <c r="J2570" t="str">
        <f>VLOOKUP(B2570,Paramètres!$A$4:$C$11,3,FALSE)</f>
        <v>Petite couronne</v>
      </c>
      <c r="K2570" s="13">
        <f>IFERROR(H2570/G2570,"")</f>
        <v>83.266666666666666</v>
      </c>
      <c r="L2570" s="14">
        <f>IFERROR(I2570/G2570,"")</f>
        <v>0.96666666666666667</v>
      </c>
      <c r="M2570" s="11" t="str">
        <f>IF(K2570&gt;=Paramètres!$F$6,"Très forte",IF(K2570&gt;=Paramètres!$F$5,"Forte",IF(K2570&gt;=Paramètres!$F$4,"Modérée","Faible")))</f>
        <v>Très forte</v>
      </c>
    </row>
    <row r="2571" spans="1:13">
      <c r="A2571" t="s">
        <v>97</v>
      </c>
      <c r="B2571" s="11">
        <v>92</v>
      </c>
      <c r="C2571" t="s">
        <v>94</v>
      </c>
      <c r="D2571" t="s">
        <v>101</v>
      </c>
      <c r="E2571" t="s">
        <v>133</v>
      </c>
      <c r="F2571" t="s">
        <v>88</v>
      </c>
      <c r="G2571" s="12">
        <v>35</v>
      </c>
      <c r="H2571" s="12">
        <v>2902</v>
      </c>
      <c r="I2571" s="12">
        <v>34</v>
      </c>
      <c r="J2571" t="str">
        <f>VLOOKUP(B2571,Paramètres!$A$4:$C$11,3,FALSE)</f>
        <v>Petite couronne</v>
      </c>
      <c r="K2571" s="13">
        <f>IFERROR(H2571/G2571,"")</f>
        <v>82.914285714285711</v>
      </c>
      <c r="L2571" s="14">
        <f>IFERROR(I2571/G2571,"")</f>
        <v>0.97142857142857142</v>
      </c>
      <c r="M2571" s="11" t="str">
        <f>IF(K2571&gt;=Paramètres!$F$6,"Très forte",IF(K2571&gt;=Paramètres!$F$5,"Forte",IF(K2571&gt;=Paramètres!$F$4,"Modérée","Faible")))</f>
        <v>Très forte</v>
      </c>
    </row>
    <row r="2572" spans="1:13">
      <c r="A2572" t="s">
        <v>110</v>
      </c>
      <c r="B2572" s="11">
        <v>75</v>
      </c>
      <c r="C2572" t="s">
        <v>86</v>
      </c>
      <c r="D2572" t="s">
        <v>101</v>
      </c>
      <c r="E2572" t="s">
        <v>124</v>
      </c>
      <c r="F2572" t="s">
        <v>88</v>
      </c>
      <c r="G2572" s="12">
        <v>100</v>
      </c>
      <c r="H2572" s="12">
        <v>7910</v>
      </c>
      <c r="I2572" s="12">
        <v>100</v>
      </c>
      <c r="J2572" t="str">
        <f>VLOOKUP(B2572,Paramètres!$A$4:$C$11,3,FALSE)</f>
        <v>Paris</v>
      </c>
      <c r="K2572" s="13">
        <f>IFERROR(H2572/G2572,"")</f>
        <v>79.099999999999994</v>
      </c>
      <c r="L2572" s="14">
        <f>IFERROR(I2572/G2572,"")</f>
        <v>1</v>
      </c>
      <c r="M2572" s="11" t="str">
        <f>IF(K2572&gt;=Paramètres!$F$6,"Très forte",IF(K2572&gt;=Paramètres!$F$5,"Forte",IF(K2572&gt;=Paramètres!$F$4,"Modérée","Faible")))</f>
        <v>Très forte</v>
      </c>
    </row>
    <row r="2573" spans="1:13">
      <c r="A2573" t="s">
        <v>104</v>
      </c>
      <c r="B2573" s="11">
        <v>91</v>
      </c>
      <c r="C2573" t="s">
        <v>105</v>
      </c>
      <c r="D2573" t="s">
        <v>101</v>
      </c>
      <c r="E2573" t="s">
        <v>159</v>
      </c>
      <c r="F2573" t="s">
        <v>88</v>
      </c>
      <c r="G2573" s="12">
        <v>20</v>
      </c>
      <c r="H2573" s="12">
        <v>1485</v>
      </c>
      <c r="I2573" s="12">
        <v>20</v>
      </c>
      <c r="J2573" t="str">
        <f>VLOOKUP(B2573,Paramètres!$A$4:$C$11,3,FALSE)</f>
        <v>Grande couronne</v>
      </c>
      <c r="K2573" s="13">
        <f>IFERROR(H2573/G2573,"")</f>
        <v>74.25</v>
      </c>
      <c r="L2573" s="14">
        <f>IFERROR(I2573/G2573,"")</f>
        <v>1</v>
      </c>
      <c r="M2573" s="11" t="str">
        <f>IF(K2573&gt;=Paramètres!$F$6,"Très forte",IF(K2573&gt;=Paramètres!$F$5,"Forte",IF(K2573&gt;=Paramètres!$F$4,"Modérée","Faible")))</f>
        <v>Très forte</v>
      </c>
    </row>
    <row r="2574" spans="1:13">
      <c r="A2574" t="s">
        <v>110</v>
      </c>
      <c r="B2574" s="11">
        <v>75</v>
      </c>
      <c r="C2574" t="s">
        <v>86</v>
      </c>
      <c r="D2574" t="s">
        <v>101</v>
      </c>
      <c r="E2574" t="s">
        <v>214</v>
      </c>
      <c r="F2574" t="s">
        <v>88</v>
      </c>
      <c r="G2574" s="12">
        <v>15</v>
      </c>
      <c r="H2574" s="12">
        <v>1110</v>
      </c>
      <c r="I2574" s="12">
        <v>15</v>
      </c>
      <c r="J2574" t="str">
        <f>VLOOKUP(B2574,Paramètres!$A$4:$C$11,3,FALSE)</f>
        <v>Paris</v>
      </c>
      <c r="K2574" s="13">
        <f>IFERROR(H2574/G2574,"")</f>
        <v>74</v>
      </c>
      <c r="L2574" s="14">
        <f>IFERROR(I2574/G2574,"")</f>
        <v>1</v>
      </c>
      <c r="M2574" s="11" t="str">
        <f>IF(K2574&gt;=Paramètres!$F$6,"Très forte",IF(K2574&gt;=Paramètres!$F$5,"Forte",IF(K2574&gt;=Paramètres!$F$4,"Modérée","Faible")))</f>
        <v>Très forte</v>
      </c>
    </row>
    <row r="2575" spans="1:13">
      <c r="A2575" t="s">
        <v>110</v>
      </c>
      <c r="B2575" s="11">
        <v>75</v>
      </c>
      <c r="C2575" t="s">
        <v>86</v>
      </c>
      <c r="D2575" t="s">
        <v>101</v>
      </c>
      <c r="E2575" t="s">
        <v>121</v>
      </c>
      <c r="F2575" t="s">
        <v>88</v>
      </c>
      <c r="G2575" s="12">
        <v>32</v>
      </c>
      <c r="H2575" s="12">
        <v>2341</v>
      </c>
      <c r="I2575" s="12">
        <v>31</v>
      </c>
      <c r="J2575" t="str">
        <f>VLOOKUP(B2575,Paramètres!$A$4:$C$11,3,FALSE)</f>
        <v>Paris</v>
      </c>
      <c r="K2575" s="13">
        <f>IFERROR(H2575/G2575,"")</f>
        <v>73.15625</v>
      </c>
      <c r="L2575" s="14">
        <f>IFERROR(I2575/G2575,"")</f>
        <v>0.96875</v>
      </c>
      <c r="M2575" s="11" t="str">
        <f>IF(K2575&gt;=Paramètres!$F$6,"Très forte",IF(K2575&gt;=Paramètres!$F$5,"Forte",IF(K2575&gt;=Paramètres!$F$4,"Modérée","Faible")))</f>
        <v>Très forte</v>
      </c>
    </row>
    <row r="2576" spans="1:13">
      <c r="A2576" t="s">
        <v>203</v>
      </c>
      <c r="B2576" s="11">
        <v>78</v>
      </c>
      <c r="C2576" t="s">
        <v>135</v>
      </c>
      <c r="D2576" t="s">
        <v>101</v>
      </c>
      <c r="E2576" t="s">
        <v>204</v>
      </c>
      <c r="F2576" t="s">
        <v>88</v>
      </c>
      <c r="G2576" s="12">
        <v>30</v>
      </c>
      <c r="H2576" s="12">
        <v>2142</v>
      </c>
      <c r="I2576" s="12">
        <v>29</v>
      </c>
      <c r="J2576" t="str">
        <f>VLOOKUP(B2576,Paramètres!$A$4:$C$11,3,FALSE)</f>
        <v>Grande couronne</v>
      </c>
      <c r="K2576" s="13">
        <f>IFERROR(H2576/G2576,"")</f>
        <v>71.400000000000006</v>
      </c>
      <c r="L2576" s="14">
        <f>IFERROR(I2576/G2576,"")</f>
        <v>0.96666666666666667</v>
      </c>
      <c r="M2576" s="11" t="str">
        <f>IF(K2576&gt;=Paramètres!$F$6,"Très forte",IF(K2576&gt;=Paramètres!$F$5,"Forte",IF(K2576&gt;=Paramètres!$F$4,"Modérée","Faible")))</f>
        <v>Très forte</v>
      </c>
    </row>
    <row r="2577" spans="1:13">
      <c r="A2577" t="s">
        <v>110</v>
      </c>
      <c r="B2577" s="11">
        <v>75</v>
      </c>
      <c r="C2577" t="s">
        <v>86</v>
      </c>
      <c r="D2577" t="s">
        <v>101</v>
      </c>
      <c r="E2577" t="s">
        <v>177</v>
      </c>
      <c r="F2577" t="s">
        <v>88</v>
      </c>
      <c r="G2577" s="12">
        <v>40</v>
      </c>
      <c r="H2577" s="12">
        <v>2855</v>
      </c>
      <c r="I2577" s="12">
        <v>39</v>
      </c>
      <c r="J2577" t="str">
        <f>VLOOKUP(B2577,Paramètres!$A$4:$C$11,3,FALSE)</f>
        <v>Paris</v>
      </c>
      <c r="K2577" s="13">
        <f>IFERROR(H2577/G2577,"")</f>
        <v>71.375</v>
      </c>
      <c r="L2577" s="14">
        <f>IFERROR(I2577/G2577,"")</f>
        <v>0.97499999999999998</v>
      </c>
      <c r="M2577" s="11" t="str">
        <f>IF(K2577&gt;=Paramètres!$F$6,"Très forte",IF(K2577&gt;=Paramètres!$F$5,"Forte",IF(K2577&gt;=Paramètres!$F$4,"Modérée","Faible")))</f>
        <v>Très forte</v>
      </c>
    </row>
    <row r="2578" spans="1:13">
      <c r="A2578" t="s">
        <v>110</v>
      </c>
      <c r="B2578" s="11">
        <v>75</v>
      </c>
      <c r="C2578" t="s">
        <v>86</v>
      </c>
      <c r="D2578" t="s">
        <v>101</v>
      </c>
      <c r="E2578" t="s">
        <v>672</v>
      </c>
      <c r="F2578" t="s">
        <v>88</v>
      </c>
      <c r="G2578" s="12">
        <v>30</v>
      </c>
      <c r="H2578" s="12">
        <v>2127</v>
      </c>
      <c r="I2578" s="12">
        <v>30</v>
      </c>
      <c r="J2578" t="str">
        <f>VLOOKUP(B2578,Paramètres!$A$4:$C$11,3,FALSE)</f>
        <v>Paris</v>
      </c>
      <c r="K2578" s="13">
        <f>IFERROR(H2578/G2578,"")</f>
        <v>70.900000000000006</v>
      </c>
      <c r="L2578" s="14">
        <f>IFERROR(I2578/G2578,"")</f>
        <v>1</v>
      </c>
      <c r="M2578" s="11" t="str">
        <f>IF(K2578&gt;=Paramètres!$F$6,"Très forte",IF(K2578&gt;=Paramètres!$F$5,"Forte",IF(K2578&gt;=Paramètres!$F$4,"Modérée","Faible")))</f>
        <v>Très forte</v>
      </c>
    </row>
    <row r="2579" spans="1:13">
      <c r="A2579" t="s">
        <v>110</v>
      </c>
      <c r="B2579" s="11">
        <v>75</v>
      </c>
      <c r="C2579" t="s">
        <v>86</v>
      </c>
      <c r="D2579" t="s">
        <v>101</v>
      </c>
      <c r="E2579" t="s">
        <v>356</v>
      </c>
      <c r="F2579" t="s">
        <v>92</v>
      </c>
      <c r="G2579" s="12">
        <v>10</v>
      </c>
      <c r="H2579" s="12">
        <v>662</v>
      </c>
      <c r="I2579" s="12">
        <v>10</v>
      </c>
      <c r="J2579" t="str">
        <f>VLOOKUP(B2579,Paramètres!$A$4:$C$11,3,FALSE)</f>
        <v>Paris</v>
      </c>
      <c r="K2579" s="13">
        <f>IFERROR(H2579/G2579,"")</f>
        <v>66.2</v>
      </c>
      <c r="L2579" s="14">
        <f>IFERROR(I2579/G2579,"")</f>
        <v>1</v>
      </c>
      <c r="M2579" s="11" t="str">
        <f>IF(K2579&gt;=Paramètres!$F$6,"Très forte",IF(K2579&gt;=Paramètres!$F$5,"Forte",IF(K2579&gt;=Paramètres!$F$4,"Modérée","Faible")))</f>
        <v>Très forte</v>
      </c>
    </row>
    <row r="2580" spans="1:13">
      <c r="A2580" t="s">
        <v>99</v>
      </c>
      <c r="B2580" s="11">
        <v>93</v>
      </c>
      <c r="C2580" t="s">
        <v>100</v>
      </c>
      <c r="D2580" t="s">
        <v>101</v>
      </c>
      <c r="E2580" t="s">
        <v>338</v>
      </c>
      <c r="F2580" t="s">
        <v>88</v>
      </c>
      <c r="G2580" s="12">
        <v>30</v>
      </c>
      <c r="H2580" s="12">
        <v>1923</v>
      </c>
      <c r="I2580" s="12">
        <v>30</v>
      </c>
      <c r="J2580" t="str">
        <f>VLOOKUP(B2580,Paramètres!$A$4:$C$11,3,FALSE)</f>
        <v>Petite couronne</v>
      </c>
      <c r="K2580" s="13">
        <f>IFERROR(H2580/G2580,"")</f>
        <v>64.099999999999994</v>
      </c>
      <c r="L2580" s="14">
        <f>IFERROR(I2580/G2580,"")</f>
        <v>1</v>
      </c>
      <c r="M2580" s="11" t="str">
        <f>IF(K2580&gt;=Paramètres!$F$6,"Très forte",IF(K2580&gt;=Paramètres!$F$5,"Forte",IF(K2580&gt;=Paramètres!$F$4,"Modérée","Faible")))</f>
        <v>Très forte</v>
      </c>
    </row>
    <row r="2581" spans="1:13">
      <c r="A2581" t="s">
        <v>265</v>
      </c>
      <c r="B2581" s="11">
        <v>93</v>
      </c>
      <c r="C2581" t="s">
        <v>100</v>
      </c>
      <c r="D2581" t="s">
        <v>101</v>
      </c>
      <c r="E2581" t="s">
        <v>599</v>
      </c>
      <c r="F2581" t="s">
        <v>88</v>
      </c>
      <c r="G2581" s="12">
        <v>15</v>
      </c>
      <c r="H2581" s="12">
        <v>961</v>
      </c>
      <c r="I2581" s="12">
        <v>14</v>
      </c>
      <c r="J2581" t="str">
        <f>VLOOKUP(B2581,Paramètres!$A$4:$C$11,3,FALSE)</f>
        <v>Petite couronne</v>
      </c>
      <c r="K2581" s="13">
        <f>IFERROR(H2581/G2581,"")</f>
        <v>64.066666666666663</v>
      </c>
      <c r="L2581" s="14">
        <f>IFERROR(I2581/G2581,"")</f>
        <v>0.93333333333333335</v>
      </c>
      <c r="M2581" s="11" t="str">
        <f>IF(K2581&gt;=Paramètres!$F$6,"Très forte",IF(K2581&gt;=Paramètres!$F$5,"Forte",IF(K2581&gt;=Paramètres!$F$4,"Modérée","Faible")))</f>
        <v>Très forte</v>
      </c>
    </row>
    <row r="2582" spans="1:13">
      <c r="A2582" t="s">
        <v>239</v>
      </c>
      <c r="B2582" s="11">
        <v>78</v>
      </c>
      <c r="C2582" t="s">
        <v>135</v>
      </c>
      <c r="D2582" t="s">
        <v>101</v>
      </c>
      <c r="E2582" t="s">
        <v>246</v>
      </c>
      <c r="F2582" t="s">
        <v>88</v>
      </c>
      <c r="G2582" s="12">
        <v>7</v>
      </c>
      <c r="H2582" s="12">
        <v>441</v>
      </c>
      <c r="I2582" s="12">
        <v>7</v>
      </c>
      <c r="J2582" t="str">
        <f>VLOOKUP(B2582,Paramètres!$A$4:$C$11,3,FALSE)</f>
        <v>Grande couronne</v>
      </c>
      <c r="K2582" s="13">
        <f>IFERROR(H2582/G2582,"")</f>
        <v>63</v>
      </c>
      <c r="L2582" s="14">
        <f>IFERROR(I2582/G2582,"")</f>
        <v>1</v>
      </c>
      <c r="M2582" s="11" t="str">
        <f>IF(K2582&gt;=Paramètres!$F$6,"Très forte",IF(K2582&gt;=Paramètres!$F$5,"Forte",IF(K2582&gt;=Paramètres!$F$4,"Modérée","Faible")))</f>
        <v>Très forte</v>
      </c>
    </row>
    <row r="2583" spans="1:13">
      <c r="A2583" t="s">
        <v>203</v>
      </c>
      <c r="B2583" s="11">
        <v>78</v>
      </c>
      <c r="C2583" t="s">
        <v>135</v>
      </c>
      <c r="D2583" t="s">
        <v>101</v>
      </c>
      <c r="E2583" t="s">
        <v>519</v>
      </c>
      <c r="F2583" t="s">
        <v>88</v>
      </c>
      <c r="G2583" s="12">
        <v>10</v>
      </c>
      <c r="H2583" s="12">
        <v>624</v>
      </c>
      <c r="I2583" s="12">
        <v>10</v>
      </c>
      <c r="J2583" t="str">
        <f>VLOOKUP(B2583,Paramètres!$A$4:$C$11,3,FALSE)</f>
        <v>Grande couronne</v>
      </c>
      <c r="K2583" s="13">
        <f>IFERROR(H2583/G2583,"")</f>
        <v>62.4</v>
      </c>
      <c r="L2583" s="14">
        <f>IFERROR(I2583/G2583,"")</f>
        <v>1</v>
      </c>
      <c r="M2583" s="11" t="str">
        <f>IF(K2583&gt;=Paramètres!$F$6,"Très forte",IF(K2583&gt;=Paramètres!$F$5,"Forte",IF(K2583&gt;=Paramètres!$F$4,"Modérée","Faible")))</f>
        <v>Très forte</v>
      </c>
    </row>
    <row r="2584" spans="1:13">
      <c r="A2584" t="s">
        <v>119</v>
      </c>
      <c r="B2584" s="11">
        <v>75</v>
      </c>
      <c r="C2584" t="s">
        <v>86</v>
      </c>
      <c r="D2584" t="s">
        <v>101</v>
      </c>
      <c r="E2584" t="s">
        <v>526</v>
      </c>
      <c r="F2584" t="s">
        <v>88</v>
      </c>
      <c r="G2584" s="12">
        <v>100</v>
      </c>
      <c r="H2584" s="12">
        <v>6133</v>
      </c>
      <c r="I2584" s="12">
        <v>100</v>
      </c>
      <c r="J2584" t="str">
        <f>VLOOKUP(B2584,Paramètres!$A$4:$C$11,3,FALSE)</f>
        <v>Paris</v>
      </c>
      <c r="K2584" s="13">
        <f>IFERROR(H2584/G2584,"")</f>
        <v>61.33</v>
      </c>
      <c r="L2584" s="14">
        <f>IFERROR(I2584/G2584,"")</f>
        <v>1</v>
      </c>
      <c r="M2584" s="11" t="str">
        <f>IF(K2584&gt;=Paramètres!$F$6,"Très forte",IF(K2584&gt;=Paramètres!$F$5,"Forte",IF(K2584&gt;=Paramètres!$F$4,"Modérée","Faible")))</f>
        <v>Très forte</v>
      </c>
    </row>
    <row r="2585" spans="1:13">
      <c r="A2585" t="s">
        <v>131</v>
      </c>
      <c r="B2585" s="11">
        <v>77</v>
      </c>
      <c r="C2585" t="s">
        <v>132</v>
      </c>
      <c r="D2585" t="s">
        <v>101</v>
      </c>
      <c r="E2585" t="s">
        <v>133</v>
      </c>
      <c r="F2585" t="s">
        <v>88</v>
      </c>
      <c r="G2585" s="12">
        <v>25</v>
      </c>
      <c r="H2585" s="12">
        <v>1489</v>
      </c>
      <c r="I2585" s="12">
        <v>25</v>
      </c>
      <c r="J2585" t="str">
        <f>VLOOKUP(B2585,Paramètres!$A$4:$C$11,3,FALSE)</f>
        <v>Grande couronne</v>
      </c>
      <c r="K2585" s="13">
        <f>IFERROR(H2585/G2585,"")</f>
        <v>59.56</v>
      </c>
      <c r="L2585" s="14">
        <f>IFERROR(I2585/G2585,"")</f>
        <v>1</v>
      </c>
      <c r="M2585" s="11" t="str">
        <f>IF(K2585&gt;=Paramètres!$F$6,"Très forte",IF(K2585&gt;=Paramètres!$F$5,"Forte",IF(K2585&gt;=Paramètres!$F$4,"Modérée","Faible")))</f>
        <v>Très forte</v>
      </c>
    </row>
    <row r="2586" spans="1:13">
      <c r="A2586" t="s">
        <v>239</v>
      </c>
      <c r="B2586" s="11">
        <v>78</v>
      </c>
      <c r="C2586" t="s">
        <v>135</v>
      </c>
      <c r="D2586" t="s">
        <v>101</v>
      </c>
      <c r="E2586" t="s">
        <v>180</v>
      </c>
      <c r="F2586" t="s">
        <v>88</v>
      </c>
      <c r="G2586" s="12">
        <v>2</v>
      </c>
      <c r="H2586" s="12">
        <v>116</v>
      </c>
      <c r="I2586" s="12">
        <v>2</v>
      </c>
      <c r="J2586" t="str">
        <f>VLOOKUP(B2586,Paramètres!$A$4:$C$11,3,FALSE)</f>
        <v>Grande couronne</v>
      </c>
      <c r="K2586" s="13">
        <f>IFERROR(H2586/G2586,"")</f>
        <v>58</v>
      </c>
      <c r="L2586" s="14">
        <f>IFERROR(I2586/G2586,"")</f>
        <v>1</v>
      </c>
      <c r="M2586" s="11" t="str">
        <f>IF(K2586&gt;=Paramètres!$F$6,"Très forte",IF(K2586&gt;=Paramètres!$F$5,"Forte",IF(K2586&gt;=Paramètres!$F$4,"Modérée","Faible")))</f>
        <v>Très forte</v>
      </c>
    </row>
    <row r="2587" spans="1:13">
      <c r="A2587" t="s">
        <v>104</v>
      </c>
      <c r="B2587" s="11">
        <v>91</v>
      </c>
      <c r="C2587" t="s">
        <v>105</v>
      </c>
      <c r="D2587" t="s">
        <v>101</v>
      </c>
      <c r="E2587" t="s">
        <v>123</v>
      </c>
      <c r="F2587" t="s">
        <v>88</v>
      </c>
      <c r="G2587" s="12">
        <v>15</v>
      </c>
      <c r="H2587" s="12">
        <v>851</v>
      </c>
      <c r="I2587" s="12">
        <v>21</v>
      </c>
      <c r="J2587" t="str">
        <f>VLOOKUP(B2587,Paramètres!$A$4:$C$11,3,FALSE)</f>
        <v>Grande couronne</v>
      </c>
      <c r="K2587" s="13">
        <f>IFERROR(H2587/G2587,"")</f>
        <v>56.733333333333334</v>
      </c>
      <c r="L2587" s="14">
        <f>IFERROR(I2587/G2587,"")</f>
        <v>1.4</v>
      </c>
      <c r="M2587" s="11" t="str">
        <f>IF(K2587&gt;=Paramètres!$F$6,"Très forte",IF(K2587&gt;=Paramètres!$F$5,"Forte",IF(K2587&gt;=Paramètres!$F$4,"Modérée","Faible")))</f>
        <v>Très forte</v>
      </c>
    </row>
    <row r="2588" spans="1:13">
      <c r="A2588" t="s">
        <v>110</v>
      </c>
      <c r="B2588" s="11">
        <v>75</v>
      </c>
      <c r="C2588" t="s">
        <v>86</v>
      </c>
      <c r="D2588" t="s">
        <v>101</v>
      </c>
      <c r="E2588" t="s">
        <v>178</v>
      </c>
      <c r="F2588" t="s">
        <v>88</v>
      </c>
      <c r="G2588" s="12">
        <v>19</v>
      </c>
      <c r="H2588" s="12">
        <v>1007</v>
      </c>
      <c r="I2588" s="12">
        <v>19</v>
      </c>
      <c r="J2588" t="str">
        <f>VLOOKUP(B2588,Paramètres!$A$4:$C$11,3,FALSE)</f>
        <v>Paris</v>
      </c>
      <c r="K2588" s="13">
        <f>IFERROR(H2588/G2588,"")</f>
        <v>53</v>
      </c>
      <c r="L2588" s="14">
        <f>IFERROR(I2588/G2588,"")</f>
        <v>1</v>
      </c>
      <c r="M2588" s="11" t="str">
        <f>IF(K2588&gt;=Paramètres!$F$6,"Très forte",IF(K2588&gt;=Paramètres!$F$5,"Forte",IF(K2588&gt;=Paramètres!$F$4,"Modérée","Faible")))</f>
        <v>Très forte</v>
      </c>
    </row>
    <row r="2589" spans="1:13">
      <c r="A2589" t="s">
        <v>119</v>
      </c>
      <c r="B2589" s="11">
        <v>75</v>
      </c>
      <c r="C2589" t="s">
        <v>86</v>
      </c>
      <c r="D2589" t="s">
        <v>101</v>
      </c>
      <c r="E2589" t="s">
        <v>475</v>
      </c>
      <c r="F2589" t="s">
        <v>88</v>
      </c>
      <c r="G2589" s="12">
        <v>17</v>
      </c>
      <c r="H2589" s="12">
        <v>896</v>
      </c>
      <c r="I2589" s="12">
        <v>16</v>
      </c>
      <c r="J2589" t="str">
        <f>VLOOKUP(B2589,Paramètres!$A$4:$C$11,3,FALSE)</f>
        <v>Paris</v>
      </c>
      <c r="K2589" s="13">
        <f>IFERROR(H2589/G2589,"")</f>
        <v>52.705882352941174</v>
      </c>
      <c r="L2589" s="14">
        <f>IFERROR(I2589/G2589,"")</f>
        <v>0.94117647058823528</v>
      </c>
      <c r="M2589" s="11" t="str">
        <f>IF(K2589&gt;=Paramètres!$F$6,"Très forte",IF(K2589&gt;=Paramètres!$F$5,"Forte",IF(K2589&gt;=Paramètres!$F$4,"Modérée","Faible")))</f>
        <v>Très forte</v>
      </c>
    </row>
    <row r="2590" spans="1:13">
      <c r="A2590" t="s">
        <v>108</v>
      </c>
      <c r="B2590" s="11">
        <v>93</v>
      </c>
      <c r="C2590" t="s">
        <v>100</v>
      </c>
      <c r="D2590" t="s">
        <v>101</v>
      </c>
      <c r="E2590" t="s">
        <v>121</v>
      </c>
      <c r="F2590" t="s">
        <v>88</v>
      </c>
      <c r="G2590" s="12">
        <v>15</v>
      </c>
      <c r="H2590" s="12">
        <v>789</v>
      </c>
      <c r="I2590" s="12">
        <v>15</v>
      </c>
      <c r="J2590" t="str">
        <f>VLOOKUP(B2590,Paramètres!$A$4:$C$11,3,FALSE)</f>
        <v>Petite couronne</v>
      </c>
      <c r="K2590" s="13">
        <f>IFERROR(H2590/G2590,"")</f>
        <v>52.6</v>
      </c>
      <c r="L2590" s="14">
        <f>IFERROR(I2590/G2590,"")</f>
        <v>1</v>
      </c>
      <c r="M2590" s="11" t="str">
        <f>IF(K2590&gt;=Paramètres!$F$6,"Très forte",IF(K2590&gt;=Paramètres!$F$5,"Forte",IF(K2590&gt;=Paramètres!$F$4,"Modérée","Faible")))</f>
        <v>Très forte</v>
      </c>
    </row>
    <row r="2591" spans="1:13">
      <c r="A2591" t="s">
        <v>97</v>
      </c>
      <c r="B2591" s="11">
        <v>92</v>
      </c>
      <c r="C2591" t="s">
        <v>94</v>
      </c>
      <c r="D2591" t="s">
        <v>101</v>
      </c>
      <c r="E2591" t="s">
        <v>346</v>
      </c>
      <c r="F2591" t="s">
        <v>88</v>
      </c>
      <c r="G2591" s="12">
        <v>35</v>
      </c>
      <c r="H2591" s="12">
        <v>1839</v>
      </c>
      <c r="I2591" s="12">
        <v>35</v>
      </c>
      <c r="J2591" t="str">
        <f>VLOOKUP(B2591,Paramètres!$A$4:$C$11,3,FALSE)</f>
        <v>Petite couronne</v>
      </c>
      <c r="K2591" s="13">
        <f>IFERROR(H2591/G2591,"")</f>
        <v>52.542857142857144</v>
      </c>
      <c r="L2591" s="14">
        <f>IFERROR(I2591/G2591,"")</f>
        <v>1</v>
      </c>
      <c r="M2591" s="11" t="str">
        <f>IF(K2591&gt;=Paramètres!$F$6,"Très forte",IF(K2591&gt;=Paramètres!$F$5,"Forte",IF(K2591&gt;=Paramètres!$F$4,"Modérée","Faible")))</f>
        <v>Très forte</v>
      </c>
    </row>
    <row r="2592" spans="1:13">
      <c r="A2592" t="s">
        <v>104</v>
      </c>
      <c r="B2592" s="11">
        <v>91</v>
      </c>
      <c r="C2592" t="s">
        <v>105</v>
      </c>
      <c r="D2592" t="s">
        <v>101</v>
      </c>
      <c r="E2592" t="s">
        <v>121</v>
      </c>
      <c r="F2592" t="s">
        <v>88</v>
      </c>
      <c r="G2592" s="12">
        <v>20</v>
      </c>
      <c r="H2592" s="12">
        <v>999</v>
      </c>
      <c r="I2592" s="12">
        <v>19</v>
      </c>
      <c r="J2592" t="str">
        <f>VLOOKUP(B2592,Paramètres!$A$4:$C$11,3,FALSE)</f>
        <v>Grande couronne</v>
      </c>
      <c r="K2592" s="13">
        <f>IFERROR(H2592/G2592,"")</f>
        <v>49.95</v>
      </c>
      <c r="L2592" s="14">
        <f>IFERROR(I2592/G2592,"")</f>
        <v>0.95</v>
      </c>
      <c r="M2592" s="11" t="str">
        <f>IF(K2592&gt;=Paramètres!$F$6,"Très forte",IF(K2592&gt;=Paramètres!$F$5,"Forte",IF(K2592&gt;=Paramètres!$F$4,"Modérée","Faible")))</f>
        <v>Très forte</v>
      </c>
    </row>
    <row r="2593" spans="1:13">
      <c r="A2593" t="s">
        <v>134</v>
      </c>
      <c r="B2593" s="11">
        <v>78</v>
      </c>
      <c r="C2593" t="s">
        <v>135</v>
      </c>
      <c r="D2593" t="s">
        <v>101</v>
      </c>
      <c r="E2593" t="s">
        <v>136</v>
      </c>
      <c r="F2593" t="s">
        <v>88</v>
      </c>
      <c r="G2593" s="12">
        <v>9</v>
      </c>
      <c r="H2593" s="12">
        <v>436</v>
      </c>
      <c r="I2593" s="12">
        <v>9</v>
      </c>
      <c r="J2593" t="str">
        <f>VLOOKUP(B2593,Paramètres!$A$4:$C$11,3,FALSE)</f>
        <v>Grande couronne</v>
      </c>
      <c r="K2593" s="13">
        <f>IFERROR(H2593/G2593,"")</f>
        <v>48.444444444444443</v>
      </c>
      <c r="L2593" s="14">
        <f>IFERROR(I2593/G2593,"")</f>
        <v>1</v>
      </c>
      <c r="M2593" s="11" t="str">
        <f>IF(K2593&gt;=Paramètres!$F$6,"Très forte",IF(K2593&gt;=Paramètres!$F$5,"Forte",IF(K2593&gt;=Paramètres!$F$4,"Modérée","Faible")))</f>
        <v>Très forte</v>
      </c>
    </row>
    <row r="2594" spans="1:13">
      <c r="A2594" t="s">
        <v>110</v>
      </c>
      <c r="B2594" s="11">
        <v>75</v>
      </c>
      <c r="C2594" t="s">
        <v>86</v>
      </c>
      <c r="D2594" t="s">
        <v>101</v>
      </c>
      <c r="E2594" t="s">
        <v>133</v>
      </c>
      <c r="F2594" t="s">
        <v>88</v>
      </c>
      <c r="G2594" s="12">
        <v>80</v>
      </c>
      <c r="H2594" s="12">
        <v>3820</v>
      </c>
      <c r="I2594" s="12">
        <v>80</v>
      </c>
      <c r="J2594" t="str">
        <f>VLOOKUP(B2594,Paramètres!$A$4:$C$11,3,FALSE)</f>
        <v>Paris</v>
      </c>
      <c r="K2594" s="13">
        <f>IFERROR(H2594/G2594,"")</f>
        <v>47.75</v>
      </c>
      <c r="L2594" s="14">
        <f>IFERROR(I2594/G2594,"")</f>
        <v>1</v>
      </c>
      <c r="M2594" s="11" t="str">
        <f>IF(K2594&gt;=Paramètres!$F$6,"Très forte",IF(K2594&gt;=Paramètres!$F$5,"Forte",IF(K2594&gt;=Paramètres!$F$4,"Modérée","Faible")))</f>
        <v>Très forte</v>
      </c>
    </row>
    <row r="2595" spans="1:13">
      <c r="A2595" t="s">
        <v>99</v>
      </c>
      <c r="B2595" s="11">
        <v>93</v>
      </c>
      <c r="C2595" t="s">
        <v>100</v>
      </c>
      <c r="D2595" t="s">
        <v>101</v>
      </c>
      <c r="E2595" t="s">
        <v>552</v>
      </c>
      <c r="F2595" t="s">
        <v>88</v>
      </c>
      <c r="G2595" s="12">
        <v>60</v>
      </c>
      <c r="H2595" s="12">
        <v>2847</v>
      </c>
      <c r="I2595" s="12">
        <v>59</v>
      </c>
      <c r="J2595" t="str">
        <f>VLOOKUP(B2595,Paramètres!$A$4:$C$11,3,FALSE)</f>
        <v>Petite couronne</v>
      </c>
      <c r="K2595" s="13">
        <f>IFERROR(H2595/G2595,"")</f>
        <v>47.45</v>
      </c>
      <c r="L2595" s="14">
        <f>IFERROR(I2595/G2595,"")</f>
        <v>0.98333333333333328</v>
      </c>
      <c r="M2595" s="11" t="str">
        <f>IF(K2595&gt;=Paramètres!$F$6,"Très forte",IF(K2595&gt;=Paramètres!$F$5,"Forte",IF(K2595&gt;=Paramètres!$F$4,"Modérée","Faible")))</f>
        <v>Très forte</v>
      </c>
    </row>
    <row r="2596" spans="1:13">
      <c r="A2596" t="s">
        <v>242</v>
      </c>
      <c r="B2596" s="11">
        <v>95</v>
      </c>
      <c r="C2596" t="s">
        <v>90</v>
      </c>
      <c r="D2596" t="s">
        <v>101</v>
      </c>
      <c r="E2596" t="s">
        <v>531</v>
      </c>
      <c r="F2596" t="s">
        <v>88</v>
      </c>
      <c r="G2596" s="12">
        <v>15</v>
      </c>
      <c r="H2596" s="12">
        <v>709</v>
      </c>
      <c r="I2596" s="12">
        <v>18</v>
      </c>
      <c r="J2596" t="str">
        <f>VLOOKUP(B2596,Paramètres!$A$4:$C$11,3,FALSE)</f>
        <v>Grande couronne</v>
      </c>
      <c r="K2596" s="13">
        <f>IFERROR(H2596/G2596,"")</f>
        <v>47.266666666666666</v>
      </c>
      <c r="L2596" s="14">
        <f>IFERROR(I2596/G2596,"")</f>
        <v>1.2</v>
      </c>
      <c r="M2596" s="11" t="str">
        <f>IF(K2596&gt;=Paramètres!$F$6,"Très forte",IF(K2596&gt;=Paramètres!$F$5,"Forte",IF(K2596&gt;=Paramètres!$F$4,"Modérée","Faible")))</f>
        <v>Très forte</v>
      </c>
    </row>
    <row r="2597" spans="1:13">
      <c r="A2597" t="s">
        <v>131</v>
      </c>
      <c r="B2597" s="11">
        <v>77</v>
      </c>
      <c r="C2597" t="s">
        <v>132</v>
      </c>
      <c r="D2597" t="s">
        <v>101</v>
      </c>
      <c r="E2597" t="s">
        <v>485</v>
      </c>
      <c r="F2597" t="s">
        <v>88</v>
      </c>
      <c r="G2597" s="12">
        <v>10</v>
      </c>
      <c r="H2597" s="12">
        <v>447</v>
      </c>
      <c r="I2597" s="12">
        <v>9</v>
      </c>
      <c r="J2597" t="str">
        <f>VLOOKUP(B2597,Paramètres!$A$4:$C$11,3,FALSE)</f>
        <v>Grande couronne</v>
      </c>
      <c r="K2597" s="13">
        <f>IFERROR(H2597/G2597,"")</f>
        <v>44.7</v>
      </c>
      <c r="L2597" s="14">
        <f>IFERROR(I2597/G2597,"")</f>
        <v>0.9</v>
      </c>
      <c r="M2597" s="11" t="str">
        <f>IF(K2597&gt;=Paramètres!$F$6,"Très forte",IF(K2597&gt;=Paramètres!$F$5,"Forte",IF(K2597&gt;=Paramètres!$F$4,"Modérée","Faible")))</f>
        <v>Très forte</v>
      </c>
    </row>
    <row r="2598" spans="1:13">
      <c r="A2598" t="s">
        <v>162</v>
      </c>
      <c r="B2598" s="11">
        <v>91</v>
      </c>
      <c r="C2598" t="s">
        <v>105</v>
      </c>
      <c r="D2598" t="s">
        <v>101</v>
      </c>
      <c r="E2598" t="s">
        <v>163</v>
      </c>
      <c r="F2598" t="s">
        <v>88</v>
      </c>
      <c r="G2598" s="12">
        <v>30</v>
      </c>
      <c r="H2598" s="12">
        <v>1302</v>
      </c>
      <c r="I2598" s="12">
        <v>30</v>
      </c>
      <c r="J2598" t="str">
        <f>VLOOKUP(B2598,Paramètres!$A$4:$C$11,3,FALSE)</f>
        <v>Grande couronne</v>
      </c>
      <c r="K2598" s="13">
        <f>IFERROR(H2598/G2598,"")</f>
        <v>43.4</v>
      </c>
      <c r="L2598" s="14">
        <f>IFERROR(I2598/G2598,"")</f>
        <v>1</v>
      </c>
      <c r="M2598" s="11" t="str">
        <f>IF(K2598&gt;=Paramètres!$F$6,"Très forte",IF(K2598&gt;=Paramètres!$F$5,"Forte",IF(K2598&gt;=Paramètres!$F$4,"Modérée","Faible")))</f>
        <v>Très forte</v>
      </c>
    </row>
    <row r="2599" spans="1:13">
      <c r="A2599" t="s">
        <v>104</v>
      </c>
      <c r="B2599" s="11">
        <v>91</v>
      </c>
      <c r="C2599" t="s">
        <v>105</v>
      </c>
      <c r="D2599" t="s">
        <v>101</v>
      </c>
      <c r="E2599" t="s">
        <v>469</v>
      </c>
      <c r="F2599" t="s">
        <v>88</v>
      </c>
      <c r="G2599" s="12">
        <v>20</v>
      </c>
      <c r="H2599" s="12">
        <v>867</v>
      </c>
      <c r="I2599" s="12">
        <v>19</v>
      </c>
      <c r="J2599" t="str">
        <f>VLOOKUP(B2599,Paramètres!$A$4:$C$11,3,FALSE)</f>
        <v>Grande couronne</v>
      </c>
      <c r="K2599" s="13">
        <f>IFERROR(H2599/G2599,"")</f>
        <v>43.35</v>
      </c>
      <c r="L2599" s="14">
        <f>IFERROR(I2599/G2599,"")</f>
        <v>0.95</v>
      </c>
      <c r="M2599" s="11" t="str">
        <f>IF(K2599&gt;=Paramètres!$F$6,"Très forte",IF(K2599&gt;=Paramètres!$F$5,"Forte",IF(K2599&gt;=Paramètres!$F$4,"Modérée","Faible")))</f>
        <v>Très forte</v>
      </c>
    </row>
    <row r="2600" spans="1:13">
      <c r="A2600" t="s">
        <v>265</v>
      </c>
      <c r="B2600" s="11">
        <v>93</v>
      </c>
      <c r="C2600" t="s">
        <v>100</v>
      </c>
      <c r="D2600" t="s">
        <v>101</v>
      </c>
      <c r="E2600" t="s">
        <v>121</v>
      </c>
      <c r="F2600" t="s">
        <v>88</v>
      </c>
      <c r="G2600" s="12">
        <v>30</v>
      </c>
      <c r="H2600" s="12">
        <v>1282</v>
      </c>
      <c r="I2600" s="12">
        <v>30</v>
      </c>
      <c r="J2600" t="str">
        <f>VLOOKUP(B2600,Paramètres!$A$4:$C$11,3,FALSE)</f>
        <v>Petite couronne</v>
      </c>
      <c r="K2600" s="13">
        <f>IFERROR(H2600/G2600,"")</f>
        <v>42.733333333333334</v>
      </c>
      <c r="L2600" s="14">
        <f>IFERROR(I2600/G2600,"")</f>
        <v>1</v>
      </c>
      <c r="M2600" s="11" t="str">
        <f>IF(K2600&gt;=Paramètres!$F$6,"Très forte",IF(K2600&gt;=Paramètres!$F$5,"Forte",IF(K2600&gt;=Paramètres!$F$4,"Modérée","Faible")))</f>
        <v>Très forte</v>
      </c>
    </row>
    <row r="2601" spans="1:13">
      <c r="A2601" t="s">
        <v>265</v>
      </c>
      <c r="B2601" s="11">
        <v>93</v>
      </c>
      <c r="C2601" t="s">
        <v>100</v>
      </c>
      <c r="D2601" t="s">
        <v>101</v>
      </c>
      <c r="E2601" t="s">
        <v>177</v>
      </c>
      <c r="F2601" t="s">
        <v>88</v>
      </c>
      <c r="G2601" s="12">
        <v>30</v>
      </c>
      <c r="H2601" s="12">
        <v>1266</v>
      </c>
      <c r="I2601" s="12">
        <v>29</v>
      </c>
      <c r="J2601" t="str">
        <f>VLOOKUP(B2601,Paramètres!$A$4:$C$11,3,FALSE)</f>
        <v>Petite couronne</v>
      </c>
      <c r="K2601" s="13">
        <f>IFERROR(H2601/G2601,"")</f>
        <v>42.2</v>
      </c>
      <c r="L2601" s="14">
        <f>IFERROR(I2601/G2601,"")</f>
        <v>0.96666666666666667</v>
      </c>
      <c r="M2601" s="11" t="str">
        <f>IF(K2601&gt;=Paramètres!$F$6,"Très forte",IF(K2601&gt;=Paramètres!$F$5,"Forte",IF(K2601&gt;=Paramètres!$F$4,"Modérée","Faible")))</f>
        <v>Très forte</v>
      </c>
    </row>
    <row r="2602" spans="1:13">
      <c r="A2602" t="s">
        <v>119</v>
      </c>
      <c r="B2602" s="11">
        <v>75</v>
      </c>
      <c r="C2602" t="s">
        <v>86</v>
      </c>
      <c r="D2602" t="s">
        <v>101</v>
      </c>
      <c r="E2602" t="s">
        <v>218</v>
      </c>
      <c r="F2602" t="s">
        <v>88</v>
      </c>
      <c r="G2602" s="12">
        <v>15</v>
      </c>
      <c r="H2602" s="12">
        <v>614</v>
      </c>
      <c r="I2602" s="12">
        <v>14</v>
      </c>
      <c r="J2602" t="str">
        <f>VLOOKUP(B2602,Paramètres!$A$4:$C$11,3,FALSE)</f>
        <v>Paris</v>
      </c>
      <c r="K2602" s="13">
        <f>IFERROR(H2602/G2602,"")</f>
        <v>40.93333333333333</v>
      </c>
      <c r="L2602" s="14">
        <f>IFERROR(I2602/G2602,"")</f>
        <v>0.93333333333333335</v>
      </c>
      <c r="M2602" s="11" t="str">
        <f>IF(K2602&gt;=Paramètres!$F$6,"Très forte",IF(K2602&gt;=Paramètres!$F$5,"Forte",IF(K2602&gt;=Paramètres!$F$4,"Modérée","Faible")))</f>
        <v>Très forte</v>
      </c>
    </row>
    <row r="2603" spans="1:13">
      <c r="A2603" t="s">
        <v>115</v>
      </c>
      <c r="B2603" s="11">
        <v>94</v>
      </c>
      <c r="C2603" t="s">
        <v>116</v>
      </c>
      <c r="D2603" t="s">
        <v>101</v>
      </c>
      <c r="E2603" t="s">
        <v>315</v>
      </c>
      <c r="F2603" t="s">
        <v>88</v>
      </c>
      <c r="G2603" s="12">
        <v>30</v>
      </c>
      <c r="H2603" s="12">
        <v>1179</v>
      </c>
      <c r="I2603" s="12">
        <v>25</v>
      </c>
      <c r="J2603" t="str">
        <f>VLOOKUP(B2603,Paramètres!$A$4:$C$11,3,FALSE)</f>
        <v>Petite couronne</v>
      </c>
      <c r="K2603" s="13">
        <f>IFERROR(H2603/G2603,"")</f>
        <v>39.299999999999997</v>
      </c>
      <c r="L2603" s="14">
        <f>IFERROR(I2603/G2603,"")</f>
        <v>0.83333333333333337</v>
      </c>
      <c r="M2603" s="11" t="str">
        <f>IF(K2603&gt;=Paramètres!$F$6,"Très forte",IF(K2603&gt;=Paramètres!$F$5,"Forte",IF(K2603&gt;=Paramètres!$F$4,"Modérée","Faible")))</f>
        <v>Forte</v>
      </c>
    </row>
    <row r="2604" spans="1:13">
      <c r="A2604" t="s">
        <v>131</v>
      </c>
      <c r="B2604" s="11">
        <v>77</v>
      </c>
      <c r="C2604" t="s">
        <v>132</v>
      </c>
      <c r="D2604" t="s">
        <v>101</v>
      </c>
      <c r="E2604" t="s">
        <v>614</v>
      </c>
      <c r="F2604" t="s">
        <v>88</v>
      </c>
      <c r="G2604" s="12">
        <v>10</v>
      </c>
      <c r="H2604" s="12">
        <v>388</v>
      </c>
      <c r="I2604" s="12">
        <v>10</v>
      </c>
      <c r="J2604" t="str">
        <f>VLOOKUP(B2604,Paramètres!$A$4:$C$11,3,FALSE)</f>
        <v>Grande couronne</v>
      </c>
      <c r="K2604" s="13">
        <f>IFERROR(H2604/G2604,"")</f>
        <v>38.799999999999997</v>
      </c>
      <c r="L2604" s="14">
        <f>IFERROR(I2604/G2604,"")</f>
        <v>1</v>
      </c>
      <c r="M2604" s="11" t="str">
        <f>IF(K2604&gt;=Paramètres!$F$6,"Très forte",IF(K2604&gt;=Paramètres!$F$5,"Forte",IF(K2604&gt;=Paramètres!$F$4,"Modérée","Faible")))</f>
        <v>Forte</v>
      </c>
    </row>
    <row r="2605" spans="1:13">
      <c r="A2605" t="s">
        <v>134</v>
      </c>
      <c r="B2605" s="11">
        <v>78</v>
      </c>
      <c r="C2605" t="s">
        <v>135</v>
      </c>
      <c r="D2605" t="s">
        <v>101</v>
      </c>
      <c r="E2605" t="s">
        <v>616</v>
      </c>
      <c r="F2605" t="s">
        <v>88</v>
      </c>
      <c r="G2605" s="12">
        <v>56</v>
      </c>
      <c r="H2605" s="12">
        <v>2151</v>
      </c>
      <c r="I2605" s="12">
        <v>56</v>
      </c>
      <c r="J2605" t="str">
        <f>VLOOKUP(B2605,Paramètres!$A$4:$C$11,3,FALSE)</f>
        <v>Grande couronne</v>
      </c>
      <c r="K2605" s="13">
        <f>IFERROR(H2605/G2605,"")</f>
        <v>38.410714285714285</v>
      </c>
      <c r="L2605" s="14">
        <f>IFERROR(I2605/G2605,"")</f>
        <v>1</v>
      </c>
      <c r="M2605" s="11" t="str">
        <f>IF(K2605&gt;=Paramètres!$F$6,"Très forte",IF(K2605&gt;=Paramètres!$F$5,"Forte",IF(K2605&gt;=Paramètres!$F$4,"Modérée","Faible")))</f>
        <v>Forte</v>
      </c>
    </row>
    <row r="2606" spans="1:13">
      <c r="A2606" t="s">
        <v>99</v>
      </c>
      <c r="B2606" s="11">
        <v>93</v>
      </c>
      <c r="C2606" t="s">
        <v>100</v>
      </c>
      <c r="D2606" t="s">
        <v>101</v>
      </c>
      <c r="E2606" t="s">
        <v>606</v>
      </c>
      <c r="F2606" t="s">
        <v>88</v>
      </c>
      <c r="G2606" s="12">
        <v>150</v>
      </c>
      <c r="H2606" s="12">
        <v>5729</v>
      </c>
      <c r="I2606" s="12">
        <v>155</v>
      </c>
      <c r="J2606" t="str">
        <f>VLOOKUP(B2606,Paramètres!$A$4:$C$11,3,FALSE)</f>
        <v>Petite couronne</v>
      </c>
      <c r="K2606" s="13">
        <f>IFERROR(H2606/G2606,"")</f>
        <v>38.193333333333335</v>
      </c>
      <c r="L2606" s="14">
        <f>IFERROR(I2606/G2606,"")</f>
        <v>1.0333333333333334</v>
      </c>
      <c r="M2606" s="11" t="str">
        <f>IF(K2606&gt;=Paramètres!$F$6,"Très forte",IF(K2606&gt;=Paramètres!$F$5,"Forte",IF(K2606&gt;=Paramètres!$F$4,"Modérée","Faible")))</f>
        <v>Forte</v>
      </c>
    </row>
    <row r="2607" spans="1:13">
      <c r="A2607" t="s">
        <v>203</v>
      </c>
      <c r="B2607" s="11">
        <v>78</v>
      </c>
      <c r="C2607" t="s">
        <v>135</v>
      </c>
      <c r="D2607" t="s">
        <v>101</v>
      </c>
      <c r="E2607" t="s">
        <v>722</v>
      </c>
      <c r="F2607" t="s">
        <v>88</v>
      </c>
      <c r="G2607" s="12">
        <v>25</v>
      </c>
      <c r="H2607" s="12">
        <v>948</v>
      </c>
      <c r="I2607" s="12">
        <v>25</v>
      </c>
      <c r="J2607" t="str">
        <f>VLOOKUP(B2607,Paramètres!$A$4:$C$11,3,FALSE)</f>
        <v>Grande couronne</v>
      </c>
      <c r="K2607" s="13">
        <f>IFERROR(H2607/G2607,"")</f>
        <v>37.92</v>
      </c>
      <c r="L2607" s="14">
        <f>IFERROR(I2607/G2607,"")</f>
        <v>1</v>
      </c>
      <c r="M2607" s="11" t="str">
        <f>IF(K2607&gt;=Paramètres!$F$6,"Très forte",IF(K2607&gt;=Paramètres!$F$5,"Forte",IF(K2607&gt;=Paramètres!$F$4,"Modérée","Faible")))</f>
        <v>Forte</v>
      </c>
    </row>
    <row r="2608" spans="1:13">
      <c r="A2608" t="s">
        <v>115</v>
      </c>
      <c r="B2608" s="11">
        <v>94</v>
      </c>
      <c r="C2608" t="s">
        <v>116</v>
      </c>
      <c r="D2608" t="s">
        <v>101</v>
      </c>
      <c r="E2608" t="s">
        <v>319</v>
      </c>
      <c r="F2608" t="s">
        <v>88</v>
      </c>
      <c r="G2608" s="12">
        <v>30</v>
      </c>
      <c r="H2608" s="12">
        <v>1032</v>
      </c>
      <c r="I2608" s="12">
        <v>28</v>
      </c>
      <c r="J2608" t="str">
        <f>VLOOKUP(B2608,Paramètres!$A$4:$C$11,3,FALSE)</f>
        <v>Petite couronne</v>
      </c>
      <c r="K2608" s="13">
        <f>IFERROR(H2608/G2608,"")</f>
        <v>34.4</v>
      </c>
      <c r="L2608" s="14">
        <f>IFERROR(I2608/G2608,"")</f>
        <v>0.93333333333333335</v>
      </c>
      <c r="M2608" s="11" t="str">
        <f>IF(K2608&gt;=Paramètres!$F$6,"Très forte",IF(K2608&gt;=Paramètres!$F$5,"Forte",IF(K2608&gt;=Paramètres!$F$4,"Modérée","Faible")))</f>
        <v>Forte</v>
      </c>
    </row>
    <row r="2609" spans="1:13">
      <c r="A2609" t="s">
        <v>115</v>
      </c>
      <c r="B2609" s="11">
        <v>94</v>
      </c>
      <c r="C2609" t="s">
        <v>116</v>
      </c>
      <c r="D2609" t="s">
        <v>101</v>
      </c>
      <c r="E2609" t="s">
        <v>433</v>
      </c>
      <c r="F2609" t="s">
        <v>88</v>
      </c>
      <c r="G2609" s="12">
        <v>40</v>
      </c>
      <c r="H2609" s="12">
        <v>1355</v>
      </c>
      <c r="I2609" s="12">
        <v>40</v>
      </c>
      <c r="J2609" t="str">
        <f>VLOOKUP(B2609,Paramètres!$A$4:$C$11,3,FALSE)</f>
        <v>Petite couronne</v>
      </c>
      <c r="K2609" s="13">
        <f>IFERROR(H2609/G2609,"")</f>
        <v>33.875</v>
      </c>
      <c r="L2609" s="14">
        <f>IFERROR(I2609/G2609,"")</f>
        <v>1</v>
      </c>
      <c r="M2609" s="11" t="str">
        <f>IF(K2609&gt;=Paramètres!$F$6,"Très forte",IF(K2609&gt;=Paramètres!$F$5,"Forte",IF(K2609&gt;=Paramètres!$F$4,"Modérée","Faible")))</f>
        <v>Forte</v>
      </c>
    </row>
    <row r="2610" spans="1:13">
      <c r="A2610" t="s">
        <v>115</v>
      </c>
      <c r="B2610" s="11">
        <v>94</v>
      </c>
      <c r="C2610" t="s">
        <v>116</v>
      </c>
      <c r="D2610" t="s">
        <v>101</v>
      </c>
      <c r="E2610" t="s">
        <v>600</v>
      </c>
      <c r="F2610" t="s">
        <v>88</v>
      </c>
      <c r="G2610" s="12">
        <v>40</v>
      </c>
      <c r="H2610" s="12">
        <v>1309</v>
      </c>
      <c r="I2610" s="12">
        <v>40</v>
      </c>
      <c r="J2610" t="str">
        <f>VLOOKUP(B2610,Paramètres!$A$4:$C$11,3,FALSE)</f>
        <v>Petite couronne</v>
      </c>
      <c r="K2610" s="13">
        <f>IFERROR(H2610/G2610,"")</f>
        <v>32.725000000000001</v>
      </c>
      <c r="L2610" s="14">
        <f>IFERROR(I2610/G2610,"")</f>
        <v>1</v>
      </c>
      <c r="M2610" s="11" t="str">
        <f>IF(K2610&gt;=Paramètres!$F$6,"Très forte",IF(K2610&gt;=Paramètres!$F$5,"Forte",IF(K2610&gt;=Paramètres!$F$4,"Modérée","Faible")))</f>
        <v>Forte</v>
      </c>
    </row>
    <row r="2611" spans="1:13">
      <c r="A2611" t="s">
        <v>144</v>
      </c>
      <c r="B2611" s="11">
        <v>95</v>
      </c>
      <c r="C2611" t="s">
        <v>90</v>
      </c>
      <c r="D2611" t="s">
        <v>101</v>
      </c>
      <c r="E2611" t="s">
        <v>147</v>
      </c>
      <c r="F2611" t="s">
        <v>88</v>
      </c>
      <c r="G2611" s="12">
        <v>30</v>
      </c>
      <c r="H2611" s="12">
        <v>937</v>
      </c>
      <c r="I2611" s="12">
        <v>29</v>
      </c>
      <c r="J2611" t="str">
        <f>VLOOKUP(B2611,Paramètres!$A$4:$C$11,3,FALSE)</f>
        <v>Grande couronne</v>
      </c>
      <c r="K2611" s="13">
        <f>IFERROR(H2611/G2611,"")</f>
        <v>31.233333333333334</v>
      </c>
      <c r="L2611" s="14">
        <f>IFERROR(I2611/G2611,"")</f>
        <v>0.96666666666666667</v>
      </c>
      <c r="M2611" s="11" t="str">
        <f>IF(K2611&gt;=Paramètres!$F$6,"Très forte",IF(K2611&gt;=Paramètres!$F$5,"Forte",IF(K2611&gt;=Paramètres!$F$4,"Modérée","Faible")))</f>
        <v>Forte</v>
      </c>
    </row>
    <row r="2612" spans="1:13">
      <c r="A2612" t="s">
        <v>138</v>
      </c>
      <c r="B2612" s="11">
        <v>75</v>
      </c>
      <c r="C2612" t="s">
        <v>86</v>
      </c>
      <c r="D2612" t="s">
        <v>101</v>
      </c>
      <c r="E2612" t="s">
        <v>483</v>
      </c>
      <c r="F2612" t="s">
        <v>88</v>
      </c>
      <c r="G2612" s="12">
        <v>15</v>
      </c>
      <c r="H2612" s="12">
        <v>464</v>
      </c>
      <c r="I2612" s="12">
        <v>12</v>
      </c>
      <c r="J2612" t="str">
        <f>VLOOKUP(B2612,Paramètres!$A$4:$C$11,3,FALSE)</f>
        <v>Paris</v>
      </c>
      <c r="K2612" s="13">
        <f>IFERROR(H2612/G2612,"")</f>
        <v>30.933333333333334</v>
      </c>
      <c r="L2612" s="14">
        <f>IFERROR(I2612/G2612,"")</f>
        <v>0.8</v>
      </c>
      <c r="M2612" s="11" t="str">
        <f>IF(K2612&gt;=Paramètres!$F$6,"Très forte",IF(K2612&gt;=Paramètres!$F$5,"Forte",IF(K2612&gt;=Paramètres!$F$4,"Modérée","Faible")))</f>
        <v>Forte</v>
      </c>
    </row>
    <row r="2613" spans="1:13">
      <c r="A2613" t="s">
        <v>104</v>
      </c>
      <c r="B2613" s="11">
        <v>91</v>
      </c>
      <c r="C2613" t="s">
        <v>105</v>
      </c>
      <c r="D2613" t="s">
        <v>101</v>
      </c>
      <c r="E2613" t="s">
        <v>333</v>
      </c>
      <c r="F2613" t="s">
        <v>88</v>
      </c>
      <c r="G2613" s="12">
        <v>30</v>
      </c>
      <c r="H2613" s="12">
        <v>898</v>
      </c>
      <c r="I2613" s="12">
        <v>30</v>
      </c>
      <c r="J2613" t="str">
        <f>VLOOKUP(B2613,Paramètres!$A$4:$C$11,3,FALSE)</f>
        <v>Grande couronne</v>
      </c>
      <c r="K2613" s="13">
        <f>IFERROR(H2613/G2613,"")</f>
        <v>29.933333333333334</v>
      </c>
      <c r="L2613" s="14">
        <f>IFERROR(I2613/G2613,"")</f>
        <v>1</v>
      </c>
      <c r="M2613" s="11" t="str">
        <f>IF(K2613&gt;=Paramètres!$F$6,"Très forte",IF(K2613&gt;=Paramètres!$F$5,"Forte",IF(K2613&gt;=Paramètres!$F$4,"Modérée","Faible")))</f>
        <v>Forte</v>
      </c>
    </row>
    <row r="2614" spans="1:13">
      <c r="A2614" t="s">
        <v>110</v>
      </c>
      <c r="B2614" s="11">
        <v>75</v>
      </c>
      <c r="C2614" t="s">
        <v>86</v>
      </c>
      <c r="D2614" t="s">
        <v>101</v>
      </c>
      <c r="E2614" t="s">
        <v>396</v>
      </c>
      <c r="F2614" t="s">
        <v>88</v>
      </c>
      <c r="G2614" s="12">
        <v>10</v>
      </c>
      <c r="H2614" s="12">
        <v>286</v>
      </c>
      <c r="I2614" s="12">
        <v>9</v>
      </c>
      <c r="J2614" t="str">
        <f>VLOOKUP(B2614,Paramètres!$A$4:$C$11,3,FALSE)</f>
        <v>Paris</v>
      </c>
      <c r="K2614" s="13">
        <f>IFERROR(H2614/G2614,"")</f>
        <v>28.6</v>
      </c>
      <c r="L2614" s="14">
        <f>IFERROR(I2614/G2614,"")</f>
        <v>0.9</v>
      </c>
      <c r="M2614" s="11" t="str">
        <f>IF(K2614&gt;=Paramètres!$F$6,"Très forte",IF(K2614&gt;=Paramètres!$F$5,"Forte",IF(K2614&gt;=Paramètres!$F$4,"Modérée","Faible")))</f>
        <v>Forte</v>
      </c>
    </row>
    <row r="2615" spans="1:13">
      <c r="A2615" t="s">
        <v>203</v>
      </c>
      <c r="B2615" s="11">
        <v>78</v>
      </c>
      <c r="C2615" t="s">
        <v>135</v>
      </c>
      <c r="D2615" t="s">
        <v>101</v>
      </c>
      <c r="E2615" t="s">
        <v>488</v>
      </c>
      <c r="F2615" t="s">
        <v>88</v>
      </c>
      <c r="G2615" s="12">
        <v>15</v>
      </c>
      <c r="H2615" s="12">
        <v>406</v>
      </c>
      <c r="I2615" s="12">
        <v>15</v>
      </c>
      <c r="J2615" t="str">
        <f>VLOOKUP(B2615,Paramètres!$A$4:$C$11,3,FALSE)</f>
        <v>Grande couronne</v>
      </c>
      <c r="K2615" s="13">
        <f>IFERROR(H2615/G2615,"")</f>
        <v>27.066666666666666</v>
      </c>
      <c r="L2615" s="14">
        <f>IFERROR(I2615/G2615,"")</f>
        <v>1</v>
      </c>
      <c r="M2615" s="11" t="str">
        <f>IF(K2615&gt;=Paramètres!$F$6,"Très forte",IF(K2615&gt;=Paramètres!$F$5,"Forte",IF(K2615&gt;=Paramètres!$F$4,"Modérée","Faible")))</f>
        <v>Forte</v>
      </c>
    </row>
    <row r="2616" spans="1:13">
      <c r="A2616" t="s">
        <v>134</v>
      </c>
      <c r="B2616" s="11">
        <v>78</v>
      </c>
      <c r="C2616" t="s">
        <v>135</v>
      </c>
      <c r="D2616" t="s">
        <v>101</v>
      </c>
      <c r="E2616" t="s">
        <v>457</v>
      </c>
      <c r="F2616" t="s">
        <v>88</v>
      </c>
      <c r="G2616" s="12">
        <v>10</v>
      </c>
      <c r="H2616" s="12">
        <v>252</v>
      </c>
      <c r="I2616" s="12">
        <v>10</v>
      </c>
      <c r="J2616" t="str">
        <f>VLOOKUP(B2616,Paramètres!$A$4:$C$11,3,FALSE)</f>
        <v>Grande couronne</v>
      </c>
      <c r="K2616" s="13">
        <f>IFERROR(H2616/G2616,"")</f>
        <v>25.2</v>
      </c>
      <c r="L2616" s="14">
        <f>IFERROR(I2616/G2616,"")</f>
        <v>1</v>
      </c>
      <c r="M2616" s="11" t="str">
        <f>IF(K2616&gt;=Paramètres!$F$6,"Très forte",IF(K2616&gt;=Paramètres!$F$5,"Forte",IF(K2616&gt;=Paramètres!$F$4,"Modérée","Faible")))</f>
        <v>Forte</v>
      </c>
    </row>
    <row r="2617" spans="1:13">
      <c r="A2617" t="s">
        <v>108</v>
      </c>
      <c r="B2617" s="11">
        <v>93</v>
      </c>
      <c r="C2617" t="s">
        <v>100</v>
      </c>
      <c r="D2617" t="s">
        <v>101</v>
      </c>
      <c r="E2617" t="s">
        <v>450</v>
      </c>
      <c r="F2617" t="s">
        <v>88</v>
      </c>
      <c r="G2617" s="12">
        <v>10</v>
      </c>
      <c r="H2617" s="12">
        <v>248</v>
      </c>
      <c r="I2617" s="12">
        <v>10</v>
      </c>
      <c r="J2617" t="str">
        <f>VLOOKUP(B2617,Paramètres!$A$4:$C$11,3,FALSE)</f>
        <v>Petite couronne</v>
      </c>
      <c r="K2617" s="13">
        <f>IFERROR(H2617/G2617,"")</f>
        <v>24.8</v>
      </c>
      <c r="L2617" s="14">
        <f>IFERROR(I2617/G2617,"")</f>
        <v>1</v>
      </c>
      <c r="M2617" s="11" t="str">
        <f>IF(K2617&gt;=Paramètres!$F$6,"Très forte",IF(K2617&gt;=Paramètres!$F$5,"Forte",IF(K2617&gt;=Paramètres!$F$4,"Modérée","Faible")))</f>
        <v>Forte</v>
      </c>
    </row>
    <row r="2618" spans="1:13">
      <c r="A2618" t="s">
        <v>110</v>
      </c>
      <c r="B2618" s="11">
        <v>75</v>
      </c>
      <c r="C2618" t="s">
        <v>86</v>
      </c>
      <c r="D2618" t="s">
        <v>101</v>
      </c>
      <c r="E2618" t="s">
        <v>403</v>
      </c>
      <c r="F2618" t="s">
        <v>88</v>
      </c>
      <c r="G2618" s="12">
        <v>30</v>
      </c>
      <c r="H2618" s="12">
        <v>715</v>
      </c>
      <c r="I2618" s="12">
        <v>30</v>
      </c>
      <c r="J2618" t="str">
        <f>VLOOKUP(B2618,Paramètres!$A$4:$C$11,3,FALSE)</f>
        <v>Paris</v>
      </c>
      <c r="K2618" s="13">
        <f>IFERROR(H2618/G2618,"")</f>
        <v>23.833333333333332</v>
      </c>
      <c r="L2618" s="14">
        <f>IFERROR(I2618/G2618,"")</f>
        <v>1</v>
      </c>
      <c r="M2618" s="11" t="str">
        <f>IF(K2618&gt;=Paramètres!$F$6,"Très forte",IF(K2618&gt;=Paramètres!$F$5,"Forte",IF(K2618&gt;=Paramètres!$F$4,"Modérée","Faible")))</f>
        <v>Forte</v>
      </c>
    </row>
    <row r="2619" spans="1:13">
      <c r="A2619" t="s">
        <v>119</v>
      </c>
      <c r="B2619" s="11">
        <v>75</v>
      </c>
      <c r="C2619" t="s">
        <v>86</v>
      </c>
      <c r="D2619" t="s">
        <v>101</v>
      </c>
      <c r="E2619" t="s">
        <v>340</v>
      </c>
      <c r="F2619" t="s">
        <v>88</v>
      </c>
      <c r="G2619" s="12">
        <v>15</v>
      </c>
      <c r="H2619" s="12">
        <v>328</v>
      </c>
      <c r="I2619" s="12">
        <v>15</v>
      </c>
      <c r="J2619" t="str">
        <f>VLOOKUP(B2619,Paramètres!$A$4:$C$11,3,FALSE)</f>
        <v>Paris</v>
      </c>
      <c r="K2619" s="13">
        <f>IFERROR(H2619/G2619,"")</f>
        <v>21.866666666666667</v>
      </c>
      <c r="L2619" s="14">
        <f>IFERROR(I2619/G2619,"")</f>
        <v>1</v>
      </c>
      <c r="M2619" s="11" t="str">
        <f>IF(K2619&gt;=Paramètres!$F$6,"Très forte",IF(K2619&gt;=Paramètres!$F$5,"Forte",IF(K2619&gt;=Paramètres!$F$4,"Modérée","Faible")))</f>
        <v>Forte</v>
      </c>
    </row>
    <row r="2620" spans="1:13">
      <c r="A2620" t="s">
        <v>110</v>
      </c>
      <c r="B2620" s="11">
        <v>75</v>
      </c>
      <c r="C2620" t="s">
        <v>86</v>
      </c>
      <c r="D2620" t="s">
        <v>101</v>
      </c>
      <c r="E2620" t="s">
        <v>180</v>
      </c>
      <c r="F2620" t="s">
        <v>88</v>
      </c>
      <c r="G2620" s="12">
        <v>20</v>
      </c>
      <c r="H2620" s="12">
        <v>434</v>
      </c>
      <c r="I2620" s="12">
        <v>20</v>
      </c>
      <c r="J2620" t="str">
        <f>VLOOKUP(B2620,Paramètres!$A$4:$C$11,3,FALSE)</f>
        <v>Paris</v>
      </c>
      <c r="K2620" s="13">
        <f>IFERROR(H2620/G2620,"")</f>
        <v>21.7</v>
      </c>
      <c r="L2620" s="14">
        <f>IFERROR(I2620/G2620,"")</f>
        <v>1</v>
      </c>
      <c r="M2620" s="11" t="str">
        <f>IF(K2620&gt;=Paramètres!$F$6,"Très forte",IF(K2620&gt;=Paramètres!$F$5,"Forte",IF(K2620&gt;=Paramètres!$F$4,"Modérée","Faible")))</f>
        <v>Forte</v>
      </c>
    </row>
    <row r="2621" spans="1:13">
      <c r="A2621" t="s">
        <v>119</v>
      </c>
      <c r="B2621" s="11">
        <v>75</v>
      </c>
      <c r="C2621" t="s">
        <v>86</v>
      </c>
      <c r="D2621" t="s">
        <v>101</v>
      </c>
      <c r="E2621" t="s">
        <v>477</v>
      </c>
      <c r="F2621" t="s">
        <v>88</v>
      </c>
      <c r="G2621" s="12">
        <v>17</v>
      </c>
      <c r="H2621" s="12">
        <v>360</v>
      </c>
      <c r="I2621" s="12">
        <v>14</v>
      </c>
      <c r="J2621" t="str">
        <f>VLOOKUP(B2621,Paramètres!$A$4:$C$11,3,FALSE)</f>
        <v>Paris</v>
      </c>
      <c r="K2621" s="13">
        <f>IFERROR(H2621/G2621,"")</f>
        <v>21.176470588235293</v>
      </c>
      <c r="L2621" s="14">
        <f>IFERROR(I2621/G2621,"")</f>
        <v>0.82352941176470584</v>
      </c>
      <c r="M2621" s="11" t="str">
        <f>IF(K2621&gt;=Paramètres!$F$6,"Très forte",IF(K2621&gt;=Paramètres!$F$5,"Forte",IF(K2621&gt;=Paramètres!$F$4,"Modérée","Faible")))</f>
        <v>Forte</v>
      </c>
    </row>
    <row r="2622" spans="1:13">
      <c r="A2622" t="s">
        <v>115</v>
      </c>
      <c r="B2622" s="11">
        <v>94</v>
      </c>
      <c r="C2622" t="s">
        <v>116</v>
      </c>
      <c r="D2622" t="s">
        <v>101</v>
      </c>
      <c r="E2622" t="s">
        <v>713</v>
      </c>
      <c r="F2622" t="s">
        <v>88</v>
      </c>
      <c r="G2622" s="12">
        <v>40</v>
      </c>
      <c r="H2622" s="12">
        <v>835</v>
      </c>
      <c r="I2622" s="12">
        <v>38</v>
      </c>
      <c r="J2622" t="str">
        <f>VLOOKUP(B2622,Paramètres!$A$4:$C$11,3,FALSE)</f>
        <v>Petite couronne</v>
      </c>
      <c r="K2622" s="13">
        <f>IFERROR(H2622/G2622,"")</f>
        <v>20.875</v>
      </c>
      <c r="L2622" s="14">
        <f>IFERROR(I2622/G2622,"")</f>
        <v>0.95</v>
      </c>
      <c r="M2622" s="11" t="str">
        <f>IF(K2622&gt;=Paramètres!$F$6,"Très forte",IF(K2622&gt;=Paramètres!$F$5,"Forte",IF(K2622&gt;=Paramètres!$F$4,"Modérée","Faible")))</f>
        <v>Forte</v>
      </c>
    </row>
    <row r="2623" spans="1:13">
      <c r="A2623" t="s">
        <v>242</v>
      </c>
      <c r="B2623" s="11">
        <v>95</v>
      </c>
      <c r="C2623" t="s">
        <v>90</v>
      </c>
      <c r="D2623" t="s">
        <v>101</v>
      </c>
      <c r="E2623" t="s">
        <v>410</v>
      </c>
      <c r="F2623" t="s">
        <v>88</v>
      </c>
      <c r="G2623" s="12">
        <v>15</v>
      </c>
      <c r="H2623" s="12">
        <v>307</v>
      </c>
      <c r="I2623" s="12">
        <v>15</v>
      </c>
      <c r="J2623" t="str">
        <f>VLOOKUP(B2623,Paramètres!$A$4:$C$11,3,FALSE)</f>
        <v>Grande couronne</v>
      </c>
      <c r="K2623" s="13">
        <f>IFERROR(H2623/G2623,"")</f>
        <v>20.466666666666665</v>
      </c>
      <c r="L2623" s="14">
        <f>IFERROR(I2623/G2623,"")</f>
        <v>1</v>
      </c>
      <c r="M2623" s="11" t="str">
        <f>IF(K2623&gt;=Paramètres!$F$6,"Très forte",IF(K2623&gt;=Paramètres!$F$5,"Forte",IF(K2623&gt;=Paramètres!$F$4,"Modérée","Faible")))</f>
        <v>Forte</v>
      </c>
    </row>
    <row r="2624" spans="1:13">
      <c r="A2624" t="s">
        <v>144</v>
      </c>
      <c r="B2624" s="11">
        <v>95</v>
      </c>
      <c r="C2624" t="s">
        <v>90</v>
      </c>
      <c r="D2624" t="s">
        <v>101</v>
      </c>
      <c r="E2624" t="s">
        <v>357</v>
      </c>
      <c r="F2624" t="s">
        <v>88</v>
      </c>
      <c r="G2624" s="12">
        <v>20</v>
      </c>
      <c r="H2624" s="12">
        <v>407</v>
      </c>
      <c r="I2624" s="12">
        <v>20</v>
      </c>
      <c r="J2624" t="str">
        <f>VLOOKUP(B2624,Paramètres!$A$4:$C$11,3,FALSE)</f>
        <v>Grande couronne</v>
      </c>
      <c r="K2624" s="13">
        <f>IFERROR(H2624/G2624,"")</f>
        <v>20.350000000000001</v>
      </c>
      <c r="L2624" s="14">
        <f>IFERROR(I2624/G2624,"")</f>
        <v>1</v>
      </c>
      <c r="M2624" s="11" t="str">
        <f>IF(K2624&gt;=Paramètres!$F$6,"Très forte",IF(K2624&gt;=Paramètres!$F$5,"Forte",IF(K2624&gt;=Paramètres!$F$4,"Modérée","Faible")))</f>
        <v>Forte</v>
      </c>
    </row>
    <row r="2625" spans="1:13">
      <c r="A2625" t="s">
        <v>138</v>
      </c>
      <c r="B2625" s="11">
        <v>75</v>
      </c>
      <c r="C2625" t="s">
        <v>86</v>
      </c>
      <c r="D2625" t="s">
        <v>101</v>
      </c>
      <c r="E2625" t="s">
        <v>684</v>
      </c>
      <c r="F2625" t="s">
        <v>88</v>
      </c>
      <c r="G2625" s="12">
        <v>15</v>
      </c>
      <c r="H2625" s="12">
        <v>294</v>
      </c>
      <c r="I2625" s="12">
        <v>15</v>
      </c>
      <c r="J2625" t="str">
        <f>VLOOKUP(B2625,Paramètres!$A$4:$C$11,3,FALSE)</f>
        <v>Paris</v>
      </c>
      <c r="K2625" s="13">
        <f>IFERROR(H2625/G2625,"")</f>
        <v>19.600000000000001</v>
      </c>
      <c r="L2625" s="14">
        <f>IFERROR(I2625/G2625,"")</f>
        <v>1</v>
      </c>
      <c r="M2625" s="11" t="str">
        <f>IF(K2625&gt;=Paramètres!$F$6,"Très forte",IF(K2625&gt;=Paramètres!$F$5,"Forte",IF(K2625&gt;=Paramètres!$F$4,"Modérée","Faible")))</f>
        <v>Modérée</v>
      </c>
    </row>
    <row r="2626" spans="1:13">
      <c r="A2626" t="s">
        <v>119</v>
      </c>
      <c r="B2626" s="11">
        <v>75</v>
      </c>
      <c r="C2626" t="s">
        <v>86</v>
      </c>
      <c r="D2626" t="s">
        <v>101</v>
      </c>
      <c r="E2626" t="s">
        <v>180</v>
      </c>
      <c r="F2626" t="s">
        <v>88</v>
      </c>
      <c r="G2626" s="12">
        <v>42</v>
      </c>
      <c r="H2626" s="12">
        <v>797</v>
      </c>
      <c r="I2626" s="12">
        <v>42</v>
      </c>
      <c r="J2626" t="str">
        <f>VLOOKUP(B2626,Paramètres!$A$4:$C$11,3,FALSE)</f>
        <v>Paris</v>
      </c>
      <c r="K2626" s="13">
        <f>IFERROR(H2626/G2626,"")</f>
        <v>18.976190476190474</v>
      </c>
      <c r="L2626" s="14">
        <f>IFERROR(I2626/G2626,"")</f>
        <v>1</v>
      </c>
      <c r="M2626" s="11" t="str">
        <f>IF(K2626&gt;=Paramètres!$F$6,"Très forte",IF(K2626&gt;=Paramètres!$F$5,"Forte",IF(K2626&gt;=Paramètres!$F$4,"Modérée","Faible")))</f>
        <v>Modérée</v>
      </c>
    </row>
    <row r="2627" spans="1:13">
      <c r="A2627" t="s">
        <v>302</v>
      </c>
      <c r="B2627" s="11">
        <v>77</v>
      </c>
      <c r="C2627" t="s">
        <v>132</v>
      </c>
      <c r="D2627" t="s">
        <v>101</v>
      </c>
      <c r="E2627" t="s">
        <v>303</v>
      </c>
      <c r="F2627" t="s">
        <v>88</v>
      </c>
      <c r="G2627" s="12">
        <v>20</v>
      </c>
      <c r="H2627" s="12">
        <v>379</v>
      </c>
      <c r="I2627" s="12">
        <v>19</v>
      </c>
      <c r="J2627" t="str">
        <f>VLOOKUP(B2627,Paramètres!$A$4:$C$11,3,FALSE)</f>
        <v>Grande couronne</v>
      </c>
      <c r="K2627" s="13">
        <f>IFERROR(H2627/G2627,"")</f>
        <v>18.95</v>
      </c>
      <c r="L2627" s="14">
        <f>IFERROR(I2627/G2627,"")</f>
        <v>0.95</v>
      </c>
      <c r="M2627" s="11" t="str">
        <f>IF(K2627&gt;=Paramètres!$F$6,"Très forte",IF(K2627&gt;=Paramètres!$F$5,"Forte",IF(K2627&gt;=Paramètres!$F$4,"Modérée","Faible")))</f>
        <v>Modérée</v>
      </c>
    </row>
    <row r="2628" spans="1:13">
      <c r="A2628" t="s">
        <v>129</v>
      </c>
      <c r="B2628" s="11">
        <v>91</v>
      </c>
      <c r="C2628" t="s">
        <v>105</v>
      </c>
      <c r="D2628" t="s">
        <v>101</v>
      </c>
      <c r="E2628" t="s">
        <v>154</v>
      </c>
      <c r="F2628" t="s">
        <v>92</v>
      </c>
      <c r="G2628" s="12">
        <v>10</v>
      </c>
      <c r="H2628" s="12">
        <v>183</v>
      </c>
      <c r="I2628" s="12">
        <v>8</v>
      </c>
      <c r="J2628" t="str">
        <f>VLOOKUP(B2628,Paramètres!$A$4:$C$11,3,FALSE)</f>
        <v>Grande couronne</v>
      </c>
      <c r="K2628" s="13">
        <f>IFERROR(H2628/G2628,"")</f>
        <v>18.3</v>
      </c>
      <c r="L2628" s="14">
        <f>IFERROR(I2628/G2628,"")</f>
        <v>0.8</v>
      </c>
      <c r="M2628" s="11" t="str">
        <f>IF(K2628&gt;=Paramètres!$F$6,"Très forte",IF(K2628&gt;=Paramètres!$F$5,"Forte",IF(K2628&gt;=Paramètres!$F$4,"Modérée","Faible")))</f>
        <v>Modérée</v>
      </c>
    </row>
    <row r="2629" spans="1:13">
      <c r="A2629" t="s">
        <v>119</v>
      </c>
      <c r="B2629" s="11">
        <v>75</v>
      </c>
      <c r="C2629" t="s">
        <v>86</v>
      </c>
      <c r="D2629" t="s">
        <v>101</v>
      </c>
      <c r="E2629" t="s">
        <v>120</v>
      </c>
      <c r="F2629" t="s">
        <v>88</v>
      </c>
      <c r="G2629" s="12">
        <v>15</v>
      </c>
      <c r="H2629" s="12">
        <v>270</v>
      </c>
      <c r="I2629" s="12">
        <v>15</v>
      </c>
      <c r="J2629" t="str">
        <f>VLOOKUP(B2629,Paramètres!$A$4:$C$11,3,FALSE)</f>
        <v>Paris</v>
      </c>
      <c r="K2629" s="13">
        <f>IFERROR(H2629/G2629,"")</f>
        <v>18</v>
      </c>
      <c r="L2629" s="14">
        <f>IFERROR(I2629/G2629,"")</f>
        <v>1</v>
      </c>
      <c r="M2629" s="11" t="str">
        <f>IF(K2629&gt;=Paramètres!$F$6,"Très forte",IF(K2629&gt;=Paramètres!$F$5,"Forte",IF(K2629&gt;=Paramètres!$F$4,"Modérée","Faible")))</f>
        <v>Modérée</v>
      </c>
    </row>
    <row r="2630" spans="1:13">
      <c r="A2630" t="s">
        <v>119</v>
      </c>
      <c r="B2630" s="11">
        <v>75</v>
      </c>
      <c r="C2630" t="s">
        <v>86</v>
      </c>
      <c r="D2630" t="s">
        <v>101</v>
      </c>
      <c r="E2630" t="s">
        <v>122</v>
      </c>
      <c r="F2630" t="s">
        <v>88</v>
      </c>
      <c r="G2630" s="12">
        <v>17</v>
      </c>
      <c r="H2630" s="12">
        <v>277</v>
      </c>
      <c r="I2630" s="12">
        <v>16</v>
      </c>
      <c r="J2630" t="str">
        <f>VLOOKUP(B2630,Paramètres!$A$4:$C$11,3,FALSE)</f>
        <v>Paris</v>
      </c>
      <c r="K2630" s="13">
        <f>IFERROR(H2630/G2630,"")</f>
        <v>16.294117647058822</v>
      </c>
      <c r="L2630" s="14">
        <f>IFERROR(I2630/G2630,"")</f>
        <v>0.94117647058823528</v>
      </c>
      <c r="M2630" s="11" t="str">
        <f>IF(K2630&gt;=Paramètres!$F$6,"Très forte",IF(K2630&gt;=Paramètres!$F$5,"Forte",IF(K2630&gt;=Paramètres!$F$4,"Modérée","Faible")))</f>
        <v>Modérée</v>
      </c>
    </row>
    <row r="2631" spans="1:13">
      <c r="A2631" t="s">
        <v>138</v>
      </c>
      <c r="B2631" s="11">
        <v>75</v>
      </c>
      <c r="C2631" t="s">
        <v>86</v>
      </c>
      <c r="D2631" t="s">
        <v>101</v>
      </c>
      <c r="E2631" t="s">
        <v>188</v>
      </c>
      <c r="F2631" t="s">
        <v>88</v>
      </c>
      <c r="G2631" s="12">
        <v>15</v>
      </c>
      <c r="H2631" s="12">
        <v>201</v>
      </c>
      <c r="I2631" s="12">
        <v>15</v>
      </c>
      <c r="J2631" t="str">
        <f>VLOOKUP(B2631,Paramètres!$A$4:$C$11,3,FALSE)</f>
        <v>Paris</v>
      </c>
      <c r="K2631" s="13">
        <f>IFERROR(H2631/G2631,"")</f>
        <v>13.4</v>
      </c>
      <c r="L2631" s="14">
        <f>IFERROR(I2631/G2631,"")</f>
        <v>1</v>
      </c>
      <c r="M2631" s="11" t="str">
        <f>IF(K2631&gt;=Paramètres!$F$6,"Très forte",IF(K2631&gt;=Paramètres!$F$5,"Forte",IF(K2631&gt;=Paramètres!$F$4,"Modérée","Faible")))</f>
        <v>Modérée</v>
      </c>
    </row>
    <row r="2632" spans="1:13">
      <c r="A2632" t="s">
        <v>242</v>
      </c>
      <c r="B2632" s="11">
        <v>95</v>
      </c>
      <c r="C2632" t="s">
        <v>90</v>
      </c>
      <c r="D2632" t="s">
        <v>101</v>
      </c>
      <c r="E2632" t="s">
        <v>532</v>
      </c>
      <c r="F2632" t="s">
        <v>88</v>
      </c>
      <c r="G2632" s="12">
        <v>15</v>
      </c>
      <c r="H2632" s="12">
        <v>197</v>
      </c>
      <c r="I2632" s="12">
        <v>14</v>
      </c>
      <c r="J2632" t="str">
        <f>VLOOKUP(B2632,Paramètres!$A$4:$C$11,3,FALSE)</f>
        <v>Grande couronne</v>
      </c>
      <c r="K2632" s="13">
        <f>IFERROR(H2632/G2632,"")</f>
        <v>13.133333333333333</v>
      </c>
      <c r="L2632" s="14">
        <f>IFERROR(I2632/G2632,"")</f>
        <v>0.93333333333333335</v>
      </c>
      <c r="M2632" s="11" t="str">
        <f>IF(K2632&gt;=Paramètres!$F$6,"Très forte",IF(K2632&gt;=Paramètres!$F$5,"Forte",IF(K2632&gt;=Paramètres!$F$4,"Modérée","Faible")))</f>
        <v>Modérée</v>
      </c>
    </row>
    <row r="2633" spans="1:13">
      <c r="A2633" t="s">
        <v>110</v>
      </c>
      <c r="B2633" s="11">
        <v>75</v>
      </c>
      <c r="C2633" t="s">
        <v>86</v>
      </c>
      <c r="D2633" t="s">
        <v>101</v>
      </c>
      <c r="E2633" t="s">
        <v>179</v>
      </c>
      <c r="F2633" t="s">
        <v>88</v>
      </c>
      <c r="G2633" s="12">
        <v>20</v>
      </c>
      <c r="H2633" s="12">
        <v>254</v>
      </c>
      <c r="I2633" s="12">
        <v>20</v>
      </c>
      <c r="J2633" t="str">
        <f>VLOOKUP(B2633,Paramètres!$A$4:$C$11,3,FALSE)</f>
        <v>Paris</v>
      </c>
      <c r="K2633" s="13">
        <f>IFERROR(H2633/G2633,"")</f>
        <v>12.7</v>
      </c>
      <c r="L2633" s="14">
        <f>IFERROR(I2633/G2633,"")</f>
        <v>1</v>
      </c>
      <c r="M2633" s="11" t="str">
        <f>IF(K2633&gt;=Paramètres!$F$6,"Très forte",IF(K2633&gt;=Paramètres!$F$5,"Forte",IF(K2633&gt;=Paramètres!$F$4,"Modérée","Faible")))</f>
        <v>Modérée</v>
      </c>
    </row>
    <row r="2634" spans="1:13">
      <c r="A2634" t="s">
        <v>134</v>
      </c>
      <c r="B2634" s="11">
        <v>78</v>
      </c>
      <c r="C2634" t="s">
        <v>135</v>
      </c>
      <c r="D2634" t="s">
        <v>101</v>
      </c>
      <c r="E2634" t="s">
        <v>177</v>
      </c>
      <c r="F2634" t="s">
        <v>88</v>
      </c>
      <c r="G2634" s="12">
        <v>58</v>
      </c>
      <c r="H2634" s="12">
        <v>725</v>
      </c>
      <c r="I2634" s="12">
        <v>56</v>
      </c>
      <c r="J2634" t="str">
        <f>VLOOKUP(B2634,Paramètres!$A$4:$C$11,3,FALSE)</f>
        <v>Grande couronne</v>
      </c>
      <c r="K2634" s="13">
        <f>IFERROR(H2634/G2634,"")</f>
        <v>12.5</v>
      </c>
      <c r="L2634" s="14">
        <f>IFERROR(I2634/G2634,"")</f>
        <v>0.96551724137931039</v>
      </c>
      <c r="M2634" s="11" t="str">
        <f>IF(K2634&gt;=Paramètres!$F$6,"Très forte",IF(K2634&gt;=Paramètres!$F$5,"Forte",IF(K2634&gt;=Paramètres!$F$4,"Modérée","Faible")))</f>
        <v>Modérée</v>
      </c>
    </row>
    <row r="2635" spans="1:13">
      <c r="A2635" t="s">
        <v>115</v>
      </c>
      <c r="B2635" s="11">
        <v>94</v>
      </c>
      <c r="C2635" t="s">
        <v>116</v>
      </c>
      <c r="D2635" t="s">
        <v>101</v>
      </c>
      <c r="E2635" t="s">
        <v>474</v>
      </c>
      <c r="F2635" t="s">
        <v>88</v>
      </c>
      <c r="G2635" s="12">
        <v>27</v>
      </c>
      <c r="H2635" s="12">
        <v>289</v>
      </c>
      <c r="I2635" s="12">
        <v>27</v>
      </c>
      <c r="J2635" t="str">
        <f>VLOOKUP(B2635,Paramètres!$A$4:$C$11,3,FALSE)</f>
        <v>Petite couronne</v>
      </c>
      <c r="K2635" s="13">
        <f>IFERROR(H2635/G2635,"")</f>
        <v>10.703703703703704</v>
      </c>
      <c r="L2635" s="14">
        <f>IFERROR(I2635/G2635,"")</f>
        <v>1</v>
      </c>
      <c r="M2635" s="11" t="str">
        <f>IF(K2635&gt;=Paramètres!$F$6,"Très forte",IF(K2635&gt;=Paramètres!$F$5,"Forte",IF(K2635&gt;=Paramètres!$F$4,"Modérée","Faible")))</f>
        <v>Modérée</v>
      </c>
    </row>
    <row r="2636" spans="1:13">
      <c r="A2636" t="s">
        <v>110</v>
      </c>
      <c r="B2636" s="11">
        <v>75</v>
      </c>
      <c r="C2636" t="s">
        <v>86</v>
      </c>
      <c r="D2636" t="s">
        <v>101</v>
      </c>
      <c r="E2636" t="s">
        <v>482</v>
      </c>
      <c r="F2636" t="s">
        <v>88</v>
      </c>
      <c r="G2636" s="12">
        <v>5</v>
      </c>
      <c r="H2636" s="12">
        <v>52</v>
      </c>
      <c r="I2636" s="12">
        <v>5</v>
      </c>
      <c r="J2636" t="str">
        <f>VLOOKUP(B2636,Paramètres!$A$4:$C$11,3,FALSE)</f>
        <v>Paris</v>
      </c>
      <c r="K2636" s="13">
        <f>IFERROR(H2636/G2636,"")</f>
        <v>10.4</v>
      </c>
      <c r="L2636" s="14">
        <f>IFERROR(I2636/G2636,"")</f>
        <v>1</v>
      </c>
      <c r="M2636" s="11" t="str">
        <f>IF(K2636&gt;=Paramètres!$F$6,"Très forte",IF(K2636&gt;=Paramètres!$F$5,"Forte",IF(K2636&gt;=Paramètres!$F$4,"Modérée","Faible")))</f>
        <v>Modérée</v>
      </c>
    </row>
    <row r="2637" spans="1:13">
      <c r="A2637" t="s">
        <v>138</v>
      </c>
      <c r="B2637" s="11">
        <v>75</v>
      </c>
      <c r="C2637" t="s">
        <v>86</v>
      </c>
      <c r="D2637" t="s">
        <v>101</v>
      </c>
      <c r="E2637" t="s">
        <v>182</v>
      </c>
      <c r="F2637" t="s">
        <v>88</v>
      </c>
      <c r="G2637" s="12">
        <v>10</v>
      </c>
      <c r="H2637" s="12">
        <v>96</v>
      </c>
      <c r="I2637" s="12">
        <v>11</v>
      </c>
      <c r="J2637" t="str">
        <f>VLOOKUP(B2637,Paramètres!$A$4:$C$11,3,FALSE)</f>
        <v>Paris</v>
      </c>
      <c r="K2637" s="13">
        <f>IFERROR(H2637/G2637,"")</f>
        <v>9.6</v>
      </c>
      <c r="L2637" s="14">
        <f>IFERROR(I2637/G2637,"")</f>
        <v>1.1000000000000001</v>
      </c>
      <c r="M2637" s="11" t="str">
        <f>IF(K2637&gt;=Paramètres!$F$6,"Très forte",IF(K2637&gt;=Paramètres!$F$5,"Forte",IF(K2637&gt;=Paramètres!$F$4,"Modérée","Faible")))</f>
        <v>Faible</v>
      </c>
    </row>
    <row r="2638" spans="1:13">
      <c r="A2638" t="s">
        <v>138</v>
      </c>
      <c r="B2638" s="11">
        <v>75</v>
      </c>
      <c r="C2638" t="s">
        <v>86</v>
      </c>
      <c r="D2638" t="s">
        <v>101</v>
      </c>
      <c r="E2638" t="s">
        <v>184</v>
      </c>
      <c r="F2638" t="s">
        <v>88</v>
      </c>
      <c r="G2638" s="12">
        <v>10</v>
      </c>
      <c r="H2638" s="12">
        <v>93</v>
      </c>
      <c r="I2638" s="12">
        <v>10</v>
      </c>
      <c r="J2638" t="str">
        <f>VLOOKUP(B2638,Paramètres!$A$4:$C$11,3,FALSE)</f>
        <v>Paris</v>
      </c>
      <c r="K2638" s="13">
        <f>IFERROR(H2638/G2638,"")</f>
        <v>9.3000000000000007</v>
      </c>
      <c r="L2638" s="14">
        <f>IFERROR(I2638/G2638,"")</f>
        <v>1</v>
      </c>
      <c r="M2638" s="11" t="str">
        <f>IF(K2638&gt;=Paramètres!$F$6,"Très forte",IF(K2638&gt;=Paramètres!$F$5,"Forte",IF(K2638&gt;=Paramètres!$F$4,"Modérée","Faible")))</f>
        <v>Faible</v>
      </c>
    </row>
    <row r="2639" spans="1:13">
      <c r="A2639" t="s">
        <v>115</v>
      </c>
      <c r="B2639" s="11">
        <v>94</v>
      </c>
      <c r="C2639" t="s">
        <v>116</v>
      </c>
      <c r="D2639" t="s">
        <v>101</v>
      </c>
      <c r="E2639" t="s">
        <v>606</v>
      </c>
      <c r="F2639" t="s">
        <v>88</v>
      </c>
      <c r="G2639" s="12">
        <v>1050</v>
      </c>
      <c r="H2639" s="12">
        <v>9173</v>
      </c>
      <c r="I2639" s="12">
        <v>1046</v>
      </c>
      <c r="J2639" t="str">
        <f>VLOOKUP(B2639,Paramètres!$A$4:$C$11,3,FALSE)</f>
        <v>Petite couronne</v>
      </c>
      <c r="K2639" s="13">
        <f>IFERROR(H2639/G2639,"")</f>
        <v>8.7361904761904761</v>
      </c>
      <c r="L2639" s="14">
        <f>IFERROR(I2639/G2639,"")</f>
        <v>0.99619047619047618</v>
      </c>
      <c r="M2639" s="11" t="str">
        <f>IF(K2639&gt;=Paramètres!$F$6,"Très forte",IF(K2639&gt;=Paramètres!$F$5,"Forte",IF(K2639&gt;=Paramètres!$F$4,"Modérée","Faible")))</f>
        <v>Faible</v>
      </c>
    </row>
    <row r="2640" spans="1:13">
      <c r="A2640" t="s">
        <v>138</v>
      </c>
      <c r="B2640" s="11">
        <v>75</v>
      </c>
      <c r="C2640" t="s">
        <v>86</v>
      </c>
      <c r="D2640" t="s">
        <v>101</v>
      </c>
      <c r="E2640" t="s">
        <v>185</v>
      </c>
      <c r="F2640" t="s">
        <v>88</v>
      </c>
      <c r="G2640" s="12">
        <v>10</v>
      </c>
      <c r="H2640" s="12">
        <v>81</v>
      </c>
      <c r="I2640" s="12">
        <v>10</v>
      </c>
      <c r="J2640" t="str">
        <f>VLOOKUP(B2640,Paramètres!$A$4:$C$11,3,FALSE)</f>
        <v>Paris</v>
      </c>
      <c r="K2640" s="13">
        <f>IFERROR(H2640/G2640,"")</f>
        <v>8.1</v>
      </c>
      <c r="L2640" s="14">
        <f>IFERROR(I2640/G2640,"")</f>
        <v>1</v>
      </c>
      <c r="M2640" s="11" t="str">
        <f>IF(K2640&gt;=Paramètres!$F$6,"Très forte",IF(K2640&gt;=Paramètres!$F$5,"Forte",IF(K2640&gt;=Paramètres!$F$4,"Modérée","Faible")))</f>
        <v>Faible</v>
      </c>
    </row>
    <row r="2641" spans="1:13">
      <c r="A2641" t="s">
        <v>138</v>
      </c>
      <c r="B2641" s="11">
        <v>75</v>
      </c>
      <c r="C2641" t="s">
        <v>86</v>
      </c>
      <c r="D2641" t="s">
        <v>101</v>
      </c>
      <c r="E2641" t="s">
        <v>686</v>
      </c>
      <c r="F2641" t="s">
        <v>88</v>
      </c>
      <c r="G2641" s="12">
        <v>10</v>
      </c>
      <c r="H2641" s="12">
        <v>80</v>
      </c>
      <c r="I2641" s="12">
        <v>11</v>
      </c>
      <c r="J2641" t="str">
        <f>VLOOKUP(B2641,Paramètres!$A$4:$C$11,3,FALSE)</f>
        <v>Paris</v>
      </c>
      <c r="K2641" s="13">
        <f>IFERROR(H2641/G2641,"")</f>
        <v>8</v>
      </c>
      <c r="L2641" s="14">
        <f>IFERROR(I2641/G2641,"")</f>
        <v>1.1000000000000001</v>
      </c>
      <c r="M2641" s="11" t="str">
        <f>IF(K2641&gt;=Paramètres!$F$6,"Très forte",IF(K2641&gt;=Paramètres!$F$5,"Forte",IF(K2641&gt;=Paramètres!$F$4,"Modérée","Faible")))</f>
        <v>Faible</v>
      </c>
    </row>
    <row r="2642" spans="1:13">
      <c r="A2642" t="s">
        <v>110</v>
      </c>
      <c r="B2642" s="11">
        <v>75</v>
      </c>
      <c r="C2642" t="s">
        <v>86</v>
      </c>
      <c r="D2642" t="s">
        <v>101</v>
      </c>
      <c r="E2642" t="s">
        <v>525</v>
      </c>
      <c r="F2642" t="s">
        <v>88</v>
      </c>
      <c r="G2642" s="12">
        <v>15</v>
      </c>
      <c r="H2642" s="12">
        <v>120</v>
      </c>
      <c r="I2642" s="12">
        <v>16</v>
      </c>
      <c r="J2642" t="str">
        <f>VLOOKUP(B2642,Paramètres!$A$4:$C$11,3,FALSE)</f>
        <v>Paris</v>
      </c>
      <c r="K2642" s="13">
        <f>IFERROR(H2642/G2642,"")</f>
        <v>8</v>
      </c>
      <c r="L2642" s="14">
        <f>IFERROR(I2642/G2642,"")</f>
        <v>1.0666666666666667</v>
      </c>
      <c r="M2642" s="11" t="str">
        <f>IF(K2642&gt;=Paramètres!$F$6,"Très forte",IF(K2642&gt;=Paramètres!$F$5,"Forte",IF(K2642&gt;=Paramètres!$F$4,"Modérée","Faible")))</f>
        <v>Faible</v>
      </c>
    </row>
    <row r="2643" spans="1:13">
      <c r="A2643" t="s">
        <v>138</v>
      </c>
      <c r="B2643" s="11">
        <v>75</v>
      </c>
      <c r="C2643" t="s">
        <v>86</v>
      </c>
      <c r="D2643" t="s">
        <v>101</v>
      </c>
      <c r="E2643" t="s">
        <v>140</v>
      </c>
      <c r="F2643" t="s">
        <v>88</v>
      </c>
      <c r="G2643" s="12">
        <v>15</v>
      </c>
      <c r="H2643" s="12">
        <v>116</v>
      </c>
      <c r="I2643" s="12">
        <v>17</v>
      </c>
      <c r="J2643" t="str">
        <f>VLOOKUP(B2643,Paramètres!$A$4:$C$11,3,FALSE)</f>
        <v>Paris</v>
      </c>
      <c r="K2643" s="13">
        <f>IFERROR(H2643/G2643,"")</f>
        <v>7.7333333333333334</v>
      </c>
      <c r="L2643" s="14">
        <f>IFERROR(I2643/G2643,"")</f>
        <v>1.1333333333333333</v>
      </c>
      <c r="M2643" s="11" t="str">
        <f>IF(K2643&gt;=Paramètres!$F$6,"Très forte",IF(K2643&gt;=Paramètres!$F$5,"Forte",IF(K2643&gt;=Paramètres!$F$4,"Modérée","Faible")))</f>
        <v>Faible</v>
      </c>
    </row>
    <row r="2644" spans="1:13">
      <c r="A2644" t="s">
        <v>115</v>
      </c>
      <c r="B2644" s="11">
        <v>94</v>
      </c>
      <c r="C2644" t="s">
        <v>116</v>
      </c>
      <c r="D2644" t="s">
        <v>101</v>
      </c>
      <c r="E2644" t="s">
        <v>118</v>
      </c>
      <c r="F2644" t="s">
        <v>88</v>
      </c>
      <c r="G2644" s="12">
        <v>28</v>
      </c>
      <c r="H2644" s="12">
        <v>215</v>
      </c>
      <c r="I2644" s="12">
        <v>28</v>
      </c>
      <c r="J2644" t="str">
        <f>VLOOKUP(B2644,Paramètres!$A$4:$C$11,3,FALSE)</f>
        <v>Petite couronne</v>
      </c>
      <c r="K2644" s="13">
        <f>IFERROR(H2644/G2644,"")</f>
        <v>7.6785714285714288</v>
      </c>
      <c r="L2644" s="14">
        <f>IFERROR(I2644/G2644,"")</f>
        <v>1</v>
      </c>
      <c r="M2644" s="11" t="str">
        <f>IF(K2644&gt;=Paramètres!$F$6,"Très forte",IF(K2644&gt;=Paramètres!$F$5,"Forte",IF(K2644&gt;=Paramètres!$F$4,"Modérée","Faible")))</f>
        <v>Faible</v>
      </c>
    </row>
    <row r="2645" spans="1:13">
      <c r="A2645" t="s">
        <v>108</v>
      </c>
      <c r="B2645" s="11">
        <v>93</v>
      </c>
      <c r="C2645" t="s">
        <v>100</v>
      </c>
      <c r="D2645" t="s">
        <v>101</v>
      </c>
      <c r="E2645" t="s">
        <v>295</v>
      </c>
      <c r="F2645" t="s">
        <v>88</v>
      </c>
      <c r="G2645" s="12">
        <v>40</v>
      </c>
      <c r="H2645" s="12">
        <v>292</v>
      </c>
      <c r="I2645" s="12">
        <v>40</v>
      </c>
      <c r="J2645" t="str">
        <f>VLOOKUP(B2645,Paramètres!$A$4:$C$11,3,FALSE)</f>
        <v>Petite couronne</v>
      </c>
      <c r="K2645" s="13">
        <f>IFERROR(H2645/G2645,"")</f>
        <v>7.3</v>
      </c>
      <c r="L2645" s="14">
        <f>IFERROR(I2645/G2645,"")</f>
        <v>1</v>
      </c>
      <c r="M2645" s="11" t="str">
        <f>IF(K2645&gt;=Paramètres!$F$6,"Très forte",IF(K2645&gt;=Paramètres!$F$5,"Forte",IF(K2645&gt;=Paramètres!$F$4,"Modérée","Faible")))</f>
        <v>Faible</v>
      </c>
    </row>
    <row r="2646" spans="1:13">
      <c r="A2646" t="s">
        <v>138</v>
      </c>
      <c r="B2646" s="11">
        <v>75</v>
      </c>
      <c r="C2646" t="s">
        <v>86</v>
      </c>
      <c r="D2646" t="s">
        <v>101</v>
      </c>
      <c r="E2646" t="s">
        <v>386</v>
      </c>
      <c r="F2646" t="s">
        <v>88</v>
      </c>
      <c r="G2646" s="12">
        <v>15</v>
      </c>
      <c r="H2646" s="12">
        <v>105</v>
      </c>
      <c r="I2646" s="12">
        <v>16</v>
      </c>
      <c r="J2646" t="str">
        <f>VLOOKUP(B2646,Paramètres!$A$4:$C$11,3,FALSE)</f>
        <v>Paris</v>
      </c>
      <c r="K2646" s="13">
        <f>IFERROR(H2646/G2646,"")</f>
        <v>7</v>
      </c>
      <c r="L2646" s="14">
        <f>IFERROR(I2646/G2646,"")</f>
        <v>1.0666666666666667</v>
      </c>
      <c r="M2646" s="11" t="str">
        <f>IF(K2646&gt;=Paramètres!$F$6,"Très forte",IF(K2646&gt;=Paramètres!$F$5,"Forte",IF(K2646&gt;=Paramètres!$F$4,"Modérée","Faible")))</f>
        <v>Faible</v>
      </c>
    </row>
    <row r="2647" spans="1:13">
      <c r="A2647" t="s">
        <v>138</v>
      </c>
      <c r="B2647" s="11">
        <v>75</v>
      </c>
      <c r="C2647" t="s">
        <v>86</v>
      </c>
      <c r="D2647" t="s">
        <v>101</v>
      </c>
      <c r="E2647" t="s">
        <v>717</v>
      </c>
      <c r="F2647" t="s">
        <v>88</v>
      </c>
      <c r="G2647" s="12">
        <v>10</v>
      </c>
      <c r="H2647" s="12">
        <v>64</v>
      </c>
      <c r="I2647" s="12">
        <v>10</v>
      </c>
      <c r="J2647" t="str">
        <f>VLOOKUP(B2647,Paramètres!$A$4:$C$11,3,FALSE)</f>
        <v>Paris</v>
      </c>
      <c r="K2647" s="13">
        <f>IFERROR(H2647/G2647,"")</f>
        <v>6.4</v>
      </c>
      <c r="L2647" s="14">
        <f>IFERROR(I2647/G2647,"")</f>
        <v>1</v>
      </c>
      <c r="M2647" s="11" t="str">
        <f>IF(K2647&gt;=Paramètres!$F$6,"Très forte",IF(K2647&gt;=Paramètres!$F$5,"Forte",IF(K2647&gt;=Paramètres!$F$4,"Modérée","Faible")))</f>
        <v>Faible</v>
      </c>
    </row>
    <row r="2648" spans="1:13">
      <c r="A2648" t="s">
        <v>119</v>
      </c>
      <c r="B2648" s="11">
        <v>75</v>
      </c>
      <c r="C2648" t="s">
        <v>86</v>
      </c>
      <c r="D2648" t="s">
        <v>101</v>
      </c>
      <c r="E2648" t="s">
        <v>372</v>
      </c>
      <c r="F2648" t="s">
        <v>88</v>
      </c>
      <c r="G2648" s="12">
        <v>12</v>
      </c>
      <c r="H2648" s="12">
        <v>74</v>
      </c>
      <c r="I2648" s="12">
        <v>12</v>
      </c>
      <c r="J2648" t="str">
        <f>VLOOKUP(B2648,Paramètres!$A$4:$C$11,3,FALSE)</f>
        <v>Paris</v>
      </c>
      <c r="K2648" s="13">
        <f>IFERROR(H2648/G2648,"")</f>
        <v>6.166666666666667</v>
      </c>
      <c r="L2648" s="14">
        <f>IFERROR(I2648/G2648,"")</f>
        <v>1</v>
      </c>
      <c r="M2648" s="11" t="str">
        <f>IF(K2648&gt;=Paramètres!$F$6,"Très forte",IF(K2648&gt;=Paramètres!$F$5,"Forte",IF(K2648&gt;=Paramètres!$F$4,"Modérée","Faible")))</f>
        <v>Faible</v>
      </c>
    </row>
    <row r="2649" spans="1:13">
      <c r="A2649" t="s">
        <v>138</v>
      </c>
      <c r="B2649" s="11">
        <v>75</v>
      </c>
      <c r="C2649" t="s">
        <v>86</v>
      </c>
      <c r="D2649" t="s">
        <v>101</v>
      </c>
      <c r="E2649" t="s">
        <v>613</v>
      </c>
      <c r="F2649" t="s">
        <v>88</v>
      </c>
      <c r="G2649" s="12">
        <v>10</v>
      </c>
      <c r="H2649" s="12">
        <v>55</v>
      </c>
      <c r="I2649" s="12">
        <v>12</v>
      </c>
      <c r="J2649" t="str">
        <f>VLOOKUP(B2649,Paramètres!$A$4:$C$11,3,FALSE)</f>
        <v>Paris</v>
      </c>
      <c r="K2649" s="13">
        <f>IFERROR(H2649/G2649,"")</f>
        <v>5.5</v>
      </c>
      <c r="L2649" s="14">
        <f>IFERROR(I2649/G2649,"")</f>
        <v>1.2</v>
      </c>
      <c r="M2649" s="11" t="str">
        <f>IF(K2649&gt;=Paramètres!$F$6,"Très forte",IF(K2649&gt;=Paramètres!$F$5,"Forte",IF(K2649&gt;=Paramètres!$F$4,"Modérée","Faible")))</f>
        <v>Faible</v>
      </c>
    </row>
    <row r="2650" spans="1:13">
      <c r="A2650" t="s">
        <v>115</v>
      </c>
      <c r="B2650" s="11">
        <v>94</v>
      </c>
      <c r="C2650" t="s">
        <v>116</v>
      </c>
      <c r="D2650" t="s">
        <v>101</v>
      </c>
      <c r="E2650" t="s">
        <v>598</v>
      </c>
      <c r="F2650" t="s">
        <v>88</v>
      </c>
      <c r="G2650" s="12">
        <v>25</v>
      </c>
      <c r="H2650" s="12">
        <v>127</v>
      </c>
      <c r="I2650" s="12">
        <v>25</v>
      </c>
      <c r="J2650" t="str">
        <f>VLOOKUP(B2650,Paramètres!$A$4:$C$11,3,FALSE)</f>
        <v>Petite couronne</v>
      </c>
      <c r="K2650" s="13">
        <f>IFERROR(H2650/G2650,"")</f>
        <v>5.08</v>
      </c>
      <c r="L2650" s="14">
        <f>IFERROR(I2650/G2650,"")</f>
        <v>1</v>
      </c>
      <c r="M2650" s="11" t="str">
        <f>IF(K2650&gt;=Paramètres!$F$6,"Très forte",IF(K2650&gt;=Paramètres!$F$5,"Forte",IF(K2650&gt;=Paramètres!$F$4,"Modérée","Faible")))</f>
        <v>Faible</v>
      </c>
    </row>
    <row r="2651" spans="1:13">
      <c r="A2651" t="s">
        <v>138</v>
      </c>
      <c r="B2651" s="11">
        <v>75</v>
      </c>
      <c r="C2651" t="s">
        <v>86</v>
      </c>
      <c r="D2651" t="s">
        <v>101</v>
      </c>
      <c r="E2651" t="s">
        <v>622</v>
      </c>
      <c r="F2651" t="s">
        <v>88</v>
      </c>
      <c r="G2651" s="12">
        <v>10</v>
      </c>
      <c r="H2651" s="12">
        <v>47</v>
      </c>
      <c r="I2651" s="12">
        <v>10</v>
      </c>
      <c r="J2651" t="str">
        <f>VLOOKUP(B2651,Paramètres!$A$4:$C$11,3,FALSE)</f>
        <v>Paris</v>
      </c>
      <c r="K2651" s="13">
        <f>IFERROR(H2651/G2651,"")</f>
        <v>4.7</v>
      </c>
      <c r="L2651" s="14">
        <f>IFERROR(I2651/G2651,"")</f>
        <v>1</v>
      </c>
      <c r="M2651" s="11" t="str">
        <f>IF(K2651&gt;=Paramètres!$F$6,"Très forte",IF(K2651&gt;=Paramètres!$F$5,"Forte",IF(K2651&gt;=Paramètres!$F$4,"Modérée","Faible")))</f>
        <v>Faible</v>
      </c>
    </row>
    <row r="2652" spans="1:13">
      <c r="A2652" t="s">
        <v>138</v>
      </c>
      <c r="B2652" s="11">
        <v>75</v>
      </c>
      <c r="C2652" t="s">
        <v>86</v>
      </c>
      <c r="D2652" t="s">
        <v>101</v>
      </c>
      <c r="E2652" t="s">
        <v>141</v>
      </c>
      <c r="F2652" t="s">
        <v>88</v>
      </c>
      <c r="G2652" s="12">
        <v>10</v>
      </c>
      <c r="H2652" s="12">
        <v>43</v>
      </c>
      <c r="I2652" s="12">
        <v>11</v>
      </c>
      <c r="J2652" t="str">
        <f>VLOOKUP(B2652,Paramètres!$A$4:$C$11,3,FALSE)</f>
        <v>Paris</v>
      </c>
      <c r="K2652" s="13">
        <f>IFERROR(H2652/G2652,"")</f>
        <v>4.3</v>
      </c>
      <c r="L2652" s="14">
        <f>IFERROR(I2652/G2652,"")</f>
        <v>1.1000000000000001</v>
      </c>
      <c r="M2652" s="11" t="str">
        <f>IF(K2652&gt;=Paramètres!$F$6,"Très forte",IF(K2652&gt;=Paramètres!$F$5,"Forte",IF(K2652&gt;=Paramètres!$F$4,"Modérée","Faible")))</f>
        <v>Faible</v>
      </c>
    </row>
    <row r="2653" spans="1:13">
      <c r="A2653" t="s">
        <v>138</v>
      </c>
      <c r="B2653" s="11">
        <v>75</v>
      </c>
      <c r="C2653" t="s">
        <v>86</v>
      </c>
      <c r="D2653" t="s">
        <v>101</v>
      </c>
      <c r="E2653" t="s">
        <v>139</v>
      </c>
      <c r="F2653" t="s">
        <v>88</v>
      </c>
      <c r="G2653" s="12">
        <v>10</v>
      </c>
      <c r="H2653" s="12">
        <v>37</v>
      </c>
      <c r="I2653" s="12">
        <v>10</v>
      </c>
      <c r="J2653" t="str">
        <f>VLOOKUP(B2653,Paramètres!$A$4:$C$11,3,FALSE)</f>
        <v>Paris</v>
      </c>
      <c r="K2653" s="13">
        <f>IFERROR(H2653/G2653,"")</f>
        <v>3.7</v>
      </c>
      <c r="L2653" s="14">
        <f>IFERROR(I2653/G2653,"")</f>
        <v>1</v>
      </c>
      <c r="M2653" s="11" t="str">
        <f>IF(K2653&gt;=Paramètres!$F$6,"Très forte",IF(K2653&gt;=Paramètres!$F$5,"Forte",IF(K2653&gt;=Paramètres!$F$4,"Modérée","Faible")))</f>
        <v>Faible</v>
      </c>
    </row>
    <row r="2654" spans="1:13">
      <c r="A2654" t="s">
        <v>138</v>
      </c>
      <c r="B2654" s="11">
        <v>75</v>
      </c>
      <c r="C2654" t="s">
        <v>86</v>
      </c>
      <c r="D2654" t="s">
        <v>101</v>
      </c>
      <c r="E2654" t="s">
        <v>718</v>
      </c>
      <c r="F2654" t="s">
        <v>88</v>
      </c>
      <c r="G2654" s="12">
        <v>10</v>
      </c>
      <c r="H2654" s="12">
        <v>37</v>
      </c>
      <c r="I2654" s="12">
        <v>10</v>
      </c>
      <c r="J2654" t="str">
        <f>VLOOKUP(B2654,Paramètres!$A$4:$C$11,3,FALSE)</f>
        <v>Paris</v>
      </c>
      <c r="K2654" s="13">
        <f>IFERROR(H2654/G2654,"")</f>
        <v>3.7</v>
      </c>
      <c r="L2654" s="14">
        <f>IFERROR(I2654/G2654,"")</f>
        <v>1</v>
      </c>
      <c r="M2654" s="11" t="str">
        <f>IF(K2654&gt;=Paramètres!$F$6,"Très forte",IF(K2654&gt;=Paramètres!$F$5,"Forte",IF(K2654&gt;=Paramètres!$F$4,"Modérée","Faible")))</f>
        <v>Faible</v>
      </c>
    </row>
    <row r="2655" spans="1:13">
      <c r="A2655" t="s">
        <v>138</v>
      </c>
      <c r="B2655" s="11">
        <v>75</v>
      </c>
      <c r="C2655" t="s">
        <v>86</v>
      </c>
      <c r="D2655" t="s">
        <v>101</v>
      </c>
      <c r="E2655" t="s">
        <v>354</v>
      </c>
      <c r="F2655" t="s">
        <v>88</v>
      </c>
      <c r="G2655" s="12">
        <v>10</v>
      </c>
      <c r="H2655" s="12">
        <v>31</v>
      </c>
      <c r="I2655" s="12">
        <v>10</v>
      </c>
      <c r="J2655" t="str">
        <f>VLOOKUP(B2655,Paramètres!$A$4:$C$11,3,FALSE)</f>
        <v>Paris</v>
      </c>
      <c r="K2655" s="13">
        <f>IFERROR(H2655/G2655,"")</f>
        <v>3.1</v>
      </c>
      <c r="L2655" s="14">
        <f>IFERROR(I2655/G2655,"")</f>
        <v>1</v>
      </c>
      <c r="M2655" s="11" t="str">
        <f>IF(K2655&gt;=Paramètres!$F$6,"Très forte",IF(K2655&gt;=Paramètres!$F$5,"Forte",IF(K2655&gt;=Paramètres!$F$4,"Modérée","Faible")))</f>
        <v>Faible</v>
      </c>
    </row>
    <row r="2656" spans="1:13">
      <c r="A2656" t="s">
        <v>119</v>
      </c>
      <c r="B2656" s="11">
        <v>75</v>
      </c>
      <c r="C2656" t="s">
        <v>86</v>
      </c>
      <c r="D2656" t="s">
        <v>101</v>
      </c>
      <c r="E2656" t="s">
        <v>339</v>
      </c>
      <c r="F2656" t="s">
        <v>88</v>
      </c>
      <c r="G2656" s="12">
        <v>40</v>
      </c>
      <c r="H2656" s="12">
        <v>122</v>
      </c>
      <c r="I2656" s="12">
        <v>34</v>
      </c>
      <c r="J2656" t="str">
        <f>VLOOKUP(B2656,Paramètres!$A$4:$C$11,3,FALSE)</f>
        <v>Paris</v>
      </c>
      <c r="K2656" s="13">
        <f>IFERROR(H2656/G2656,"")</f>
        <v>3.05</v>
      </c>
      <c r="L2656" s="14">
        <f>IFERROR(I2656/G2656,"")</f>
        <v>0.85</v>
      </c>
      <c r="M2656" s="11" t="str">
        <f>IF(K2656&gt;=Paramètres!$F$6,"Très forte",IF(K2656&gt;=Paramètres!$F$5,"Forte",IF(K2656&gt;=Paramètres!$F$4,"Modérée","Faible")))</f>
        <v>Faible</v>
      </c>
    </row>
    <row r="2657" spans="1:13">
      <c r="A2657" t="s">
        <v>138</v>
      </c>
      <c r="B2657" s="11">
        <v>75</v>
      </c>
      <c r="C2657" t="s">
        <v>86</v>
      </c>
      <c r="D2657" t="s">
        <v>101</v>
      </c>
      <c r="E2657" t="s">
        <v>510</v>
      </c>
      <c r="F2657" t="s">
        <v>88</v>
      </c>
      <c r="G2657" s="12">
        <v>10</v>
      </c>
      <c r="H2657" s="12">
        <v>29</v>
      </c>
      <c r="I2657" s="12">
        <v>10</v>
      </c>
      <c r="J2657" t="str">
        <f>VLOOKUP(B2657,Paramètres!$A$4:$C$11,3,FALSE)</f>
        <v>Paris</v>
      </c>
      <c r="K2657" s="13">
        <f>IFERROR(H2657/G2657,"")</f>
        <v>2.9</v>
      </c>
      <c r="L2657" s="14">
        <f>IFERROR(I2657/G2657,"")</f>
        <v>1</v>
      </c>
      <c r="M2657" s="11" t="str">
        <f>IF(K2657&gt;=Paramètres!$F$6,"Très forte",IF(K2657&gt;=Paramètres!$F$5,"Forte",IF(K2657&gt;=Paramètres!$F$4,"Modérée","Faible")))</f>
        <v>Faible</v>
      </c>
    </row>
    <row r="2658" spans="1:13">
      <c r="A2658" t="s">
        <v>99</v>
      </c>
      <c r="B2658" s="11">
        <v>93</v>
      </c>
      <c r="C2658" t="s">
        <v>100</v>
      </c>
      <c r="D2658" t="s">
        <v>106</v>
      </c>
      <c r="E2658" t="s">
        <v>107</v>
      </c>
      <c r="F2658" t="s">
        <v>88</v>
      </c>
      <c r="G2658" s="12">
        <v>10</v>
      </c>
      <c r="H2658" s="12">
        <v>7679</v>
      </c>
      <c r="I2658" s="12">
        <v>10</v>
      </c>
      <c r="J2658" t="str">
        <f>VLOOKUP(B2658,Paramètres!$A$4:$C$11,3,FALSE)</f>
        <v>Petite couronne</v>
      </c>
      <c r="K2658" s="13">
        <f>IFERROR(H2658/G2658,"")</f>
        <v>767.9</v>
      </c>
      <c r="L2658" s="14">
        <f>IFERROR(I2658/G2658,"")</f>
        <v>1</v>
      </c>
      <c r="M2658" s="11" t="str">
        <f>IF(K2658&gt;=Paramètres!$F$6,"Très forte",IF(K2658&gt;=Paramètres!$F$5,"Forte",IF(K2658&gt;=Paramètres!$F$4,"Modérée","Faible")))</f>
        <v>Très forte</v>
      </c>
    </row>
    <row r="2659" spans="1:13">
      <c r="A2659" t="s">
        <v>99</v>
      </c>
      <c r="B2659" s="11">
        <v>93</v>
      </c>
      <c r="C2659" t="s">
        <v>100</v>
      </c>
      <c r="D2659" t="s">
        <v>106</v>
      </c>
      <c r="E2659" t="s">
        <v>107</v>
      </c>
      <c r="F2659" t="s">
        <v>88</v>
      </c>
      <c r="G2659" s="12">
        <v>15</v>
      </c>
      <c r="H2659" s="12">
        <v>10154</v>
      </c>
      <c r="I2659" s="12">
        <v>15</v>
      </c>
      <c r="J2659" t="str">
        <f>VLOOKUP(B2659,Paramètres!$A$4:$C$11,3,FALSE)</f>
        <v>Petite couronne</v>
      </c>
      <c r="K2659" s="13">
        <f>IFERROR(H2659/G2659,"")</f>
        <v>676.93333333333328</v>
      </c>
      <c r="L2659" s="14">
        <f>IFERROR(I2659/G2659,"")</f>
        <v>1</v>
      </c>
      <c r="M2659" s="11" t="str">
        <f>IF(K2659&gt;=Paramètres!$F$6,"Très forte",IF(K2659&gt;=Paramètres!$F$5,"Forte",IF(K2659&gt;=Paramètres!$F$4,"Modérée","Faible")))</f>
        <v>Très forte</v>
      </c>
    </row>
    <row r="2660" spans="1:13">
      <c r="A2660" t="s">
        <v>99</v>
      </c>
      <c r="B2660" s="11">
        <v>93</v>
      </c>
      <c r="C2660" t="s">
        <v>100</v>
      </c>
      <c r="D2660" t="s">
        <v>106</v>
      </c>
      <c r="E2660" t="s">
        <v>107</v>
      </c>
      <c r="F2660" t="s">
        <v>88</v>
      </c>
      <c r="G2660" s="12">
        <v>10</v>
      </c>
      <c r="H2660" s="12">
        <v>6460</v>
      </c>
      <c r="I2660" s="12">
        <v>10</v>
      </c>
      <c r="J2660" t="str">
        <f>VLOOKUP(B2660,Paramètres!$A$4:$C$11,3,FALSE)</f>
        <v>Petite couronne</v>
      </c>
      <c r="K2660" s="13">
        <f>IFERROR(H2660/G2660,"")</f>
        <v>646</v>
      </c>
      <c r="L2660" s="14">
        <f>IFERROR(I2660/G2660,"")</f>
        <v>1</v>
      </c>
      <c r="M2660" s="11" t="str">
        <f>IF(K2660&gt;=Paramètres!$F$6,"Très forte",IF(K2660&gt;=Paramètres!$F$5,"Forte",IF(K2660&gt;=Paramètres!$F$4,"Modérée","Faible")))</f>
        <v>Très forte</v>
      </c>
    </row>
    <row r="2661" spans="1:13">
      <c r="A2661" t="s">
        <v>99</v>
      </c>
      <c r="B2661" s="11">
        <v>93</v>
      </c>
      <c r="C2661" t="s">
        <v>100</v>
      </c>
      <c r="D2661" t="s">
        <v>106</v>
      </c>
      <c r="E2661" t="s">
        <v>107</v>
      </c>
      <c r="F2661" t="s">
        <v>88</v>
      </c>
      <c r="G2661" s="12">
        <v>20</v>
      </c>
      <c r="H2661" s="12">
        <v>7748</v>
      </c>
      <c r="I2661" s="12">
        <v>20</v>
      </c>
      <c r="J2661" t="str">
        <f>VLOOKUP(B2661,Paramètres!$A$4:$C$11,3,FALSE)</f>
        <v>Petite couronne</v>
      </c>
      <c r="K2661" s="13">
        <f>IFERROR(H2661/G2661,"")</f>
        <v>387.4</v>
      </c>
      <c r="L2661" s="14">
        <f>IFERROR(I2661/G2661,"")</f>
        <v>1</v>
      </c>
      <c r="M2661" s="11" t="str">
        <f>IF(K2661&gt;=Paramètres!$F$6,"Très forte",IF(K2661&gt;=Paramètres!$F$5,"Forte",IF(K2661&gt;=Paramètres!$F$4,"Modérée","Faible")))</f>
        <v>Très forte</v>
      </c>
    </row>
    <row r="2662" spans="1:13">
      <c r="A2662" t="s">
        <v>110</v>
      </c>
      <c r="B2662" s="11">
        <v>75</v>
      </c>
      <c r="C2662" t="s">
        <v>86</v>
      </c>
      <c r="D2662" t="s">
        <v>106</v>
      </c>
      <c r="E2662" t="s">
        <v>107</v>
      </c>
      <c r="F2662" t="s">
        <v>88</v>
      </c>
      <c r="G2662" s="12">
        <v>40</v>
      </c>
      <c r="H2662" s="12">
        <v>15474</v>
      </c>
      <c r="I2662" s="12">
        <v>40</v>
      </c>
      <c r="J2662" t="str">
        <f>VLOOKUP(B2662,Paramètres!$A$4:$C$11,3,FALSE)</f>
        <v>Paris</v>
      </c>
      <c r="K2662" s="13">
        <f>IFERROR(H2662/G2662,"")</f>
        <v>386.85</v>
      </c>
      <c r="L2662" s="14">
        <f>IFERROR(I2662/G2662,"")</f>
        <v>1</v>
      </c>
      <c r="M2662" s="11" t="str">
        <f>IF(K2662&gt;=Paramètres!$F$6,"Très forte",IF(K2662&gt;=Paramètres!$F$5,"Forte",IF(K2662&gt;=Paramètres!$F$4,"Modérée","Faible")))</f>
        <v>Très forte</v>
      </c>
    </row>
    <row r="2663" spans="1:13">
      <c r="A2663" t="s">
        <v>99</v>
      </c>
      <c r="B2663" s="11">
        <v>93</v>
      </c>
      <c r="C2663" t="s">
        <v>100</v>
      </c>
      <c r="D2663" t="s">
        <v>106</v>
      </c>
      <c r="E2663" t="s">
        <v>107</v>
      </c>
      <c r="F2663" t="s">
        <v>88</v>
      </c>
      <c r="G2663" s="12">
        <v>30</v>
      </c>
      <c r="H2663" s="12">
        <v>11523</v>
      </c>
      <c r="I2663" s="12">
        <v>30</v>
      </c>
      <c r="J2663" t="str">
        <f>VLOOKUP(B2663,Paramètres!$A$4:$C$11,3,FALSE)</f>
        <v>Petite couronne</v>
      </c>
      <c r="K2663" s="13">
        <f>IFERROR(H2663/G2663,"")</f>
        <v>384.1</v>
      </c>
      <c r="L2663" s="14">
        <f>IFERROR(I2663/G2663,"")</f>
        <v>1</v>
      </c>
      <c r="M2663" s="11" t="str">
        <f>IF(K2663&gt;=Paramètres!$F$6,"Très forte",IF(K2663&gt;=Paramètres!$F$5,"Forte",IF(K2663&gt;=Paramètres!$F$4,"Modérée","Faible")))</f>
        <v>Très forte</v>
      </c>
    </row>
    <row r="2664" spans="1:13">
      <c r="A2664" t="s">
        <v>104</v>
      </c>
      <c r="B2664" s="11">
        <v>91</v>
      </c>
      <c r="C2664" t="s">
        <v>105</v>
      </c>
      <c r="D2664" t="s">
        <v>106</v>
      </c>
      <c r="E2664" t="s">
        <v>107</v>
      </c>
      <c r="F2664" t="s">
        <v>88</v>
      </c>
      <c r="G2664" s="12">
        <v>35</v>
      </c>
      <c r="H2664" s="12">
        <v>11987</v>
      </c>
      <c r="I2664" s="12">
        <v>35</v>
      </c>
      <c r="J2664" t="str">
        <f>VLOOKUP(B2664,Paramètres!$A$4:$C$11,3,FALSE)</f>
        <v>Grande couronne</v>
      </c>
      <c r="K2664" s="13">
        <f>IFERROR(H2664/G2664,"")</f>
        <v>342.48571428571427</v>
      </c>
      <c r="L2664" s="14">
        <f>IFERROR(I2664/G2664,"")</f>
        <v>1</v>
      </c>
      <c r="M2664" s="11" t="str">
        <f>IF(K2664&gt;=Paramètres!$F$6,"Très forte",IF(K2664&gt;=Paramètres!$F$5,"Forte",IF(K2664&gt;=Paramètres!$F$4,"Modérée","Faible")))</f>
        <v>Très forte</v>
      </c>
    </row>
    <row r="2665" spans="1:13">
      <c r="A2665" t="s">
        <v>104</v>
      </c>
      <c r="B2665" s="11">
        <v>91</v>
      </c>
      <c r="C2665" t="s">
        <v>105</v>
      </c>
      <c r="D2665" t="s">
        <v>106</v>
      </c>
      <c r="E2665" t="s">
        <v>107</v>
      </c>
      <c r="F2665" t="s">
        <v>88</v>
      </c>
      <c r="G2665" s="12">
        <v>35</v>
      </c>
      <c r="H2665" s="12">
        <v>11950</v>
      </c>
      <c r="I2665" s="12">
        <v>35</v>
      </c>
      <c r="J2665" t="str">
        <f>VLOOKUP(B2665,Paramètres!$A$4:$C$11,3,FALSE)</f>
        <v>Grande couronne</v>
      </c>
      <c r="K2665" s="13">
        <f>IFERROR(H2665/G2665,"")</f>
        <v>341.42857142857144</v>
      </c>
      <c r="L2665" s="14">
        <f>IFERROR(I2665/G2665,"")</f>
        <v>1</v>
      </c>
      <c r="M2665" s="11" t="str">
        <f>IF(K2665&gt;=Paramètres!$F$6,"Très forte",IF(K2665&gt;=Paramètres!$F$5,"Forte",IF(K2665&gt;=Paramètres!$F$4,"Modérée","Faible")))</f>
        <v>Très forte</v>
      </c>
    </row>
    <row r="2666" spans="1:13">
      <c r="A2666" t="s">
        <v>110</v>
      </c>
      <c r="B2666" s="11">
        <v>75</v>
      </c>
      <c r="C2666" t="s">
        <v>86</v>
      </c>
      <c r="D2666" t="s">
        <v>106</v>
      </c>
      <c r="E2666" t="s">
        <v>107</v>
      </c>
      <c r="F2666" t="s">
        <v>88</v>
      </c>
      <c r="G2666" s="12">
        <v>40</v>
      </c>
      <c r="H2666" s="12">
        <v>12694</v>
      </c>
      <c r="I2666" s="12">
        <v>40</v>
      </c>
      <c r="J2666" t="str">
        <f>VLOOKUP(B2666,Paramètres!$A$4:$C$11,3,FALSE)</f>
        <v>Paris</v>
      </c>
      <c r="K2666" s="13">
        <f>IFERROR(H2666/G2666,"")</f>
        <v>317.35000000000002</v>
      </c>
      <c r="L2666" s="14">
        <f>IFERROR(I2666/G2666,"")</f>
        <v>1</v>
      </c>
      <c r="M2666" s="11" t="str">
        <f>IF(K2666&gt;=Paramètres!$F$6,"Très forte",IF(K2666&gt;=Paramètres!$F$5,"Forte",IF(K2666&gt;=Paramètres!$F$4,"Modérée","Faible")))</f>
        <v>Très forte</v>
      </c>
    </row>
    <row r="2667" spans="1:13">
      <c r="A2667" t="s">
        <v>99</v>
      </c>
      <c r="B2667" s="11">
        <v>93</v>
      </c>
      <c r="C2667" t="s">
        <v>100</v>
      </c>
      <c r="D2667" t="s">
        <v>106</v>
      </c>
      <c r="E2667" t="s">
        <v>107</v>
      </c>
      <c r="F2667" t="s">
        <v>88</v>
      </c>
      <c r="G2667" s="12">
        <v>30</v>
      </c>
      <c r="H2667" s="12">
        <v>8864</v>
      </c>
      <c r="I2667" s="12">
        <v>28</v>
      </c>
      <c r="J2667" t="str">
        <f>VLOOKUP(B2667,Paramètres!$A$4:$C$11,3,FALSE)</f>
        <v>Petite couronne</v>
      </c>
      <c r="K2667" s="13">
        <f>IFERROR(H2667/G2667,"")</f>
        <v>295.46666666666664</v>
      </c>
      <c r="L2667" s="14">
        <f>IFERROR(I2667/G2667,"")</f>
        <v>0.93333333333333335</v>
      </c>
      <c r="M2667" s="11" t="str">
        <f>IF(K2667&gt;=Paramètres!$F$6,"Très forte",IF(K2667&gt;=Paramètres!$F$5,"Forte",IF(K2667&gt;=Paramètres!$F$4,"Modérée","Faible")))</f>
        <v>Très forte</v>
      </c>
    </row>
    <row r="2668" spans="1:13">
      <c r="A2668" t="s">
        <v>110</v>
      </c>
      <c r="B2668" s="11">
        <v>75</v>
      </c>
      <c r="C2668" t="s">
        <v>86</v>
      </c>
      <c r="D2668" t="s">
        <v>106</v>
      </c>
      <c r="E2668" t="s">
        <v>107</v>
      </c>
      <c r="F2668" t="s">
        <v>88</v>
      </c>
      <c r="G2668" s="12">
        <v>50</v>
      </c>
      <c r="H2668" s="12">
        <v>14403</v>
      </c>
      <c r="I2668" s="12">
        <v>50</v>
      </c>
      <c r="J2668" t="str">
        <f>VLOOKUP(B2668,Paramètres!$A$4:$C$11,3,FALSE)</f>
        <v>Paris</v>
      </c>
      <c r="K2668" s="13">
        <f>IFERROR(H2668/G2668,"")</f>
        <v>288.06</v>
      </c>
      <c r="L2668" s="14">
        <f>IFERROR(I2668/G2668,"")</f>
        <v>1</v>
      </c>
      <c r="M2668" s="11" t="str">
        <f>IF(K2668&gt;=Paramètres!$F$6,"Très forte",IF(K2668&gt;=Paramètres!$F$5,"Forte",IF(K2668&gt;=Paramètres!$F$4,"Modérée","Faible")))</f>
        <v>Très forte</v>
      </c>
    </row>
    <row r="2669" spans="1:13">
      <c r="A2669" t="s">
        <v>99</v>
      </c>
      <c r="B2669" s="11">
        <v>93</v>
      </c>
      <c r="C2669" t="s">
        <v>100</v>
      </c>
      <c r="D2669" t="s">
        <v>106</v>
      </c>
      <c r="E2669" t="s">
        <v>107</v>
      </c>
      <c r="F2669" t="s">
        <v>88</v>
      </c>
      <c r="G2669" s="12">
        <v>30</v>
      </c>
      <c r="H2669" s="12">
        <v>8619</v>
      </c>
      <c r="I2669" s="12">
        <v>31</v>
      </c>
      <c r="J2669" t="str">
        <f>VLOOKUP(B2669,Paramètres!$A$4:$C$11,3,FALSE)</f>
        <v>Petite couronne</v>
      </c>
      <c r="K2669" s="13">
        <f>IFERROR(H2669/G2669,"")</f>
        <v>287.3</v>
      </c>
      <c r="L2669" s="14">
        <f>IFERROR(I2669/G2669,"")</f>
        <v>1.0333333333333334</v>
      </c>
      <c r="M2669" s="11" t="str">
        <f>IF(K2669&gt;=Paramètres!$F$6,"Très forte",IF(K2669&gt;=Paramètres!$F$5,"Forte",IF(K2669&gt;=Paramètres!$F$4,"Modérée","Faible")))</f>
        <v>Très forte</v>
      </c>
    </row>
    <row r="2670" spans="1:13">
      <c r="A2670" t="s">
        <v>134</v>
      </c>
      <c r="B2670" s="11">
        <v>78</v>
      </c>
      <c r="C2670" t="s">
        <v>135</v>
      </c>
      <c r="D2670" t="s">
        <v>106</v>
      </c>
      <c r="E2670" t="s">
        <v>107</v>
      </c>
      <c r="F2670" t="s">
        <v>88</v>
      </c>
      <c r="G2670" s="12">
        <v>40</v>
      </c>
      <c r="H2670" s="12">
        <v>10376</v>
      </c>
      <c r="I2670" s="12">
        <v>38</v>
      </c>
      <c r="J2670" t="str">
        <f>VLOOKUP(B2670,Paramètres!$A$4:$C$11,3,FALSE)</f>
        <v>Grande couronne</v>
      </c>
      <c r="K2670" s="13">
        <f>IFERROR(H2670/G2670,"")</f>
        <v>259.39999999999998</v>
      </c>
      <c r="L2670" s="14">
        <f>IFERROR(I2670/G2670,"")</f>
        <v>0.95</v>
      </c>
      <c r="M2670" s="11" t="str">
        <f>IF(K2670&gt;=Paramètres!$F$6,"Très forte",IF(K2670&gt;=Paramètres!$F$5,"Forte",IF(K2670&gt;=Paramètres!$F$4,"Modérée","Faible")))</f>
        <v>Très forte</v>
      </c>
    </row>
    <row r="2671" spans="1:13">
      <c r="A2671" t="s">
        <v>104</v>
      </c>
      <c r="B2671" s="11">
        <v>91</v>
      </c>
      <c r="C2671" t="s">
        <v>105</v>
      </c>
      <c r="D2671" t="s">
        <v>106</v>
      </c>
      <c r="E2671" t="s">
        <v>107</v>
      </c>
      <c r="F2671" t="s">
        <v>88</v>
      </c>
      <c r="G2671" s="12">
        <v>35</v>
      </c>
      <c r="H2671" s="12">
        <v>9000</v>
      </c>
      <c r="I2671" s="12">
        <v>35</v>
      </c>
      <c r="J2671" t="str">
        <f>VLOOKUP(B2671,Paramètres!$A$4:$C$11,3,FALSE)</f>
        <v>Grande couronne</v>
      </c>
      <c r="K2671" s="13">
        <f>IFERROR(H2671/G2671,"")</f>
        <v>257.14285714285717</v>
      </c>
      <c r="L2671" s="14">
        <f>IFERROR(I2671/G2671,"")</f>
        <v>1</v>
      </c>
      <c r="M2671" s="11" t="str">
        <f>IF(K2671&gt;=Paramètres!$F$6,"Très forte",IF(K2671&gt;=Paramètres!$F$5,"Forte",IF(K2671&gt;=Paramètres!$F$4,"Modérée","Faible")))</f>
        <v>Très forte</v>
      </c>
    </row>
    <row r="2672" spans="1:13">
      <c r="A2672" t="s">
        <v>99</v>
      </c>
      <c r="B2672" s="11">
        <v>93</v>
      </c>
      <c r="C2672" t="s">
        <v>100</v>
      </c>
      <c r="D2672" t="s">
        <v>106</v>
      </c>
      <c r="E2672" t="s">
        <v>107</v>
      </c>
      <c r="F2672" t="s">
        <v>88</v>
      </c>
      <c r="G2672" s="12">
        <v>30</v>
      </c>
      <c r="H2672" s="12">
        <v>7558</v>
      </c>
      <c r="I2672" s="12">
        <v>30</v>
      </c>
      <c r="J2672" t="str">
        <f>VLOOKUP(B2672,Paramètres!$A$4:$C$11,3,FALSE)</f>
        <v>Petite couronne</v>
      </c>
      <c r="K2672" s="13">
        <f>IFERROR(H2672/G2672,"")</f>
        <v>251.93333333333334</v>
      </c>
      <c r="L2672" s="14">
        <f>IFERROR(I2672/G2672,"")</f>
        <v>1</v>
      </c>
      <c r="M2672" s="11" t="str">
        <f>IF(K2672&gt;=Paramètres!$F$6,"Très forte",IF(K2672&gt;=Paramètres!$F$5,"Forte",IF(K2672&gt;=Paramètres!$F$4,"Modérée","Faible")))</f>
        <v>Très forte</v>
      </c>
    </row>
    <row r="2673" spans="1:13">
      <c r="A2673" t="s">
        <v>104</v>
      </c>
      <c r="B2673" s="11">
        <v>91</v>
      </c>
      <c r="C2673" t="s">
        <v>105</v>
      </c>
      <c r="D2673" t="s">
        <v>106</v>
      </c>
      <c r="E2673" t="s">
        <v>107</v>
      </c>
      <c r="F2673" t="s">
        <v>88</v>
      </c>
      <c r="G2673" s="12">
        <v>35</v>
      </c>
      <c r="H2673" s="12">
        <v>8178</v>
      </c>
      <c r="I2673" s="12">
        <v>34</v>
      </c>
      <c r="J2673" t="str">
        <f>VLOOKUP(B2673,Paramètres!$A$4:$C$11,3,FALSE)</f>
        <v>Grande couronne</v>
      </c>
      <c r="K2673" s="13">
        <f>IFERROR(H2673/G2673,"")</f>
        <v>233.65714285714284</v>
      </c>
      <c r="L2673" s="14">
        <f>IFERROR(I2673/G2673,"")</f>
        <v>0.97142857142857142</v>
      </c>
      <c r="M2673" s="11" t="str">
        <f>IF(K2673&gt;=Paramètres!$F$6,"Très forte",IF(K2673&gt;=Paramètres!$F$5,"Forte",IF(K2673&gt;=Paramètres!$F$4,"Modérée","Faible")))</f>
        <v>Très forte</v>
      </c>
    </row>
    <row r="2674" spans="1:13">
      <c r="A2674" t="s">
        <v>104</v>
      </c>
      <c r="B2674" s="11">
        <v>91</v>
      </c>
      <c r="C2674" t="s">
        <v>105</v>
      </c>
      <c r="D2674" t="s">
        <v>106</v>
      </c>
      <c r="E2674" t="s">
        <v>107</v>
      </c>
      <c r="F2674" t="s">
        <v>88</v>
      </c>
      <c r="G2674" s="12">
        <v>35</v>
      </c>
      <c r="H2674" s="12">
        <v>7749</v>
      </c>
      <c r="I2674" s="12">
        <v>33</v>
      </c>
      <c r="J2674" t="str">
        <f>VLOOKUP(B2674,Paramètres!$A$4:$C$11,3,FALSE)</f>
        <v>Grande couronne</v>
      </c>
      <c r="K2674" s="13">
        <f>IFERROR(H2674/G2674,"")</f>
        <v>221.4</v>
      </c>
      <c r="L2674" s="14">
        <f>IFERROR(I2674/G2674,"")</f>
        <v>0.94285714285714284</v>
      </c>
      <c r="M2674" s="11" t="str">
        <f>IF(K2674&gt;=Paramètres!$F$6,"Très forte",IF(K2674&gt;=Paramètres!$F$5,"Forte",IF(K2674&gt;=Paramètres!$F$4,"Modérée","Faible")))</f>
        <v>Très forte</v>
      </c>
    </row>
    <row r="2675" spans="1:13">
      <c r="A2675" t="s">
        <v>99</v>
      </c>
      <c r="B2675" s="11">
        <v>93</v>
      </c>
      <c r="C2675" t="s">
        <v>100</v>
      </c>
      <c r="D2675" t="s">
        <v>106</v>
      </c>
      <c r="E2675" t="s">
        <v>107</v>
      </c>
      <c r="F2675" t="s">
        <v>88</v>
      </c>
      <c r="G2675" s="12">
        <v>60</v>
      </c>
      <c r="H2675" s="12">
        <v>13125</v>
      </c>
      <c r="I2675" s="12">
        <v>60</v>
      </c>
      <c r="J2675" t="str">
        <f>VLOOKUP(B2675,Paramètres!$A$4:$C$11,3,FALSE)</f>
        <v>Petite couronne</v>
      </c>
      <c r="K2675" s="13">
        <f>IFERROR(H2675/G2675,"")</f>
        <v>218.75</v>
      </c>
      <c r="L2675" s="14">
        <f>IFERROR(I2675/G2675,"")</f>
        <v>1</v>
      </c>
      <c r="M2675" s="11" t="str">
        <f>IF(K2675&gt;=Paramètres!$F$6,"Très forte",IF(K2675&gt;=Paramètres!$F$5,"Forte",IF(K2675&gt;=Paramètres!$F$4,"Modérée","Faible")))</f>
        <v>Très forte</v>
      </c>
    </row>
    <row r="2676" spans="1:13">
      <c r="A2676" t="s">
        <v>99</v>
      </c>
      <c r="B2676" s="11">
        <v>93</v>
      </c>
      <c r="C2676" t="s">
        <v>100</v>
      </c>
      <c r="D2676" t="s">
        <v>106</v>
      </c>
      <c r="E2676" t="s">
        <v>107</v>
      </c>
      <c r="F2676" t="s">
        <v>88</v>
      </c>
      <c r="G2676" s="12">
        <v>60</v>
      </c>
      <c r="H2676" s="12">
        <v>10719</v>
      </c>
      <c r="I2676" s="12">
        <v>60</v>
      </c>
      <c r="J2676" t="str">
        <f>VLOOKUP(B2676,Paramètres!$A$4:$C$11,3,FALSE)</f>
        <v>Petite couronne</v>
      </c>
      <c r="K2676" s="13">
        <f>IFERROR(H2676/G2676,"")</f>
        <v>178.65</v>
      </c>
      <c r="L2676" s="14">
        <f>IFERROR(I2676/G2676,"")</f>
        <v>1</v>
      </c>
      <c r="M2676" s="11" t="str">
        <f>IF(K2676&gt;=Paramètres!$F$6,"Très forte",IF(K2676&gt;=Paramètres!$F$5,"Forte",IF(K2676&gt;=Paramètres!$F$4,"Modérée","Faible")))</f>
        <v>Très forte</v>
      </c>
    </row>
    <row r="2677" spans="1:13">
      <c r="A2677" t="s">
        <v>110</v>
      </c>
      <c r="B2677" s="11">
        <v>75</v>
      </c>
      <c r="C2677" t="s">
        <v>86</v>
      </c>
      <c r="D2677" t="s">
        <v>106</v>
      </c>
      <c r="E2677" t="s">
        <v>107</v>
      </c>
      <c r="F2677" t="s">
        <v>88</v>
      </c>
      <c r="G2677" s="12">
        <v>70</v>
      </c>
      <c r="H2677" s="12">
        <v>11592</v>
      </c>
      <c r="I2677" s="12">
        <v>70</v>
      </c>
      <c r="J2677" t="str">
        <f>VLOOKUP(B2677,Paramètres!$A$4:$C$11,3,FALSE)</f>
        <v>Paris</v>
      </c>
      <c r="K2677" s="13">
        <f>IFERROR(H2677/G2677,"")</f>
        <v>165.6</v>
      </c>
      <c r="L2677" s="14">
        <f>IFERROR(I2677/G2677,"")</f>
        <v>1</v>
      </c>
      <c r="M2677" s="11" t="str">
        <f>IF(K2677&gt;=Paramètres!$F$6,"Très forte",IF(K2677&gt;=Paramètres!$F$5,"Forte",IF(K2677&gt;=Paramètres!$F$4,"Modérée","Faible")))</f>
        <v>Très forte</v>
      </c>
    </row>
    <row r="2678" spans="1:13">
      <c r="A2678" t="s">
        <v>110</v>
      </c>
      <c r="B2678" s="11">
        <v>75</v>
      </c>
      <c r="C2678" t="s">
        <v>86</v>
      </c>
      <c r="D2678" t="s">
        <v>106</v>
      </c>
      <c r="E2678" t="s">
        <v>107</v>
      </c>
      <c r="F2678" t="s">
        <v>88</v>
      </c>
      <c r="G2678" s="12">
        <v>80</v>
      </c>
      <c r="H2678" s="12">
        <v>12145</v>
      </c>
      <c r="I2678" s="12">
        <v>79</v>
      </c>
      <c r="J2678" t="str">
        <f>VLOOKUP(B2678,Paramètres!$A$4:$C$11,3,FALSE)</f>
        <v>Paris</v>
      </c>
      <c r="K2678" s="13">
        <f>IFERROR(H2678/G2678,"")</f>
        <v>151.8125</v>
      </c>
      <c r="L2678" s="14">
        <f>IFERROR(I2678/G2678,"")</f>
        <v>0.98750000000000004</v>
      </c>
      <c r="M2678" s="11" t="str">
        <f>IF(K2678&gt;=Paramètres!$F$6,"Très forte",IF(K2678&gt;=Paramètres!$F$5,"Forte",IF(K2678&gt;=Paramètres!$F$4,"Modérée","Faible")))</f>
        <v>Très forte</v>
      </c>
    </row>
    <row r="2679" spans="1:13">
      <c r="A2679" t="s">
        <v>110</v>
      </c>
      <c r="B2679" s="11">
        <v>75</v>
      </c>
      <c r="C2679" t="s">
        <v>86</v>
      </c>
      <c r="D2679" t="s">
        <v>106</v>
      </c>
      <c r="E2679" t="s">
        <v>107</v>
      </c>
      <c r="F2679" t="s">
        <v>88</v>
      </c>
      <c r="G2679" s="12">
        <v>100</v>
      </c>
      <c r="H2679" s="12">
        <v>14148</v>
      </c>
      <c r="I2679" s="12">
        <v>100</v>
      </c>
      <c r="J2679" t="str">
        <f>VLOOKUP(B2679,Paramètres!$A$4:$C$11,3,FALSE)</f>
        <v>Paris</v>
      </c>
      <c r="K2679" s="13">
        <f>IFERROR(H2679/G2679,"")</f>
        <v>141.47999999999999</v>
      </c>
      <c r="L2679" s="14">
        <f>IFERROR(I2679/G2679,"")</f>
        <v>1</v>
      </c>
      <c r="M2679" s="11" t="str">
        <f>IF(K2679&gt;=Paramètres!$F$6,"Très forte",IF(K2679&gt;=Paramètres!$F$5,"Forte",IF(K2679&gt;=Paramètres!$F$4,"Modérée","Faible")))</f>
        <v>Très forte</v>
      </c>
    </row>
    <row r="2680" spans="1:13">
      <c r="A2680" t="s">
        <v>110</v>
      </c>
      <c r="B2680" s="11">
        <v>75</v>
      </c>
      <c r="C2680" t="s">
        <v>86</v>
      </c>
      <c r="D2680" t="s">
        <v>106</v>
      </c>
      <c r="E2680" t="s">
        <v>107</v>
      </c>
      <c r="F2680" t="s">
        <v>88</v>
      </c>
      <c r="G2680" s="12">
        <v>100</v>
      </c>
      <c r="H2680" s="12">
        <v>13976</v>
      </c>
      <c r="I2680" s="12">
        <v>100</v>
      </c>
      <c r="J2680" t="str">
        <f>VLOOKUP(B2680,Paramètres!$A$4:$C$11,3,FALSE)</f>
        <v>Paris</v>
      </c>
      <c r="K2680" s="13">
        <f>IFERROR(H2680/G2680,"")</f>
        <v>139.76</v>
      </c>
      <c r="L2680" s="14">
        <f>IFERROR(I2680/G2680,"")</f>
        <v>1</v>
      </c>
      <c r="M2680" s="11" t="str">
        <f>IF(K2680&gt;=Paramètres!$F$6,"Très forte",IF(K2680&gt;=Paramètres!$F$5,"Forte",IF(K2680&gt;=Paramètres!$F$4,"Modérée","Faible")))</f>
        <v>Très forte</v>
      </c>
    </row>
    <row r="2681" spans="1:13">
      <c r="A2681" t="s">
        <v>110</v>
      </c>
      <c r="B2681" s="11">
        <v>75</v>
      </c>
      <c r="C2681" t="s">
        <v>86</v>
      </c>
      <c r="D2681" t="s">
        <v>106</v>
      </c>
      <c r="E2681" t="s">
        <v>107</v>
      </c>
      <c r="F2681" t="s">
        <v>88</v>
      </c>
      <c r="G2681" s="12">
        <v>80</v>
      </c>
      <c r="H2681" s="12">
        <v>10402</v>
      </c>
      <c r="I2681" s="12">
        <v>80</v>
      </c>
      <c r="J2681" t="str">
        <f>VLOOKUP(B2681,Paramètres!$A$4:$C$11,3,FALSE)</f>
        <v>Paris</v>
      </c>
      <c r="K2681" s="13">
        <f>IFERROR(H2681/G2681,"")</f>
        <v>130.02500000000001</v>
      </c>
      <c r="L2681" s="14">
        <f>IFERROR(I2681/G2681,"")</f>
        <v>1</v>
      </c>
      <c r="M2681" s="11" t="str">
        <f>IF(K2681&gt;=Paramètres!$F$6,"Très forte",IF(K2681&gt;=Paramètres!$F$5,"Forte",IF(K2681&gt;=Paramètres!$F$4,"Modérée","Faible")))</f>
        <v>Très forte</v>
      </c>
    </row>
    <row r="2682" spans="1:13">
      <c r="A2682" t="s">
        <v>104</v>
      </c>
      <c r="B2682" s="11">
        <v>91</v>
      </c>
      <c r="C2682" t="s">
        <v>105</v>
      </c>
      <c r="D2682" t="s">
        <v>106</v>
      </c>
      <c r="E2682" t="s">
        <v>107</v>
      </c>
      <c r="F2682" t="s">
        <v>88</v>
      </c>
      <c r="G2682" s="12">
        <v>100</v>
      </c>
      <c r="H2682" s="12">
        <v>12298</v>
      </c>
      <c r="I2682" s="12">
        <v>97</v>
      </c>
      <c r="J2682" t="str">
        <f>VLOOKUP(B2682,Paramètres!$A$4:$C$11,3,FALSE)</f>
        <v>Grande couronne</v>
      </c>
      <c r="K2682" s="13">
        <f>IFERROR(H2682/G2682,"")</f>
        <v>122.98</v>
      </c>
      <c r="L2682" s="14">
        <f>IFERROR(I2682/G2682,"")</f>
        <v>0.97</v>
      </c>
      <c r="M2682" s="11" t="str">
        <f>IF(K2682&gt;=Paramètres!$F$6,"Très forte",IF(K2682&gt;=Paramètres!$F$5,"Forte",IF(K2682&gt;=Paramètres!$F$4,"Modérée","Faible")))</f>
        <v>Très forte</v>
      </c>
    </row>
    <row r="2683" spans="1:13">
      <c r="A2683" t="s">
        <v>99</v>
      </c>
      <c r="B2683" s="11">
        <v>93</v>
      </c>
      <c r="C2683" t="s">
        <v>100</v>
      </c>
      <c r="D2683" t="s">
        <v>106</v>
      </c>
      <c r="E2683" t="s">
        <v>107</v>
      </c>
      <c r="F2683" t="s">
        <v>88</v>
      </c>
      <c r="G2683" s="12">
        <v>60</v>
      </c>
      <c r="H2683" s="12">
        <v>7223</v>
      </c>
      <c r="I2683" s="12">
        <v>60</v>
      </c>
      <c r="J2683" t="str">
        <f>VLOOKUP(B2683,Paramètres!$A$4:$C$11,3,FALSE)</f>
        <v>Petite couronne</v>
      </c>
      <c r="K2683" s="13">
        <f>IFERROR(H2683/G2683,"")</f>
        <v>120.38333333333334</v>
      </c>
      <c r="L2683" s="14">
        <f>IFERROR(I2683/G2683,"")</f>
        <v>1</v>
      </c>
      <c r="M2683" s="11" t="str">
        <f>IF(K2683&gt;=Paramètres!$F$6,"Très forte",IF(K2683&gt;=Paramètres!$F$5,"Forte",IF(K2683&gt;=Paramètres!$F$4,"Modérée","Faible")))</f>
        <v>Très forte</v>
      </c>
    </row>
    <row r="2684" spans="1:13">
      <c r="A2684" t="s">
        <v>134</v>
      </c>
      <c r="B2684" s="11">
        <v>78</v>
      </c>
      <c r="C2684" t="s">
        <v>135</v>
      </c>
      <c r="D2684" t="s">
        <v>106</v>
      </c>
      <c r="E2684" t="s">
        <v>107</v>
      </c>
      <c r="F2684" t="s">
        <v>88</v>
      </c>
      <c r="G2684" s="12">
        <v>80</v>
      </c>
      <c r="H2684" s="12">
        <v>7768</v>
      </c>
      <c r="I2684" s="12">
        <v>79</v>
      </c>
      <c r="J2684" t="str">
        <f>VLOOKUP(B2684,Paramètres!$A$4:$C$11,3,FALSE)</f>
        <v>Grande couronne</v>
      </c>
      <c r="K2684" s="13">
        <f>IFERROR(H2684/G2684,"")</f>
        <v>97.1</v>
      </c>
      <c r="L2684" s="14">
        <f>IFERROR(I2684/G2684,"")</f>
        <v>0.98750000000000004</v>
      </c>
      <c r="M2684" s="11" t="str">
        <f>IF(K2684&gt;=Paramètres!$F$6,"Très forte",IF(K2684&gt;=Paramètres!$F$5,"Forte",IF(K2684&gt;=Paramètres!$F$4,"Modérée","Faible")))</f>
        <v>Très forte</v>
      </c>
    </row>
    <row r="2685" spans="1:13">
      <c r="A2685" t="s">
        <v>110</v>
      </c>
      <c r="B2685" s="11">
        <v>75</v>
      </c>
      <c r="C2685" t="s">
        <v>86</v>
      </c>
      <c r="D2685" t="s">
        <v>106</v>
      </c>
      <c r="E2685" t="s">
        <v>107</v>
      </c>
      <c r="F2685" t="s">
        <v>88</v>
      </c>
      <c r="G2685" s="12">
        <v>140</v>
      </c>
      <c r="H2685" s="12">
        <v>9893</v>
      </c>
      <c r="I2685" s="12">
        <v>137</v>
      </c>
      <c r="J2685" t="str">
        <f>VLOOKUP(B2685,Paramètres!$A$4:$C$11,3,FALSE)</f>
        <v>Paris</v>
      </c>
      <c r="K2685" s="13">
        <f>IFERROR(H2685/G2685,"")</f>
        <v>70.664285714285711</v>
      </c>
      <c r="L2685" s="14">
        <f>IFERROR(I2685/G2685,"")</f>
        <v>0.97857142857142854</v>
      </c>
      <c r="M2685" s="11" t="str">
        <f>IF(K2685&gt;=Paramètres!$F$6,"Très forte",IF(K2685&gt;=Paramètres!$F$5,"Forte",IF(K2685&gt;=Paramètres!$F$4,"Modérée","Faible")))</f>
        <v>Très forte</v>
      </c>
    </row>
    <row r="2686" spans="1:13">
      <c r="A2686" t="s">
        <v>104</v>
      </c>
      <c r="B2686" s="11">
        <v>91</v>
      </c>
      <c r="C2686" t="s">
        <v>105</v>
      </c>
      <c r="D2686" t="s">
        <v>106</v>
      </c>
      <c r="E2686" t="s">
        <v>107</v>
      </c>
      <c r="F2686" t="s">
        <v>88</v>
      </c>
      <c r="G2686" s="12">
        <v>215</v>
      </c>
      <c r="H2686" s="12">
        <v>10624</v>
      </c>
      <c r="I2686" s="12">
        <v>214</v>
      </c>
      <c r="J2686" t="str">
        <f>VLOOKUP(B2686,Paramètres!$A$4:$C$11,3,FALSE)</f>
        <v>Grande couronne</v>
      </c>
      <c r="K2686" s="13">
        <f>IFERROR(H2686/G2686,"")</f>
        <v>49.413953488372094</v>
      </c>
      <c r="L2686" s="14">
        <f>IFERROR(I2686/G2686,"")</f>
        <v>0.99534883720930234</v>
      </c>
      <c r="M2686" s="11" t="str">
        <f>IF(K2686&gt;=Paramètres!$F$6,"Très forte",IF(K2686&gt;=Paramètres!$F$5,"Forte",IF(K2686&gt;=Paramètres!$F$4,"Modérée","Faible")))</f>
        <v>Très forte</v>
      </c>
    </row>
    <row r="2687" spans="1:13">
      <c r="A2687" t="s">
        <v>119</v>
      </c>
      <c r="B2687" s="11">
        <v>75</v>
      </c>
      <c r="C2687" t="s">
        <v>86</v>
      </c>
      <c r="D2687" t="s">
        <v>106</v>
      </c>
      <c r="E2687" t="s">
        <v>107</v>
      </c>
      <c r="F2687" t="s">
        <v>88</v>
      </c>
      <c r="G2687" s="12">
        <v>200</v>
      </c>
      <c r="H2687" s="12">
        <v>9051</v>
      </c>
      <c r="I2687" s="12">
        <v>200</v>
      </c>
      <c r="J2687" t="str">
        <f>VLOOKUP(B2687,Paramètres!$A$4:$C$11,3,FALSE)</f>
        <v>Paris</v>
      </c>
      <c r="K2687" s="13">
        <f>IFERROR(H2687/G2687,"")</f>
        <v>45.255000000000003</v>
      </c>
      <c r="L2687" s="14">
        <f>IFERROR(I2687/G2687,"")</f>
        <v>1</v>
      </c>
      <c r="M2687" s="11" t="str">
        <f>IF(K2687&gt;=Paramètres!$F$6,"Très forte",IF(K2687&gt;=Paramètres!$F$5,"Forte",IF(K2687&gt;=Paramètres!$F$4,"Modérée","Faible")))</f>
        <v>Très forte</v>
      </c>
    </row>
    <row r="2688" spans="1:13">
      <c r="A2688" t="s">
        <v>134</v>
      </c>
      <c r="B2688" s="11">
        <v>78</v>
      </c>
      <c r="C2688" t="s">
        <v>135</v>
      </c>
      <c r="D2688" t="s">
        <v>106</v>
      </c>
      <c r="E2688" t="s">
        <v>107</v>
      </c>
      <c r="F2688" t="s">
        <v>88</v>
      </c>
      <c r="G2688" s="12">
        <v>151</v>
      </c>
      <c r="H2688" s="12">
        <v>6559</v>
      </c>
      <c r="I2688" s="12">
        <v>148</v>
      </c>
      <c r="J2688" t="str">
        <f>VLOOKUP(B2688,Paramètres!$A$4:$C$11,3,FALSE)</f>
        <v>Grande couronne</v>
      </c>
      <c r="K2688" s="13">
        <f>IFERROR(H2688/G2688,"")</f>
        <v>43.437086092715234</v>
      </c>
      <c r="L2688" s="14">
        <f>IFERROR(I2688/G2688,"")</f>
        <v>0.98013245033112584</v>
      </c>
      <c r="M2688" s="11" t="str">
        <f>IF(K2688&gt;=Paramètres!$F$6,"Très forte",IF(K2688&gt;=Paramètres!$F$5,"Forte",IF(K2688&gt;=Paramètres!$F$4,"Modérée","Faible")))</f>
        <v>Très forte</v>
      </c>
    </row>
    <row r="2689" spans="1:13">
      <c r="A2689" t="s">
        <v>134</v>
      </c>
      <c r="B2689" s="11">
        <v>78</v>
      </c>
      <c r="C2689" t="s">
        <v>135</v>
      </c>
      <c r="D2689" t="s">
        <v>106</v>
      </c>
      <c r="E2689" t="s">
        <v>107</v>
      </c>
      <c r="F2689" t="s">
        <v>88</v>
      </c>
      <c r="G2689" s="12">
        <v>285</v>
      </c>
      <c r="H2689" s="12">
        <v>9423</v>
      </c>
      <c r="I2689" s="12">
        <v>283</v>
      </c>
      <c r="J2689" t="str">
        <f>VLOOKUP(B2689,Paramètres!$A$4:$C$11,3,FALSE)</f>
        <v>Grande couronne</v>
      </c>
      <c r="K2689" s="13">
        <f>IFERROR(H2689/G2689,"")</f>
        <v>33.06315789473684</v>
      </c>
      <c r="L2689" s="14">
        <f>IFERROR(I2689/G2689,"")</f>
        <v>0.99298245614035086</v>
      </c>
      <c r="M2689" s="11" t="str">
        <f>IF(K2689&gt;=Paramètres!$F$6,"Très forte",IF(K2689&gt;=Paramètres!$F$5,"Forte",IF(K2689&gt;=Paramètres!$F$4,"Modérée","Faible")))</f>
        <v>Forte</v>
      </c>
    </row>
    <row r="2690" spans="1:13">
      <c r="A2690" t="s">
        <v>110</v>
      </c>
      <c r="B2690" s="11">
        <v>75</v>
      </c>
      <c r="C2690" t="s">
        <v>86</v>
      </c>
      <c r="D2690" t="s">
        <v>106</v>
      </c>
      <c r="E2690" t="s">
        <v>107</v>
      </c>
      <c r="F2690" t="s">
        <v>88</v>
      </c>
      <c r="G2690" s="12">
        <v>470</v>
      </c>
      <c r="H2690" s="12">
        <v>14440</v>
      </c>
      <c r="I2690" s="12">
        <v>466</v>
      </c>
      <c r="J2690" t="str">
        <f>VLOOKUP(B2690,Paramètres!$A$4:$C$11,3,FALSE)</f>
        <v>Paris</v>
      </c>
      <c r="K2690" s="13">
        <f>IFERROR(H2690/G2690,"")</f>
        <v>30.723404255319149</v>
      </c>
      <c r="L2690" s="14">
        <f>IFERROR(I2690/G2690,"")</f>
        <v>0.99148936170212765</v>
      </c>
      <c r="M2690" s="11" t="str">
        <f>IF(K2690&gt;=Paramètres!$F$6,"Très forte",IF(K2690&gt;=Paramètres!$F$5,"Forte",IF(K2690&gt;=Paramètres!$F$4,"Modérée","Faible")))</f>
        <v>Forte</v>
      </c>
    </row>
    <row r="2691" spans="1:13">
      <c r="A2691" t="s">
        <v>110</v>
      </c>
      <c r="B2691" s="11">
        <v>75</v>
      </c>
      <c r="C2691" t="s">
        <v>86</v>
      </c>
      <c r="D2691" t="s">
        <v>106</v>
      </c>
      <c r="E2691" t="s">
        <v>107</v>
      </c>
      <c r="F2691" t="s">
        <v>88</v>
      </c>
      <c r="G2691" s="12">
        <v>650</v>
      </c>
      <c r="H2691" s="12">
        <v>15880</v>
      </c>
      <c r="I2691" s="12">
        <v>637</v>
      </c>
      <c r="J2691" t="str">
        <f>VLOOKUP(B2691,Paramètres!$A$4:$C$11,3,FALSE)</f>
        <v>Paris</v>
      </c>
      <c r="K2691" s="13">
        <f>IFERROR(H2691/G2691,"")</f>
        <v>24.430769230769229</v>
      </c>
      <c r="L2691" s="14">
        <f>IFERROR(I2691/G2691,"")</f>
        <v>0.98</v>
      </c>
      <c r="M2691" s="11" t="str">
        <f>IF(K2691&gt;=Paramètres!$F$6,"Très forte",IF(K2691&gt;=Paramètres!$F$5,"Forte",IF(K2691&gt;=Paramètres!$F$4,"Modérée","Faible")))</f>
        <v>Forte</v>
      </c>
    </row>
    <row r="2692" spans="1:13">
      <c r="A2692" t="s">
        <v>119</v>
      </c>
      <c r="B2692" s="11">
        <v>75</v>
      </c>
      <c r="C2692" t="s">
        <v>86</v>
      </c>
      <c r="D2692" t="s">
        <v>106</v>
      </c>
      <c r="E2692" t="s">
        <v>107</v>
      </c>
      <c r="F2692" t="s">
        <v>88</v>
      </c>
      <c r="G2692" s="12">
        <v>1200</v>
      </c>
      <c r="H2692" s="12">
        <v>15253</v>
      </c>
      <c r="I2692" s="12">
        <v>1197</v>
      </c>
      <c r="J2692" t="str">
        <f>VLOOKUP(B2692,Paramètres!$A$4:$C$11,3,FALSE)</f>
        <v>Paris</v>
      </c>
      <c r="K2692" s="13">
        <f>IFERROR(H2692/G2692,"")</f>
        <v>12.710833333333333</v>
      </c>
      <c r="L2692" s="14">
        <f>IFERROR(I2692/G2692,"")</f>
        <v>0.99750000000000005</v>
      </c>
      <c r="M2692" s="11" t="str">
        <f>IF(K2692&gt;=Paramètres!$F$6,"Très forte",IF(K2692&gt;=Paramètres!$F$5,"Forte",IF(K2692&gt;=Paramètres!$F$4,"Modérée","Faible")))</f>
        <v>Modérée</v>
      </c>
    </row>
  </sheetData>
  <autoFilter ref="A1:M2692" xr:uid="{00000000-0001-0000-0100-000000000000}"/>
  <sortState xmlns:xlrd2="http://schemas.microsoft.com/office/spreadsheetml/2017/richdata2" ref="A2:M2692">
    <sortCondition ref="D1"/>
    <sortCondition descending="1" ref="K1"/>
  </sortState>
  <conditionalFormatting sqref="K2:K2692">
    <cfRule type="dataBar" priority="1">
      <dataBar>
        <cfvo type="min"/>
        <cfvo type="max"/>
        <color rgb="FF9EC5F4"/>
      </dataBar>
      <extLst>
        <ext xmlns:x14="http://schemas.microsoft.com/office/spreadsheetml/2009/9/main" uri="{B025F937-C7B1-47D3-B67F-A62EFF666E3E}">
          <x14:id>{8FD47F0A-C6D1-4EE0-A212-4E4C583EDF98}</x14:id>
        </ext>
      </extLst>
    </cfRule>
  </conditionalFormatting>
  <conditionalFormatting sqref="M2:M2692">
    <cfRule type="cellIs" dxfId="3" priority="2" stopIfTrue="1" operator="equal">
      <formula>"Faible"</formula>
    </cfRule>
    <cfRule type="cellIs" dxfId="2" priority="3" stopIfTrue="1" operator="equal">
      <formula>"Modérée"</formula>
    </cfRule>
    <cfRule type="cellIs" dxfId="1" priority="4" stopIfTrue="1" operator="equal">
      <formula>"Forte"</formula>
    </cfRule>
    <cfRule type="cellIs" dxfId="0" priority="5" stopIfTrue="1" operator="equal">
      <formula>"Très forte"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D47F0A-C6D1-4EE0-A212-4E4C583EDF98}">
            <x14:dataBar minLength="0" maxLength="100" gradient="0" negativeBarColorSameAsPositive="1" axisPosition="none">
              <x14:cfvo type="min"/>
              <x14:cfvo type="max"/>
            </x14:dataBar>
          </x14:cfRule>
          <xm:sqref>K2:K2692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9.140625" defaultRowHeight="15"/>
  <cols>
    <col min="1" max="1" width="11" customWidth="1"/>
    <col min="2" max="2" width="20" customWidth="1"/>
    <col min="3" max="3" width="18" customWidth="1"/>
    <col min="4" max="4" width="4" customWidth="1"/>
    <col min="5" max="5" width="20" customWidth="1"/>
    <col min="6" max="6" width="26" customWidth="1"/>
  </cols>
  <sheetData>
    <row r="1" spans="1:6" ht="17.25">
      <c r="A1" s="15" t="s">
        <v>1855</v>
      </c>
    </row>
    <row r="3" spans="1:6" ht="32.1" customHeight="1">
      <c r="A3" s="16" t="s">
        <v>83</v>
      </c>
      <c r="B3" s="16" t="s">
        <v>84</v>
      </c>
      <c r="C3" s="16" t="s">
        <v>69</v>
      </c>
      <c r="E3" s="16" t="s">
        <v>77</v>
      </c>
      <c r="F3" s="16" t="s">
        <v>1856</v>
      </c>
    </row>
    <row r="4" spans="1:6">
      <c r="A4" s="17">
        <v>75</v>
      </c>
      <c r="B4" s="18" t="s">
        <v>86</v>
      </c>
      <c r="C4" s="18" t="s">
        <v>86</v>
      </c>
      <c r="E4" s="18" t="s">
        <v>1857</v>
      </c>
      <c r="F4" s="17">
        <v>10</v>
      </c>
    </row>
    <row r="5" spans="1:6">
      <c r="A5" s="17">
        <v>77</v>
      </c>
      <c r="B5" s="18" t="s">
        <v>132</v>
      </c>
      <c r="C5" s="18" t="s">
        <v>1858</v>
      </c>
      <c r="E5" s="18" t="s">
        <v>1859</v>
      </c>
      <c r="F5" s="17">
        <v>20</v>
      </c>
    </row>
    <row r="6" spans="1:6">
      <c r="A6" s="17">
        <v>78</v>
      </c>
      <c r="B6" s="18" t="s">
        <v>135</v>
      </c>
      <c r="C6" s="18" t="s">
        <v>1858</v>
      </c>
      <c r="E6" s="18" t="s">
        <v>1860</v>
      </c>
      <c r="F6" s="17">
        <v>40</v>
      </c>
    </row>
    <row r="7" spans="1:6">
      <c r="A7" s="17">
        <v>91</v>
      </c>
      <c r="B7" s="18" t="s">
        <v>105</v>
      </c>
      <c r="C7" s="18" t="s">
        <v>1858</v>
      </c>
      <c r="E7" s="8" t="s">
        <v>1861</v>
      </c>
    </row>
    <row r="8" spans="1:6">
      <c r="A8" s="17">
        <v>92</v>
      </c>
      <c r="B8" s="18" t="s">
        <v>94</v>
      </c>
      <c r="C8" s="18" t="s">
        <v>1862</v>
      </c>
    </row>
    <row r="9" spans="1:6">
      <c r="A9" s="17">
        <v>93</v>
      </c>
      <c r="B9" s="18" t="s">
        <v>100</v>
      </c>
      <c r="C9" s="18" t="s">
        <v>1862</v>
      </c>
      <c r="E9" s="8" t="s">
        <v>1863</v>
      </c>
    </row>
    <row r="10" spans="1:6">
      <c r="A10" s="17">
        <v>94</v>
      </c>
      <c r="B10" s="18" t="s">
        <v>116</v>
      </c>
      <c r="C10" s="18" t="s">
        <v>1862</v>
      </c>
    </row>
    <row r="11" spans="1:6">
      <c r="A11" s="17">
        <v>95</v>
      </c>
      <c r="B11" s="18" t="s">
        <v>1864</v>
      </c>
      <c r="C11" s="18" t="s">
        <v>1858</v>
      </c>
    </row>
    <row r="13" spans="1:6">
      <c r="A13" s="8" t="s">
        <v>1865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/>
  </sheetViews>
  <sheetFormatPr baseColWidth="10" defaultColWidth="9.140625" defaultRowHeight="15"/>
  <cols>
    <col min="1" max="1" width="26" customWidth="1"/>
    <col min="2" max="2" width="12" customWidth="1"/>
    <col min="3" max="3" width="11" customWidth="1"/>
    <col min="4" max="4" width="14" customWidth="1"/>
    <col min="5" max="5" width="11" customWidth="1"/>
    <col min="6" max="6" width="15" customWidth="1"/>
    <col min="7" max="7" width="14" customWidth="1"/>
    <col min="8" max="8" width="11" customWidth="1"/>
  </cols>
  <sheetData>
    <row r="1" spans="1:8" ht="18.75">
      <c r="A1" s="19" t="s">
        <v>1866</v>
      </c>
    </row>
    <row r="2" spans="1:8">
      <c r="A2" s="8" t="s">
        <v>1867</v>
      </c>
    </row>
    <row r="4" spans="1:8" ht="32.1" customHeight="1">
      <c r="A4" s="16" t="s">
        <v>52</v>
      </c>
      <c r="B4" s="16" t="s">
        <v>1868</v>
      </c>
      <c r="C4" s="16" t="s">
        <v>60</v>
      </c>
      <c r="D4" s="16" t="s">
        <v>63</v>
      </c>
      <c r="E4" s="16" t="s">
        <v>66</v>
      </c>
      <c r="F4" s="16" t="s">
        <v>72</v>
      </c>
      <c r="G4" s="16" t="s">
        <v>75</v>
      </c>
      <c r="H4" s="16" t="s">
        <v>1869</v>
      </c>
    </row>
    <row r="5" spans="1:8">
      <c r="A5" s="18" t="s">
        <v>106</v>
      </c>
      <c r="B5" s="20">
        <f>COUNTIF(Données!$D$2:$D$2692,$A5)</f>
        <v>35</v>
      </c>
      <c r="C5" s="20">
        <f>SUMIF(Données!$D$2:$D$2692,$A5,Données!$G$2:$G$2692)</f>
        <v>4621</v>
      </c>
      <c r="D5" s="20">
        <f>SUMIF(Données!$D$2:$D$2692,$A5,Données!$H$2:$H$2692)</f>
        <v>374935</v>
      </c>
      <c r="E5" s="20">
        <f>SUMIF(Données!$D$2:$D$2692,$A5,Données!$I$2:$I$2692)</f>
        <v>4581</v>
      </c>
      <c r="F5" s="21">
        <f t="shared" ref="F5:F15" si="0">IFERROR(D5/C5,"")</f>
        <v>81.13719974031595</v>
      </c>
      <c r="G5" s="22">
        <f t="shared" ref="G5:G15" si="1">IFERROR(E5/C5,"")</f>
        <v>0.9913438649642935</v>
      </c>
      <c r="H5" s="23">
        <f t="shared" ref="H5:H15" si="2">C5/$C$16</f>
        <v>3.0157476717853671E-2</v>
      </c>
    </row>
    <row r="6" spans="1:8">
      <c r="A6" s="18" t="s">
        <v>1395</v>
      </c>
      <c r="B6" s="20">
        <f>COUNTIF(Données!$D$2:$D$2692,$A6)</f>
        <v>57</v>
      </c>
      <c r="C6" s="20">
        <f>SUMIF(Données!$D$2:$D$2692,$A6,Données!$G$2:$G$2692)</f>
        <v>6238</v>
      </c>
      <c r="D6" s="20">
        <f>SUMIF(Données!$D$2:$D$2692,$A6,Données!$H$2:$H$2692)</f>
        <v>364480</v>
      </c>
      <c r="E6" s="20">
        <f>SUMIF(Données!$D$2:$D$2692,$A6,Données!$I$2:$I$2692)</f>
        <v>6117</v>
      </c>
      <c r="F6" s="21">
        <f t="shared" si="0"/>
        <v>58.428983648605325</v>
      </c>
      <c r="G6" s="22">
        <f t="shared" si="1"/>
        <v>0.98060275729400448</v>
      </c>
      <c r="H6" s="23">
        <f t="shared" si="2"/>
        <v>4.07103094061829E-2</v>
      </c>
    </row>
    <row r="7" spans="1:8">
      <c r="A7" s="18" t="s">
        <v>95</v>
      </c>
      <c r="B7" s="20">
        <f>COUNTIF(Données!$D$2:$D$2692,$A7)</f>
        <v>113</v>
      </c>
      <c r="C7" s="20">
        <f>SUMIF(Données!$D$2:$D$2692,$A7,Données!$G$2:$G$2692)</f>
        <v>8802</v>
      </c>
      <c r="D7" s="20">
        <f>SUMIF(Données!$D$2:$D$2692,$A7,Données!$H$2:$H$2692)</f>
        <v>360253</v>
      </c>
      <c r="E7" s="20">
        <f>SUMIF(Données!$D$2:$D$2692,$A7,Données!$I$2:$I$2692)</f>
        <v>8780</v>
      </c>
      <c r="F7" s="21">
        <f t="shared" si="0"/>
        <v>40.928538968416269</v>
      </c>
      <c r="G7" s="22">
        <f t="shared" si="1"/>
        <v>0.99750056805271525</v>
      </c>
      <c r="H7" s="23">
        <f t="shared" si="2"/>
        <v>5.7443434336842243E-2</v>
      </c>
    </row>
    <row r="8" spans="1:8">
      <c r="A8" s="18" t="s">
        <v>101</v>
      </c>
      <c r="B8" s="20">
        <f>COUNTIF(Données!$D$2:$D$2692,$A8)</f>
        <v>106</v>
      </c>
      <c r="C8" s="20">
        <f>SUMIF(Données!$D$2:$D$2692,$A8,Données!$G$2:$G$2692)</f>
        <v>3628</v>
      </c>
      <c r="D8" s="20">
        <f>SUMIF(Données!$D$2:$D$2692,$A8,Données!$H$2:$H$2692)</f>
        <v>147850</v>
      </c>
      <c r="E8" s="20">
        <f>SUMIF(Données!$D$2:$D$2692,$A8,Données!$I$2:$I$2692)</f>
        <v>3601</v>
      </c>
      <c r="F8" s="21">
        <f t="shared" si="0"/>
        <v>40.752480705622929</v>
      </c>
      <c r="G8" s="22">
        <f t="shared" si="1"/>
        <v>0.99255788313120175</v>
      </c>
      <c r="H8" s="23">
        <f t="shared" si="2"/>
        <v>2.3676980206096758E-2</v>
      </c>
    </row>
    <row r="9" spans="1:8">
      <c r="A9" s="18" t="s">
        <v>801</v>
      </c>
      <c r="B9" s="20">
        <f>COUNTIF(Données!$D$2:$D$2692,$A9)</f>
        <v>271</v>
      </c>
      <c r="C9" s="20">
        <f>SUMIF(Données!$D$2:$D$2692,$A9,Données!$G$2:$G$2692)</f>
        <v>14049</v>
      </c>
      <c r="D9" s="20">
        <f>SUMIF(Données!$D$2:$D$2692,$A9,Données!$H$2:$H$2692)</f>
        <v>542035</v>
      </c>
      <c r="E9" s="20">
        <f>SUMIF(Données!$D$2:$D$2692,$A9,Données!$I$2:$I$2692)</f>
        <v>13274</v>
      </c>
      <c r="F9" s="21">
        <f t="shared" si="0"/>
        <v>38.581749590718204</v>
      </c>
      <c r="G9" s="22">
        <f t="shared" si="1"/>
        <v>0.94483593138301658</v>
      </c>
      <c r="H9" s="23">
        <f t="shared" si="2"/>
        <v>9.1686299590808526E-2</v>
      </c>
    </row>
    <row r="10" spans="1:8">
      <c r="A10" s="18" t="s">
        <v>797</v>
      </c>
      <c r="B10" s="20">
        <f>COUNTIF(Données!$D$2:$D$2692,$A10)</f>
        <v>727</v>
      </c>
      <c r="C10" s="20">
        <f>SUMIF(Données!$D$2:$D$2692,$A10,Données!$G$2:$G$2692)</f>
        <v>23445</v>
      </c>
      <c r="D10" s="20">
        <f>SUMIF(Données!$D$2:$D$2692,$A10,Données!$H$2:$H$2692)</f>
        <v>676730</v>
      </c>
      <c r="E10" s="20">
        <f>SUMIF(Données!$D$2:$D$2692,$A10,Données!$I$2:$I$2692)</f>
        <v>20665</v>
      </c>
      <c r="F10" s="21">
        <f t="shared" si="0"/>
        <v>28.864576668799316</v>
      </c>
      <c r="G10" s="22">
        <f t="shared" si="1"/>
        <v>0.88142461079121348</v>
      </c>
      <c r="H10" s="23">
        <f t="shared" si="2"/>
        <v>0.15300628471111866</v>
      </c>
    </row>
    <row r="11" spans="1:8">
      <c r="A11" s="18" t="s">
        <v>1263</v>
      </c>
      <c r="B11" s="20">
        <f>COUNTIF(Données!$D$2:$D$2692,$A11)</f>
        <v>126</v>
      </c>
      <c r="C11" s="20">
        <f>SUMIF(Données!$D$2:$D$2692,$A11,Données!$G$2:$G$2692)</f>
        <v>6601</v>
      </c>
      <c r="D11" s="20">
        <f>SUMIF(Données!$D$2:$D$2692,$A11,Données!$H$2:$H$2692)</f>
        <v>173957</v>
      </c>
      <c r="E11" s="20">
        <f>SUMIF(Données!$D$2:$D$2692,$A11,Données!$I$2:$I$2692)</f>
        <v>5785</v>
      </c>
      <c r="F11" s="21">
        <f t="shared" si="0"/>
        <v>26.353128313891833</v>
      </c>
      <c r="G11" s="22">
        <f t="shared" si="1"/>
        <v>0.87638236630813515</v>
      </c>
      <c r="H11" s="23">
        <f t="shared" si="2"/>
        <v>4.3079312662746609E-2</v>
      </c>
    </row>
    <row r="12" spans="1:8">
      <c r="A12" s="18" t="s">
        <v>1248</v>
      </c>
      <c r="B12" s="20">
        <f>COUNTIF(Données!$D$2:$D$2692,$A12)</f>
        <v>96</v>
      </c>
      <c r="C12" s="20">
        <f>SUMIF(Données!$D$2:$D$2692,$A12,Données!$G$2:$G$2692)</f>
        <v>8365</v>
      </c>
      <c r="D12" s="20">
        <f>SUMIF(Données!$D$2:$D$2692,$A12,Données!$H$2:$H$2692)</f>
        <v>174284</v>
      </c>
      <c r="E12" s="20">
        <f>SUMIF(Données!$D$2:$D$2692,$A12,Données!$I$2:$I$2692)</f>
        <v>5422</v>
      </c>
      <c r="F12" s="21">
        <f t="shared" si="0"/>
        <v>20.834907352062164</v>
      </c>
      <c r="G12" s="22">
        <f t="shared" si="1"/>
        <v>0.64817692767483559</v>
      </c>
      <c r="H12" s="23">
        <f t="shared" si="2"/>
        <v>5.4591493777287586E-2</v>
      </c>
    </row>
    <row r="13" spans="1:8">
      <c r="A13" s="18" t="s">
        <v>1238</v>
      </c>
      <c r="B13" s="20">
        <f>COUNTIF(Données!$D$2:$D$2692,$A13)</f>
        <v>402</v>
      </c>
      <c r="C13" s="20">
        <f>SUMIF(Données!$D$2:$D$2692,$A13,Données!$G$2:$G$2692)</f>
        <v>13567</v>
      </c>
      <c r="D13" s="20">
        <f>SUMIF(Données!$D$2:$D$2692,$A13,Données!$H$2:$H$2692)</f>
        <v>274478</v>
      </c>
      <c r="E13" s="20">
        <f>SUMIF(Données!$D$2:$D$2692,$A13,Données!$I$2:$I$2692)</f>
        <v>11748</v>
      </c>
      <c r="F13" s="21">
        <f t="shared" si="0"/>
        <v>20.231296528340827</v>
      </c>
      <c r="G13" s="22">
        <f t="shared" si="1"/>
        <v>0.86592467015552443</v>
      </c>
      <c r="H13" s="23">
        <f t="shared" si="2"/>
        <v>8.8540680941597213E-2</v>
      </c>
    </row>
    <row r="14" spans="1:8">
      <c r="A14" s="18" t="s">
        <v>22</v>
      </c>
      <c r="B14" s="20">
        <f>COUNTIF(Données!$D$2:$D$2692,$A14)</f>
        <v>721</v>
      </c>
      <c r="C14" s="20">
        <f>SUMIF(Données!$D$2:$D$2692,$A14,Données!$G$2:$G$2692)</f>
        <v>62105</v>
      </c>
      <c r="D14" s="20">
        <f>SUMIF(Données!$D$2:$D$2692,$A14,Données!$H$2:$H$2692)</f>
        <v>1089458</v>
      </c>
      <c r="E14" s="20">
        <f>SUMIF(Données!$D$2:$D$2692,$A14,Données!$I$2:$I$2692)</f>
        <v>61103</v>
      </c>
      <c r="F14" s="21">
        <f t="shared" si="0"/>
        <v>17.542194670316398</v>
      </c>
      <c r="G14" s="22">
        <f t="shared" si="1"/>
        <v>0.9838660333306497</v>
      </c>
      <c r="H14" s="23">
        <f t="shared" si="2"/>
        <v>0.40530839462503832</v>
      </c>
    </row>
    <row r="15" spans="1:8">
      <c r="A15" s="18" t="s">
        <v>1407</v>
      </c>
      <c r="B15" s="20">
        <f>COUNTIF(Données!$D$2:$D$2692,$A15)</f>
        <v>37</v>
      </c>
      <c r="C15" s="20">
        <f>SUMIF(Données!$D$2:$D$2692,$A15,Données!$G$2:$G$2692)</f>
        <v>1808</v>
      </c>
      <c r="D15" s="20">
        <f>SUMIF(Données!$D$2:$D$2692,$A15,Données!$H$2:$H$2692)</f>
        <v>18782</v>
      </c>
      <c r="E15" s="20">
        <f>SUMIF(Données!$D$2:$D$2692,$A15,Données!$I$2:$I$2692)</f>
        <v>1521</v>
      </c>
      <c r="F15" s="21">
        <f t="shared" si="0"/>
        <v>10.388274336283185</v>
      </c>
      <c r="G15" s="22">
        <f t="shared" si="1"/>
        <v>0.84126106194690264</v>
      </c>
      <c r="H15" s="23">
        <f t="shared" si="2"/>
        <v>1.1799333024427492E-2</v>
      </c>
    </row>
    <row r="16" spans="1:8">
      <c r="A16" s="24" t="s">
        <v>1870</v>
      </c>
      <c r="B16" s="25">
        <f>SUM(B5:B15)</f>
        <v>2691</v>
      </c>
      <c r="C16" s="25">
        <f>SUM(C5:C15)</f>
        <v>153229</v>
      </c>
      <c r="D16" s="25">
        <f>SUM(D5:D15)</f>
        <v>4197242</v>
      </c>
      <c r="E16" s="25">
        <f>SUM(E5:E15)</f>
        <v>142597</v>
      </c>
      <c r="F16" s="26">
        <f>D16/C16</f>
        <v>27.391955830815316</v>
      </c>
      <c r="G16" s="27">
        <f>E16/C16</f>
        <v>0.93061365668378704</v>
      </c>
      <c r="H16" s="28">
        <f>SUM(H5:H15)</f>
        <v>0.99999999999999989</v>
      </c>
    </row>
    <row r="18" spans="1:10" ht="15.75">
      <c r="A18" s="29" t="s">
        <v>1871</v>
      </c>
    </row>
    <row r="19" spans="1:10" ht="32.1" customHeight="1">
      <c r="A19" s="16" t="s">
        <v>69</v>
      </c>
      <c r="B19" s="16" t="s">
        <v>1868</v>
      </c>
      <c r="C19" s="16" t="s">
        <v>60</v>
      </c>
      <c r="D19" s="16" t="s">
        <v>63</v>
      </c>
      <c r="E19" s="16" t="s">
        <v>66</v>
      </c>
      <c r="F19" s="16" t="s">
        <v>72</v>
      </c>
    </row>
    <row r="20" spans="1:10">
      <c r="A20" s="18" t="s">
        <v>86</v>
      </c>
      <c r="B20" s="20">
        <f>COUNTIF(Données!$J$2:$J$2692,$A20)</f>
        <v>1034</v>
      </c>
      <c r="C20" s="20">
        <f>SUMIF(Données!$J$2:$J$2692,$A20,Données!$G$2:$G$2692)</f>
        <v>63771</v>
      </c>
      <c r="D20" s="20">
        <f>SUMIF(Données!$J$2:$J$2692,$A20,Données!$H$2:$H$2692)</f>
        <v>1869466</v>
      </c>
      <c r="E20" s="20">
        <f>SUMIF(Données!$J$2:$J$2692,$A20,Données!$I$2:$I$2692)</f>
        <v>60068</v>
      </c>
      <c r="F20" s="21">
        <f>IFERROR(D20/C20,"")</f>
        <v>29.315300058020103</v>
      </c>
    </row>
    <row r="21" spans="1:10">
      <c r="A21" s="18" t="s">
        <v>1862</v>
      </c>
      <c r="B21" s="20">
        <f>COUNTIF(Données!$J$2:$J$2692,$A21)</f>
        <v>870</v>
      </c>
      <c r="C21" s="20">
        <f>SUMIF(Données!$J$2:$J$2692,$A21,Données!$G$2:$G$2692)</f>
        <v>50723</v>
      </c>
      <c r="D21" s="20">
        <f>SUMIF(Données!$J$2:$J$2692,$A21,Données!$H$2:$H$2692)</f>
        <v>1416275</v>
      </c>
      <c r="E21" s="20">
        <f>SUMIF(Données!$J$2:$J$2692,$A21,Données!$I$2:$I$2692)</f>
        <v>46870</v>
      </c>
      <c r="F21" s="21">
        <f>IFERROR(D21/C21,"")</f>
        <v>27.921751473690435</v>
      </c>
    </row>
    <row r="22" spans="1:10">
      <c r="A22" s="18" t="s">
        <v>1858</v>
      </c>
      <c r="B22" s="20">
        <f>COUNTIF(Données!$J$2:$J$2692,$A22)</f>
        <v>787</v>
      </c>
      <c r="C22" s="20">
        <f>SUMIF(Données!$J$2:$J$2692,$A22,Données!$G$2:$G$2692)</f>
        <v>38735</v>
      </c>
      <c r="D22" s="20">
        <f>SUMIF(Données!$J$2:$J$2692,$A22,Données!$H$2:$H$2692)</f>
        <v>911501</v>
      </c>
      <c r="E22" s="20">
        <f>SUMIF(Données!$J$2:$J$2692,$A22,Données!$I$2:$I$2692)</f>
        <v>35659</v>
      </c>
      <c r="F22" s="21">
        <f>IFERROR(D22/C22,"")</f>
        <v>23.531715502775267</v>
      </c>
    </row>
    <row r="25" spans="1:10" ht="15.75">
      <c r="A25" s="29" t="s">
        <v>1872</v>
      </c>
    </row>
    <row r="26" spans="1:10" ht="32.1" customHeight="1">
      <c r="A26" s="16" t="s">
        <v>1873</v>
      </c>
      <c r="B26" s="16" t="s">
        <v>1868</v>
      </c>
      <c r="C26" s="16" t="s">
        <v>60</v>
      </c>
      <c r="D26" s="16" t="s">
        <v>63</v>
      </c>
      <c r="E26" s="16" t="s">
        <v>66</v>
      </c>
      <c r="F26" s="16" t="s">
        <v>72</v>
      </c>
      <c r="J26" s="41" t="s">
        <v>1905</v>
      </c>
    </row>
    <row r="27" spans="1:10">
      <c r="A27" s="18" t="s">
        <v>97</v>
      </c>
      <c r="B27" s="20">
        <f>COUNTIF(Données!$A$2:$A$2692,"*Paris Nanterre*")</f>
        <v>87</v>
      </c>
      <c r="C27" s="20">
        <f>SUMIF(Données!$A$2:$A$2692,"*Paris Nanterre*",Données!$G$2:$G$2692)</f>
        <v>7037</v>
      </c>
      <c r="D27" s="20">
        <f>SUMIF(Données!$A$2:$A$2692,"*Paris Nanterre*",Données!$H$2:$H$2692)</f>
        <v>139434</v>
      </c>
      <c r="E27" s="20">
        <f>SUMIF(Données!$A$2:$A$2692,"*Paris Nanterre*",Données!$I$2:$I$2692)</f>
        <v>6947</v>
      </c>
      <c r="F27" s="21">
        <f>IFERROR(D27/C27,"")</f>
        <v>19.814409549523944</v>
      </c>
    </row>
    <row r="28" spans="1:10">
      <c r="A28" s="18" t="s">
        <v>1874</v>
      </c>
      <c r="B28" s="20">
        <f>COUNTIFS(Données!$A$2:$A$2692,"Université Paris Nanterre",Données!$E$2:$E$2692,"Licence - Mathématiques et informatique appliquées aux sciences humaines et sociales")</f>
        <v>1</v>
      </c>
      <c r="C28" s="20">
        <f>SUMIFS(Données!$G$2:$G$2692,Données!$A$2:$A$2692,"Université Paris Nanterre",Données!$E$2:$E$2692,"Licence - Mathématiques et informatique appliquées aux sciences humaines et sociales")</f>
        <v>70</v>
      </c>
      <c r="D28" s="20">
        <f>SUMIFS(Données!$H$2:$H$2692,Données!$A$2:$A$2692,"Université Paris Nanterre",Données!$E$2:$E$2692,"Licence - Mathématiques et informatique appliquées aux sciences humaines et sociales")</f>
        <v>1342</v>
      </c>
      <c r="E28" s="20">
        <f>SUMIFS(Données!$I$2:$I$2692,Données!$A$2:$A$2692,"Université Paris Nanterre",Données!$E$2:$E$2692,"Licence - Mathématiques et informatique appliquées aux sciences humaines et sociales")</f>
        <v>69</v>
      </c>
      <c r="F28" s="21">
        <f>IFERROR(D28/C28,"")</f>
        <v>19.171428571428571</v>
      </c>
    </row>
    <row r="29" spans="1:10">
      <c r="A29" s="8" t="s">
        <v>1875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4C91-DF3D-4D61-A372-ED375F38A935}">
  <dimension ref="A1:L19"/>
  <sheetViews>
    <sheetView workbookViewId="0"/>
  </sheetViews>
  <sheetFormatPr baseColWidth="10" defaultRowHeight="15"/>
  <cols>
    <col min="1" max="1" width="22.7109375" customWidth="1"/>
    <col min="2" max="3" width="17.7109375" customWidth="1"/>
    <col min="4" max="4" width="23.7109375" customWidth="1"/>
    <col min="5" max="5" width="16.7109375" customWidth="1"/>
    <col min="6" max="7" width="3.7109375" customWidth="1"/>
    <col min="8" max="8" width="24.7109375" customWidth="1"/>
    <col min="9" max="9" width="12.7109375" customWidth="1"/>
    <col min="10" max="11" width="17.7109375" customWidth="1"/>
    <col min="12" max="12" width="14.7109375" customWidth="1"/>
  </cols>
  <sheetData>
    <row r="1" spans="1:12" ht="18.75">
      <c r="A1" s="40" t="s">
        <v>1901</v>
      </c>
    </row>
    <row r="2" spans="1:12">
      <c r="A2" s="41" t="s">
        <v>1902</v>
      </c>
    </row>
    <row r="3" spans="1:12">
      <c r="A3" s="34" t="s">
        <v>1903</v>
      </c>
      <c r="H3" s="34" t="s">
        <v>1904</v>
      </c>
    </row>
    <row r="4" spans="1:12">
      <c r="A4" s="54" t="s">
        <v>57</v>
      </c>
      <c r="B4" t="s">
        <v>1895</v>
      </c>
    </row>
    <row r="6" spans="1:12">
      <c r="A6" s="54" t="s">
        <v>52</v>
      </c>
      <c r="B6" t="s">
        <v>1896</v>
      </c>
      <c r="C6" t="s">
        <v>1897</v>
      </c>
      <c r="D6" t="s">
        <v>1898</v>
      </c>
      <c r="E6" t="s">
        <v>1899</v>
      </c>
      <c r="H6" s="54" t="s">
        <v>1900</v>
      </c>
      <c r="I6" s="54" t="s">
        <v>69</v>
      </c>
    </row>
    <row r="7" spans="1:12">
      <c r="A7" s="55" t="s">
        <v>106</v>
      </c>
      <c r="B7" s="12">
        <v>35</v>
      </c>
      <c r="C7" s="12">
        <v>4621</v>
      </c>
      <c r="D7" s="12">
        <v>374935</v>
      </c>
      <c r="E7" s="13">
        <v>81.13719974031595</v>
      </c>
      <c r="H7" s="54" t="s">
        <v>52</v>
      </c>
      <c r="I7" t="s">
        <v>86</v>
      </c>
      <c r="J7" t="s">
        <v>1862</v>
      </c>
      <c r="K7" t="s">
        <v>1858</v>
      </c>
      <c r="L7" t="s">
        <v>1887</v>
      </c>
    </row>
    <row r="8" spans="1:12">
      <c r="A8" s="55" t="s">
        <v>1395</v>
      </c>
      <c r="B8" s="12">
        <v>57</v>
      </c>
      <c r="C8" s="12">
        <v>6238</v>
      </c>
      <c r="D8" s="12">
        <v>364480</v>
      </c>
      <c r="E8" s="13">
        <v>58.428983648605325</v>
      </c>
      <c r="H8" s="55" t="s">
        <v>106</v>
      </c>
      <c r="I8" s="13">
        <v>52.593478260869567</v>
      </c>
      <c r="J8" s="13">
        <v>280.7661971830986</v>
      </c>
      <c r="K8" s="13">
        <v>101.25430210325048</v>
      </c>
      <c r="L8" s="13">
        <v>81.13719974031595</v>
      </c>
    </row>
    <row r="9" spans="1:12">
      <c r="A9" s="55" t="s">
        <v>95</v>
      </c>
      <c r="B9" s="12">
        <v>113</v>
      </c>
      <c r="C9" s="12">
        <v>8802</v>
      </c>
      <c r="D9" s="12">
        <v>360253</v>
      </c>
      <c r="E9" s="13">
        <v>40.928538968416269</v>
      </c>
      <c r="H9" s="55" t="s">
        <v>1395</v>
      </c>
      <c r="I9" s="13">
        <v>75.690355329949242</v>
      </c>
      <c r="J9" s="13">
        <v>56.485159399047269</v>
      </c>
      <c r="K9" s="13">
        <v>49.744131455399064</v>
      </c>
      <c r="L9" s="13">
        <v>58.428983648605325</v>
      </c>
    </row>
    <row r="10" spans="1:12">
      <c r="A10" s="55" t="s">
        <v>101</v>
      </c>
      <c r="B10" s="12">
        <v>106</v>
      </c>
      <c r="C10" s="12">
        <v>3628</v>
      </c>
      <c r="D10" s="12">
        <v>147850</v>
      </c>
      <c r="E10" s="13">
        <v>40.752480705622929</v>
      </c>
      <c r="H10" s="55" t="s">
        <v>95</v>
      </c>
      <c r="I10" s="13">
        <v>49.644420131291028</v>
      </c>
      <c r="J10" s="13">
        <v>50.675614651279481</v>
      </c>
      <c r="K10" s="13">
        <v>28.930035879036392</v>
      </c>
      <c r="L10" s="13">
        <v>40.928538968416269</v>
      </c>
    </row>
    <row r="11" spans="1:12">
      <c r="A11" s="55" t="s">
        <v>801</v>
      </c>
      <c r="B11" s="12">
        <v>271</v>
      </c>
      <c r="C11" s="12">
        <v>14049</v>
      </c>
      <c r="D11" s="12">
        <v>542035</v>
      </c>
      <c r="E11" s="13">
        <v>38.581749590718204</v>
      </c>
      <c r="H11" s="55" t="s">
        <v>101</v>
      </c>
      <c r="I11" s="13">
        <v>60.920593368237348</v>
      </c>
      <c r="J11" s="13">
        <v>28.229319371727748</v>
      </c>
      <c r="K11" s="13">
        <v>42.162587412587413</v>
      </c>
      <c r="L11" s="13">
        <v>40.752480705622929</v>
      </c>
    </row>
    <row r="12" spans="1:12">
      <c r="A12" s="55" t="s">
        <v>797</v>
      </c>
      <c r="B12" s="12">
        <v>727</v>
      </c>
      <c r="C12" s="12">
        <v>23445</v>
      </c>
      <c r="D12" s="12">
        <v>676730</v>
      </c>
      <c r="E12" s="13">
        <v>28.864576668799316</v>
      </c>
      <c r="H12" s="55" t="s">
        <v>801</v>
      </c>
      <c r="I12" s="13">
        <v>48.080778062947452</v>
      </c>
      <c r="J12" s="13">
        <v>29.81515429269783</v>
      </c>
      <c r="K12" s="13">
        <v>26.240142306552031</v>
      </c>
      <c r="L12" s="13">
        <v>38.581749590718204</v>
      </c>
    </row>
    <row r="13" spans="1:12">
      <c r="A13" s="55" t="s">
        <v>1263</v>
      </c>
      <c r="B13" s="12">
        <v>126</v>
      </c>
      <c r="C13" s="12">
        <v>6601</v>
      </c>
      <c r="D13" s="12">
        <v>173957</v>
      </c>
      <c r="E13" s="13">
        <v>26.353128313891833</v>
      </c>
      <c r="H13" s="55" t="s">
        <v>797</v>
      </c>
      <c r="I13" s="13">
        <v>40.392686313840457</v>
      </c>
      <c r="J13" s="13">
        <v>29.967854376452362</v>
      </c>
      <c r="K13" s="13">
        <v>19.832284660446952</v>
      </c>
      <c r="L13" s="13">
        <v>28.864576668799316</v>
      </c>
    </row>
    <row r="14" spans="1:12">
      <c r="A14" s="55" t="s">
        <v>1248</v>
      </c>
      <c r="B14" s="12">
        <v>96</v>
      </c>
      <c r="C14" s="12">
        <v>8365</v>
      </c>
      <c r="D14" s="12">
        <v>174284</v>
      </c>
      <c r="E14" s="13">
        <v>20.834907352062164</v>
      </c>
      <c r="H14" s="55" t="s">
        <v>1263</v>
      </c>
      <c r="I14" s="13">
        <v>32.481715893108301</v>
      </c>
      <c r="J14" s="13">
        <v>22.551282051282051</v>
      </c>
      <c r="K14" s="13">
        <v>29.805023132848646</v>
      </c>
      <c r="L14" s="13">
        <v>26.353128313891833</v>
      </c>
    </row>
    <row r="15" spans="1:12">
      <c r="A15" s="55" t="s">
        <v>1238</v>
      </c>
      <c r="B15" s="12">
        <v>402</v>
      </c>
      <c r="C15" s="12">
        <v>13567</v>
      </c>
      <c r="D15" s="12">
        <v>274478</v>
      </c>
      <c r="E15" s="13">
        <v>20.231296528340827</v>
      </c>
      <c r="H15" s="55" t="s">
        <v>1248</v>
      </c>
      <c r="I15" s="13">
        <v>18.820333041191937</v>
      </c>
      <c r="J15" s="13">
        <v>22.471839497220209</v>
      </c>
      <c r="K15" s="13">
        <v>20.988819875776397</v>
      </c>
      <c r="L15" s="13">
        <v>20.834907352062164</v>
      </c>
    </row>
    <row r="16" spans="1:12">
      <c r="A16" s="55" t="s">
        <v>22</v>
      </c>
      <c r="B16" s="12">
        <v>721</v>
      </c>
      <c r="C16" s="12">
        <v>62105</v>
      </c>
      <c r="D16" s="12">
        <v>1089458</v>
      </c>
      <c r="E16" s="13">
        <v>17.542194670316398</v>
      </c>
      <c r="H16" s="55" t="s">
        <v>1238</v>
      </c>
      <c r="I16" s="13">
        <v>22.871482412060303</v>
      </c>
      <c r="J16" s="13">
        <v>16.830991569650742</v>
      </c>
      <c r="K16" s="13">
        <v>16.205070603337614</v>
      </c>
      <c r="L16" s="13">
        <v>20.231296528340827</v>
      </c>
    </row>
    <row r="17" spans="1:12">
      <c r="A17" s="55" t="s">
        <v>1407</v>
      </c>
      <c r="B17" s="12">
        <v>37</v>
      </c>
      <c r="C17" s="12">
        <v>1808</v>
      </c>
      <c r="D17" s="12">
        <v>18782</v>
      </c>
      <c r="E17" s="13">
        <v>10.388274336283185</v>
      </c>
      <c r="H17" s="55" t="s">
        <v>22</v>
      </c>
      <c r="I17" s="13">
        <v>18.925259119666173</v>
      </c>
      <c r="J17" s="13">
        <v>17.681228395370972</v>
      </c>
      <c r="K17" s="13">
        <v>14.011908593498552</v>
      </c>
      <c r="L17" s="13">
        <v>17.542194670316398</v>
      </c>
    </row>
    <row r="18" spans="1:12">
      <c r="A18" s="55" t="s">
        <v>1887</v>
      </c>
      <c r="B18" s="12">
        <v>2691</v>
      </c>
      <c r="C18" s="12">
        <v>153229</v>
      </c>
      <c r="D18" s="12">
        <v>4197242</v>
      </c>
      <c r="E18" s="13">
        <v>27.391955830815316</v>
      </c>
      <c r="H18" s="55" t="s">
        <v>1407</v>
      </c>
      <c r="I18" s="13">
        <v>10.990099009900991</v>
      </c>
      <c r="J18" s="13">
        <v>13.492537313432836</v>
      </c>
      <c r="K18" s="13">
        <v>7.4113924050632916</v>
      </c>
      <c r="L18" s="13">
        <v>10.388274336283185</v>
      </c>
    </row>
    <row r="19" spans="1:12">
      <c r="H19" s="55" t="s">
        <v>1887</v>
      </c>
      <c r="I19" s="13">
        <v>29.315300058020103</v>
      </c>
      <c r="J19" s="13">
        <v>27.921751473690435</v>
      </c>
      <c r="K19" s="13">
        <v>23.531715502775267</v>
      </c>
      <c r="L19" s="13">
        <v>27.391955830815316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0217-B53B-4CC2-A9E4-5A709B741DCC}">
  <dimension ref="A1:H2704"/>
  <sheetViews>
    <sheetView workbookViewId="0">
      <pane ySplit="403" topLeftCell="A404" activePane="bottomLeft" state="frozenSplit"/>
      <selection pane="bottomLeft"/>
    </sheetView>
  </sheetViews>
  <sheetFormatPr baseColWidth="10" defaultRowHeight="15" outlineLevelRow="2"/>
  <cols>
    <col min="1" max="1" width="22.7109375" customWidth="1"/>
    <col min="2" max="2" width="16.7109375" customWidth="1"/>
    <col min="3" max="3" width="30.7109375" customWidth="1"/>
    <col min="4" max="4" width="44.7109375" customWidth="1"/>
    <col min="5" max="5" width="9.7109375" customWidth="1"/>
    <col min="6" max="6" width="13.7109375" customWidth="1"/>
    <col min="7" max="7" width="9.7109375" customWidth="1"/>
    <col min="8" max="8" width="14.7109375" customWidth="1"/>
  </cols>
  <sheetData>
    <row r="1" spans="1:8" ht="32.1" customHeight="1">
      <c r="A1" s="35" t="s">
        <v>52</v>
      </c>
      <c r="B1" s="35" t="s">
        <v>69</v>
      </c>
      <c r="C1" s="35" t="s">
        <v>46</v>
      </c>
      <c r="D1" s="35" t="s">
        <v>4</v>
      </c>
      <c r="E1" s="35" t="s">
        <v>60</v>
      </c>
      <c r="F1" s="35" t="s">
        <v>63</v>
      </c>
      <c r="G1" s="35" t="s">
        <v>66</v>
      </c>
      <c r="H1" s="36" t="s">
        <v>72</v>
      </c>
    </row>
    <row r="2" spans="1:8" hidden="1" outlineLevel="2">
      <c r="A2" s="32" t="s">
        <v>1238</v>
      </c>
      <c r="B2" s="32" t="s">
        <v>86</v>
      </c>
      <c r="C2" s="32" t="s">
        <v>1352</v>
      </c>
      <c r="D2" s="32" t="s">
        <v>1724</v>
      </c>
      <c r="E2" s="33">
        <v>15</v>
      </c>
      <c r="F2" s="33">
        <v>3723</v>
      </c>
      <c r="G2" s="33">
        <v>15</v>
      </c>
      <c r="H2" s="13">
        <f t="shared" ref="H2:H65" si="0">IFERROR(F2/E2,"")</f>
        <v>248.2</v>
      </c>
    </row>
    <row r="3" spans="1:8" hidden="1" outlineLevel="2">
      <c r="A3" s="32" t="s">
        <v>1238</v>
      </c>
      <c r="B3" s="32" t="s">
        <v>86</v>
      </c>
      <c r="C3" s="32" t="s">
        <v>1378</v>
      </c>
      <c r="D3" s="32" t="s">
        <v>1726</v>
      </c>
      <c r="E3" s="33">
        <v>15</v>
      </c>
      <c r="F3" s="33">
        <v>3201</v>
      </c>
      <c r="G3" s="33">
        <v>16</v>
      </c>
      <c r="H3" s="13">
        <f t="shared" si="0"/>
        <v>213.4</v>
      </c>
    </row>
    <row r="4" spans="1:8" hidden="1" outlineLevel="2">
      <c r="A4" s="32" t="s">
        <v>1238</v>
      </c>
      <c r="B4" s="32" t="s">
        <v>86</v>
      </c>
      <c r="C4" s="32" t="s">
        <v>847</v>
      </c>
      <c r="D4" s="32" t="s">
        <v>1647</v>
      </c>
      <c r="E4" s="33">
        <v>12</v>
      </c>
      <c r="F4" s="33">
        <v>2487</v>
      </c>
      <c r="G4" s="33">
        <v>12</v>
      </c>
      <c r="H4" s="13">
        <f t="shared" si="0"/>
        <v>207.25</v>
      </c>
    </row>
    <row r="5" spans="1:8" hidden="1" outlineLevel="2">
      <c r="A5" s="32" t="s">
        <v>1238</v>
      </c>
      <c r="B5" s="32" t="s">
        <v>86</v>
      </c>
      <c r="C5" s="32" t="s">
        <v>847</v>
      </c>
      <c r="D5" s="32" t="s">
        <v>1638</v>
      </c>
      <c r="E5" s="33">
        <v>15</v>
      </c>
      <c r="F5" s="33">
        <v>2696</v>
      </c>
      <c r="G5" s="33">
        <v>15</v>
      </c>
      <c r="H5" s="13">
        <f t="shared" si="0"/>
        <v>179.73333333333332</v>
      </c>
    </row>
    <row r="6" spans="1:8" hidden="1" outlineLevel="2">
      <c r="A6" s="32" t="s">
        <v>1238</v>
      </c>
      <c r="B6" s="32" t="s">
        <v>86</v>
      </c>
      <c r="C6" s="32" t="s">
        <v>1133</v>
      </c>
      <c r="D6" s="32" t="s">
        <v>1825</v>
      </c>
      <c r="E6" s="33">
        <v>12</v>
      </c>
      <c r="F6" s="33">
        <v>2134</v>
      </c>
      <c r="G6" s="33">
        <v>12</v>
      </c>
      <c r="H6" s="13">
        <f t="shared" si="0"/>
        <v>177.83333333333334</v>
      </c>
    </row>
    <row r="7" spans="1:8" hidden="1" outlineLevel="2">
      <c r="A7" s="32" t="s">
        <v>1238</v>
      </c>
      <c r="B7" s="32" t="s">
        <v>86</v>
      </c>
      <c r="C7" s="32" t="s">
        <v>1378</v>
      </c>
      <c r="D7" s="32" t="s">
        <v>1736</v>
      </c>
      <c r="E7" s="33">
        <v>15</v>
      </c>
      <c r="F7" s="33">
        <v>2277</v>
      </c>
      <c r="G7" s="33">
        <v>16</v>
      </c>
      <c r="H7" s="13">
        <f t="shared" si="0"/>
        <v>151.80000000000001</v>
      </c>
    </row>
    <row r="8" spans="1:8" hidden="1" outlineLevel="2">
      <c r="A8" s="32" t="s">
        <v>1238</v>
      </c>
      <c r="B8" s="32" t="s">
        <v>86</v>
      </c>
      <c r="C8" s="32" t="s">
        <v>1352</v>
      </c>
      <c r="D8" s="32" t="s">
        <v>1853</v>
      </c>
      <c r="E8" s="33">
        <v>5</v>
      </c>
      <c r="F8" s="33">
        <v>742</v>
      </c>
      <c r="G8" s="33">
        <v>5</v>
      </c>
      <c r="H8" s="13">
        <f t="shared" si="0"/>
        <v>148.4</v>
      </c>
    </row>
    <row r="9" spans="1:8" hidden="1" outlineLevel="2">
      <c r="A9" s="32" t="s">
        <v>1238</v>
      </c>
      <c r="B9" s="32" t="s">
        <v>86</v>
      </c>
      <c r="C9" s="32" t="s">
        <v>847</v>
      </c>
      <c r="D9" s="32" t="s">
        <v>1377</v>
      </c>
      <c r="E9" s="33">
        <v>12</v>
      </c>
      <c r="F9" s="33">
        <v>1731</v>
      </c>
      <c r="G9" s="33">
        <v>12</v>
      </c>
      <c r="H9" s="13">
        <f t="shared" si="0"/>
        <v>144.25</v>
      </c>
    </row>
    <row r="10" spans="1:8" hidden="1" outlineLevel="2">
      <c r="A10" s="32" t="s">
        <v>1238</v>
      </c>
      <c r="B10" s="32" t="s">
        <v>86</v>
      </c>
      <c r="C10" s="32" t="s">
        <v>1037</v>
      </c>
      <c r="D10" s="32" t="s">
        <v>1823</v>
      </c>
      <c r="E10" s="33">
        <v>12</v>
      </c>
      <c r="F10" s="33">
        <v>1729</v>
      </c>
      <c r="G10" s="33">
        <v>12</v>
      </c>
      <c r="H10" s="13">
        <f t="shared" si="0"/>
        <v>144.08333333333334</v>
      </c>
    </row>
    <row r="11" spans="1:8" hidden="1" outlineLevel="2">
      <c r="A11" s="32" t="s">
        <v>1238</v>
      </c>
      <c r="B11" s="32" t="s">
        <v>86</v>
      </c>
      <c r="C11" s="32" t="s">
        <v>148</v>
      </c>
      <c r="D11" s="32" t="s">
        <v>1503</v>
      </c>
      <c r="E11" s="33">
        <v>1</v>
      </c>
      <c r="F11" s="33">
        <v>143</v>
      </c>
      <c r="G11" s="33">
        <v>1</v>
      </c>
      <c r="H11" s="13">
        <f t="shared" si="0"/>
        <v>143</v>
      </c>
    </row>
    <row r="12" spans="1:8" hidden="1" outlineLevel="2">
      <c r="A12" s="32" t="s">
        <v>1238</v>
      </c>
      <c r="B12" s="32" t="s">
        <v>86</v>
      </c>
      <c r="C12" s="32" t="s">
        <v>1378</v>
      </c>
      <c r="D12" s="32" t="s">
        <v>1651</v>
      </c>
      <c r="E12" s="33">
        <v>15</v>
      </c>
      <c r="F12" s="33">
        <v>2098</v>
      </c>
      <c r="G12" s="33">
        <v>15</v>
      </c>
      <c r="H12" s="13">
        <f t="shared" si="0"/>
        <v>139.86666666666667</v>
      </c>
    </row>
    <row r="13" spans="1:8" hidden="1" outlineLevel="2">
      <c r="A13" s="32" t="s">
        <v>1238</v>
      </c>
      <c r="B13" s="32" t="s">
        <v>86</v>
      </c>
      <c r="C13" s="32" t="s">
        <v>1133</v>
      </c>
      <c r="D13" s="32" t="s">
        <v>1554</v>
      </c>
      <c r="E13" s="33">
        <v>12</v>
      </c>
      <c r="F13" s="33">
        <v>1609</v>
      </c>
      <c r="G13" s="33">
        <v>12</v>
      </c>
      <c r="H13" s="13">
        <f t="shared" si="0"/>
        <v>134.08333333333334</v>
      </c>
    </row>
    <row r="14" spans="1:8" hidden="1" outlineLevel="2">
      <c r="A14" s="32" t="s">
        <v>1238</v>
      </c>
      <c r="B14" s="32" t="s">
        <v>86</v>
      </c>
      <c r="C14" s="32" t="s">
        <v>847</v>
      </c>
      <c r="D14" s="32" t="s">
        <v>1532</v>
      </c>
      <c r="E14" s="33">
        <v>15</v>
      </c>
      <c r="F14" s="33">
        <v>1924</v>
      </c>
      <c r="G14" s="33">
        <v>15</v>
      </c>
      <c r="H14" s="13">
        <f t="shared" si="0"/>
        <v>128.26666666666668</v>
      </c>
    </row>
    <row r="15" spans="1:8" hidden="1" outlineLevel="2">
      <c r="A15" s="32" t="s">
        <v>1238</v>
      </c>
      <c r="B15" s="32" t="s">
        <v>86</v>
      </c>
      <c r="C15" s="32" t="s">
        <v>1133</v>
      </c>
      <c r="D15" s="32" t="s">
        <v>1689</v>
      </c>
      <c r="E15" s="33">
        <v>7</v>
      </c>
      <c r="F15" s="33">
        <v>868</v>
      </c>
      <c r="G15" s="33">
        <v>6</v>
      </c>
      <c r="H15" s="13">
        <f t="shared" si="0"/>
        <v>124</v>
      </c>
    </row>
    <row r="16" spans="1:8" hidden="1" outlineLevel="2">
      <c r="A16" s="32" t="s">
        <v>1238</v>
      </c>
      <c r="B16" s="32" t="s">
        <v>86</v>
      </c>
      <c r="C16" s="32" t="s">
        <v>1133</v>
      </c>
      <c r="D16" s="32" t="s">
        <v>1519</v>
      </c>
      <c r="E16" s="33">
        <v>9</v>
      </c>
      <c r="F16" s="33">
        <v>1087</v>
      </c>
      <c r="G16" s="33">
        <v>9</v>
      </c>
      <c r="H16" s="13">
        <f t="shared" si="0"/>
        <v>120.77777777777777</v>
      </c>
    </row>
    <row r="17" spans="1:8" hidden="1" outlineLevel="2">
      <c r="A17" s="32" t="s">
        <v>1238</v>
      </c>
      <c r="B17" s="32" t="s">
        <v>86</v>
      </c>
      <c r="C17" s="32" t="s">
        <v>110</v>
      </c>
      <c r="D17" s="32" t="s">
        <v>1496</v>
      </c>
      <c r="E17" s="33">
        <v>4</v>
      </c>
      <c r="F17" s="33">
        <v>470</v>
      </c>
      <c r="G17" s="33">
        <v>4</v>
      </c>
      <c r="H17" s="13">
        <f t="shared" si="0"/>
        <v>117.5</v>
      </c>
    </row>
    <row r="18" spans="1:8" hidden="1" outlineLevel="2">
      <c r="A18" s="32" t="s">
        <v>1238</v>
      </c>
      <c r="B18" s="32" t="s">
        <v>86</v>
      </c>
      <c r="C18" s="32" t="s">
        <v>1378</v>
      </c>
      <c r="D18" s="32" t="s">
        <v>1652</v>
      </c>
      <c r="E18" s="33">
        <v>15</v>
      </c>
      <c r="F18" s="33">
        <v>1678</v>
      </c>
      <c r="G18" s="33">
        <v>16</v>
      </c>
      <c r="H18" s="13">
        <f t="shared" si="0"/>
        <v>111.86666666666666</v>
      </c>
    </row>
    <row r="19" spans="1:8" hidden="1" outlineLevel="2">
      <c r="A19" s="32" t="s">
        <v>1238</v>
      </c>
      <c r="B19" s="32" t="s">
        <v>86</v>
      </c>
      <c r="C19" s="32" t="s">
        <v>1133</v>
      </c>
      <c r="D19" s="32" t="s">
        <v>1387</v>
      </c>
      <c r="E19" s="33">
        <v>24</v>
      </c>
      <c r="F19" s="33">
        <v>2651</v>
      </c>
      <c r="G19" s="33">
        <v>24</v>
      </c>
      <c r="H19" s="13">
        <f t="shared" si="0"/>
        <v>110.45833333333333</v>
      </c>
    </row>
    <row r="20" spans="1:8" hidden="1" outlineLevel="2">
      <c r="A20" s="32" t="s">
        <v>1238</v>
      </c>
      <c r="B20" s="32" t="s">
        <v>86</v>
      </c>
      <c r="C20" s="32" t="s">
        <v>1133</v>
      </c>
      <c r="D20" s="32" t="s">
        <v>1734</v>
      </c>
      <c r="E20" s="33">
        <v>24</v>
      </c>
      <c r="F20" s="33">
        <v>2651</v>
      </c>
      <c r="G20" s="33">
        <v>23</v>
      </c>
      <c r="H20" s="13">
        <f t="shared" si="0"/>
        <v>110.45833333333333</v>
      </c>
    </row>
    <row r="21" spans="1:8" hidden="1" outlineLevel="2">
      <c r="A21" s="32" t="s">
        <v>1238</v>
      </c>
      <c r="B21" s="32" t="s">
        <v>1858</v>
      </c>
      <c r="C21" s="32" t="s">
        <v>1422</v>
      </c>
      <c r="D21" s="32" t="s">
        <v>1423</v>
      </c>
      <c r="E21" s="33">
        <v>100</v>
      </c>
      <c r="F21" s="33">
        <v>10668</v>
      </c>
      <c r="G21" s="33">
        <v>100</v>
      </c>
      <c r="H21" s="13">
        <f t="shared" si="0"/>
        <v>106.68</v>
      </c>
    </row>
    <row r="22" spans="1:8" hidden="1" outlineLevel="2">
      <c r="A22" s="32" t="s">
        <v>1238</v>
      </c>
      <c r="B22" s="32" t="s">
        <v>86</v>
      </c>
      <c r="C22" s="32" t="s">
        <v>1352</v>
      </c>
      <c r="D22" s="32" t="s">
        <v>1353</v>
      </c>
      <c r="E22" s="33">
        <v>15</v>
      </c>
      <c r="F22" s="33">
        <v>1562</v>
      </c>
      <c r="G22" s="33">
        <v>15</v>
      </c>
      <c r="H22" s="13">
        <f t="shared" si="0"/>
        <v>104.13333333333334</v>
      </c>
    </row>
    <row r="23" spans="1:8" hidden="1" outlineLevel="2">
      <c r="A23" s="32" t="s">
        <v>1238</v>
      </c>
      <c r="B23" s="32" t="s">
        <v>86</v>
      </c>
      <c r="C23" s="32" t="s">
        <v>1352</v>
      </c>
      <c r="D23" s="32" t="s">
        <v>1817</v>
      </c>
      <c r="E23" s="33">
        <v>15</v>
      </c>
      <c r="F23" s="33">
        <v>1483</v>
      </c>
      <c r="G23" s="33">
        <v>15</v>
      </c>
      <c r="H23" s="13">
        <f t="shared" si="0"/>
        <v>98.86666666666666</v>
      </c>
    </row>
    <row r="24" spans="1:8" hidden="1" outlineLevel="2">
      <c r="A24" s="32" t="s">
        <v>1238</v>
      </c>
      <c r="B24" s="32" t="s">
        <v>1862</v>
      </c>
      <c r="C24" s="32" t="s">
        <v>1445</v>
      </c>
      <c r="D24" s="32" t="s">
        <v>1267</v>
      </c>
      <c r="E24" s="33">
        <v>4</v>
      </c>
      <c r="F24" s="33">
        <v>393</v>
      </c>
      <c r="G24" s="33">
        <v>4</v>
      </c>
      <c r="H24" s="13">
        <f t="shared" si="0"/>
        <v>98.25</v>
      </c>
    </row>
    <row r="25" spans="1:8" hidden="1" outlineLevel="2">
      <c r="A25" s="32" t="s">
        <v>1238</v>
      </c>
      <c r="B25" s="32" t="s">
        <v>86</v>
      </c>
      <c r="C25" s="32" t="s">
        <v>1634</v>
      </c>
      <c r="D25" s="32" t="s">
        <v>1635</v>
      </c>
      <c r="E25" s="33">
        <v>15</v>
      </c>
      <c r="F25" s="33">
        <v>1369</v>
      </c>
      <c r="G25" s="33">
        <v>16</v>
      </c>
      <c r="H25" s="13">
        <f t="shared" si="0"/>
        <v>91.266666666666666</v>
      </c>
    </row>
    <row r="26" spans="1:8" hidden="1" outlineLevel="2">
      <c r="A26" s="32" t="s">
        <v>1238</v>
      </c>
      <c r="B26" s="32" t="s">
        <v>86</v>
      </c>
      <c r="C26" s="32" t="s">
        <v>847</v>
      </c>
      <c r="D26" s="32" t="s">
        <v>1725</v>
      </c>
      <c r="E26" s="33">
        <v>12</v>
      </c>
      <c r="F26" s="33">
        <v>1073</v>
      </c>
      <c r="G26" s="33">
        <v>12</v>
      </c>
      <c r="H26" s="13">
        <f t="shared" si="0"/>
        <v>89.416666666666671</v>
      </c>
    </row>
    <row r="27" spans="1:8" hidden="1" outlineLevel="2">
      <c r="A27" s="32" t="s">
        <v>1238</v>
      </c>
      <c r="B27" s="32" t="s">
        <v>86</v>
      </c>
      <c r="C27" s="32" t="s">
        <v>1352</v>
      </c>
      <c r="D27" s="32" t="s">
        <v>1756</v>
      </c>
      <c r="E27" s="33">
        <v>15</v>
      </c>
      <c r="F27" s="33">
        <v>1314</v>
      </c>
      <c r="G27" s="33">
        <v>15</v>
      </c>
      <c r="H27" s="13">
        <f t="shared" si="0"/>
        <v>87.6</v>
      </c>
    </row>
    <row r="28" spans="1:8" hidden="1" outlineLevel="2">
      <c r="A28" s="32" t="s">
        <v>1238</v>
      </c>
      <c r="B28" s="32" t="s">
        <v>86</v>
      </c>
      <c r="C28" s="32" t="s">
        <v>847</v>
      </c>
      <c r="D28" s="32" t="s">
        <v>1534</v>
      </c>
      <c r="E28" s="33">
        <v>9</v>
      </c>
      <c r="F28" s="33">
        <v>749</v>
      </c>
      <c r="G28" s="33">
        <v>9</v>
      </c>
      <c r="H28" s="13">
        <f t="shared" si="0"/>
        <v>83.222222222222229</v>
      </c>
    </row>
    <row r="29" spans="1:8" hidden="1" outlineLevel="2">
      <c r="A29" s="32" t="s">
        <v>1238</v>
      </c>
      <c r="B29" s="32" t="s">
        <v>86</v>
      </c>
      <c r="C29" s="32" t="s">
        <v>1133</v>
      </c>
      <c r="D29" s="32" t="s">
        <v>1649</v>
      </c>
      <c r="E29" s="33">
        <v>12</v>
      </c>
      <c r="F29" s="33">
        <v>979</v>
      </c>
      <c r="G29" s="33">
        <v>12</v>
      </c>
      <c r="H29" s="13">
        <f t="shared" si="0"/>
        <v>81.583333333333329</v>
      </c>
    </row>
    <row r="30" spans="1:8" hidden="1" outlineLevel="2">
      <c r="A30" s="32" t="s">
        <v>1238</v>
      </c>
      <c r="B30" s="32" t="s">
        <v>1858</v>
      </c>
      <c r="C30" s="32" t="s">
        <v>882</v>
      </c>
      <c r="D30" s="32" t="s">
        <v>1666</v>
      </c>
      <c r="E30" s="33">
        <v>10</v>
      </c>
      <c r="F30" s="33">
        <v>808</v>
      </c>
      <c r="G30" s="33">
        <v>9</v>
      </c>
      <c r="H30" s="13">
        <f t="shared" si="0"/>
        <v>80.8</v>
      </c>
    </row>
    <row r="31" spans="1:8" hidden="1" outlineLevel="2">
      <c r="A31" s="32" t="s">
        <v>1238</v>
      </c>
      <c r="B31" s="32" t="s">
        <v>86</v>
      </c>
      <c r="C31" s="32" t="s">
        <v>847</v>
      </c>
      <c r="D31" s="32" t="s">
        <v>1526</v>
      </c>
      <c r="E31" s="33">
        <v>9</v>
      </c>
      <c r="F31" s="33">
        <v>713</v>
      </c>
      <c r="G31" s="33">
        <v>9</v>
      </c>
      <c r="H31" s="13">
        <f t="shared" si="0"/>
        <v>79.222222222222229</v>
      </c>
    </row>
    <row r="32" spans="1:8" hidden="1" outlineLevel="2">
      <c r="A32" s="32" t="s">
        <v>1238</v>
      </c>
      <c r="B32" s="32" t="s">
        <v>86</v>
      </c>
      <c r="C32" s="32" t="s">
        <v>1378</v>
      </c>
      <c r="D32" s="32" t="s">
        <v>1380</v>
      </c>
      <c r="E32" s="33">
        <v>15</v>
      </c>
      <c r="F32" s="33">
        <v>1154</v>
      </c>
      <c r="G32" s="33">
        <v>16</v>
      </c>
      <c r="H32" s="13">
        <f t="shared" si="0"/>
        <v>76.933333333333337</v>
      </c>
    </row>
    <row r="33" spans="1:8" hidden="1" outlineLevel="2">
      <c r="A33" s="32" t="s">
        <v>1238</v>
      </c>
      <c r="B33" s="32" t="s">
        <v>86</v>
      </c>
      <c r="C33" s="32" t="s">
        <v>1242</v>
      </c>
      <c r="D33" s="32" t="s">
        <v>1472</v>
      </c>
      <c r="E33" s="33">
        <v>45</v>
      </c>
      <c r="F33" s="33">
        <v>3380</v>
      </c>
      <c r="G33" s="33">
        <v>45</v>
      </c>
      <c r="H33" s="13">
        <f t="shared" si="0"/>
        <v>75.111111111111114</v>
      </c>
    </row>
    <row r="34" spans="1:8" hidden="1" outlineLevel="2">
      <c r="A34" s="32" t="s">
        <v>1238</v>
      </c>
      <c r="B34" s="32" t="s">
        <v>86</v>
      </c>
      <c r="C34" s="32" t="s">
        <v>1133</v>
      </c>
      <c r="D34" s="32" t="s">
        <v>1518</v>
      </c>
      <c r="E34" s="33">
        <v>12</v>
      </c>
      <c r="F34" s="33">
        <v>883</v>
      </c>
      <c r="G34" s="33">
        <v>11</v>
      </c>
      <c r="H34" s="13">
        <f t="shared" si="0"/>
        <v>73.583333333333329</v>
      </c>
    </row>
    <row r="35" spans="1:8" hidden="1" outlineLevel="2">
      <c r="A35" s="32" t="s">
        <v>1238</v>
      </c>
      <c r="B35" s="32" t="s">
        <v>86</v>
      </c>
      <c r="C35" s="32" t="s">
        <v>820</v>
      </c>
      <c r="D35" s="32" t="s">
        <v>1301</v>
      </c>
      <c r="E35" s="33">
        <v>48</v>
      </c>
      <c r="F35" s="33">
        <v>3474</v>
      </c>
      <c r="G35" s="33">
        <v>47</v>
      </c>
      <c r="H35" s="13">
        <f t="shared" si="0"/>
        <v>72.375</v>
      </c>
    </row>
    <row r="36" spans="1:8" hidden="1" outlineLevel="2">
      <c r="A36" s="32" t="s">
        <v>1238</v>
      </c>
      <c r="B36" s="32" t="s">
        <v>1858</v>
      </c>
      <c r="C36" s="32" t="s">
        <v>1266</v>
      </c>
      <c r="D36" s="32" t="s">
        <v>1267</v>
      </c>
      <c r="E36" s="33">
        <v>5</v>
      </c>
      <c r="F36" s="33">
        <v>337</v>
      </c>
      <c r="G36" s="33">
        <v>5</v>
      </c>
      <c r="H36" s="13">
        <f t="shared" si="0"/>
        <v>67.400000000000006</v>
      </c>
    </row>
    <row r="37" spans="1:8" hidden="1" outlineLevel="2">
      <c r="A37" s="32" t="s">
        <v>1238</v>
      </c>
      <c r="B37" s="32" t="s">
        <v>86</v>
      </c>
      <c r="C37" s="32" t="s">
        <v>1352</v>
      </c>
      <c r="D37" s="32" t="s">
        <v>1386</v>
      </c>
      <c r="E37" s="33">
        <v>15</v>
      </c>
      <c r="F37" s="33">
        <v>1011</v>
      </c>
      <c r="G37" s="33">
        <v>15</v>
      </c>
      <c r="H37" s="13">
        <f t="shared" si="0"/>
        <v>67.400000000000006</v>
      </c>
    </row>
    <row r="38" spans="1:8" hidden="1" outlineLevel="2">
      <c r="A38" s="32" t="s">
        <v>1238</v>
      </c>
      <c r="B38" s="32" t="s">
        <v>1862</v>
      </c>
      <c r="C38" s="32" t="s">
        <v>259</v>
      </c>
      <c r="D38" s="32" t="s">
        <v>1811</v>
      </c>
      <c r="E38" s="33">
        <v>24</v>
      </c>
      <c r="F38" s="33">
        <v>1542</v>
      </c>
      <c r="G38" s="33">
        <v>23</v>
      </c>
      <c r="H38" s="13">
        <f t="shared" si="0"/>
        <v>64.25</v>
      </c>
    </row>
    <row r="39" spans="1:8" hidden="1" outlineLevel="2">
      <c r="A39" s="32" t="s">
        <v>1238</v>
      </c>
      <c r="B39" s="32" t="s">
        <v>86</v>
      </c>
      <c r="C39" s="32" t="s">
        <v>1478</v>
      </c>
      <c r="D39" s="32" t="s">
        <v>1704</v>
      </c>
      <c r="E39" s="33">
        <v>9</v>
      </c>
      <c r="F39" s="33">
        <v>564</v>
      </c>
      <c r="G39" s="33">
        <v>9</v>
      </c>
      <c r="H39" s="13">
        <f t="shared" si="0"/>
        <v>62.666666666666664</v>
      </c>
    </row>
    <row r="40" spans="1:8" hidden="1" outlineLevel="2">
      <c r="A40" s="32" t="s">
        <v>1238</v>
      </c>
      <c r="B40" s="32" t="s">
        <v>86</v>
      </c>
      <c r="C40" s="32" t="s">
        <v>1390</v>
      </c>
      <c r="D40" s="32" t="s">
        <v>1722</v>
      </c>
      <c r="E40" s="33">
        <v>12</v>
      </c>
      <c r="F40" s="33">
        <v>750</v>
      </c>
      <c r="G40" s="33">
        <v>12</v>
      </c>
      <c r="H40" s="13">
        <f t="shared" si="0"/>
        <v>62.5</v>
      </c>
    </row>
    <row r="41" spans="1:8" hidden="1" outlineLevel="2">
      <c r="A41" s="32" t="s">
        <v>1238</v>
      </c>
      <c r="B41" s="32" t="s">
        <v>86</v>
      </c>
      <c r="C41" s="32" t="s">
        <v>1037</v>
      </c>
      <c r="D41" s="32" t="s">
        <v>1721</v>
      </c>
      <c r="E41" s="33">
        <v>24</v>
      </c>
      <c r="F41" s="33">
        <v>1480</v>
      </c>
      <c r="G41" s="33">
        <v>24</v>
      </c>
      <c r="H41" s="13">
        <f t="shared" si="0"/>
        <v>61.666666666666664</v>
      </c>
    </row>
    <row r="42" spans="1:8" hidden="1" outlineLevel="2">
      <c r="A42" s="32" t="s">
        <v>1238</v>
      </c>
      <c r="B42" s="32" t="s">
        <v>86</v>
      </c>
      <c r="C42" s="32" t="s">
        <v>1524</v>
      </c>
      <c r="D42" s="32" t="s">
        <v>1723</v>
      </c>
      <c r="E42" s="33">
        <v>16</v>
      </c>
      <c r="F42" s="33">
        <v>983</v>
      </c>
      <c r="G42" s="33">
        <v>16</v>
      </c>
      <c r="H42" s="13">
        <f t="shared" si="0"/>
        <v>61.4375</v>
      </c>
    </row>
    <row r="43" spans="1:8" hidden="1" outlineLevel="2">
      <c r="A43" s="32" t="s">
        <v>1238</v>
      </c>
      <c r="B43" s="32" t="s">
        <v>86</v>
      </c>
      <c r="C43" s="32" t="s">
        <v>1378</v>
      </c>
      <c r="D43" s="32" t="s">
        <v>1727</v>
      </c>
      <c r="E43" s="33">
        <v>15</v>
      </c>
      <c r="F43" s="33">
        <v>902</v>
      </c>
      <c r="G43" s="33">
        <v>16</v>
      </c>
      <c r="H43" s="13">
        <f t="shared" si="0"/>
        <v>60.133333333333333</v>
      </c>
    </row>
    <row r="44" spans="1:8" hidden="1" outlineLevel="2">
      <c r="A44" s="32" t="s">
        <v>1238</v>
      </c>
      <c r="B44" s="32" t="s">
        <v>86</v>
      </c>
      <c r="C44" s="32" t="s">
        <v>1378</v>
      </c>
      <c r="D44" s="32" t="s">
        <v>1389</v>
      </c>
      <c r="E44" s="33">
        <v>15</v>
      </c>
      <c r="F44" s="33">
        <v>874</v>
      </c>
      <c r="G44" s="33">
        <v>16</v>
      </c>
      <c r="H44" s="13">
        <f t="shared" si="0"/>
        <v>58.266666666666666</v>
      </c>
    </row>
    <row r="45" spans="1:8" hidden="1" outlineLevel="2">
      <c r="A45" s="32" t="s">
        <v>1238</v>
      </c>
      <c r="B45" s="32" t="s">
        <v>1862</v>
      </c>
      <c r="C45" s="32" t="s">
        <v>1458</v>
      </c>
      <c r="D45" s="32" t="s">
        <v>1459</v>
      </c>
      <c r="E45" s="33">
        <v>70</v>
      </c>
      <c r="F45" s="33">
        <v>4060</v>
      </c>
      <c r="G45" s="33">
        <v>70</v>
      </c>
      <c r="H45" s="13">
        <f t="shared" si="0"/>
        <v>58</v>
      </c>
    </row>
    <row r="46" spans="1:8" hidden="1" outlineLevel="2">
      <c r="A46" s="32" t="s">
        <v>1238</v>
      </c>
      <c r="B46" s="32" t="s">
        <v>86</v>
      </c>
      <c r="C46" s="32" t="s">
        <v>1352</v>
      </c>
      <c r="D46" s="32" t="s">
        <v>1500</v>
      </c>
      <c r="E46" s="33">
        <v>4</v>
      </c>
      <c r="F46" s="33">
        <v>232</v>
      </c>
      <c r="G46" s="33">
        <v>4</v>
      </c>
      <c r="H46" s="13">
        <f t="shared" si="0"/>
        <v>58</v>
      </c>
    </row>
    <row r="47" spans="1:8" hidden="1" outlineLevel="2">
      <c r="A47" s="32" t="s">
        <v>1238</v>
      </c>
      <c r="B47" s="32" t="s">
        <v>86</v>
      </c>
      <c r="C47" s="32" t="s">
        <v>856</v>
      </c>
      <c r="D47" s="32" t="s">
        <v>1301</v>
      </c>
      <c r="E47" s="33">
        <v>96</v>
      </c>
      <c r="F47" s="33">
        <v>5465</v>
      </c>
      <c r="G47" s="33">
        <v>88</v>
      </c>
      <c r="H47" s="13">
        <f t="shared" si="0"/>
        <v>56.927083333333336</v>
      </c>
    </row>
    <row r="48" spans="1:8" hidden="1" outlineLevel="2">
      <c r="A48" s="32" t="s">
        <v>1238</v>
      </c>
      <c r="B48" s="32" t="s">
        <v>86</v>
      </c>
      <c r="C48" s="32" t="s">
        <v>1378</v>
      </c>
      <c r="D48" s="32" t="s">
        <v>1735</v>
      </c>
      <c r="E48" s="33">
        <v>15</v>
      </c>
      <c r="F48" s="33">
        <v>841</v>
      </c>
      <c r="G48" s="33">
        <v>16</v>
      </c>
      <c r="H48" s="13">
        <f t="shared" si="0"/>
        <v>56.06666666666667</v>
      </c>
    </row>
    <row r="49" spans="1:8" hidden="1" outlineLevel="2">
      <c r="A49" s="32" t="s">
        <v>1238</v>
      </c>
      <c r="B49" s="32" t="s">
        <v>1858</v>
      </c>
      <c r="C49" s="32" t="s">
        <v>1212</v>
      </c>
      <c r="D49" s="32" t="s">
        <v>1487</v>
      </c>
      <c r="E49" s="33">
        <v>24</v>
      </c>
      <c r="F49" s="33">
        <v>1341</v>
      </c>
      <c r="G49" s="33">
        <v>20</v>
      </c>
      <c r="H49" s="13">
        <f t="shared" si="0"/>
        <v>55.875</v>
      </c>
    </row>
    <row r="50" spans="1:8" hidden="1" outlineLevel="2">
      <c r="A50" s="32" t="s">
        <v>1238</v>
      </c>
      <c r="B50" s="32" t="s">
        <v>86</v>
      </c>
      <c r="C50" s="32" t="s">
        <v>155</v>
      </c>
      <c r="D50" s="32" t="s">
        <v>1481</v>
      </c>
      <c r="E50" s="33">
        <v>40</v>
      </c>
      <c r="F50" s="33">
        <v>2138</v>
      </c>
      <c r="G50" s="33">
        <v>38</v>
      </c>
      <c r="H50" s="13">
        <f t="shared" si="0"/>
        <v>53.45</v>
      </c>
    </row>
    <row r="51" spans="1:8" hidden="1" outlineLevel="2">
      <c r="A51" s="32" t="s">
        <v>1238</v>
      </c>
      <c r="B51" s="32" t="s">
        <v>1862</v>
      </c>
      <c r="C51" s="32" t="s">
        <v>965</v>
      </c>
      <c r="D51" s="32" t="s">
        <v>1508</v>
      </c>
      <c r="E51" s="33">
        <v>35</v>
      </c>
      <c r="F51" s="33">
        <v>1863</v>
      </c>
      <c r="G51" s="33">
        <v>35</v>
      </c>
      <c r="H51" s="13">
        <f t="shared" si="0"/>
        <v>53.228571428571428</v>
      </c>
    </row>
    <row r="52" spans="1:8" hidden="1" outlineLevel="2">
      <c r="A52" s="32" t="s">
        <v>1238</v>
      </c>
      <c r="B52" s="32" t="s">
        <v>86</v>
      </c>
      <c r="C52" s="32" t="s">
        <v>1352</v>
      </c>
      <c r="D52" s="32" t="s">
        <v>1702</v>
      </c>
      <c r="E52" s="33">
        <v>4</v>
      </c>
      <c r="F52" s="33">
        <v>210</v>
      </c>
      <c r="G52" s="33">
        <v>4</v>
      </c>
      <c r="H52" s="13">
        <f t="shared" si="0"/>
        <v>52.5</v>
      </c>
    </row>
    <row r="53" spans="1:8" hidden="1" outlineLevel="2">
      <c r="A53" s="32" t="s">
        <v>1238</v>
      </c>
      <c r="B53" s="32" t="s">
        <v>1862</v>
      </c>
      <c r="C53" s="32" t="s">
        <v>1445</v>
      </c>
      <c r="D53" s="32" t="s">
        <v>1446</v>
      </c>
      <c r="E53" s="33">
        <v>3</v>
      </c>
      <c r="F53" s="33">
        <v>155</v>
      </c>
      <c r="G53" s="33">
        <v>3</v>
      </c>
      <c r="H53" s="13">
        <f t="shared" si="0"/>
        <v>51.666666666666664</v>
      </c>
    </row>
    <row r="54" spans="1:8" hidden="1" outlineLevel="2">
      <c r="A54" s="32" t="s">
        <v>1238</v>
      </c>
      <c r="B54" s="32" t="s">
        <v>86</v>
      </c>
      <c r="C54" s="32" t="s">
        <v>155</v>
      </c>
      <c r="D54" s="32" t="s">
        <v>1810</v>
      </c>
      <c r="E54" s="33">
        <v>35</v>
      </c>
      <c r="F54" s="33">
        <v>1788</v>
      </c>
      <c r="G54" s="33">
        <v>35</v>
      </c>
      <c r="H54" s="13">
        <f t="shared" si="0"/>
        <v>51.085714285714289</v>
      </c>
    </row>
    <row r="55" spans="1:8" hidden="1" outlineLevel="2">
      <c r="A55" s="32" t="s">
        <v>1238</v>
      </c>
      <c r="B55" s="32" t="s">
        <v>1862</v>
      </c>
      <c r="C55" s="32" t="s">
        <v>1357</v>
      </c>
      <c r="D55" s="32" t="s">
        <v>1356</v>
      </c>
      <c r="E55" s="33">
        <v>12</v>
      </c>
      <c r="F55" s="33">
        <v>611</v>
      </c>
      <c r="G55" s="33">
        <v>10</v>
      </c>
      <c r="H55" s="13">
        <f t="shared" si="0"/>
        <v>50.916666666666664</v>
      </c>
    </row>
    <row r="56" spans="1:8" hidden="1" outlineLevel="2">
      <c r="A56" s="32" t="s">
        <v>1238</v>
      </c>
      <c r="B56" s="32" t="s">
        <v>86</v>
      </c>
      <c r="C56" s="32" t="s">
        <v>804</v>
      </c>
      <c r="D56" s="32" t="s">
        <v>1468</v>
      </c>
      <c r="E56" s="33">
        <v>15</v>
      </c>
      <c r="F56" s="33">
        <v>763</v>
      </c>
      <c r="G56" s="33">
        <v>14</v>
      </c>
      <c r="H56" s="13">
        <f t="shared" si="0"/>
        <v>50.866666666666667</v>
      </c>
    </row>
    <row r="57" spans="1:8" hidden="1" outlineLevel="2">
      <c r="A57" s="32" t="s">
        <v>1238</v>
      </c>
      <c r="B57" s="32" t="s">
        <v>1862</v>
      </c>
      <c r="C57" s="32" t="s">
        <v>1074</v>
      </c>
      <c r="D57" s="32" t="s">
        <v>1301</v>
      </c>
      <c r="E57" s="33">
        <v>35</v>
      </c>
      <c r="F57" s="33">
        <v>1777</v>
      </c>
      <c r="G57" s="33">
        <v>34</v>
      </c>
      <c r="H57" s="13">
        <f t="shared" si="0"/>
        <v>50.771428571428572</v>
      </c>
    </row>
    <row r="58" spans="1:8" hidden="1" outlineLevel="2">
      <c r="A58" s="32" t="s">
        <v>1238</v>
      </c>
      <c r="B58" s="32" t="s">
        <v>1862</v>
      </c>
      <c r="C58" s="32" t="s">
        <v>1100</v>
      </c>
      <c r="D58" s="32" t="s">
        <v>1383</v>
      </c>
      <c r="E58" s="33">
        <v>12</v>
      </c>
      <c r="F58" s="33">
        <v>601</v>
      </c>
      <c r="G58" s="33">
        <v>12</v>
      </c>
      <c r="H58" s="13">
        <f t="shared" si="0"/>
        <v>50.083333333333336</v>
      </c>
    </row>
    <row r="59" spans="1:8" hidden="1" outlineLevel="2">
      <c r="A59" s="32" t="s">
        <v>1238</v>
      </c>
      <c r="B59" s="32" t="s">
        <v>86</v>
      </c>
      <c r="C59" s="32" t="s">
        <v>1521</v>
      </c>
      <c r="D59" s="32" t="s">
        <v>1522</v>
      </c>
      <c r="E59" s="33">
        <v>14</v>
      </c>
      <c r="F59" s="33">
        <v>679</v>
      </c>
      <c r="G59" s="33">
        <v>14</v>
      </c>
      <c r="H59" s="13">
        <f t="shared" si="0"/>
        <v>48.5</v>
      </c>
    </row>
    <row r="60" spans="1:8" hidden="1" outlineLevel="2">
      <c r="A60" s="32" t="s">
        <v>1238</v>
      </c>
      <c r="B60" s="32" t="s">
        <v>1862</v>
      </c>
      <c r="C60" s="32" t="s">
        <v>963</v>
      </c>
      <c r="D60" s="32" t="s">
        <v>1301</v>
      </c>
      <c r="E60" s="33">
        <v>42</v>
      </c>
      <c r="F60" s="33">
        <v>2020</v>
      </c>
      <c r="G60" s="33">
        <v>44</v>
      </c>
      <c r="H60" s="13">
        <f t="shared" si="0"/>
        <v>48.095238095238095</v>
      </c>
    </row>
    <row r="61" spans="1:8" hidden="1" outlineLevel="2">
      <c r="A61" s="32" t="s">
        <v>1238</v>
      </c>
      <c r="B61" s="32" t="s">
        <v>1862</v>
      </c>
      <c r="C61" s="32" t="s">
        <v>941</v>
      </c>
      <c r="D61" s="32" t="s">
        <v>1644</v>
      </c>
      <c r="E61" s="33">
        <v>17</v>
      </c>
      <c r="F61" s="33">
        <v>816</v>
      </c>
      <c r="G61" s="33">
        <v>16</v>
      </c>
      <c r="H61" s="13">
        <f t="shared" si="0"/>
        <v>48</v>
      </c>
    </row>
    <row r="62" spans="1:8" hidden="1" outlineLevel="2">
      <c r="A62" s="32" t="s">
        <v>1238</v>
      </c>
      <c r="B62" s="32" t="s">
        <v>1862</v>
      </c>
      <c r="C62" s="32" t="s">
        <v>1384</v>
      </c>
      <c r="D62" s="32" t="s">
        <v>1731</v>
      </c>
      <c r="E62" s="33">
        <v>16</v>
      </c>
      <c r="F62" s="33">
        <v>752</v>
      </c>
      <c r="G62" s="33">
        <v>16</v>
      </c>
      <c r="H62" s="13">
        <f t="shared" si="0"/>
        <v>47</v>
      </c>
    </row>
    <row r="63" spans="1:8" hidden="1" outlineLevel="2">
      <c r="A63" s="32" t="s">
        <v>1238</v>
      </c>
      <c r="B63" s="32" t="s">
        <v>86</v>
      </c>
      <c r="C63" s="32" t="s">
        <v>1352</v>
      </c>
      <c r="D63" s="32" t="s">
        <v>1602</v>
      </c>
      <c r="E63" s="33">
        <v>4</v>
      </c>
      <c r="F63" s="33">
        <v>187</v>
      </c>
      <c r="G63" s="33">
        <v>4</v>
      </c>
      <c r="H63" s="13">
        <f t="shared" si="0"/>
        <v>46.75</v>
      </c>
    </row>
    <row r="64" spans="1:8" hidden="1" outlineLevel="2">
      <c r="A64" s="32" t="s">
        <v>1238</v>
      </c>
      <c r="B64" s="32" t="s">
        <v>86</v>
      </c>
      <c r="C64" s="32" t="s">
        <v>1242</v>
      </c>
      <c r="D64" s="32" t="s">
        <v>1421</v>
      </c>
      <c r="E64" s="33">
        <v>5</v>
      </c>
      <c r="F64" s="33">
        <v>230</v>
      </c>
      <c r="G64" s="33">
        <v>7</v>
      </c>
      <c r="H64" s="13">
        <f t="shared" si="0"/>
        <v>46</v>
      </c>
    </row>
    <row r="65" spans="1:8" hidden="1" outlineLevel="2">
      <c r="A65" s="32" t="s">
        <v>1238</v>
      </c>
      <c r="B65" s="32" t="s">
        <v>86</v>
      </c>
      <c r="C65" s="32" t="s">
        <v>119</v>
      </c>
      <c r="D65" s="32" t="s">
        <v>1496</v>
      </c>
      <c r="E65" s="33">
        <v>6</v>
      </c>
      <c r="F65" s="33">
        <v>269</v>
      </c>
      <c r="G65" s="33">
        <v>6</v>
      </c>
      <c r="H65" s="13">
        <f t="shared" si="0"/>
        <v>44.833333333333336</v>
      </c>
    </row>
    <row r="66" spans="1:8" hidden="1" outlineLevel="2">
      <c r="A66" s="32" t="s">
        <v>1238</v>
      </c>
      <c r="B66" s="32" t="s">
        <v>86</v>
      </c>
      <c r="C66" s="32" t="s">
        <v>1390</v>
      </c>
      <c r="D66" s="32" t="s">
        <v>1391</v>
      </c>
      <c r="E66" s="33">
        <v>12</v>
      </c>
      <c r="F66" s="33">
        <v>532</v>
      </c>
      <c r="G66" s="33">
        <v>12</v>
      </c>
      <c r="H66" s="13">
        <f t="shared" ref="H66:H129" si="1">IFERROR(F66/E66,"")</f>
        <v>44.333333333333336</v>
      </c>
    </row>
    <row r="67" spans="1:8" hidden="1" outlineLevel="2">
      <c r="A67" s="32" t="s">
        <v>1238</v>
      </c>
      <c r="B67" s="32" t="s">
        <v>86</v>
      </c>
      <c r="C67" s="32" t="s">
        <v>1378</v>
      </c>
      <c r="D67" s="32" t="s">
        <v>1388</v>
      </c>
      <c r="E67" s="33">
        <v>6</v>
      </c>
      <c r="F67" s="33">
        <v>254</v>
      </c>
      <c r="G67" s="33">
        <v>7</v>
      </c>
      <c r="H67" s="13">
        <f t="shared" si="1"/>
        <v>42.333333333333336</v>
      </c>
    </row>
    <row r="68" spans="1:8" hidden="1" outlineLevel="2">
      <c r="A68" s="32" t="s">
        <v>1238</v>
      </c>
      <c r="B68" s="32" t="s">
        <v>86</v>
      </c>
      <c r="C68" s="32" t="s">
        <v>1352</v>
      </c>
      <c r="D68" s="32" t="s">
        <v>1358</v>
      </c>
      <c r="E68" s="33">
        <v>6</v>
      </c>
      <c r="F68" s="33">
        <v>253</v>
      </c>
      <c r="G68" s="33">
        <v>6</v>
      </c>
      <c r="H68" s="13">
        <f t="shared" si="1"/>
        <v>42.166666666666664</v>
      </c>
    </row>
    <row r="69" spans="1:8" hidden="1" outlineLevel="2">
      <c r="A69" s="32" t="s">
        <v>1238</v>
      </c>
      <c r="B69" s="32" t="s">
        <v>86</v>
      </c>
      <c r="C69" s="32" t="s">
        <v>1352</v>
      </c>
      <c r="D69" s="32" t="s">
        <v>1703</v>
      </c>
      <c r="E69" s="33">
        <v>3</v>
      </c>
      <c r="F69" s="33">
        <v>124</v>
      </c>
      <c r="G69" s="33">
        <v>3</v>
      </c>
      <c r="H69" s="13">
        <f t="shared" si="1"/>
        <v>41.333333333333336</v>
      </c>
    </row>
    <row r="70" spans="1:8" hidden="1" outlineLevel="2">
      <c r="A70" s="32" t="s">
        <v>1238</v>
      </c>
      <c r="B70" s="32" t="s">
        <v>86</v>
      </c>
      <c r="C70" s="32" t="s">
        <v>804</v>
      </c>
      <c r="D70" s="32" t="s">
        <v>1468</v>
      </c>
      <c r="E70" s="33">
        <v>33</v>
      </c>
      <c r="F70" s="33">
        <v>1361</v>
      </c>
      <c r="G70" s="33">
        <v>33</v>
      </c>
      <c r="H70" s="13">
        <f t="shared" si="1"/>
        <v>41.242424242424242</v>
      </c>
    </row>
    <row r="71" spans="1:8" hidden="1" outlineLevel="2">
      <c r="A71" s="32" t="s">
        <v>1238</v>
      </c>
      <c r="B71" s="32" t="s">
        <v>86</v>
      </c>
      <c r="C71" s="32" t="s">
        <v>1378</v>
      </c>
      <c r="D71" s="32" t="s">
        <v>1379</v>
      </c>
      <c r="E71" s="33">
        <v>15</v>
      </c>
      <c r="F71" s="33">
        <v>618</v>
      </c>
      <c r="G71" s="33">
        <v>16</v>
      </c>
      <c r="H71" s="13">
        <f t="shared" si="1"/>
        <v>41.2</v>
      </c>
    </row>
    <row r="72" spans="1:8" hidden="1" outlineLevel="2">
      <c r="A72" s="32" t="s">
        <v>1238</v>
      </c>
      <c r="B72" s="32" t="s">
        <v>1862</v>
      </c>
      <c r="C72" s="32" t="s">
        <v>1454</v>
      </c>
      <c r="D72" s="32" t="s">
        <v>1641</v>
      </c>
      <c r="E72" s="33">
        <v>14</v>
      </c>
      <c r="F72" s="33">
        <v>574</v>
      </c>
      <c r="G72" s="33">
        <v>14</v>
      </c>
      <c r="H72" s="13">
        <f t="shared" si="1"/>
        <v>41</v>
      </c>
    </row>
    <row r="73" spans="1:8" hidden="1" outlineLevel="2">
      <c r="A73" s="32" t="s">
        <v>1238</v>
      </c>
      <c r="B73" s="32" t="s">
        <v>1858</v>
      </c>
      <c r="C73" s="32" t="s">
        <v>242</v>
      </c>
      <c r="D73" s="32" t="s">
        <v>1801</v>
      </c>
      <c r="E73" s="33">
        <v>24</v>
      </c>
      <c r="F73" s="33">
        <v>935</v>
      </c>
      <c r="G73" s="33">
        <v>24</v>
      </c>
      <c r="H73" s="13">
        <f t="shared" si="1"/>
        <v>38.958333333333336</v>
      </c>
    </row>
    <row r="74" spans="1:8" hidden="1" outlineLevel="2">
      <c r="A74" s="32" t="s">
        <v>1238</v>
      </c>
      <c r="B74" s="32" t="s">
        <v>86</v>
      </c>
      <c r="C74" s="32" t="s">
        <v>1717</v>
      </c>
      <c r="D74" s="32" t="s">
        <v>1718</v>
      </c>
      <c r="E74" s="33">
        <v>10</v>
      </c>
      <c r="F74" s="33">
        <v>384</v>
      </c>
      <c r="G74" s="33">
        <v>9</v>
      </c>
      <c r="H74" s="13">
        <f t="shared" si="1"/>
        <v>38.4</v>
      </c>
    </row>
    <row r="75" spans="1:8" hidden="1" outlineLevel="2">
      <c r="A75" s="32" t="s">
        <v>1238</v>
      </c>
      <c r="B75" s="32" t="s">
        <v>86</v>
      </c>
      <c r="C75" s="32" t="s">
        <v>1378</v>
      </c>
      <c r="D75" s="32" t="s">
        <v>1639</v>
      </c>
      <c r="E75" s="33">
        <v>15</v>
      </c>
      <c r="F75" s="33">
        <v>567</v>
      </c>
      <c r="G75" s="33">
        <v>16</v>
      </c>
      <c r="H75" s="13">
        <f t="shared" si="1"/>
        <v>37.799999999999997</v>
      </c>
    </row>
    <row r="76" spans="1:8" hidden="1" outlineLevel="2">
      <c r="A76" s="32" t="s">
        <v>1238</v>
      </c>
      <c r="B76" s="32" t="s">
        <v>86</v>
      </c>
      <c r="C76" s="32" t="s">
        <v>1442</v>
      </c>
      <c r="D76" s="32" t="s">
        <v>1443</v>
      </c>
      <c r="E76" s="33">
        <v>72</v>
      </c>
      <c r="F76" s="33">
        <v>2720</v>
      </c>
      <c r="G76" s="33">
        <v>72</v>
      </c>
      <c r="H76" s="13">
        <f t="shared" si="1"/>
        <v>37.777777777777779</v>
      </c>
    </row>
    <row r="77" spans="1:8" hidden="1" outlineLevel="2">
      <c r="A77" s="32" t="s">
        <v>1238</v>
      </c>
      <c r="B77" s="32" t="s">
        <v>86</v>
      </c>
      <c r="C77" s="32" t="s">
        <v>1336</v>
      </c>
      <c r="D77" s="32" t="s">
        <v>1841</v>
      </c>
      <c r="E77" s="33">
        <v>16</v>
      </c>
      <c r="F77" s="33">
        <v>604</v>
      </c>
      <c r="G77" s="33">
        <v>17</v>
      </c>
      <c r="H77" s="13">
        <f t="shared" si="1"/>
        <v>37.75</v>
      </c>
    </row>
    <row r="78" spans="1:8" hidden="1" outlineLevel="2">
      <c r="A78" s="32" t="s">
        <v>1238</v>
      </c>
      <c r="B78" s="32" t="s">
        <v>1862</v>
      </c>
      <c r="C78" s="32" t="s">
        <v>1100</v>
      </c>
      <c r="D78" s="32" t="s">
        <v>1643</v>
      </c>
      <c r="E78" s="33">
        <v>12</v>
      </c>
      <c r="F78" s="33">
        <v>452</v>
      </c>
      <c r="G78" s="33">
        <v>11</v>
      </c>
      <c r="H78" s="13">
        <f t="shared" si="1"/>
        <v>37.666666666666664</v>
      </c>
    </row>
    <row r="79" spans="1:8" hidden="1" outlineLevel="2">
      <c r="A79" s="32" t="s">
        <v>1238</v>
      </c>
      <c r="B79" s="32" t="s">
        <v>86</v>
      </c>
      <c r="C79" s="32" t="s">
        <v>1352</v>
      </c>
      <c r="D79" s="32" t="s">
        <v>1701</v>
      </c>
      <c r="E79" s="33">
        <v>3</v>
      </c>
      <c r="F79" s="33">
        <v>111</v>
      </c>
      <c r="G79" s="33">
        <v>3</v>
      </c>
      <c r="H79" s="13">
        <f t="shared" si="1"/>
        <v>37</v>
      </c>
    </row>
    <row r="80" spans="1:8" hidden="1" outlineLevel="2">
      <c r="A80" s="32" t="s">
        <v>1238</v>
      </c>
      <c r="B80" s="32" t="s">
        <v>86</v>
      </c>
      <c r="C80" s="32" t="s">
        <v>1524</v>
      </c>
      <c r="D80" s="32" t="s">
        <v>1733</v>
      </c>
      <c r="E80" s="33">
        <v>16</v>
      </c>
      <c r="F80" s="33">
        <v>590</v>
      </c>
      <c r="G80" s="33">
        <v>17</v>
      </c>
      <c r="H80" s="13">
        <f t="shared" si="1"/>
        <v>36.875</v>
      </c>
    </row>
    <row r="81" spans="1:8" hidden="1" outlineLevel="2">
      <c r="A81" s="32" t="s">
        <v>1238</v>
      </c>
      <c r="B81" s="32" t="s">
        <v>1858</v>
      </c>
      <c r="C81" s="32" t="s">
        <v>1266</v>
      </c>
      <c r="D81" s="32" t="s">
        <v>1631</v>
      </c>
      <c r="E81" s="33">
        <v>12</v>
      </c>
      <c r="F81" s="33">
        <v>442</v>
      </c>
      <c r="G81" s="33">
        <v>12</v>
      </c>
      <c r="H81" s="13">
        <f t="shared" si="1"/>
        <v>36.833333333333336</v>
      </c>
    </row>
    <row r="82" spans="1:8" hidden="1" outlineLevel="2">
      <c r="A82" s="32" t="s">
        <v>1238</v>
      </c>
      <c r="B82" s="32" t="s">
        <v>86</v>
      </c>
      <c r="C82" s="32" t="s">
        <v>1716</v>
      </c>
      <c r="D82" s="32" t="s">
        <v>1715</v>
      </c>
      <c r="E82" s="33">
        <v>125</v>
      </c>
      <c r="F82" s="33">
        <v>4601</v>
      </c>
      <c r="G82" s="33">
        <v>120</v>
      </c>
      <c r="H82" s="13">
        <f t="shared" si="1"/>
        <v>36.808</v>
      </c>
    </row>
    <row r="83" spans="1:8" hidden="1" outlineLevel="2">
      <c r="A83" s="32" t="s">
        <v>1238</v>
      </c>
      <c r="B83" s="32" t="s">
        <v>1862</v>
      </c>
      <c r="C83" s="32" t="s">
        <v>950</v>
      </c>
      <c r="D83" s="32" t="s">
        <v>1301</v>
      </c>
      <c r="E83" s="33">
        <v>40</v>
      </c>
      <c r="F83" s="33">
        <v>1462</v>
      </c>
      <c r="G83" s="33">
        <v>40</v>
      </c>
      <c r="H83" s="13">
        <f t="shared" si="1"/>
        <v>36.549999999999997</v>
      </c>
    </row>
    <row r="84" spans="1:8" hidden="1" outlineLevel="2">
      <c r="A84" s="32" t="s">
        <v>1238</v>
      </c>
      <c r="B84" s="32" t="s">
        <v>1862</v>
      </c>
      <c r="C84" s="32" t="s">
        <v>1454</v>
      </c>
      <c r="D84" s="32" t="s">
        <v>1821</v>
      </c>
      <c r="E84" s="33">
        <v>8</v>
      </c>
      <c r="F84" s="33">
        <v>291</v>
      </c>
      <c r="G84" s="33">
        <v>8</v>
      </c>
      <c r="H84" s="13">
        <f t="shared" si="1"/>
        <v>36.375</v>
      </c>
    </row>
    <row r="85" spans="1:8" hidden="1" outlineLevel="2">
      <c r="A85" s="32" t="s">
        <v>1238</v>
      </c>
      <c r="B85" s="32" t="s">
        <v>86</v>
      </c>
      <c r="C85" s="32" t="s">
        <v>841</v>
      </c>
      <c r="D85" s="32" t="s">
        <v>1508</v>
      </c>
      <c r="E85" s="33">
        <v>90</v>
      </c>
      <c r="F85" s="33">
        <v>3233</v>
      </c>
      <c r="G85" s="33">
        <v>88</v>
      </c>
      <c r="H85" s="13">
        <f t="shared" si="1"/>
        <v>35.922222222222224</v>
      </c>
    </row>
    <row r="86" spans="1:8" hidden="1" outlineLevel="2">
      <c r="A86" s="32" t="s">
        <v>1238</v>
      </c>
      <c r="B86" s="32" t="s">
        <v>1862</v>
      </c>
      <c r="C86" s="32" t="s">
        <v>930</v>
      </c>
      <c r="D86" s="32" t="s">
        <v>1517</v>
      </c>
      <c r="E86" s="33">
        <v>16</v>
      </c>
      <c r="F86" s="33">
        <v>570</v>
      </c>
      <c r="G86" s="33">
        <v>16</v>
      </c>
      <c r="H86" s="13">
        <f t="shared" si="1"/>
        <v>35.625</v>
      </c>
    </row>
    <row r="87" spans="1:8" hidden="1" outlineLevel="2">
      <c r="A87" s="32" t="s">
        <v>1238</v>
      </c>
      <c r="B87" s="32" t="s">
        <v>1858</v>
      </c>
      <c r="C87" s="32" t="s">
        <v>987</v>
      </c>
      <c r="D87" s="32" t="s">
        <v>1508</v>
      </c>
      <c r="E87" s="33">
        <v>40</v>
      </c>
      <c r="F87" s="33">
        <v>1411</v>
      </c>
      <c r="G87" s="33">
        <v>40</v>
      </c>
      <c r="H87" s="13">
        <f t="shared" si="1"/>
        <v>35.274999999999999</v>
      </c>
    </row>
    <row r="88" spans="1:8" hidden="1" outlineLevel="2">
      <c r="A88" s="32" t="s">
        <v>1238</v>
      </c>
      <c r="B88" s="32" t="s">
        <v>86</v>
      </c>
      <c r="C88" s="32" t="s">
        <v>1477</v>
      </c>
      <c r="D88" s="32" t="s">
        <v>1375</v>
      </c>
      <c r="E88" s="33">
        <v>24</v>
      </c>
      <c r="F88" s="33">
        <v>839</v>
      </c>
      <c r="G88" s="33">
        <v>23</v>
      </c>
      <c r="H88" s="13">
        <f t="shared" si="1"/>
        <v>34.958333333333336</v>
      </c>
    </row>
    <row r="89" spans="1:8" hidden="1" outlineLevel="2">
      <c r="A89" s="32" t="s">
        <v>1238</v>
      </c>
      <c r="B89" s="32" t="s">
        <v>86</v>
      </c>
      <c r="C89" s="32" t="s">
        <v>794</v>
      </c>
      <c r="D89" s="32" t="s">
        <v>1514</v>
      </c>
      <c r="E89" s="33">
        <v>60</v>
      </c>
      <c r="F89" s="33">
        <v>2083</v>
      </c>
      <c r="G89" s="33">
        <v>60</v>
      </c>
      <c r="H89" s="13">
        <f t="shared" si="1"/>
        <v>34.716666666666669</v>
      </c>
    </row>
    <row r="90" spans="1:8" hidden="1" outlineLevel="2">
      <c r="A90" s="32" t="s">
        <v>1238</v>
      </c>
      <c r="B90" s="32" t="s">
        <v>86</v>
      </c>
      <c r="C90" s="32" t="s">
        <v>794</v>
      </c>
      <c r="D90" s="32" t="s">
        <v>1468</v>
      </c>
      <c r="E90" s="33">
        <v>66</v>
      </c>
      <c r="F90" s="33">
        <v>2291</v>
      </c>
      <c r="G90" s="33">
        <v>67</v>
      </c>
      <c r="H90" s="13">
        <f t="shared" si="1"/>
        <v>34.712121212121211</v>
      </c>
    </row>
    <row r="91" spans="1:8" hidden="1" outlineLevel="2">
      <c r="A91" s="32" t="s">
        <v>1238</v>
      </c>
      <c r="B91" s="32" t="s">
        <v>86</v>
      </c>
      <c r="C91" s="32" t="s">
        <v>847</v>
      </c>
      <c r="D91" s="32" t="s">
        <v>1533</v>
      </c>
      <c r="E91" s="33">
        <v>15</v>
      </c>
      <c r="F91" s="33">
        <v>519</v>
      </c>
      <c r="G91" s="33">
        <v>15</v>
      </c>
      <c r="H91" s="13">
        <f t="shared" si="1"/>
        <v>34.6</v>
      </c>
    </row>
    <row r="92" spans="1:8" hidden="1" outlineLevel="2">
      <c r="A92" s="32" t="s">
        <v>1238</v>
      </c>
      <c r="B92" s="32" t="s">
        <v>86</v>
      </c>
      <c r="C92" s="32" t="s">
        <v>1242</v>
      </c>
      <c r="D92" s="32" t="s">
        <v>1776</v>
      </c>
      <c r="E92" s="33">
        <v>160</v>
      </c>
      <c r="F92" s="33">
        <v>5513</v>
      </c>
      <c r="G92" s="33">
        <v>160</v>
      </c>
      <c r="H92" s="13">
        <f t="shared" si="1"/>
        <v>34.456249999999997</v>
      </c>
    </row>
    <row r="93" spans="1:8" hidden="1" outlineLevel="2">
      <c r="A93" s="32" t="s">
        <v>1238</v>
      </c>
      <c r="B93" s="32" t="s">
        <v>1858</v>
      </c>
      <c r="C93" s="32" t="s">
        <v>1812</v>
      </c>
      <c r="D93" s="32" t="s">
        <v>1715</v>
      </c>
      <c r="E93" s="33">
        <v>43</v>
      </c>
      <c r="F93" s="33">
        <v>1478</v>
      </c>
      <c r="G93" s="33">
        <v>41</v>
      </c>
      <c r="H93" s="13">
        <f t="shared" si="1"/>
        <v>34.372093023255815</v>
      </c>
    </row>
    <row r="94" spans="1:8" hidden="1" outlineLevel="2">
      <c r="A94" s="32" t="s">
        <v>1238</v>
      </c>
      <c r="B94" s="32" t="s">
        <v>1858</v>
      </c>
      <c r="C94" s="32" t="s">
        <v>1714</v>
      </c>
      <c r="D94" s="32" t="s">
        <v>1715</v>
      </c>
      <c r="E94" s="33">
        <v>37</v>
      </c>
      <c r="F94" s="33">
        <v>1269</v>
      </c>
      <c r="G94" s="33">
        <v>37</v>
      </c>
      <c r="H94" s="13">
        <f t="shared" si="1"/>
        <v>34.297297297297298</v>
      </c>
    </row>
    <row r="95" spans="1:8" hidden="1" outlineLevel="2">
      <c r="A95" s="32" t="s">
        <v>1238</v>
      </c>
      <c r="B95" s="32" t="s">
        <v>1862</v>
      </c>
      <c r="C95" s="32" t="s">
        <v>1074</v>
      </c>
      <c r="D95" s="32" t="s">
        <v>1529</v>
      </c>
      <c r="E95" s="33">
        <v>15</v>
      </c>
      <c r="F95" s="33">
        <v>508</v>
      </c>
      <c r="G95" s="33">
        <v>17</v>
      </c>
      <c r="H95" s="13">
        <f t="shared" si="1"/>
        <v>33.866666666666667</v>
      </c>
    </row>
    <row r="96" spans="1:8" hidden="1" outlineLevel="2">
      <c r="A96" s="32" t="s">
        <v>1238</v>
      </c>
      <c r="B96" s="32" t="s">
        <v>1858</v>
      </c>
      <c r="C96" s="32" t="s">
        <v>1222</v>
      </c>
      <c r="D96" s="32" t="s">
        <v>1784</v>
      </c>
      <c r="E96" s="33">
        <v>16</v>
      </c>
      <c r="F96" s="33">
        <v>541</v>
      </c>
      <c r="G96" s="33">
        <v>15</v>
      </c>
      <c r="H96" s="13">
        <f t="shared" si="1"/>
        <v>33.8125</v>
      </c>
    </row>
    <row r="97" spans="1:8" hidden="1" outlineLevel="2">
      <c r="A97" s="32" t="s">
        <v>1238</v>
      </c>
      <c r="B97" s="32" t="s">
        <v>1862</v>
      </c>
      <c r="C97" s="32" t="s">
        <v>1074</v>
      </c>
      <c r="D97" s="32" t="s">
        <v>1515</v>
      </c>
      <c r="E97" s="33">
        <v>15</v>
      </c>
      <c r="F97" s="33">
        <v>504</v>
      </c>
      <c r="G97" s="33">
        <v>16</v>
      </c>
      <c r="H97" s="13">
        <f t="shared" si="1"/>
        <v>33.6</v>
      </c>
    </row>
    <row r="98" spans="1:8" hidden="1" outlineLevel="2">
      <c r="A98" s="32" t="s">
        <v>1238</v>
      </c>
      <c r="B98" s="32" t="s">
        <v>1858</v>
      </c>
      <c r="C98" s="32" t="s">
        <v>1149</v>
      </c>
      <c r="D98" s="32" t="s">
        <v>1732</v>
      </c>
      <c r="E98" s="33">
        <v>15</v>
      </c>
      <c r="F98" s="33">
        <v>502</v>
      </c>
      <c r="G98" s="33">
        <v>14</v>
      </c>
      <c r="H98" s="13">
        <f t="shared" si="1"/>
        <v>33.466666666666669</v>
      </c>
    </row>
    <row r="99" spans="1:8" hidden="1" outlineLevel="2">
      <c r="A99" s="32" t="s">
        <v>1238</v>
      </c>
      <c r="B99" s="32" t="s">
        <v>86</v>
      </c>
      <c r="C99" s="32" t="s">
        <v>847</v>
      </c>
      <c r="D99" s="32" t="s">
        <v>1531</v>
      </c>
      <c r="E99" s="33">
        <v>12</v>
      </c>
      <c r="F99" s="33">
        <v>393</v>
      </c>
      <c r="G99" s="33">
        <v>12</v>
      </c>
      <c r="H99" s="13">
        <f t="shared" si="1"/>
        <v>32.75</v>
      </c>
    </row>
    <row r="100" spans="1:8" hidden="1" outlineLevel="2">
      <c r="A100" s="32" t="s">
        <v>1238</v>
      </c>
      <c r="B100" s="32" t="s">
        <v>1858</v>
      </c>
      <c r="C100" s="32" t="s">
        <v>1053</v>
      </c>
      <c r="D100" s="32" t="s">
        <v>1673</v>
      </c>
      <c r="E100" s="33">
        <v>15</v>
      </c>
      <c r="F100" s="33">
        <v>489</v>
      </c>
      <c r="G100" s="33">
        <v>15</v>
      </c>
      <c r="H100" s="13">
        <f t="shared" si="1"/>
        <v>32.6</v>
      </c>
    </row>
    <row r="101" spans="1:8" hidden="1" outlineLevel="2">
      <c r="A101" s="32" t="s">
        <v>1238</v>
      </c>
      <c r="B101" s="32" t="s">
        <v>1862</v>
      </c>
      <c r="C101" s="32" t="s">
        <v>966</v>
      </c>
      <c r="D101" s="32" t="s">
        <v>1301</v>
      </c>
      <c r="E101" s="33">
        <v>35</v>
      </c>
      <c r="F101" s="33">
        <v>1134</v>
      </c>
      <c r="G101" s="33">
        <v>37</v>
      </c>
      <c r="H101" s="13">
        <f t="shared" si="1"/>
        <v>32.4</v>
      </c>
    </row>
    <row r="102" spans="1:8" hidden="1" outlineLevel="2">
      <c r="A102" s="32" t="s">
        <v>1238</v>
      </c>
      <c r="B102" s="32" t="s">
        <v>86</v>
      </c>
      <c r="C102" s="32" t="s">
        <v>1279</v>
      </c>
      <c r="D102" s="32" t="s">
        <v>1280</v>
      </c>
      <c r="E102" s="33">
        <v>35</v>
      </c>
      <c r="F102" s="33">
        <v>1127</v>
      </c>
      <c r="G102" s="33">
        <v>31</v>
      </c>
      <c r="H102" s="13">
        <f t="shared" si="1"/>
        <v>32.200000000000003</v>
      </c>
    </row>
    <row r="103" spans="1:8" hidden="1" outlineLevel="2">
      <c r="A103" s="32" t="s">
        <v>1238</v>
      </c>
      <c r="B103" s="32" t="s">
        <v>86</v>
      </c>
      <c r="C103" s="32" t="s">
        <v>794</v>
      </c>
      <c r="D103" s="32" t="s">
        <v>1300</v>
      </c>
      <c r="E103" s="33">
        <v>35</v>
      </c>
      <c r="F103" s="33">
        <v>1119</v>
      </c>
      <c r="G103" s="33">
        <v>35</v>
      </c>
      <c r="H103" s="13">
        <f t="shared" si="1"/>
        <v>31.971428571428572</v>
      </c>
    </row>
    <row r="104" spans="1:8" hidden="1" outlineLevel="2">
      <c r="A104" s="32" t="s">
        <v>1238</v>
      </c>
      <c r="B104" s="32" t="s">
        <v>86</v>
      </c>
      <c r="C104" s="32" t="s">
        <v>1133</v>
      </c>
      <c r="D104" s="32" t="s">
        <v>1648</v>
      </c>
      <c r="E104" s="33">
        <v>12</v>
      </c>
      <c r="F104" s="33">
        <v>382</v>
      </c>
      <c r="G104" s="33">
        <v>12</v>
      </c>
      <c r="H104" s="13">
        <f t="shared" si="1"/>
        <v>31.833333333333332</v>
      </c>
    </row>
    <row r="105" spans="1:8" hidden="1" outlineLevel="2">
      <c r="A105" s="32" t="s">
        <v>1238</v>
      </c>
      <c r="B105" s="32" t="s">
        <v>86</v>
      </c>
      <c r="C105" s="32" t="s">
        <v>110</v>
      </c>
      <c r="D105" s="32" t="s">
        <v>1844</v>
      </c>
      <c r="E105" s="33">
        <v>66</v>
      </c>
      <c r="F105" s="33">
        <v>2100</v>
      </c>
      <c r="G105" s="33">
        <v>61</v>
      </c>
      <c r="H105" s="13">
        <f t="shared" si="1"/>
        <v>31.818181818181817</v>
      </c>
    </row>
    <row r="106" spans="1:8" hidden="1" outlineLevel="2">
      <c r="A106" s="32" t="s">
        <v>1238</v>
      </c>
      <c r="B106" s="32" t="s">
        <v>86</v>
      </c>
      <c r="C106" s="32" t="s">
        <v>1378</v>
      </c>
      <c r="D106" s="32" t="s">
        <v>1826</v>
      </c>
      <c r="E106" s="33">
        <v>7</v>
      </c>
      <c r="F106" s="33">
        <v>222</v>
      </c>
      <c r="G106" s="33">
        <v>7</v>
      </c>
      <c r="H106" s="13">
        <f t="shared" si="1"/>
        <v>31.714285714285715</v>
      </c>
    </row>
    <row r="107" spans="1:8" hidden="1" outlineLevel="2">
      <c r="A107" s="32" t="s">
        <v>1238</v>
      </c>
      <c r="B107" s="32" t="s">
        <v>86</v>
      </c>
      <c r="C107" s="32" t="s">
        <v>1378</v>
      </c>
      <c r="D107" s="32" t="s">
        <v>1381</v>
      </c>
      <c r="E107" s="33">
        <v>12</v>
      </c>
      <c r="F107" s="33">
        <v>379</v>
      </c>
      <c r="G107" s="33">
        <v>12</v>
      </c>
      <c r="H107" s="13">
        <f t="shared" si="1"/>
        <v>31.583333333333332</v>
      </c>
    </row>
    <row r="108" spans="1:8" hidden="1" outlineLevel="2">
      <c r="A108" s="32" t="s">
        <v>1238</v>
      </c>
      <c r="B108" s="32" t="s">
        <v>1858</v>
      </c>
      <c r="C108" s="32" t="s">
        <v>983</v>
      </c>
      <c r="D108" s="32" t="s">
        <v>1301</v>
      </c>
      <c r="E108" s="33">
        <v>35</v>
      </c>
      <c r="F108" s="33">
        <v>1105</v>
      </c>
      <c r="G108" s="33">
        <v>32</v>
      </c>
      <c r="H108" s="13">
        <f t="shared" si="1"/>
        <v>31.571428571428573</v>
      </c>
    </row>
    <row r="109" spans="1:8" hidden="1" outlineLevel="2">
      <c r="A109" s="32" t="s">
        <v>1238</v>
      </c>
      <c r="B109" s="32" t="s">
        <v>86</v>
      </c>
      <c r="C109" s="32" t="s">
        <v>877</v>
      </c>
      <c r="D109" s="32" t="s">
        <v>1239</v>
      </c>
      <c r="E109" s="33">
        <v>24</v>
      </c>
      <c r="F109" s="33">
        <v>745</v>
      </c>
      <c r="G109" s="33">
        <v>24</v>
      </c>
      <c r="H109" s="13">
        <f t="shared" si="1"/>
        <v>31.041666666666668</v>
      </c>
    </row>
    <row r="110" spans="1:8" hidden="1" outlineLevel="2">
      <c r="A110" s="32" t="s">
        <v>1238</v>
      </c>
      <c r="B110" s="32" t="s">
        <v>86</v>
      </c>
      <c r="C110" s="32" t="s">
        <v>1352</v>
      </c>
      <c r="D110" s="32" t="s">
        <v>1852</v>
      </c>
      <c r="E110" s="33">
        <v>4</v>
      </c>
      <c r="F110" s="33">
        <v>124</v>
      </c>
      <c r="G110" s="33">
        <v>4</v>
      </c>
      <c r="H110" s="13">
        <f t="shared" si="1"/>
        <v>31</v>
      </c>
    </row>
    <row r="111" spans="1:8" hidden="1" outlineLevel="2">
      <c r="A111" s="32" t="s">
        <v>1238</v>
      </c>
      <c r="B111" s="32" t="s">
        <v>86</v>
      </c>
      <c r="C111" s="32" t="s">
        <v>240</v>
      </c>
      <c r="D111" s="32" t="s">
        <v>1768</v>
      </c>
      <c r="E111" s="33">
        <v>25</v>
      </c>
      <c r="F111" s="33">
        <v>774</v>
      </c>
      <c r="G111" s="33">
        <v>25</v>
      </c>
      <c r="H111" s="13">
        <f t="shared" si="1"/>
        <v>30.96</v>
      </c>
    </row>
    <row r="112" spans="1:8" hidden="1" outlineLevel="2">
      <c r="A112" s="32" t="s">
        <v>1238</v>
      </c>
      <c r="B112" s="32" t="s">
        <v>86</v>
      </c>
      <c r="C112" s="32" t="s">
        <v>1378</v>
      </c>
      <c r="D112" s="32" t="s">
        <v>1728</v>
      </c>
      <c r="E112" s="33">
        <v>16</v>
      </c>
      <c r="F112" s="33">
        <v>490</v>
      </c>
      <c r="G112" s="33">
        <v>16</v>
      </c>
      <c r="H112" s="13">
        <f t="shared" si="1"/>
        <v>30.625</v>
      </c>
    </row>
    <row r="113" spans="1:8" hidden="1" outlineLevel="2">
      <c r="A113" s="32" t="s">
        <v>1238</v>
      </c>
      <c r="B113" s="32" t="s">
        <v>1862</v>
      </c>
      <c r="C113" s="32" t="s">
        <v>1445</v>
      </c>
      <c r="D113" s="32" t="s">
        <v>1446</v>
      </c>
      <c r="E113" s="33">
        <v>5</v>
      </c>
      <c r="F113" s="33">
        <v>153</v>
      </c>
      <c r="G113" s="33">
        <v>4</v>
      </c>
      <c r="H113" s="13">
        <f t="shared" si="1"/>
        <v>30.6</v>
      </c>
    </row>
    <row r="114" spans="1:8" hidden="1" outlineLevel="2">
      <c r="A114" s="32" t="s">
        <v>1238</v>
      </c>
      <c r="B114" s="32" t="s">
        <v>86</v>
      </c>
      <c r="C114" s="32" t="s">
        <v>119</v>
      </c>
      <c r="D114" s="32" t="s">
        <v>1628</v>
      </c>
      <c r="E114" s="33">
        <v>32</v>
      </c>
      <c r="F114" s="33">
        <v>958</v>
      </c>
      <c r="G114" s="33">
        <v>32</v>
      </c>
      <c r="H114" s="13">
        <f t="shared" si="1"/>
        <v>29.9375</v>
      </c>
    </row>
    <row r="115" spans="1:8" hidden="1" outlineLevel="2">
      <c r="A115" s="32" t="s">
        <v>1238</v>
      </c>
      <c r="B115" s="32" t="s">
        <v>1862</v>
      </c>
      <c r="C115" s="32" t="s">
        <v>1326</v>
      </c>
      <c r="D115" s="32" t="s">
        <v>1587</v>
      </c>
      <c r="E115" s="33">
        <v>15</v>
      </c>
      <c r="F115" s="33">
        <v>448</v>
      </c>
      <c r="G115" s="33">
        <v>15</v>
      </c>
      <c r="H115" s="13">
        <f t="shared" si="1"/>
        <v>29.866666666666667</v>
      </c>
    </row>
    <row r="116" spans="1:8" hidden="1" outlineLevel="2">
      <c r="A116" s="32" t="s">
        <v>1238</v>
      </c>
      <c r="B116" s="32" t="s">
        <v>1862</v>
      </c>
      <c r="C116" s="32" t="s">
        <v>1100</v>
      </c>
      <c r="D116" s="32" t="s">
        <v>1822</v>
      </c>
      <c r="E116" s="33">
        <v>12</v>
      </c>
      <c r="F116" s="33">
        <v>357</v>
      </c>
      <c r="G116" s="33">
        <v>12</v>
      </c>
      <c r="H116" s="13">
        <f t="shared" si="1"/>
        <v>29.75</v>
      </c>
    </row>
    <row r="117" spans="1:8" hidden="1" outlineLevel="2">
      <c r="A117" s="32" t="s">
        <v>1238</v>
      </c>
      <c r="B117" s="32" t="s">
        <v>1862</v>
      </c>
      <c r="C117" s="32" t="s">
        <v>1777</v>
      </c>
      <c r="D117" s="32" t="s">
        <v>1572</v>
      </c>
      <c r="E117" s="33">
        <v>63</v>
      </c>
      <c r="F117" s="33">
        <v>1857</v>
      </c>
      <c r="G117" s="33">
        <v>66</v>
      </c>
      <c r="H117" s="13">
        <f t="shared" si="1"/>
        <v>29.476190476190474</v>
      </c>
    </row>
    <row r="118" spans="1:8" hidden="1" outlineLevel="2">
      <c r="A118" s="32" t="s">
        <v>1238</v>
      </c>
      <c r="B118" s="32" t="s">
        <v>86</v>
      </c>
      <c r="C118" s="32" t="s">
        <v>1762</v>
      </c>
      <c r="D118" s="32" t="s">
        <v>1791</v>
      </c>
      <c r="E118" s="33">
        <v>35</v>
      </c>
      <c r="F118" s="33">
        <v>1014</v>
      </c>
      <c r="G118" s="33">
        <v>35</v>
      </c>
      <c r="H118" s="13">
        <f t="shared" si="1"/>
        <v>28.971428571428572</v>
      </c>
    </row>
    <row r="119" spans="1:8" hidden="1" outlineLevel="2">
      <c r="A119" s="32" t="s">
        <v>1238</v>
      </c>
      <c r="B119" s="32" t="s">
        <v>1862</v>
      </c>
      <c r="C119" s="32" t="s">
        <v>1384</v>
      </c>
      <c r="D119" s="32" t="s">
        <v>1385</v>
      </c>
      <c r="E119" s="33">
        <v>16</v>
      </c>
      <c r="F119" s="33">
        <v>463</v>
      </c>
      <c r="G119" s="33">
        <v>16</v>
      </c>
      <c r="H119" s="13">
        <f t="shared" si="1"/>
        <v>28.9375</v>
      </c>
    </row>
    <row r="120" spans="1:8" hidden="1" outlineLevel="2">
      <c r="A120" s="32" t="s">
        <v>1238</v>
      </c>
      <c r="B120" s="32" t="s">
        <v>86</v>
      </c>
      <c r="C120" s="32" t="s">
        <v>1352</v>
      </c>
      <c r="D120" s="32" t="s">
        <v>1444</v>
      </c>
      <c r="E120" s="33">
        <v>12</v>
      </c>
      <c r="F120" s="33">
        <v>346</v>
      </c>
      <c r="G120" s="33">
        <v>12</v>
      </c>
      <c r="H120" s="13">
        <f t="shared" si="1"/>
        <v>28.833333333333332</v>
      </c>
    </row>
    <row r="121" spans="1:8" hidden="1" outlineLevel="2">
      <c r="A121" s="32" t="s">
        <v>1238</v>
      </c>
      <c r="B121" s="32" t="s">
        <v>1858</v>
      </c>
      <c r="C121" s="32" t="s">
        <v>242</v>
      </c>
      <c r="D121" s="32" t="s">
        <v>1317</v>
      </c>
      <c r="E121" s="33">
        <v>45</v>
      </c>
      <c r="F121" s="33">
        <v>1282</v>
      </c>
      <c r="G121" s="33">
        <v>42</v>
      </c>
      <c r="H121" s="13">
        <f t="shared" si="1"/>
        <v>28.488888888888887</v>
      </c>
    </row>
    <row r="122" spans="1:8" hidden="1" outlineLevel="2">
      <c r="A122" s="32" t="s">
        <v>1238</v>
      </c>
      <c r="B122" s="32" t="s">
        <v>1858</v>
      </c>
      <c r="C122" s="32" t="s">
        <v>1573</v>
      </c>
      <c r="D122" s="32" t="s">
        <v>1430</v>
      </c>
      <c r="E122" s="33">
        <v>23</v>
      </c>
      <c r="F122" s="33">
        <v>642</v>
      </c>
      <c r="G122" s="33">
        <v>24</v>
      </c>
      <c r="H122" s="13">
        <f t="shared" si="1"/>
        <v>27.913043478260871</v>
      </c>
    </row>
    <row r="123" spans="1:8" hidden="1" outlineLevel="2">
      <c r="A123" s="32" t="s">
        <v>1238</v>
      </c>
      <c r="B123" s="32" t="s">
        <v>1862</v>
      </c>
      <c r="C123" s="32" t="s">
        <v>1760</v>
      </c>
      <c r="D123" s="32" t="s">
        <v>1761</v>
      </c>
      <c r="E123" s="33">
        <v>12</v>
      </c>
      <c r="F123" s="33">
        <v>330</v>
      </c>
      <c r="G123" s="33">
        <v>11</v>
      </c>
      <c r="H123" s="13">
        <f t="shared" si="1"/>
        <v>27.5</v>
      </c>
    </row>
    <row r="124" spans="1:8" hidden="1" outlineLevel="2">
      <c r="A124" s="32" t="s">
        <v>1238</v>
      </c>
      <c r="B124" s="32" t="s">
        <v>86</v>
      </c>
      <c r="C124" s="32" t="s">
        <v>1717</v>
      </c>
      <c r="D124" s="32" t="s">
        <v>1303</v>
      </c>
      <c r="E124" s="33">
        <v>153</v>
      </c>
      <c r="F124" s="33">
        <v>4180</v>
      </c>
      <c r="G124" s="33">
        <v>154</v>
      </c>
      <c r="H124" s="13">
        <f t="shared" si="1"/>
        <v>27.320261437908496</v>
      </c>
    </row>
    <row r="125" spans="1:8" hidden="1" outlineLevel="2">
      <c r="A125" s="32" t="s">
        <v>1238</v>
      </c>
      <c r="B125" s="32" t="s">
        <v>86</v>
      </c>
      <c r="C125" s="32" t="s">
        <v>1845</v>
      </c>
      <c r="D125" s="32" t="s">
        <v>1303</v>
      </c>
      <c r="E125" s="33">
        <v>120</v>
      </c>
      <c r="F125" s="33">
        <v>3271</v>
      </c>
      <c r="G125" s="33">
        <v>120</v>
      </c>
      <c r="H125" s="13">
        <f t="shared" si="1"/>
        <v>27.258333333333333</v>
      </c>
    </row>
    <row r="126" spans="1:8" hidden="1" outlineLevel="2">
      <c r="A126" s="32" t="s">
        <v>1238</v>
      </c>
      <c r="B126" s="32" t="s">
        <v>86</v>
      </c>
      <c r="C126" s="32" t="s">
        <v>1133</v>
      </c>
      <c r="D126" s="32" t="s">
        <v>1816</v>
      </c>
      <c r="E126" s="33">
        <v>8</v>
      </c>
      <c r="F126" s="33">
        <v>215</v>
      </c>
      <c r="G126" s="33">
        <v>8</v>
      </c>
      <c r="H126" s="13">
        <f t="shared" si="1"/>
        <v>26.875</v>
      </c>
    </row>
    <row r="127" spans="1:8" hidden="1" outlineLevel="2">
      <c r="A127" s="32" t="s">
        <v>1238</v>
      </c>
      <c r="B127" s="32" t="s">
        <v>1858</v>
      </c>
      <c r="C127" s="32" t="s">
        <v>1372</v>
      </c>
      <c r="D127" s="32" t="s">
        <v>1373</v>
      </c>
      <c r="E127" s="33">
        <v>30</v>
      </c>
      <c r="F127" s="33">
        <v>803</v>
      </c>
      <c r="G127" s="33">
        <v>30</v>
      </c>
      <c r="H127" s="13">
        <f t="shared" si="1"/>
        <v>26.766666666666666</v>
      </c>
    </row>
    <row r="128" spans="1:8" hidden="1" outlineLevel="2">
      <c r="A128" s="32" t="s">
        <v>1238</v>
      </c>
      <c r="B128" s="32" t="s">
        <v>1862</v>
      </c>
      <c r="C128" s="32" t="s">
        <v>99</v>
      </c>
      <c r="D128" s="32" t="s">
        <v>1627</v>
      </c>
      <c r="E128" s="33">
        <v>50</v>
      </c>
      <c r="F128" s="33">
        <v>1331</v>
      </c>
      <c r="G128" s="33">
        <v>49</v>
      </c>
      <c r="H128" s="13">
        <f t="shared" si="1"/>
        <v>26.62</v>
      </c>
    </row>
    <row r="129" spans="1:8" hidden="1" outlineLevel="2">
      <c r="A129" s="32" t="s">
        <v>1238</v>
      </c>
      <c r="B129" s="32" t="s">
        <v>1858</v>
      </c>
      <c r="C129" s="32" t="s">
        <v>1053</v>
      </c>
      <c r="D129" s="32" t="s">
        <v>1632</v>
      </c>
      <c r="E129" s="33">
        <v>15</v>
      </c>
      <c r="F129" s="33">
        <v>399</v>
      </c>
      <c r="G129" s="33">
        <v>14</v>
      </c>
      <c r="H129" s="13">
        <f t="shared" si="1"/>
        <v>26.6</v>
      </c>
    </row>
    <row r="130" spans="1:8" hidden="1" outlineLevel="2">
      <c r="A130" s="32" t="s">
        <v>1238</v>
      </c>
      <c r="B130" s="32" t="s">
        <v>86</v>
      </c>
      <c r="C130" s="32" t="s">
        <v>1378</v>
      </c>
      <c r="D130" s="32" t="s">
        <v>1818</v>
      </c>
      <c r="E130" s="33">
        <v>6</v>
      </c>
      <c r="F130" s="33">
        <v>153</v>
      </c>
      <c r="G130" s="33">
        <v>7</v>
      </c>
      <c r="H130" s="13">
        <f t="shared" ref="H130:H193" si="2">IFERROR(F130/E130,"")</f>
        <v>25.5</v>
      </c>
    </row>
    <row r="131" spans="1:8" hidden="1" outlineLevel="2">
      <c r="A131" s="32" t="s">
        <v>1238</v>
      </c>
      <c r="B131" s="32" t="s">
        <v>86</v>
      </c>
      <c r="C131" s="32" t="s">
        <v>1846</v>
      </c>
      <c r="D131" s="32" t="s">
        <v>1303</v>
      </c>
      <c r="E131" s="33">
        <v>135</v>
      </c>
      <c r="F131" s="33">
        <v>3405</v>
      </c>
      <c r="G131" s="33">
        <v>135</v>
      </c>
      <c r="H131" s="13">
        <f t="shared" si="2"/>
        <v>25.222222222222221</v>
      </c>
    </row>
    <row r="132" spans="1:8" hidden="1" outlineLevel="2">
      <c r="A132" s="32" t="s">
        <v>1238</v>
      </c>
      <c r="B132" s="32" t="s">
        <v>86</v>
      </c>
      <c r="C132" s="32" t="s">
        <v>1352</v>
      </c>
      <c r="D132" s="32" t="s">
        <v>1854</v>
      </c>
      <c r="E132" s="33">
        <v>4</v>
      </c>
      <c r="F132" s="33">
        <v>100</v>
      </c>
      <c r="G132" s="33">
        <v>4</v>
      </c>
      <c r="H132" s="13">
        <f t="shared" si="2"/>
        <v>25</v>
      </c>
    </row>
    <row r="133" spans="1:8" hidden="1" outlineLevel="2">
      <c r="A133" s="32" t="s">
        <v>1238</v>
      </c>
      <c r="B133" s="32" t="s">
        <v>1862</v>
      </c>
      <c r="C133" s="32" t="s">
        <v>1445</v>
      </c>
      <c r="D133" s="32" t="s">
        <v>1631</v>
      </c>
      <c r="E133" s="33">
        <v>24</v>
      </c>
      <c r="F133" s="33">
        <v>593</v>
      </c>
      <c r="G133" s="33">
        <v>22</v>
      </c>
      <c r="H133" s="13">
        <f t="shared" si="2"/>
        <v>24.708333333333332</v>
      </c>
    </row>
    <row r="134" spans="1:8" hidden="1" outlineLevel="2">
      <c r="A134" s="32" t="s">
        <v>1238</v>
      </c>
      <c r="B134" s="32" t="s">
        <v>1858</v>
      </c>
      <c r="C134" s="32" t="s">
        <v>1302</v>
      </c>
      <c r="D134" s="32" t="s">
        <v>1303</v>
      </c>
      <c r="E134" s="33">
        <v>130</v>
      </c>
      <c r="F134" s="33">
        <v>3193</v>
      </c>
      <c r="G134" s="33">
        <v>129</v>
      </c>
      <c r="H134" s="13">
        <f t="shared" si="2"/>
        <v>24.561538461538461</v>
      </c>
    </row>
    <row r="135" spans="1:8" hidden="1" outlineLevel="2">
      <c r="A135" s="32" t="s">
        <v>1238</v>
      </c>
      <c r="B135" s="32" t="s">
        <v>1858</v>
      </c>
      <c r="C135" s="32" t="s">
        <v>914</v>
      </c>
      <c r="D135" s="32" t="s">
        <v>1301</v>
      </c>
      <c r="E135" s="33">
        <v>38</v>
      </c>
      <c r="F135" s="33">
        <v>933</v>
      </c>
      <c r="G135" s="33">
        <v>35</v>
      </c>
      <c r="H135" s="13">
        <f t="shared" si="2"/>
        <v>24.55263157894737</v>
      </c>
    </row>
    <row r="136" spans="1:8" hidden="1" outlineLevel="2">
      <c r="A136" s="32" t="s">
        <v>1238</v>
      </c>
      <c r="B136" s="32" t="s">
        <v>1858</v>
      </c>
      <c r="C136" s="32" t="s">
        <v>882</v>
      </c>
      <c r="D136" s="32" t="s">
        <v>1666</v>
      </c>
      <c r="E136" s="33">
        <v>10</v>
      </c>
      <c r="F136" s="33">
        <v>245</v>
      </c>
      <c r="G136" s="33">
        <v>8</v>
      </c>
      <c r="H136" s="13">
        <f t="shared" si="2"/>
        <v>24.5</v>
      </c>
    </row>
    <row r="137" spans="1:8" hidden="1" outlineLevel="2">
      <c r="A137" s="32" t="s">
        <v>1238</v>
      </c>
      <c r="B137" s="32" t="s">
        <v>86</v>
      </c>
      <c r="C137" s="32" t="s">
        <v>148</v>
      </c>
      <c r="D137" s="32" t="s">
        <v>1677</v>
      </c>
      <c r="E137" s="33">
        <v>270</v>
      </c>
      <c r="F137" s="33">
        <v>6531</v>
      </c>
      <c r="G137" s="33">
        <v>264</v>
      </c>
      <c r="H137" s="13">
        <f t="shared" si="2"/>
        <v>24.18888888888889</v>
      </c>
    </row>
    <row r="138" spans="1:8" hidden="1" outlineLevel="2">
      <c r="A138" s="32" t="s">
        <v>1238</v>
      </c>
      <c r="B138" s="32" t="s">
        <v>86</v>
      </c>
      <c r="C138" s="32" t="s">
        <v>847</v>
      </c>
      <c r="D138" s="32" t="s">
        <v>1646</v>
      </c>
      <c r="E138" s="33">
        <v>12</v>
      </c>
      <c r="F138" s="33">
        <v>288</v>
      </c>
      <c r="G138" s="33">
        <v>12</v>
      </c>
      <c r="H138" s="13">
        <f t="shared" si="2"/>
        <v>24</v>
      </c>
    </row>
    <row r="139" spans="1:8" hidden="1" outlineLevel="2">
      <c r="A139" s="32" t="s">
        <v>1238</v>
      </c>
      <c r="B139" s="32" t="s">
        <v>86</v>
      </c>
      <c r="C139" s="32" t="s">
        <v>1336</v>
      </c>
      <c r="D139" s="32" t="s">
        <v>1842</v>
      </c>
      <c r="E139" s="33">
        <v>16</v>
      </c>
      <c r="F139" s="33">
        <v>377</v>
      </c>
      <c r="G139" s="33">
        <v>16</v>
      </c>
      <c r="H139" s="13">
        <f t="shared" si="2"/>
        <v>23.5625</v>
      </c>
    </row>
    <row r="140" spans="1:8" hidden="1" outlineLevel="2">
      <c r="A140" s="32" t="s">
        <v>1238</v>
      </c>
      <c r="B140" s="32" t="s">
        <v>1862</v>
      </c>
      <c r="C140" s="32" t="s">
        <v>1504</v>
      </c>
      <c r="D140" s="32" t="s">
        <v>1505</v>
      </c>
      <c r="E140" s="33">
        <v>12</v>
      </c>
      <c r="F140" s="33">
        <v>281</v>
      </c>
      <c r="G140" s="33">
        <v>12</v>
      </c>
      <c r="H140" s="13">
        <f t="shared" si="2"/>
        <v>23.416666666666668</v>
      </c>
    </row>
    <row r="141" spans="1:8" hidden="1" outlineLevel="2">
      <c r="A141" s="32" t="s">
        <v>1238</v>
      </c>
      <c r="B141" s="32" t="s">
        <v>86</v>
      </c>
      <c r="C141" s="32" t="s">
        <v>119</v>
      </c>
      <c r="D141" s="32" t="s">
        <v>1370</v>
      </c>
      <c r="E141" s="33">
        <v>32</v>
      </c>
      <c r="F141" s="33">
        <v>747</v>
      </c>
      <c r="G141" s="33">
        <v>29</v>
      </c>
      <c r="H141" s="13">
        <f t="shared" si="2"/>
        <v>23.34375</v>
      </c>
    </row>
    <row r="142" spans="1:8" hidden="1" outlineLevel="2">
      <c r="A142" s="32" t="s">
        <v>1238</v>
      </c>
      <c r="B142" s="32" t="s">
        <v>86</v>
      </c>
      <c r="C142" s="32" t="s">
        <v>1240</v>
      </c>
      <c r="D142" s="32" t="s">
        <v>1241</v>
      </c>
      <c r="E142" s="33">
        <v>80</v>
      </c>
      <c r="F142" s="33">
        <v>1862</v>
      </c>
      <c r="G142" s="33">
        <v>86</v>
      </c>
      <c r="H142" s="13">
        <f t="shared" si="2"/>
        <v>23.274999999999999</v>
      </c>
    </row>
    <row r="143" spans="1:8" hidden="1" outlineLevel="2">
      <c r="A143" s="32" t="s">
        <v>1238</v>
      </c>
      <c r="B143" s="32" t="s">
        <v>86</v>
      </c>
      <c r="C143" s="32" t="s">
        <v>1352</v>
      </c>
      <c r="D143" s="32" t="s">
        <v>1700</v>
      </c>
      <c r="E143" s="33">
        <v>8</v>
      </c>
      <c r="F143" s="33">
        <v>186</v>
      </c>
      <c r="G143" s="33">
        <v>8</v>
      </c>
      <c r="H143" s="13">
        <f t="shared" si="2"/>
        <v>23.25</v>
      </c>
    </row>
    <row r="144" spans="1:8" hidden="1" outlineLevel="2">
      <c r="A144" s="32" t="s">
        <v>1238</v>
      </c>
      <c r="B144" s="32" t="s">
        <v>86</v>
      </c>
      <c r="C144" s="32" t="s">
        <v>1378</v>
      </c>
      <c r="D144" s="32" t="s">
        <v>1650</v>
      </c>
      <c r="E144" s="33">
        <v>6</v>
      </c>
      <c r="F144" s="33">
        <v>138</v>
      </c>
      <c r="G144" s="33">
        <v>7</v>
      </c>
      <c r="H144" s="13">
        <f t="shared" si="2"/>
        <v>23</v>
      </c>
    </row>
    <row r="145" spans="1:8" hidden="1" outlineLevel="2">
      <c r="A145" s="32" t="s">
        <v>1238</v>
      </c>
      <c r="B145" s="32" t="s">
        <v>1862</v>
      </c>
      <c r="C145" s="32" t="s">
        <v>1454</v>
      </c>
      <c r="D145" s="32" t="s">
        <v>1553</v>
      </c>
      <c r="E145" s="33">
        <v>8</v>
      </c>
      <c r="F145" s="33">
        <v>183</v>
      </c>
      <c r="G145" s="33">
        <v>7</v>
      </c>
      <c r="H145" s="13">
        <f t="shared" si="2"/>
        <v>22.875</v>
      </c>
    </row>
    <row r="146" spans="1:8" hidden="1" outlineLevel="2">
      <c r="A146" s="32" t="s">
        <v>1238</v>
      </c>
      <c r="B146" s="32" t="s">
        <v>86</v>
      </c>
      <c r="C146" s="32" t="s">
        <v>1521</v>
      </c>
      <c r="D146" s="32" t="s">
        <v>1653</v>
      </c>
      <c r="E146" s="33">
        <v>8</v>
      </c>
      <c r="F146" s="33">
        <v>182</v>
      </c>
      <c r="G146" s="33">
        <v>8</v>
      </c>
      <c r="H146" s="13">
        <f t="shared" si="2"/>
        <v>22.75</v>
      </c>
    </row>
    <row r="147" spans="1:8" hidden="1" outlineLevel="2">
      <c r="A147" s="32" t="s">
        <v>1238</v>
      </c>
      <c r="B147" s="32" t="s">
        <v>86</v>
      </c>
      <c r="C147" s="32" t="s">
        <v>378</v>
      </c>
      <c r="D147" s="32" t="s">
        <v>1493</v>
      </c>
      <c r="E147" s="33">
        <v>20</v>
      </c>
      <c r="F147" s="33">
        <v>453</v>
      </c>
      <c r="G147" s="33">
        <v>20</v>
      </c>
      <c r="H147" s="13">
        <f t="shared" si="2"/>
        <v>22.65</v>
      </c>
    </row>
    <row r="148" spans="1:8" hidden="1" outlineLevel="2">
      <c r="A148" s="32" t="s">
        <v>1238</v>
      </c>
      <c r="B148" s="32" t="s">
        <v>1858</v>
      </c>
      <c r="C148" s="32" t="s">
        <v>1490</v>
      </c>
      <c r="D148" s="32" t="s">
        <v>1356</v>
      </c>
      <c r="E148" s="33">
        <v>12</v>
      </c>
      <c r="F148" s="33">
        <v>271</v>
      </c>
      <c r="G148" s="33">
        <v>4</v>
      </c>
      <c r="H148" s="13">
        <f t="shared" si="2"/>
        <v>22.583333333333332</v>
      </c>
    </row>
    <row r="149" spans="1:8" hidden="1" outlineLevel="2">
      <c r="A149" s="32" t="s">
        <v>1238</v>
      </c>
      <c r="B149" s="32" t="s">
        <v>1862</v>
      </c>
      <c r="C149" s="32" t="s">
        <v>964</v>
      </c>
      <c r="D149" s="32" t="s">
        <v>1668</v>
      </c>
      <c r="E149" s="33">
        <v>24</v>
      </c>
      <c r="F149" s="33">
        <v>542</v>
      </c>
      <c r="G149" s="33">
        <v>19</v>
      </c>
      <c r="H149" s="13">
        <f t="shared" si="2"/>
        <v>22.583333333333332</v>
      </c>
    </row>
    <row r="150" spans="1:8" hidden="1" outlineLevel="2">
      <c r="A150" s="32" t="s">
        <v>1238</v>
      </c>
      <c r="B150" s="32" t="s">
        <v>1858</v>
      </c>
      <c r="C150" s="32" t="s">
        <v>908</v>
      </c>
      <c r="D150" s="32" t="s">
        <v>1301</v>
      </c>
      <c r="E150" s="33">
        <v>38</v>
      </c>
      <c r="F150" s="33">
        <v>858</v>
      </c>
      <c r="G150" s="33">
        <v>36</v>
      </c>
      <c r="H150" s="13">
        <f t="shared" si="2"/>
        <v>22.578947368421051</v>
      </c>
    </row>
    <row r="151" spans="1:8" hidden="1" outlineLevel="2">
      <c r="A151" s="32" t="s">
        <v>1238</v>
      </c>
      <c r="B151" s="32" t="s">
        <v>1862</v>
      </c>
      <c r="C151" s="32" t="s">
        <v>1000</v>
      </c>
      <c r="D151" s="32" t="s">
        <v>1470</v>
      </c>
      <c r="E151" s="33">
        <v>15</v>
      </c>
      <c r="F151" s="33">
        <v>337</v>
      </c>
      <c r="G151" s="33">
        <v>10</v>
      </c>
      <c r="H151" s="13">
        <f t="shared" si="2"/>
        <v>22.466666666666665</v>
      </c>
    </row>
    <row r="152" spans="1:8" hidden="1" outlineLevel="2">
      <c r="A152" s="32" t="s">
        <v>1238</v>
      </c>
      <c r="B152" s="32" t="s">
        <v>1858</v>
      </c>
      <c r="C152" s="32" t="s">
        <v>1344</v>
      </c>
      <c r="D152" s="32" t="s">
        <v>1345</v>
      </c>
      <c r="E152" s="33">
        <v>48</v>
      </c>
      <c r="F152" s="33">
        <v>1077</v>
      </c>
      <c r="G152" s="33">
        <v>46</v>
      </c>
      <c r="H152" s="13">
        <f t="shared" si="2"/>
        <v>22.4375</v>
      </c>
    </row>
    <row r="153" spans="1:8" hidden="1" outlineLevel="2">
      <c r="A153" s="32" t="s">
        <v>1238</v>
      </c>
      <c r="B153" s="32" t="s">
        <v>86</v>
      </c>
      <c r="C153" s="32" t="s">
        <v>1521</v>
      </c>
      <c r="D153" s="32" t="s">
        <v>1654</v>
      </c>
      <c r="E153" s="33">
        <v>8</v>
      </c>
      <c r="F153" s="33">
        <v>178</v>
      </c>
      <c r="G153" s="33">
        <v>8</v>
      </c>
      <c r="H153" s="13">
        <f t="shared" si="2"/>
        <v>22.25</v>
      </c>
    </row>
    <row r="154" spans="1:8" hidden="1" outlineLevel="2">
      <c r="A154" s="32" t="s">
        <v>1238</v>
      </c>
      <c r="B154" s="32" t="s">
        <v>86</v>
      </c>
      <c r="C154" s="32" t="s">
        <v>1036</v>
      </c>
      <c r="D154" s="32" t="s">
        <v>1239</v>
      </c>
      <c r="E154" s="33">
        <v>42</v>
      </c>
      <c r="F154" s="33">
        <v>927</v>
      </c>
      <c r="G154" s="33">
        <v>32</v>
      </c>
      <c r="H154" s="13">
        <f t="shared" si="2"/>
        <v>22.071428571428573</v>
      </c>
    </row>
    <row r="155" spans="1:8" hidden="1" outlineLevel="2">
      <c r="A155" s="32" t="s">
        <v>1238</v>
      </c>
      <c r="B155" s="32" t="s">
        <v>86</v>
      </c>
      <c r="C155" s="32" t="s">
        <v>1253</v>
      </c>
      <c r="D155" s="32" t="s">
        <v>1254</v>
      </c>
      <c r="E155" s="33">
        <v>80</v>
      </c>
      <c r="F155" s="33">
        <v>1761</v>
      </c>
      <c r="G155" s="33">
        <v>80</v>
      </c>
      <c r="H155" s="13">
        <f t="shared" si="2"/>
        <v>22.012499999999999</v>
      </c>
    </row>
    <row r="156" spans="1:8" hidden="1" outlineLevel="2">
      <c r="A156" s="32" t="s">
        <v>1238</v>
      </c>
      <c r="B156" s="32" t="s">
        <v>86</v>
      </c>
      <c r="C156" s="32" t="s">
        <v>1435</v>
      </c>
      <c r="D156" s="32" t="s">
        <v>1579</v>
      </c>
      <c r="E156" s="33">
        <v>3</v>
      </c>
      <c r="F156" s="33">
        <v>66</v>
      </c>
      <c r="G156" s="33">
        <v>3</v>
      </c>
      <c r="H156" s="13">
        <f t="shared" si="2"/>
        <v>22</v>
      </c>
    </row>
    <row r="157" spans="1:8" hidden="1" outlineLevel="2">
      <c r="A157" s="32" t="s">
        <v>1238</v>
      </c>
      <c r="B157" s="32" t="s">
        <v>86</v>
      </c>
      <c r="C157" s="32" t="s">
        <v>1352</v>
      </c>
      <c r="D157" s="32" t="s">
        <v>1699</v>
      </c>
      <c r="E157" s="33">
        <v>6</v>
      </c>
      <c r="F157" s="33">
        <v>131</v>
      </c>
      <c r="G157" s="33">
        <v>6</v>
      </c>
      <c r="H157" s="13">
        <f t="shared" si="2"/>
        <v>21.833333333333332</v>
      </c>
    </row>
    <row r="158" spans="1:8" hidden="1" outlineLevel="2">
      <c r="A158" s="32" t="s">
        <v>1238</v>
      </c>
      <c r="B158" s="32" t="s">
        <v>1862</v>
      </c>
      <c r="C158" s="32" t="s">
        <v>1454</v>
      </c>
      <c r="D158" s="32" t="s">
        <v>1455</v>
      </c>
      <c r="E158" s="33">
        <v>8</v>
      </c>
      <c r="F158" s="33">
        <v>173</v>
      </c>
      <c r="G158" s="33">
        <v>8</v>
      </c>
      <c r="H158" s="13">
        <f t="shared" si="2"/>
        <v>21.625</v>
      </c>
    </row>
    <row r="159" spans="1:8" hidden="1" outlineLevel="2">
      <c r="A159" s="32" t="s">
        <v>1238</v>
      </c>
      <c r="B159" s="32" t="s">
        <v>1862</v>
      </c>
      <c r="C159" s="32" t="s">
        <v>1384</v>
      </c>
      <c r="D159" s="32" t="s">
        <v>1729</v>
      </c>
      <c r="E159" s="33">
        <v>16</v>
      </c>
      <c r="F159" s="33">
        <v>344</v>
      </c>
      <c r="G159" s="33">
        <v>16</v>
      </c>
      <c r="H159" s="13">
        <f t="shared" si="2"/>
        <v>21.5</v>
      </c>
    </row>
    <row r="160" spans="1:8" hidden="1" outlineLevel="2">
      <c r="A160" s="32" t="s">
        <v>1238</v>
      </c>
      <c r="B160" s="32" t="s">
        <v>1858</v>
      </c>
      <c r="C160" s="32" t="s">
        <v>1848</v>
      </c>
      <c r="D160" s="32" t="s">
        <v>1303</v>
      </c>
      <c r="E160" s="33">
        <v>120</v>
      </c>
      <c r="F160" s="33">
        <v>2543</v>
      </c>
      <c r="G160" s="33">
        <v>119</v>
      </c>
      <c r="H160" s="13">
        <f t="shared" si="2"/>
        <v>21.191666666666666</v>
      </c>
    </row>
    <row r="161" spans="1:8" hidden="1" outlineLevel="2">
      <c r="A161" s="32" t="s">
        <v>1238</v>
      </c>
      <c r="B161" s="32" t="s">
        <v>1858</v>
      </c>
      <c r="C161" s="32" t="s">
        <v>1149</v>
      </c>
      <c r="D161" s="32" t="s">
        <v>1633</v>
      </c>
      <c r="E161" s="33">
        <v>15</v>
      </c>
      <c r="F161" s="33">
        <v>314</v>
      </c>
      <c r="G161" s="33">
        <v>12</v>
      </c>
      <c r="H161" s="13">
        <f t="shared" si="2"/>
        <v>20.933333333333334</v>
      </c>
    </row>
    <row r="162" spans="1:8" hidden="1" outlineLevel="2">
      <c r="A162" s="32" t="s">
        <v>1238</v>
      </c>
      <c r="B162" s="32" t="s">
        <v>86</v>
      </c>
      <c r="C162" s="32" t="s">
        <v>1355</v>
      </c>
      <c r="D162" s="32" t="s">
        <v>1356</v>
      </c>
      <c r="E162" s="33">
        <v>15</v>
      </c>
      <c r="F162" s="33">
        <v>312</v>
      </c>
      <c r="G162" s="33">
        <v>10</v>
      </c>
      <c r="H162" s="13">
        <f t="shared" si="2"/>
        <v>20.8</v>
      </c>
    </row>
    <row r="163" spans="1:8" hidden="1" outlineLevel="2">
      <c r="A163" s="32" t="s">
        <v>1238</v>
      </c>
      <c r="B163" s="32" t="s">
        <v>86</v>
      </c>
      <c r="C163" s="32" t="s">
        <v>873</v>
      </c>
      <c r="D163" s="32" t="s">
        <v>1301</v>
      </c>
      <c r="E163" s="33">
        <v>35</v>
      </c>
      <c r="F163" s="33">
        <v>720</v>
      </c>
      <c r="G163" s="33">
        <v>30</v>
      </c>
      <c r="H163" s="13">
        <f t="shared" si="2"/>
        <v>20.571428571428573</v>
      </c>
    </row>
    <row r="164" spans="1:8" hidden="1" outlineLevel="2">
      <c r="A164" s="32" t="s">
        <v>1238</v>
      </c>
      <c r="B164" s="32" t="s">
        <v>1858</v>
      </c>
      <c r="C164" s="32" t="s">
        <v>242</v>
      </c>
      <c r="D164" s="32" t="s">
        <v>1359</v>
      </c>
      <c r="E164" s="33">
        <v>30</v>
      </c>
      <c r="F164" s="33">
        <v>617</v>
      </c>
      <c r="G164" s="33">
        <v>30</v>
      </c>
      <c r="H164" s="13">
        <f t="shared" si="2"/>
        <v>20.566666666666666</v>
      </c>
    </row>
    <row r="165" spans="1:8" hidden="1" outlineLevel="2">
      <c r="A165" s="32" t="s">
        <v>1238</v>
      </c>
      <c r="B165" s="32" t="s">
        <v>1862</v>
      </c>
      <c r="C165" s="32" t="s">
        <v>962</v>
      </c>
      <c r="D165" s="32" t="s">
        <v>1239</v>
      </c>
      <c r="E165" s="33">
        <v>12</v>
      </c>
      <c r="F165" s="33">
        <v>246</v>
      </c>
      <c r="G165" s="33">
        <v>11</v>
      </c>
      <c r="H165" s="13">
        <f t="shared" si="2"/>
        <v>20.5</v>
      </c>
    </row>
    <row r="166" spans="1:8" hidden="1" outlineLevel="2">
      <c r="A166" s="32" t="s">
        <v>1238</v>
      </c>
      <c r="B166" s="32" t="s">
        <v>1858</v>
      </c>
      <c r="C166" s="32" t="s">
        <v>914</v>
      </c>
      <c r="D166" s="32" t="s">
        <v>1713</v>
      </c>
      <c r="E166" s="33">
        <v>23</v>
      </c>
      <c r="F166" s="33">
        <v>469</v>
      </c>
      <c r="G166" s="33">
        <v>22</v>
      </c>
      <c r="H166" s="13">
        <f t="shared" si="2"/>
        <v>20.391304347826086</v>
      </c>
    </row>
    <row r="167" spans="1:8" hidden="1" outlineLevel="2">
      <c r="A167" s="32" t="s">
        <v>1238</v>
      </c>
      <c r="B167" s="32" t="s">
        <v>1858</v>
      </c>
      <c r="C167" s="32" t="s">
        <v>939</v>
      </c>
      <c r="D167" s="32" t="s">
        <v>1301</v>
      </c>
      <c r="E167" s="33">
        <v>35</v>
      </c>
      <c r="F167" s="33">
        <v>704</v>
      </c>
      <c r="G167" s="33">
        <v>34</v>
      </c>
      <c r="H167" s="13">
        <f t="shared" si="2"/>
        <v>20.114285714285714</v>
      </c>
    </row>
    <row r="168" spans="1:8" hidden="1" outlineLevel="2">
      <c r="A168" s="32" t="s">
        <v>1238</v>
      </c>
      <c r="B168" s="32" t="s">
        <v>86</v>
      </c>
      <c r="C168" s="32" t="s">
        <v>119</v>
      </c>
      <c r="D168" s="32" t="s">
        <v>1441</v>
      </c>
      <c r="E168" s="33">
        <v>136</v>
      </c>
      <c r="F168" s="33">
        <v>2732</v>
      </c>
      <c r="G168" s="33">
        <v>135</v>
      </c>
      <c r="H168" s="13">
        <f t="shared" si="2"/>
        <v>20.088235294117649</v>
      </c>
    </row>
    <row r="169" spans="1:8" hidden="1" outlineLevel="2">
      <c r="A169" s="32" t="s">
        <v>1238</v>
      </c>
      <c r="B169" s="32" t="s">
        <v>1862</v>
      </c>
      <c r="C169" s="32" t="s">
        <v>1185</v>
      </c>
      <c r="D169" s="32" t="s">
        <v>1375</v>
      </c>
      <c r="E169" s="33">
        <v>24</v>
      </c>
      <c r="F169" s="33">
        <v>472</v>
      </c>
      <c r="G169" s="33">
        <v>24</v>
      </c>
      <c r="H169" s="13">
        <f t="shared" si="2"/>
        <v>19.666666666666668</v>
      </c>
    </row>
    <row r="170" spans="1:8" hidden="1" outlineLevel="2">
      <c r="A170" s="32" t="s">
        <v>1238</v>
      </c>
      <c r="B170" s="32" t="s">
        <v>86</v>
      </c>
      <c r="C170" s="32" t="s">
        <v>110</v>
      </c>
      <c r="D170" s="32" t="s">
        <v>1496</v>
      </c>
      <c r="E170" s="33">
        <v>60</v>
      </c>
      <c r="F170" s="33">
        <v>1178</v>
      </c>
      <c r="G170" s="33">
        <v>60</v>
      </c>
      <c r="H170" s="13">
        <f t="shared" si="2"/>
        <v>19.633333333333333</v>
      </c>
    </row>
    <row r="171" spans="1:8" hidden="1" outlineLevel="2">
      <c r="A171" s="32" t="s">
        <v>1238</v>
      </c>
      <c r="B171" s="32" t="s">
        <v>86</v>
      </c>
      <c r="C171" s="32" t="s">
        <v>1242</v>
      </c>
      <c r="D171" s="32" t="s">
        <v>1243</v>
      </c>
      <c r="E171" s="33">
        <v>600</v>
      </c>
      <c r="F171" s="33">
        <v>11731</v>
      </c>
      <c r="G171" s="33">
        <v>608</v>
      </c>
      <c r="H171" s="13">
        <f t="shared" si="2"/>
        <v>19.551666666666666</v>
      </c>
    </row>
    <row r="172" spans="1:8" hidden="1" outlineLevel="2">
      <c r="A172" s="32" t="s">
        <v>1238</v>
      </c>
      <c r="B172" s="32" t="s">
        <v>1862</v>
      </c>
      <c r="C172" s="32" t="s">
        <v>1708</v>
      </c>
      <c r="D172" s="32" t="s">
        <v>1668</v>
      </c>
      <c r="E172" s="33">
        <v>12</v>
      </c>
      <c r="F172" s="33">
        <v>231</v>
      </c>
      <c r="G172" s="33">
        <v>10</v>
      </c>
      <c r="H172" s="13">
        <f t="shared" si="2"/>
        <v>19.25</v>
      </c>
    </row>
    <row r="173" spans="1:8" hidden="1" outlineLevel="2">
      <c r="A173" s="32" t="s">
        <v>1238</v>
      </c>
      <c r="B173" s="32" t="s">
        <v>86</v>
      </c>
      <c r="C173" s="32" t="s">
        <v>119</v>
      </c>
      <c r="D173" s="32" t="s">
        <v>1371</v>
      </c>
      <c r="E173" s="33">
        <v>16</v>
      </c>
      <c r="F173" s="33">
        <v>307</v>
      </c>
      <c r="G173" s="33">
        <v>16</v>
      </c>
      <c r="H173" s="13">
        <f t="shared" si="2"/>
        <v>19.1875</v>
      </c>
    </row>
    <row r="174" spans="1:8" hidden="1" outlineLevel="2">
      <c r="A174" s="32" t="s">
        <v>1238</v>
      </c>
      <c r="B174" s="32" t="s">
        <v>1858</v>
      </c>
      <c r="C174" s="32" t="s">
        <v>1266</v>
      </c>
      <c r="D174" s="32" t="s">
        <v>1446</v>
      </c>
      <c r="E174" s="33">
        <v>6</v>
      </c>
      <c r="F174" s="33">
        <v>113</v>
      </c>
      <c r="G174" s="33">
        <v>6</v>
      </c>
      <c r="H174" s="13">
        <f t="shared" si="2"/>
        <v>18.833333333333332</v>
      </c>
    </row>
    <row r="175" spans="1:8" hidden="1" outlineLevel="2">
      <c r="A175" s="32" t="s">
        <v>1238</v>
      </c>
      <c r="B175" s="32" t="s">
        <v>86</v>
      </c>
      <c r="C175" s="32" t="s">
        <v>1435</v>
      </c>
      <c r="D175" s="32" t="s">
        <v>1436</v>
      </c>
      <c r="E175" s="33">
        <v>17</v>
      </c>
      <c r="F175" s="33">
        <v>313</v>
      </c>
      <c r="G175" s="33">
        <v>20</v>
      </c>
      <c r="H175" s="13">
        <f t="shared" si="2"/>
        <v>18.411764705882351</v>
      </c>
    </row>
    <row r="176" spans="1:8" hidden="1" outlineLevel="2">
      <c r="A176" s="32" t="s">
        <v>1238</v>
      </c>
      <c r="B176" s="32" t="s">
        <v>1858</v>
      </c>
      <c r="C176" s="32" t="s">
        <v>882</v>
      </c>
      <c r="D176" s="32" t="s">
        <v>1666</v>
      </c>
      <c r="E176" s="33">
        <v>10</v>
      </c>
      <c r="F176" s="33">
        <v>184</v>
      </c>
      <c r="G176" s="33">
        <v>5</v>
      </c>
      <c r="H176" s="13">
        <f t="shared" si="2"/>
        <v>18.399999999999999</v>
      </c>
    </row>
    <row r="177" spans="1:8" hidden="1" outlineLevel="2">
      <c r="A177" s="32" t="s">
        <v>1238</v>
      </c>
      <c r="B177" s="32" t="s">
        <v>1858</v>
      </c>
      <c r="C177" s="32" t="s">
        <v>1143</v>
      </c>
      <c r="D177" s="32" t="s">
        <v>1847</v>
      </c>
      <c r="E177" s="33">
        <v>30</v>
      </c>
      <c r="F177" s="33">
        <v>551</v>
      </c>
      <c r="G177" s="33">
        <v>27</v>
      </c>
      <c r="H177" s="13">
        <f t="shared" si="2"/>
        <v>18.366666666666667</v>
      </c>
    </row>
    <row r="178" spans="1:8" hidden="1" outlineLevel="2">
      <c r="A178" s="32" t="s">
        <v>1238</v>
      </c>
      <c r="B178" s="32" t="s">
        <v>86</v>
      </c>
      <c r="C178" s="32" t="s">
        <v>110</v>
      </c>
      <c r="D178" s="32" t="s">
        <v>1496</v>
      </c>
      <c r="E178" s="33">
        <v>6</v>
      </c>
      <c r="F178" s="33">
        <v>110</v>
      </c>
      <c r="G178" s="33">
        <v>2</v>
      </c>
      <c r="H178" s="13">
        <f t="shared" si="2"/>
        <v>18.333333333333332</v>
      </c>
    </row>
    <row r="179" spans="1:8" hidden="1" outlineLevel="2">
      <c r="A179" s="32" t="s">
        <v>1238</v>
      </c>
      <c r="B179" s="32" t="s">
        <v>86</v>
      </c>
      <c r="C179" s="32" t="s">
        <v>1762</v>
      </c>
      <c r="D179" s="32" t="s">
        <v>1303</v>
      </c>
      <c r="E179" s="33">
        <v>250</v>
      </c>
      <c r="F179" s="33">
        <v>4445</v>
      </c>
      <c r="G179" s="33">
        <v>250</v>
      </c>
      <c r="H179" s="13">
        <f t="shared" si="2"/>
        <v>17.78</v>
      </c>
    </row>
    <row r="180" spans="1:8" hidden="1" outlineLevel="2">
      <c r="A180" s="32" t="s">
        <v>1238</v>
      </c>
      <c r="B180" s="32" t="s">
        <v>86</v>
      </c>
      <c r="C180" s="32" t="s">
        <v>1336</v>
      </c>
      <c r="D180" s="32" t="s">
        <v>1843</v>
      </c>
      <c r="E180" s="33">
        <v>16</v>
      </c>
      <c r="F180" s="33">
        <v>283</v>
      </c>
      <c r="G180" s="33">
        <v>17</v>
      </c>
      <c r="H180" s="13">
        <f t="shared" si="2"/>
        <v>17.6875</v>
      </c>
    </row>
    <row r="181" spans="1:8" hidden="1" outlineLevel="2">
      <c r="A181" s="32" t="s">
        <v>1238</v>
      </c>
      <c r="B181" s="32" t="s">
        <v>86</v>
      </c>
      <c r="C181" s="32" t="s">
        <v>857</v>
      </c>
      <c r="D181" s="32" t="s">
        <v>1376</v>
      </c>
      <c r="E181" s="33">
        <v>15</v>
      </c>
      <c r="F181" s="33">
        <v>261</v>
      </c>
      <c r="G181" s="33">
        <v>11</v>
      </c>
      <c r="H181" s="13">
        <f t="shared" si="2"/>
        <v>17.399999999999999</v>
      </c>
    </row>
    <row r="182" spans="1:8" hidden="1" outlineLevel="2">
      <c r="A182" s="32" t="s">
        <v>1238</v>
      </c>
      <c r="B182" s="32" t="s">
        <v>1862</v>
      </c>
      <c r="C182" s="32" t="s">
        <v>99</v>
      </c>
      <c r="D182" s="32" t="s">
        <v>1393</v>
      </c>
      <c r="E182" s="33">
        <v>25</v>
      </c>
      <c r="F182" s="33">
        <v>433</v>
      </c>
      <c r="G182" s="33">
        <v>20</v>
      </c>
      <c r="H182" s="13">
        <f t="shared" si="2"/>
        <v>17.32</v>
      </c>
    </row>
    <row r="183" spans="1:8" hidden="1" outlineLevel="2">
      <c r="A183" s="32" t="s">
        <v>1238</v>
      </c>
      <c r="B183" s="32" t="s">
        <v>86</v>
      </c>
      <c r="C183" s="32" t="s">
        <v>1778</v>
      </c>
      <c r="D183" s="32" t="s">
        <v>1572</v>
      </c>
      <c r="E183" s="33">
        <v>53</v>
      </c>
      <c r="F183" s="33">
        <v>911</v>
      </c>
      <c r="G183" s="33">
        <v>49</v>
      </c>
      <c r="H183" s="13">
        <f t="shared" si="2"/>
        <v>17.188679245283019</v>
      </c>
    </row>
    <row r="184" spans="1:8" hidden="1" outlineLevel="2">
      <c r="A184" s="32" t="s">
        <v>1238</v>
      </c>
      <c r="B184" s="32" t="s">
        <v>1858</v>
      </c>
      <c r="C184" s="32" t="s">
        <v>144</v>
      </c>
      <c r="D184" s="32" t="s">
        <v>1491</v>
      </c>
      <c r="E184" s="33">
        <v>36</v>
      </c>
      <c r="F184" s="33">
        <v>616</v>
      </c>
      <c r="G184" s="33">
        <v>35</v>
      </c>
      <c r="H184" s="13">
        <f t="shared" si="2"/>
        <v>17.111111111111111</v>
      </c>
    </row>
    <row r="185" spans="1:8" hidden="1" outlineLevel="2">
      <c r="A185" s="32" t="s">
        <v>1238</v>
      </c>
      <c r="B185" s="32" t="s">
        <v>86</v>
      </c>
      <c r="C185" s="32" t="s">
        <v>874</v>
      </c>
      <c r="D185" s="32" t="s">
        <v>1301</v>
      </c>
      <c r="E185" s="33">
        <v>36</v>
      </c>
      <c r="F185" s="33">
        <v>615</v>
      </c>
      <c r="G185" s="33">
        <v>36</v>
      </c>
      <c r="H185" s="13">
        <f t="shared" si="2"/>
        <v>17.083333333333332</v>
      </c>
    </row>
    <row r="186" spans="1:8" hidden="1" outlineLevel="2">
      <c r="A186" s="32" t="s">
        <v>1238</v>
      </c>
      <c r="B186" s="32" t="s">
        <v>86</v>
      </c>
      <c r="C186" s="32" t="s">
        <v>1717</v>
      </c>
      <c r="D186" s="32" t="s">
        <v>1453</v>
      </c>
      <c r="E186" s="33">
        <v>37</v>
      </c>
      <c r="F186" s="33">
        <v>621</v>
      </c>
      <c r="G186" s="33">
        <v>37</v>
      </c>
      <c r="H186" s="13">
        <f t="shared" si="2"/>
        <v>16.783783783783782</v>
      </c>
    </row>
    <row r="187" spans="1:8" hidden="1" outlineLevel="2">
      <c r="A187" s="32" t="s">
        <v>1238</v>
      </c>
      <c r="B187" s="32" t="s">
        <v>86</v>
      </c>
      <c r="C187" s="32" t="s">
        <v>862</v>
      </c>
      <c r="D187" s="32" t="s">
        <v>1356</v>
      </c>
      <c r="E187" s="33">
        <v>15</v>
      </c>
      <c r="F187" s="33">
        <v>248</v>
      </c>
      <c r="G187" s="33">
        <v>14</v>
      </c>
      <c r="H187" s="13">
        <f t="shared" si="2"/>
        <v>16.533333333333335</v>
      </c>
    </row>
    <row r="188" spans="1:8" hidden="1" outlineLevel="2">
      <c r="A188" s="32" t="s">
        <v>1238</v>
      </c>
      <c r="B188" s="32" t="s">
        <v>1858</v>
      </c>
      <c r="C188" s="32" t="s">
        <v>144</v>
      </c>
      <c r="D188" s="32" t="s">
        <v>1511</v>
      </c>
      <c r="E188" s="33">
        <v>20</v>
      </c>
      <c r="F188" s="33">
        <v>327</v>
      </c>
      <c r="G188" s="33">
        <v>20</v>
      </c>
      <c r="H188" s="13">
        <f t="shared" si="2"/>
        <v>16.350000000000001</v>
      </c>
    </row>
    <row r="189" spans="1:8" hidden="1" outlineLevel="2">
      <c r="A189" s="32" t="s">
        <v>1238</v>
      </c>
      <c r="B189" s="32" t="s">
        <v>86</v>
      </c>
      <c r="C189" s="32" t="s">
        <v>1352</v>
      </c>
      <c r="D189" s="32" t="s">
        <v>1601</v>
      </c>
      <c r="E189" s="33">
        <v>6</v>
      </c>
      <c r="F189" s="33">
        <v>97</v>
      </c>
      <c r="G189" s="33">
        <v>6</v>
      </c>
      <c r="H189" s="13">
        <f t="shared" si="2"/>
        <v>16.166666666666668</v>
      </c>
    </row>
    <row r="190" spans="1:8" hidden="1" outlineLevel="2">
      <c r="A190" s="32" t="s">
        <v>1238</v>
      </c>
      <c r="B190" s="32" t="s">
        <v>1862</v>
      </c>
      <c r="C190" s="32" t="s">
        <v>1273</v>
      </c>
      <c r="D190" s="32" t="s">
        <v>1276</v>
      </c>
      <c r="E190" s="33">
        <v>3</v>
      </c>
      <c r="F190" s="33">
        <v>48</v>
      </c>
      <c r="G190" s="33">
        <v>3</v>
      </c>
      <c r="H190" s="13">
        <f t="shared" si="2"/>
        <v>16</v>
      </c>
    </row>
    <row r="191" spans="1:8" hidden="1" outlineLevel="2">
      <c r="A191" s="32" t="s">
        <v>1238</v>
      </c>
      <c r="B191" s="32" t="s">
        <v>86</v>
      </c>
      <c r="C191" s="32" t="s">
        <v>1478</v>
      </c>
      <c r="D191" s="32" t="s">
        <v>1675</v>
      </c>
      <c r="E191" s="33">
        <v>10</v>
      </c>
      <c r="F191" s="33">
        <v>160</v>
      </c>
      <c r="G191" s="33">
        <v>9</v>
      </c>
      <c r="H191" s="13">
        <f t="shared" si="2"/>
        <v>16</v>
      </c>
    </row>
    <row r="192" spans="1:8" hidden="1" outlineLevel="2">
      <c r="A192" s="32" t="s">
        <v>1238</v>
      </c>
      <c r="B192" s="32" t="s">
        <v>86</v>
      </c>
      <c r="C192" s="32" t="s">
        <v>1336</v>
      </c>
      <c r="D192" s="32" t="s">
        <v>1337</v>
      </c>
      <c r="E192" s="33">
        <v>20</v>
      </c>
      <c r="F192" s="33">
        <v>319</v>
      </c>
      <c r="G192" s="33">
        <v>20</v>
      </c>
      <c r="H192" s="13">
        <f t="shared" si="2"/>
        <v>15.95</v>
      </c>
    </row>
    <row r="193" spans="1:8" hidden="1" outlineLevel="2">
      <c r="A193" s="32" t="s">
        <v>1238</v>
      </c>
      <c r="B193" s="32" t="s">
        <v>86</v>
      </c>
      <c r="C193" s="32" t="s">
        <v>1197</v>
      </c>
      <c r="D193" s="32" t="s">
        <v>1492</v>
      </c>
      <c r="E193" s="33">
        <v>12</v>
      </c>
      <c r="F193" s="33">
        <v>191</v>
      </c>
      <c r="G193" s="33">
        <v>12</v>
      </c>
      <c r="H193" s="13">
        <f t="shared" si="2"/>
        <v>15.916666666666666</v>
      </c>
    </row>
    <row r="194" spans="1:8" hidden="1" outlineLevel="2">
      <c r="A194" s="32" t="s">
        <v>1238</v>
      </c>
      <c r="B194" s="32" t="s">
        <v>86</v>
      </c>
      <c r="C194" s="32" t="s">
        <v>1037</v>
      </c>
      <c r="D194" s="32" t="s">
        <v>1520</v>
      </c>
      <c r="E194" s="33">
        <v>10</v>
      </c>
      <c r="F194" s="33">
        <v>157</v>
      </c>
      <c r="G194" s="33">
        <v>10</v>
      </c>
      <c r="H194" s="13">
        <f t="shared" ref="H194:H257" si="3">IFERROR(F194/E194,"")</f>
        <v>15.7</v>
      </c>
    </row>
    <row r="195" spans="1:8" hidden="1" outlineLevel="2">
      <c r="A195" s="32" t="s">
        <v>1238</v>
      </c>
      <c r="B195" s="32" t="s">
        <v>86</v>
      </c>
      <c r="C195" s="32" t="s">
        <v>1271</v>
      </c>
      <c r="D195" s="32" t="s">
        <v>1620</v>
      </c>
      <c r="E195" s="33">
        <v>30</v>
      </c>
      <c r="F195" s="33">
        <v>468</v>
      </c>
      <c r="G195" s="33">
        <v>30</v>
      </c>
      <c r="H195" s="13">
        <f t="shared" si="3"/>
        <v>15.6</v>
      </c>
    </row>
    <row r="196" spans="1:8" hidden="1" outlineLevel="2">
      <c r="A196" s="32" t="s">
        <v>1238</v>
      </c>
      <c r="B196" s="32" t="s">
        <v>1858</v>
      </c>
      <c r="C196" s="32" t="s">
        <v>800</v>
      </c>
      <c r="D196" s="32" t="s">
        <v>1301</v>
      </c>
      <c r="E196" s="33">
        <v>68</v>
      </c>
      <c r="F196" s="33">
        <v>1052</v>
      </c>
      <c r="G196" s="33">
        <v>69</v>
      </c>
      <c r="H196" s="13">
        <f t="shared" si="3"/>
        <v>15.470588235294118</v>
      </c>
    </row>
    <row r="197" spans="1:8" hidden="1" outlineLevel="2">
      <c r="A197" s="32" t="s">
        <v>1238</v>
      </c>
      <c r="B197" s="32" t="s">
        <v>1858</v>
      </c>
      <c r="C197" s="32" t="s">
        <v>144</v>
      </c>
      <c r="D197" s="32" t="s">
        <v>1813</v>
      </c>
      <c r="E197" s="33">
        <v>20</v>
      </c>
      <c r="F197" s="33">
        <v>308</v>
      </c>
      <c r="G197" s="33">
        <v>7</v>
      </c>
      <c r="H197" s="13">
        <f t="shared" si="3"/>
        <v>15.4</v>
      </c>
    </row>
    <row r="198" spans="1:8" hidden="1" outlineLevel="2">
      <c r="A198" s="32" t="s">
        <v>1238</v>
      </c>
      <c r="B198" s="32" t="s">
        <v>1862</v>
      </c>
      <c r="C198" s="32" t="s">
        <v>1186</v>
      </c>
      <c r="D198" s="32" t="s">
        <v>1492</v>
      </c>
      <c r="E198" s="33">
        <v>12</v>
      </c>
      <c r="F198" s="33">
        <v>182</v>
      </c>
      <c r="G198" s="33">
        <v>12</v>
      </c>
      <c r="H198" s="13">
        <f t="shared" si="3"/>
        <v>15.166666666666666</v>
      </c>
    </row>
    <row r="199" spans="1:8" hidden="1" outlineLevel="2">
      <c r="A199" s="32" t="s">
        <v>1238</v>
      </c>
      <c r="B199" s="32" t="s">
        <v>1862</v>
      </c>
      <c r="C199" s="32" t="s">
        <v>1080</v>
      </c>
      <c r="D199" s="32" t="s">
        <v>1239</v>
      </c>
      <c r="E199" s="33">
        <v>30</v>
      </c>
      <c r="F199" s="33">
        <v>455</v>
      </c>
      <c r="G199" s="33">
        <v>28</v>
      </c>
      <c r="H199" s="13">
        <f t="shared" si="3"/>
        <v>15.166666666666666</v>
      </c>
    </row>
    <row r="200" spans="1:8" hidden="1" outlineLevel="2">
      <c r="A200" s="32" t="s">
        <v>1238</v>
      </c>
      <c r="B200" s="32" t="s">
        <v>1858</v>
      </c>
      <c r="C200" s="32" t="s">
        <v>917</v>
      </c>
      <c r="D200" s="32" t="s">
        <v>1375</v>
      </c>
      <c r="E200" s="33">
        <v>30</v>
      </c>
      <c r="F200" s="33">
        <v>451</v>
      </c>
      <c r="G200" s="33">
        <v>29</v>
      </c>
      <c r="H200" s="13">
        <f t="shared" si="3"/>
        <v>15.033333333333333</v>
      </c>
    </row>
    <row r="201" spans="1:8" hidden="1" outlineLevel="2">
      <c r="A201" s="32" t="s">
        <v>1238</v>
      </c>
      <c r="B201" s="32" t="s">
        <v>1862</v>
      </c>
      <c r="C201" s="32" t="s">
        <v>1326</v>
      </c>
      <c r="D201" s="32" t="s">
        <v>1616</v>
      </c>
      <c r="E201" s="33">
        <v>25</v>
      </c>
      <c r="F201" s="33">
        <v>374</v>
      </c>
      <c r="G201" s="33">
        <v>23</v>
      </c>
      <c r="H201" s="13">
        <f t="shared" si="3"/>
        <v>14.96</v>
      </c>
    </row>
    <row r="202" spans="1:8" hidden="1" outlineLevel="2">
      <c r="A202" s="32" t="s">
        <v>1238</v>
      </c>
      <c r="B202" s="32" t="s">
        <v>1858</v>
      </c>
      <c r="C202" s="32" t="s">
        <v>1218</v>
      </c>
      <c r="D202" s="32" t="s">
        <v>1556</v>
      </c>
      <c r="E202" s="33">
        <v>12</v>
      </c>
      <c r="F202" s="33">
        <v>179</v>
      </c>
      <c r="G202" s="33">
        <v>10</v>
      </c>
      <c r="H202" s="13">
        <f t="shared" si="3"/>
        <v>14.916666666666666</v>
      </c>
    </row>
    <row r="203" spans="1:8" hidden="1" outlineLevel="2">
      <c r="A203" s="32" t="s">
        <v>1238</v>
      </c>
      <c r="B203" s="32" t="s">
        <v>86</v>
      </c>
      <c r="C203" s="32" t="s">
        <v>847</v>
      </c>
      <c r="D203" s="32" t="s">
        <v>1824</v>
      </c>
      <c r="E203" s="33">
        <v>12</v>
      </c>
      <c r="F203" s="33">
        <v>179</v>
      </c>
      <c r="G203" s="33">
        <v>12</v>
      </c>
      <c r="H203" s="13">
        <f t="shared" si="3"/>
        <v>14.916666666666666</v>
      </c>
    </row>
    <row r="204" spans="1:8" hidden="1" outlineLevel="2">
      <c r="A204" s="32" t="s">
        <v>1238</v>
      </c>
      <c r="B204" s="32" t="s">
        <v>1858</v>
      </c>
      <c r="C204" s="32" t="s">
        <v>1244</v>
      </c>
      <c r="D204" s="32" t="s">
        <v>1245</v>
      </c>
      <c r="E204" s="33">
        <v>25</v>
      </c>
      <c r="F204" s="33">
        <v>371</v>
      </c>
      <c r="G204" s="33">
        <v>26</v>
      </c>
      <c r="H204" s="13">
        <f t="shared" si="3"/>
        <v>14.84</v>
      </c>
    </row>
    <row r="205" spans="1:8" hidden="1" outlineLevel="2">
      <c r="A205" s="32" t="s">
        <v>1238</v>
      </c>
      <c r="B205" s="32" t="s">
        <v>1858</v>
      </c>
      <c r="C205" s="32" t="s">
        <v>1427</v>
      </c>
      <c r="D205" s="32" t="s">
        <v>1428</v>
      </c>
      <c r="E205" s="33">
        <v>25</v>
      </c>
      <c r="F205" s="33">
        <v>371</v>
      </c>
      <c r="G205" s="33">
        <v>25</v>
      </c>
      <c r="H205" s="13">
        <f t="shared" si="3"/>
        <v>14.84</v>
      </c>
    </row>
    <row r="206" spans="1:8" hidden="1" outlineLevel="2">
      <c r="A206" s="32" t="s">
        <v>1238</v>
      </c>
      <c r="B206" s="32" t="s">
        <v>86</v>
      </c>
      <c r="C206" s="32" t="s">
        <v>1242</v>
      </c>
      <c r="D206" s="32" t="s">
        <v>1420</v>
      </c>
      <c r="E206" s="33">
        <v>30</v>
      </c>
      <c r="F206" s="33">
        <v>445</v>
      </c>
      <c r="G206" s="33">
        <v>28</v>
      </c>
      <c r="H206" s="13">
        <f t="shared" si="3"/>
        <v>14.833333333333334</v>
      </c>
    </row>
    <row r="207" spans="1:8" hidden="1" outlineLevel="2">
      <c r="A207" s="32" t="s">
        <v>1238</v>
      </c>
      <c r="B207" s="32" t="s">
        <v>1862</v>
      </c>
      <c r="C207" s="32" t="s">
        <v>1152</v>
      </c>
      <c r="D207" s="32" t="s">
        <v>1301</v>
      </c>
      <c r="E207" s="33">
        <v>30</v>
      </c>
      <c r="F207" s="33">
        <v>445</v>
      </c>
      <c r="G207" s="33">
        <v>28</v>
      </c>
      <c r="H207" s="13">
        <f t="shared" si="3"/>
        <v>14.833333333333334</v>
      </c>
    </row>
    <row r="208" spans="1:8" hidden="1" outlineLevel="2">
      <c r="A208" s="32" t="s">
        <v>1238</v>
      </c>
      <c r="B208" s="32" t="s">
        <v>1862</v>
      </c>
      <c r="C208" s="32" t="s">
        <v>1074</v>
      </c>
      <c r="D208" s="32" t="s">
        <v>1645</v>
      </c>
      <c r="E208" s="33">
        <v>8</v>
      </c>
      <c r="F208" s="33">
        <v>116</v>
      </c>
      <c r="G208" s="33">
        <v>8</v>
      </c>
      <c r="H208" s="13">
        <f t="shared" si="3"/>
        <v>14.5</v>
      </c>
    </row>
    <row r="209" spans="1:8" hidden="1" outlineLevel="2">
      <c r="A209" s="32" t="s">
        <v>1238</v>
      </c>
      <c r="B209" s="32" t="s">
        <v>86</v>
      </c>
      <c r="C209" s="32" t="s">
        <v>1710</v>
      </c>
      <c r="D209" s="32" t="s">
        <v>1711</v>
      </c>
      <c r="E209" s="33">
        <v>7</v>
      </c>
      <c r="F209" s="33">
        <v>99</v>
      </c>
      <c r="G209" s="33">
        <v>7</v>
      </c>
      <c r="H209" s="13">
        <f t="shared" si="3"/>
        <v>14.142857142857142</v>
      </c>
    </row>
    <row r="210" spans="1:8" hidden="1" outlineLevel="2">
      <c r="A210" s="32" t="s">
        <v>1238</v>
      </c>
      <c r="B210" s="32" t="s">
        <v>1862</v>
      </c>
      <c r="C210" s="32" t="s">
        <v>973</v>
      </c>
      <c r="D210" s="32" t="s">
        <v>1301</v>
      </c>
      <c r="E210" s="33">
        <v>36</v>
      </c>
      <c r="F210" s="33">
        <v>508</v>
      </c>
      <c r="G210" s="33">
        <v>31</v>
      </c>
      <c r="H210" s="13">
        <f t="shared" si="3"/>
        <v>14.111111111111111</v>
      </c>
    </row>
    <row r="211" spans="1:8" hidden="1" outlineLevel="2">
      <c r="A211" s="32" t="s">
        <v>1238</v>
      </c>
      <c r="B211" s="32" t="s">
        <v>1862</v>
      </c>
      <c r="C211" s="32" t="s">
        <v>265</v>
      </c>
      <c r="D211" s="32" t="s">
        <v>1374</v>
      </c>
      <c r="E211" s="33">
        <v>78</v>
      </c>
      <c r="F211" s="33">
        <v>1098</v>
      </c>
      <c r="G211" s="33">
        <v>54</v>
      </c>
      <c r="H211" s="13">
        <f t="shared" si="3"/>
        <v>14.076923076923077</v>
      </c>
    </row>
    <row r="212" spans="1:8" hidden="1" outlineLevel="2">
      <c r="A212" s="32" t="s">
        <v>1238</v>
      </c>
      <c r="B212" s="32" t="s">
        <v>86</v>
      </c>
      <c r="C212" s="32" t="s">
        <v>138</v>
      </c>
      <c r="D212" s="32" t="s">
        <v>1837</v>
      </c>
      <c r="E212" s="33">
        <v>9</v>
      </c>
      <c r="F212" s="33">
        <v>126</v>
      </c>
      <c r="G212" s="33">
        <v>8</v>
      </c>
      <c r="H212" s="13">
        <f t="shared" si="3"/>
        <v>14</v>
      </c>
    </row>
    <row r="213" spans="1:8" hidden="1" outlineLevel="2">
      <c r="A213" s="32" t="s">
        <v>1238</v>
      </c>
      <c r="B213" s="32" t="s">
        <v>86</v>
      </c>
      <c r="C213" s="32" t="s">
        <v>190</v>
      </c>
      <c r="D213" s="32" t="s">
        <v>1603</v>
      </c>
      <c r="E213" s="33">
        <v>25</v>
      </c>
      <c r="F213" s="33">
        <v>345</v>
      </c>
      <c r="G213" s="33">
        <v>28</v>
      </c>
      <c r="H213" s="13">
        <f t="shared" si="3"/>
        <v>13.8</v>
      </c>
    </row>
    <row r="214" spans="1:8" hidden="1" outlineLevel="2">
      <c r="A214" s="32" t="s">
        <v>1238</v>
      </c>
      <c r="B214" s="32" t="s">
        <v>1858</v>
      </c>
      <c r="C214" s="32" t="s">
        <v>104</v>
      </c>
      <c r="D214" s="32" t="s">
        <v>1473</v>
      </c>
      <c r="E214" s="33">
        <v>20</v>
      </c>
      <c r="F214" s="33">
        <v>272</v>
      </c>
      <c r="G214" s="33">
        <v>21</v>
      </c>
      <c r="H214" s="13">
        <f t="shared" si="3"/>
        <v>13.6</v>
      </c>
    </row>
    <row r="215" spans="1:8" hidden="1" outlineLevel="2">
      <c r="A215" s="32" t="s">
        <v>1238</v>
      </c>
      <c r="B215" s="32" t="s">
        <v>86</v>
      </c>
      <c r="C215" s="32" t="s">
        <v>1449</v>
      </c>
      <c r="D215" s="32" t="s">
        <v>1450</v>
      </c>
      <c r="E215" s="33">
        <v>12</v>
      </c>
      <c r="F215" s="33">
        <v>161</v>
      </c>
      <c r="G215" s="33">
        <v>12</v>
      </c>
      <c r="H215" s="13">
        <f t="shared" si="3"/>
        <v>13.416666666666666</v>
      </c>
    </row>
    <row r="216" spans="1:8" hidden="1" outlineLevel="2">
      <c r="A216" s="32" t="s">
        <v>1238</v>
      </c>
      <c r="B216" s="32" t="s">
        <v>86</v>
      </c>
      <c r="C216" s="32" t="s">
        <v>1036</v>
      </c>
      <c r="D216" s="32" t="s">
        <v>1492</v>
      </c>
      <c r="E216" s="33">
        <v>12</v>
      </c>
      <c r="F216" s="33">
        <v>161</v>
      </c>
      <c r="G216" s="33">
        <v>6</v>
      </c>
      <c r="H216" s="13">
        <f t="shared" si="3"/>
        <v>13.416666666666666</v>
      </c>
    </row>
    <row r="217" spans="1:8" hidden="1" outlineLevel="2">
      <c r="A217" s="32" t="s">
        <v>1238</v>
      </c>
      <c r="B217" s="32" t="s">
        <v>1862</v>
      </c>
      <c r="C217" s="32" t="s">
        <v>1087</v>
      </c>
      <c r="D217" s="32" t="s">
        <v>1375</v>
      </c>
      <c r="E217" s="33">
        <v>24</v>
      </c>
      <c r="F217" s="33">
        <v>322</v>
      </c>
      <c r="G217" s="33">
        <v>24</v>
      </c>
      <c r="H217" s="13">
        <f t="shared" si="3"/>
        <v>13.416666666666666</v>
      </c>
    </row>
    <row r="218" spans="1:8" hidden="1" outlineLevel="2">
      <c r="A218" s="32" t="s">
        <v>1238</v>
      </c>
      <c r="B218" s="32" t="s">
        <v>1862</v>
      </c>
      <c r="C218" s="32" t="s">
        <v>1089</v>
      </c>
      <c r="D218" s="32" t="s">
        <v>1301</v>
      </c>
      <c r="E218" s="33">
        <v>36</v>
      </c>
      <c r="F218" s="33">
        <v>467</v>
      </c>
      <c r="G218" s="33">
        <v>28</v>
      </c>
      <c r="H218" s="13">
        <f t="shared" si="3"/>
        <v>12.972222222222221</v>
      </c>
    </row>
    <row r="219" spans="1:8" hidden="1" outlineLevel="2">
      <c r="A219" s="32" t="s">
        <v>1238</v>
      </c>
      <c r="B219" s="32" t="s">
        <v>1858</v>
      </c>
      <c r="C219" s="32" t="s">
        <v>1055</v>
      </c>
      <c r="D219" s="32" t="s">
        <v>1239</v>
      </c>
      <c r="E219" s="33">
        <v>28</v>
      </c>
      <c r="F219" s="33">
        <v>362</v>
      </c>
      <c r="G219" s="33">
        <v>25</v>
      </c>
      <c r="H219" s="13">
        <f t="shared" si="3"/>
        <v>12.928571428571429</v>
      </c>
    </row>
    <row r="220" spans="1:8" hidden="1" outlineLevel="2">
      <c r="A220" s="32" t="s">
        <v>1238</v>
      </c>
      <c r="B220" s="32" t="s">
        <v>86</v>
      </c>
      <c r="C220" s="32" t="s">
        <v>119</v>
      </c>
      <c r="D220" s="32" t="s">
        <v>1430</v>
      </c>
      <c r="E220" s="33">
        <v>120</v>
      </c>
      <c r="F220" s="33">
        <v>1500</v>
      </c>
      <c r="G220" s="33">
        <v>120</v>
      </c>
      <c r="H220" s="13">
        <f t="shared" si="3"/>
        <v>12.5</v>
      </c>
    </row>
    <row r="221" spans="1:8" hidden="1" outlineLevel="2">
      <c r="A221" s="32" t="s">
        <v>1238</v>
      </c>
      <c r="B221" s="32" t="s">
        <v>1858</v>
      </c>
      <c r="C221" s="32" t="s">
        <v>1613</v>
      </c>
      <c r="D221" s="32" t="s">
        <v>1614</v>
      </c>
      <c r="E221" s="33">
        <v>20</v>
      </c>
      <c r="F221" s="33">
        <v>245</v>
      </c>
      <c r="G221" s="33">
        <v>15</v>
      </c>
      <c r="H221" s="13">
        <f t="shared" si="3"/>
        <v>12.25</v>
      </c>
    </row>
    <row r="222" spans="1:8" hidden="1" outlineLevel="2">
      <c r="A222" s="32" t="s">
        <v>1238</v>
      </c>
      <c r="B222" s="32" t="s">
        <v>86</v>
      </c>
      <c r="C222" s="32" t="s">
        <v>1242</v>
      </c>
      <c r="D222" s="32" t="s">
        <v>1561</v>
      </c>
      <c r="E222" s="33">
        <v>30</v>
      </c>
      <c r="F222" s="33">
        <v>365</v>
      </c>
      <c r="G222" s="33">
        <v>32</v>
      </c>
      <c r="H222" s="13">
        <f t="shared" si="3"/>
        <v>12.166666666666666</v>
      </c>
    </row>
    <row r="223" spans="1:8" hidden="1" outlineLevel="2">
      <c r="A223" s="32" t="s">
        <v>1238</v>
      </c>
      <c r="B223" s="32" t="s">
        <v>86</v>
      </c>
      <c r="C223" s="32" t="s">
        <v>1636</v>
      </c>
      <c r="D223" s="32" t="s">
        <v>1637</v>
      </c>
      <c r="E223" s="33">
        <v>15</v>
      </c>
      <c r="F223" s="33">
        <v>181</v>
      </c>
      <c r="G223" s="33">
        <v>14</v>
      </c>
      <c r="H223" s="13">
        <f t="shared" si="3"/>
        <v>12.066666666666666</v>
      </c>
    </row>
    <row r="224" spans="1:8" hidden="1" outlineLevel="2">
      <c r="A224" s="32" t="s">
        <v>1238</v>
      </c>
      <c r="B224" s="32" t="s">
        <v>86</v>
      </c>
      <c r="C224" s="32" t="s">
        <v>1041</v>
      </c>
      <c r="D224" s="32" t="s">
        <v>1523</v>
      </c>
      <c r="E224" s="33">
        <v>17</v>
      </c>
      <c r="F224" s="33">
        <v>205</v>
      </c>
      <c r="G224" s="33">
        <v>16</v>
      </c>
      <c r="H224" s="13">
        <f t="shared" si="3"/>
        <v>12.058823529411764</v>
      </c>
    </row>
    <row r="225" spans="1:8" hidden="1" outlineLevel="2">
      <c r="A225" s="32" t="s">
        <v>1238</v>
      </c>
      <c r="B225" s="32" t="s">
        <v>1862</v>
      </c>
      <c r="C225" s="32" t="s">
        <v>1326</v>
      </c>
      <c r="D225" s="32" t="s">
        <v>1467</v>
      </c>
      <c r="E225" s="33">
        <v>25</v>
      </c>
      <c r="F225" s="33">
        <v>300</v>
      </c>
      <c r="G225" s="33">
        <v>24</v>
      </c>
      <c r="H225" s="13">
        <f t="shared" si="3"/>
        <v>12</v>
      </c>
    </row>
    <row r="226" spans="1:8" hidden="1" outlineLevel="2">
      <c r="A226" s="32" t="s">
        <v>1238</v>
      </c>
      <c r="B226" s="32" t="s">
        <v>1862</v>
      </c>
      <c r="C226" s="32" t="s">
        <v>1074</v>
      </c>
      <c r="D226" s="32" t="s">
        <v>1815</v>
      </c>
      <c r="E226" s="33">
        <v>8</v>
      </c>
      <c r="F226" s="33">
        <v>95</v>
      </c>
      <c r="G226" s="33">
        <v>8</v>
      </c>
      <c r="H226" s="13">
        <f t="shared" si="3"/>
        <v>11.875</v>
      </c>
    </row>
    <row r="227" spans="1:8" hidden="1" outlineLevel="2">
      <c r="A227" s="32" t="s">
        <v>1238</v>
      </c>
      <c r="B227" s="32" t="s">
        <v>1858</v>
      </c>
      <c r="C227" s="32" t="s">
        <v>1571</v>
      </c>
      <c r="D227" s="32" t="s">
        <v>1572</v>
      </c>
      <c r="E227" s="33">
        <v>37</v>
      </c>
      <c r="F227" s="33">
        <v>436</v>
      </c>
      <c r="G227" s="33">
        <v>39</v>
      </c>
      <c r="H227" s="13">
        <f t="shared" si="3"/>
        <v>11.783783783783784</v>
      </c>
    </row>
    <row r="228" spans="1:8" hidden="1" outlineLevel="2">
      <c r="A228" s="32" t="s">
        <v>1238</v>
      </c>
      <c r="B228" s="32" t="s">
        <v>1858</v>
      </c>
      <c r="C228" s="32" t="s">
        <v>1680</v>
      </c>
      <c r="D228" s="32" t="s">
        <v>1572</v>
      </c>
      <c r="E228" s="33">
        <v>34</v>
      </c>
      <c r="F228" s="33">
        <v>397</v>
      </c>
      <c r="G228" s="33">
        <v>34</v>
      </c>
      <c r="H228" s="13">
        <f t="shared" si="3"/>
        <v>11.676470588235293</v>
      </c>
    </row>
    <row r="229" spans="1:8" hidden="1" outlineLevel="2">
      <c r="A229" s="32" t="s">
        <v>1238</v>
      </c>
      <c r="B229" s="32" t="s">
        <v>1858</v>
      </c>
      <c r="C229" s="32" t="s">
        <v>628</v>
      </c>
      <c r="D229" s="32" t="s">
        <v>1495</v>
      </c>
      <c r="E229" s="33">
        <v>6</v>
      </c>
      <c r="F229" s="33">
        <v>70</v>
      </c>
      <c r="G229" s="33">
        <v>6</v>
      </c>
      <c r="H229" s="13">
        <f t="shared" si="3"/>
        <v>11.666666666666666</v>
      </c>
    </row>
    <row r="230" spans="1:8" hidden="1" outlineLevel="2">
      <c r="A230" s="32" t="s">
        <v>1238</v>
      </c>
      <c r="B230" s="32" t="s">
        <v>1862</v>
      </c>
      <c r="C230" s="32" t="s">
        <v>1098</v>
      </c>
      <c r="D230" s="32" t="s">
        <v>1382</v>
      </c>
      <c r="E230" s="33">
        <v>23</v>
      </c>
      <c r="F230" s="33">
        <v>267</v>
      </c>
      <c r="G230" s="33">
        <v>22</v>
      </c>
      <c r="H230" s="13">
        <f t="shared" si="3"/>
        <v>11.608695652173912</v>
      </c>
    </row>
    <row r="231" spans="1:8" hidden="1" outlineLevel="2">
      <c r="A231" s="32" t="s">
        <v>1238</v>
      </c>
      <c r="B231" s="32" t="s">
        <v>86</v>
      </c>
      <c r="C231" s="32" t="s">
        <v>877</v>
      </c>
      <c r="D231" s="32" t="s">
        <v>1492</v>
      </c>
      <c r="E231" s="33">
        <v>15</v>
      </c>
      <c r="F231" s="33">
        <v>174</v>
      </c>
      <c r="G231" s="33">
        <v>14</v>
      </c>
      <c r="H231" s="13">
        <f t="shared" si="3"/>
        <v>11.6</v>
      </c>
    </row>
    <row r="232" spans="1:8" hidden="1" outlineLevel="2">
      <c r="A232" s="32" t="s">
        <v>1238</v>
      </c>
      <c r="B232" s="32" t="s">
        <v>86</v>
      </c>
      <c r="C232" s="32" t="s">
        <v>1041</v>
      </c>
      <c r="D232" s="32" t="s">
        <v>1530</v>
      </c>
      <c r="E232" s="33">
        <v>14</v>
      </c>
      <c r="F232" s="33">
        <v>162</v>
      </c>
      <c r="G232" s="33">
        <v>12</v>
      </c>
      <c r="H232" s="13">
        <f t="shared" si="3"/>
        <v>11.571428571428571</v>
      </c>
    </row>
    <row r="233" spans="1:8" hidden="1" outlineLevel="2">
      <c r="A233" s="32" t="s">
        <v>1238</v>
      </c>
      <c r="B233" s="32" t="s">
        <v>86</v>
      </c>
      <c r="C233" s="32" t="s">
        <v>826</v>
      </c>
      <c r="D233" s="32" t="s">
        <v>1499</v>
      </c>
      <c r="E233" s="33">
        <v>40</v>
      </c>
      <c r="F233" s="33">
        <v>461</v>
      </c>
      <c r="G233" s="33">
        <v>39</v>
      </c>
      <c r="H233" s="13">
        <f t="shared" si="3"/>
        <v>11.525</v>
      </c>
    </row>
    <row r="234" spans="1:8" hidden="1" outlineLevel="2">
      <c r="A234" s="32" t="s">
        <v>1238</v>
      </c>
      <c r="B234" s="32" t="s">
        <v>1858</v>
      </c>
      <c r="C234" s="32" t="s">
        <v>907</v>
      </c>
      <c r="D234" s="32" t="s">
        <v>1582</v>
      </c>
      <c r="E234" s="33">
        <v>12</v>
      </c>
      <c r="F234" s="33">
        <v>138</v>
      </c>
      <c r="G234" s="33">
        <v>9</v>
      </c>
      <c r="H234" s="13">
        <f t="shared" si="3"/>
        <v>11.5</v>
      </c>
    </row>
    <row r="235" spans="1:8" hidden="1" outlineLevel="2">
      <c r="A235" s="32" t="s">
        <v>1238</v>
      </c>
      <c r="B235" s="32" t="s">
        <v>86</v>
      </c>
      <c r="C235" s="32" t="s">
        <v>1018</v>
      </c>
      <c r="D235" s="32" t="s">
        <v>1787</v>
      </c>
      <c r="E235" s="33">
        <v>16</v>
      </c>
      <c r="F235" s="33">
        <v>182</v>
      </c>
      <c r="G235" s="33">
        <v>12</v>
      </c>
      <c r="H235" s="13">
        <f t="shared" si="3"/>
        <v>11.375</v>
      </c>
    </row>
    <row r="236" spans="1:8" hidden="1" outlineLevel="2">
      <c r="A236" s="32" t="s">
        <v>1238</v>
      </c>
      <c r="B236" s="32" t="s">
        <v>1862</v>
      </c>
      <c r="C236" s="32" t="s">
        <v>965</v>
      </c>
      <c r="D236" s="32" t="s">
        <v>1392</v>
      </c>
      <c r="E236" s="33">
        <v>24</v>
      </c>
      <c r="F236" s="33">
        <v>268</v>
      </c>
      <c r="G236" s="33">
        <v>14</v>
      </c>
      <c r="H236" s="13">
        <f t="shared" si="3"/>
        <v>11.166666666666666</v>
      </c>
    </row>
    <row r="237" spans="1:8" hidden="1" outlineLevel="2">
      <c r="A237" s="32" t="s">
        <v>1238</v>
      </c>
      <c r="B237" s="32" t="s">
        <v>1862</v>
      </c>
      <c r="C237" s="32" t="s">
        <v>115</v>
      </c>
      <c r="D237" s="32" t="s">
        <v>1719</v>
      </c>
      <c r="E237" s="33">
        <v>25</v>
      </c>
      <c r="F237" s="33">
        <v>278</v>
      </c>
      <c r="G237" s="33">
        <v>18</v>
      </c>
      <c r="H237" s="13">
        <f t="shared" si="3"/>
        <v>11.12</v>
      </c>
    </row>
    <row r="238" spans="1:8" hidden="1" outlineLevel="2">
      <c r="A238" s="32" t="s">
        <v>1238</v>
      </c>
      <c r="B238" s="32" t="s">
        <v>1862</v>
      </c>
      <c r="C238" s="32" t="s">
        <v>1754</v>
      </c>
      <c r="D238" s="32" t="s">
        <v>1755</v>
      </c>
      <c r="E238" s="33">
        <v>12</v>
      </c>
      <c r="F238" s="33">
        <v>132</v>
      </c>
      <c r="G238" s="33">
        <v>9</v>
      </c>
      <c r="H238" s="13">
        <f t="shared" si="3"/>
        <v>11</v>
      </c>
    </row>
    <row r="239" spans="1:8" hidden="1" outlineLevel="2">
      <c r="A239" s="32" t="s">
        <v>1238</v>
      </c>
      <c r="B239" s="32" t="s">
        <v>1858</v>
      </c>
      <c r="C239" s="32" t="s">
        <v>1764</v>
      </c>
      <c r="D239" s="32" t="s">
        <v>1800</v>
      </c>
      <c r="E239" s="33">
        <v>4</v>
      </c>
      <c r="F239" s="33">
        <v>44</v>
      </c>
      <c r="G239" s="33">
        <v>4</v>
      </c>
      <c r="H239" s="13">
        <f t="shared" si="3"/>
        <v>11</v>
      </c>
    </row>
    <row r="240" spans="1:8" hidden="1" outlineLevel="2">
      <c r="A240" s="32" t="s">
        <v>1238</v>
      </c>
      <c r="B240" s="32" t="s">
        <v>1862</v>
      </c>
      <c r="C240" s="32" t="s">
        <v>1326</v>
      </c>
      <c r="D240" s="32" t="s">
        <v>1615</v>
      </c>
      <c r="E240" s="33">
        <v>35</v>
      </c>
      <c r="F240" s="33">
        <v>384</v>
      </c>
      <c r="G240" s="33">
        <v>34</v>
      </c>
      <c r="H240" s="13">
        <f t="shared" si="3"/>
        <v>10.971428571428572</v>
      </c>
    </row>
    <row r="241" spans="1:8" hidden="1" outlineLevel="2">
      <c r="A241" s="32" t="s">
        <v>1238</v>
      </c>
      <c r="B241" s="32" t="s">
        <v>1862</v>
      </c>
      <c r="C241" s="32" t="s">
        <v>941</v>
      </c>
      <c r="D241" s="32" t="s">
        <v>1720</v>
      </c>
      <c r="E241" s="33">
        <v>17</v>
      </c>
      <c r="F241" s="33">
        <v>186</v>
      </c>
      <c r="G241" s="33">
        <v>17</v>
      </c>
      <c r="H241" s="13">
        <f t="shared" si="3"/>
        <v>10.941176470588236</v>
      </c>
    </row>
    <row r="242" spans="1:8" hidden="1" outlineLevel="2">
      <c r="A242" s="32" t="s">
        <v>1238</v>
      </c>
      <c r="B242" s="32" t="s">
        <v>1858</v>
      </c>
      <c r="C242" s="32" t="s">
        <v>1050</v>
      </c>
      <c r="D242" s="32" t="s">
        <v>1820</v>
      </c>
      <c r="E242" s="33">
        <v>15</v>
      </c>
      <c r="F242" s="33">
        <v>164</v>
      </c>
      <c r="G242" s="33">
        <v>14</v>
      </c>
      <c r="H242" s="13">
        <f t="shared" si="3"/>
        <v>10.933333333333334</v>
      </c>
    </row>
    <row r="243" spans="1:8" hidden="1" outlineLevel="2">
      <c r="A243" s="32" t="s">
        <v>1238</v>
      </c>
      <c r="B243" s="32" t="s">
        <v>1858</v>
      </c>
      <c r="C243" s="32" t="s">
        <v>422</v>
      </c>
      <c r="D243" s="32" t="s">
        <v>1393</v>
      </c>
      <c r="E243" s="33">
        <v>50</v>
      </c>
      <c r="F243" s="33">
        <v>544</v>
      </c>
      <c r="G243" s="33">
        <v>46</v>
      </c>
      <c r="H243" s="13">
        <f t="shared" si="3"/>
        <v>10.88</v>
      </c>
    </row>
    <row r="244" spans="1:8" hidden="1" outlineLevel="2">
      <c r="A244" s="32" t="s">
        <v>1238</v>
      </c>
      <c r="B244" s="32" t="s">
        <v>1858</v>
      </c>
      <c r="C244" s="32" t="s">
        <v>1053</v>
      </c>
      <c r="D244" s="32" t="s">
        <v>1516</v>
      </c>
      <c r="E244" s="33">
        <v>15</v>
      </c>
      <c r="F244" s="33">
        <v>161</v>
      </c>
      <c r="G244" s="33">
        <v>15</v>
      </c>
      <c r="H244" s="13">
        <f t="shared" si="3"/>
        <v>10.733333333333333</v>
      </c>
    </row>
    <row r="245" spans="1:8" hidden="1" outlineLevel="2">
      <c r="A245" s="32" t="s">
        <v>1238</v>
      </c>
      <c r="B245" s="32" t="s">
        <v>1862</v>
      </c>
      <c r="C245" s="32" t="s">
        <v>1555</v>
      </c>
      <c r="D245" s="32" t="s">
        <v>1392</v>
      </c>
      <c r="E245" s="33">
        <v>15</v>
      </c>
      <c r="F245" s="33">
        <v>161</v>
      </c>
      <c r="G245" s="33">
        <v>12</v>
      </c>
      <c r="H245" s="13">
        <f t="shared" si="3"/>
        <v>10.733333333333333</v>
      </c>
    </row>
    <row r="246" spans="1:8" hidden="1" outlineLevel="2">
      <c r="A246" s="32" t="s">
        <v>1238</v>
      </c>
      <c r="B246" s="32" t="s">
        <v>1862</v>
      </c>
      <c r="C246" s="32" t="s">
        <v>1187</v>
      </c>
      <c r="D246" s="32" t="s">
        <v>1470</v>
      </c>
      <c r="E246" s="33">
        <v>24</v>
      </c>
      <c r="F246" s="33">
        <v>250</v>
      </c>
      <c r="G246" s="33">
        <v>6</v>
      </c>
      <c r="H246" s="13">
        <f t="shared" si="3"/>
        <v>10.416666666666666</v>
      </c>
    </row>
    <row r="247" spans="1:8" hidden="1" outlineLevel="2">
      <c r="A247" s="32" t="s">
        <v>1238</v>
      </c>
      <c r="B247" s="32" t="s">
        <v>1862</v>
      </c>
      <c r="C247" s="32" t="s">
        <v>1000</v>
      </c>
      <c r="D247" s="32" t="s">
        <v>1799</v>
      </c>
      <c r="E247" s="33">
        <v>15</v>
      </c>
      <c r="F247" s="33">
        <v>156</v>
      </c>
      <c r="G247" s="33">
        <v>7</v>
      </c>
      <c r="H247" s="13">
        <f t="shared" si="3"/>
        <v>10.4</v>
      </c>
    </row>
    <row r="248" spans="1:8" hidden="1" outlineLevel="2">
      <c r="A248" s="32" t="s">
        <v>1238</v>
      </c>
      <c r="B248" s="32" t="s">
        <v>1862</v>
      </c>
      <c r="C248" s="32" t="s">
        <v>1384</v>
      </c>
      <c r="D248" s="32" t="s">
        <v>1492</v>
      </c>
      <c r="E248" s="33">
        <v>12</v>
      </c>
      <c r="F248" s="33">
        <v>123</v>
      </c>
      <c r="G248" s="33">
        <v>11</v>
      </c>
      <c r="H248" s="13">
        <f t="shared" si="3"/>
        <v>10.25</v>
      </c>
    </row>
    <row r="249" spans="1:8" hidden="1" outlineLevel="2">
      <c r="A249" s="32" t="s">
        <v>1238</v>
      </c>
      <c r="B249" s="32" t="s">
        <v>1858</v>
      </c>
      <c r="C249" s="32" t="s">
        <v>1764</v>
      </c>
      <c r="D249" s="32" t="s">
        <v>1765</v>
      </c>
      <c r="E249" s="33">
        <v>14</v>
      </c>
      <c r="F249" s="33">
        <v>143</v>
      </c>
      <c r="G249" s="33">
        <v>12</v>
      </c>
      <c r="H249" s="13">
        <f t="shared" si="3"/>
        <v>10.214285714285714</v>
      </c>
    </row>
    <row r="250" spans="1:8" hidden="1" outlineLevel="2">
      <c r="A250" s="32" t="s">
        <v>1238</v>
      </c>
      <c r="B250" s="32" t="s">
        <v>1862</v>
      </c>
      <c r="C250" s="32" t="s">
        <v>115</v>
      </c>
      <c r="D250" s="32" t="s">
        <v>1769</v>
      </c>
      <c r="E250" s="33">
        <v>35</v>
      </c>
      <c r="F250" s="33">
        <v>351</v>
      </c>
      <c r="G250" s="33">
        <v>33</v>
      </c>
      <c r="H250" s="13">
        <f t="shared" si="3"/>
        <v>10.028571428571428</v>
      </c>
    </row>
    <row r="251" spans="1:8" hidden="1" outlineLevel="2">
      <c r="A251" s="32" t="s">
        <v>1238</v>
      </c>
      <c r="B251" s="32" t="s">
        <v>1862</v>
      </c>
      <c r="C251" s="32" t="s">
        <v>1326</v>
      </c>
      <c r="D251" s="32" t="s">
        <v>1327</v>
      </c>
      <c r="E251" s="33">
        <v>25</v>
      </c>
      <c r="F251" s="33">
        <v>246</v>
      </c>
      <c r="G251" s="33">
        <v>11</v>
      </c>
      <c r="H251" s="13">
        <f t="shared" si="3"/>
        <v>9.84</v>
      </c>
    </row>
    <row r="252" spans="1:8" hidden="1" outlineLevel="2">
      <c r="A252" s="32" t="s">
        <v>1238</v>
      </c>
      <c r="B252" s="32" t="s">
        <v>1858</v>
      </c>
      <c r="C252" s="32" t="s">
        <v>302</v>
      </c>
      <c r="D252" s="32" t="s">
        <v>1697</v>
      </c>
      <c r="E252" s="33">
        <v>70</v>
      </c>
      <c r="F252" s="33">
        <v>684</v>
      </c>
      <c r="G252" s="33">
        <v>70</v>
      </c>
      <c r="H252" s="13">
        <f t="shared" si="3"/>
        <v>9.7714285714285722</v>
      </c>
    </row>
    <row r="253" spans="1:8" hidden="1" outlineLevel="2">
      <c r="A253" s="32" t="s">
        <v>1238</v>
      </c>
      <c r="B253" s="32" t="s">
        <v>86</v>
      </c>
      <c r="C253" s="32" t="s">
        <v>1271</v>
      </c>
      <c r="D253" s="32" t="s">
        <v>1272</v>
      </c>
      <c r="E253" s="33">
        <v>30</v>
      </c>
      <c r="F253" s="33">
        <v>293</v>
      </c>
      <c r="G253" s="33">
        <v>31</v>
      </c>
      <c r="H253" s="13">
        <f t="shared" si="3"/>
        <v>9.7666666666666675</v>
      </c>
    </row>
    <row r="254" spans="1:8" hidden="1" outlineLevel="2">
      <c r="A254" s="32" t="s">
        <v>1238</v>
      </c>
      <c r="B254" s="32" t="s">
        <v>1858</v>
      </c>
      <c r="C254" s="32" t="s">
        <v>1189</v>
      </c>
      <c r="D254" s="32" t="s">
        <v>1301</v>
      </c>
      <c r="E254" s="33">
        <v>36</v>
      </c>
      <c r="F254" s="33">
        <v>351</v>
      </c>
      <c r="G254" s="33">
        <v>29</v>
      </c>
      <c r="H254" s="13">
        <f t="shared" si="3"/>
        <v>9.75</v>
      </c>
    </row>
    <row r="255" spans="1:8" hidden="1" outlineLevel="2">
      <c r="A255" s="32" t="s">
        <v>1238</v>
      </c>
      <c r="B255" s="32" t="s">
        <v>1862</v>
      </c>
      <c r="C255" s="32" t="s">
        <v>1326</v>
      </c>
      <c r="D255" s="32" t="s">
        <v>1617</v>
      </c>
      <c r="E255" s="33">
        <v>15</v>
      </c>
      <c r="F255" s="33">
        <v>145</v>
      </c>
      <c r="G255" s="33">
        <v>8</v>
      </c>
      <c r="H255" s="13">
        <f t="shared" si="3"/>
        <v>9.6666666666666661</v>
      </c>
    </row>
    <row r="256" spans="1:8" hidden="1" outlineLevel="2">
      <c r="A256" s="32" t="s">
        <v>1238</v>
      </c>
      <c r="B256" s="32" t="s">
        <v>1862</v>
      </c>
      <c r="C256" s="32" t="s">
        <v>1114</v>
      </c>
      <c r="D256" s="32" t="s">
        <v>1669</v>
      </c>
      <c r="E256" s="33">
        <v>24</v>
      </c>
      <c r="F256" s="33">
        <v>232</v>
      </c>
      <c r="G256" s="33">
        <v>17</v>
      </c>
      <c r="H256" s="13">
        <f t="shared" si="3"/>
        <v>9.6666666666666661</v>
      </c>
    </row>
    <row r="257" spans="1:8" hidden="1" outlineLevel="2">
      <c r="A257" s="32" t="s">
        <v>1238</v>
      </c>
      <c r="B257" s="32" t="s">
        <v>86</v>
      </c>
      <c r="C257" s="32" t="s">
        <v>1378</v>
      </c>
      <c r="D257" s="32" t="s">
        <v>1527</v>
      </c>
      <c r="E257" s="33">
        <v>7</v>
      </c>
      <c r="F257" s="33">
        <v>67</v>
      </c>
      <c r="G257" s="33">
        <v>8</v>
      </c>
      <c r="H257" s="13">
        <f t="shared" si="3"/>
        <v>9.5714285714285712</v>
      </c>
    </row>
    <row r="258" spans="1:8" hidden="1" outlineLevel="2">
      <c r="A258" s="32" t="s">
        <v>1238</v>
      </c>
      <c r="B258" s="32" t="s">
        <v>86</v>
      </c>
      <c r="C258" s="32" t="s">
        <v>119</v>
      </c>
      <c r="D258" s="32" t="s">
        <v>1496</v>
      </c>
      <c r="E258" s="33">
        <v>115</v>
      </c>
      <c r="F258" s="33">
        <v>1096</v>
      </c>
      <c r="G258" s="33">
        <v>115</v>
      </c>
      <c r="H258" s="13">
        <f t="shared" ref="H258:H321" si="4">IFERROR(F258/E258,"")</f>
        <v>9.5304347826086957</v>
      </c>
    </row>
    <row r="259" spans="1:8" hidden="1" outlineLevel="2">
      <c r="A259" s="32" t="s">
        <v>1238</v>
      </c>
      <c r="B259" s="32" t="s">
        <v>86</v>
      </c>
      <c r="C259" s="32" t="s">
        <v>873</v>
      </c>
      <c r="D259" s="32" t="s">
        <v>1239</v>
      </c>
      <c r="E259" s="33">
        <v>30</v>
      </c>
      <c r="F259" s="33">
        <v>283</v>
      </c>
      <c r="G259" s="33">
        <v>35</v>
      </c>
      <c r="H259" s="13">
        <f t="shared" si="4"/>
        <v>9.4333333333333336</v>
      </c>
    </row>
    <row r="260" spans="1:8" hidden="1" outlineLevel="2">
      <c r="A260" s="32" t="s">
        <v>1238</v>
      </c>
      <c r="B260" s="32" t="s">
        <v>1858</v>
      </c>
      <c r="C260" s="32" t="s">
        <v>1456</v>
      </c>
      <c r="D260" s="32" t="s">
        <v>1457</v>
      </c>
      <c r="E260" s="33">
        <v>25</v>
      </c>
      <c r="F260" s="33">
        <v>234</v>
      </c>
      <c r="G260" s="33">
        <v>24</v>
      </c>
      <c r="H260" s="13">
        <f t="shared" si="4"/>
        <v>9.36</v>
      </c>
    </row>
    <row r="261" spans="1:8" hidden="1" outlineLevel="2">
      <c r="A261" s="32" t="s">
        <v>1238</v>
      </c>
      <c r="B261" s="32" t="s">
        <v>1858</v>
      </c>
      <c r="C261" s="32" t="s">
        <v>1212</v>
      </c>
      <c r="D261" s="32" t="s">
        <v>1356</v>
      </c>
      <c r="E261" s="33">
        <v>12</v>
      </c>
      <c r="F261" s="33">
        <v>112</v>
      </c>
      <c r="G261" s="33">
        <v>8</v>
      </c>
      <c r="H261" s="13">
        <f t="shared" si="4"/>
        <v>9.3333333333333339</v>
      </c>
    </row>
    <row r="262" spans="1:8" hidden="1" outlineLevel="2">
      <c r="A262" s="32" t="s">
        <v>1238</v>
      </c>
      <c r="B262" s="32" t="s">
        <v>1862</v>
      </c>
      <c r="C262" s="32" t="s">
        <v>1488</v>
      </c>
      <c r="D262" s="32" t="s">
        <v>1489</v>
      </c>
      <c r="E262" s="33">
        <v>30</v>
      </c>
      <c r="F262" s="33">
        <v>280</v>
      </c>
      <c r="G262" s="33">
        <v>19</v>
      </c>
      <c r="H262" s="13">
        <f t="shared" si="4"/>
        <v>9.3333333333333339</v>
      </c>
    </row>
    <row r="263" spans="1:8" hidden="1" outlineLevel="2">
      <c r="A263" s="32" t="s">
        <v>1238</v>
      </c>
      <c r="B263" s="32" t="s">
        <v>86</v>
      </c>
      <c r="C263" s="32" t="s">
        <v>1474</v>
      </c>
      <c r="D263" s="32" t="s">
        <v>1475</v>
      </c>
      <c r="E263" s="33">
        <v>52</v>
      </c>
      <c r="F263" s="33">
        <v>477</v>
      </c>
      <c r="G263" s="33">
        <v>53</v>
      </c>
      <c r="H263" s="13">
        <f t="shared" si="4"/>
        <v>9.1730769230769234</v>
      </c>
    </row>
    <row r="264" spans="1:8" hidden="1" outlineLevel="2">
      <c r="A264" s="32" t="s">
        <v>1238</v>
      </c>
      <c r="B264" s="32" t="s">
        <v>86</v>
      </c>
      <c r="C264" s="32" t="s">
        <v>1682</v>
      </c>
      <c r="D264" s="32" t="s">
        <v>1247</v>
      </c>
      <c r="E264" s="33">
        <v>42</v>
      </c>
      <c r="F264" s="33">
        <v>383</v>
      </c>
      <c r="G264" s="33">
        <v>41</v>
      </c>
      <c r="H264" s="13">
        <f t="shared" si="4"/>
        <v>9.1190476190476186</v>
      </c>
    </row>
    <row r="265" spans="1:8" hidden="1" outlineLevel="2">
      <c r="A265" s="32" t="s">
        <v>1238</v>
      </c>
      <c r="B265" s="32" t="s">
        <v>1862</v>
      </c>
      <c r="C265" s="32" t="s">
        <v>970</v>
      </c>
      <c r="D265" s="32" t="s">
        <v>1528</v>
      </c>
      <c r="E265" s="33">
        <v>17</v>
      </c>
      <c r="F265" s="33">
        <v>155</v>
      </c>
      <c r="G265" s="33">
        <v>17</v>
      </c>
      <c r="H265" s="13">
        <f t="shared" si="4"/>
        <v>9.117647058823529</v>
      </c>
    </row>
    <row r="266" spans="1:8" hidden="1" outlineLevel="2">
      <c r="A266" s="32" t="s">
        <v>1238</v>
      </c>
      <c r="B266" s="32" t="s">
        <v>1862</v>
      </c>
      <c r="C266" s="32" t="s">
        <v>1170</v>
      </c>
      <c r="D266" s="32" t="s">
        <v>1392</v>
      </c>
      <c r="E266" s="33">
        <v>15</v>
      </c>
      <c r="F266" s="33">
        <v>135</v>
      </c>
      <c r="G266" s="33">
        <v>11</v>
      </c>
      <c r="H266" s="13">
        <f t="shared" si="4"/>
        <v>9</v>
      </c>
    </row>
    <row r="267" spans="1:8" hidden="1" outlineLevel="2">
      <c r="A267" s="32" t="s">
        <v>1238</v>
      </c>
      <c r="B267" s="32" t="s">
        <v>1862</v>
      </c>
      <c r="C267" s="32" t="s">
        <v>1485</v>
      </c>
      <c r="D267" s="32" t="s">
        <v>1486</v>
      </c>
      <c r="E267" s="33">
        <v>12</v>
      </c>
      <c r="F267" s="33">
        <v>107</v>
      </c>
      <c r="G267" s="33">
        <v>11</v>
      </c>
      <c r="H267" s="13">
        <f t="shared" si="4"/>
        <v>8.9166666666666661</v>
      </c>
    </row>
    <row r="268" spans="1:8" hidden="1" outlineLevel="2">
      <c r="A268" s="32" t="s">
        <v>1238</v>
      </c>
      <c r="B268" s="32" t="s">
        <v>1858</v>
      </c>
      <c r="C268" s="32" t="s">
        <v>242</v>
      </c>
      <c r="D268" s="32" t="s">
        <v>1707</v>
      </c>
      <c r="E268" s="33">
        <v>20</v>
      </c>
      <c r="F268" s="33">
        <v>178</v>
      </c>
      <c r="G268" s="33">
        <v>21</v>
      </c>
      <c r="H268" s="13">
        <f t="shared" si="4"/>
        <v>8.9</v>
      </c>
    </row>
    <row r="269" spans="1:8" hidden="1" outlineLevel="2">
      <c r="A269" s="32" t="s">
        <v>1238</v>
      </c>
      <c r="B269" s="32" t="s">
        <v>1858</v>
      </c>
      <c r="C269" s="32" t="s">
        <v>1050</v>
      </c>
      <c r="D269" s="32" t="s">
        <v>1640</v>
      </c>
      <c r="E269" s="33">
        <v>16</v>
      </c>
      <c r="F269" s="33">
        <v>141</v>
      </c>
      <c r="G269" s="33">
        <v>10</v>
      </c>
      <c r="H269" s="13">
        <f t="shared" si="4"/>
        <v>8.8125</v>
      </c>
    </row>
    <row r="270" spans="1:8" hidden="1" outlineLevel="2">
      <c r="A270" s="32" t="s">
        <v>1238</v>
      </c>
      <c r="B270" s="32" t="s">
        <v>1862</v>
      </c>
      <c r="C270" s="32" t="s">
        <v>1098</v>
      </c>
      <c r="D270" s="32" t="s">
        <v>1642</v>
      </c>
      <c r="E270" s="33">
        <v>23</v>
      </c>
      <c r="F270" s="33">
        <v>200</v>
      </c>
      <c r="G270" s="33">
        <v>21</v>
      </c>
      <c r="H270" s="13">
        <f t="shared" si="4"/>
        <v>8.695652173913043</v>
      </c>
    </row>
    <row r="271" spans="1:8" hidden="1" outlineLevel="2">
      <c r="A271" s="32" t="s">
        <v>1238</v>
      </c>
      <c r="B271" s="32" t="s">
        <v>1862</v>
      </c>
      <c r="C271" s="32" t="s">
        <v>1630</v>
      </c>
      <c r="D271" s="32" t="s">
        <v>1492</v>
      </c>
      <c r="E271" s="33">
        <v>12</v>
      </c>
      <c r="F271" s="33">
        <v>104</v>
      </c>
      <c r="G271" s="33">
        <v>12</v>
      </c>
      <c r="H271" s="13">
        <f t="shared" si="4"/>
        <v>8.6666666666666661</v>
      </c>
    </row>
    <row r="272" spans="1:8" hidden="1" outlineLevel="2">
      <c r="A272" s="32" t="s">
        <v>1238</v>
      </c>
      <c r="B272" s="32" t="s">
        <v>1862</v>
      </c>
      <c r="C272" s="32" t="s">
        <v>1080</v>
      </c>
      <c r="D272" s="32" t="s">
        <v>1492</v>
      </c>
      <c r="E272" s="33">
        <v>18</v>
      </c>
      <c r="F272" s="33">
        <v>155</v>
      </c>
      <c r="G272" s="33">
        <v>16</v>
      </c>
      <c r="H272" s="13">
        <f t="shared" si="4"/>
        <v>8.6111111111111107</v>
      </c>
    </row>
    <row r="273" spans="1:8" hidden="1" outlineLevel="2">
      <c r="A273" s="32" t="s">
        <v>1238</v>
      </c>
      <c r="B273" s="32" t="s">
        <v>86</v>
      </c>
      <c r="C273" s="32" t="s">
        <v>190</v>
      </c>
      <c r="D273" s="32" t="s">
        <v>1589</v>
      </c>
      <c r="E273" s="33">
        <v>25</v>
      </c>
      <c r="F273" s="33">
        <v>215</v>
      </c>
      <c r="G273" s="33">
        <v>28</v>
      </c>
      <c r="H273" s="13">
        <f t="shared" si="4"/>
        <v>8.6</v>
      </c>
    </row>
    <row r="274" spans="1:8" hidden="1" outlineLevel="2">
      <c r="A274" s="32" t="s">
        <v>1238</v>
      </c>
      <c r="B274" s="32" t="s">
        <v>86</v>
      </c>
      <c r="C274" s="32" t="s">
        <v>1524</v>
      </c>
      <c r="D274" s="32" t="s">
        <v>1525</v>
      </c>
      <c r="E274" s="33">
        <v>18</v>
      </c>
      <c r="F274" s="33">
        <v>152</v>
      </c>
      <c r="G274" s="33">
        <v>18</v>
      </c>
      <c r="H274" s="13">
        <f t="shared" si="4"/>
        <v>8.4444444444444446</v>
      </c>
    </row>
    <row r="275" spans="1:8" hidden="1" outlineLevel="2">
      <c r="A275" s="32" t="s">
        <v>1238</v>
      </c>
      <c r="B275" s="32" t="s">
        <v>1858</v>
      </c>
      <c r="C275" s="32" t="s">
        <v>1197</v>
      </c>
      <c r="D275" s="32" t="s">
        <v>1674</v>
      </c>
      <c r="E275" s="33">
        <v>12</v>
      </c>
      <c r="F275" s="33">
        <v>98</v>
      </c>
      <c r="G275" s="33">
        <v>8</v>
      </c>
      <c r="H275" s="13">
        <f t="shared" si="4"/>
        <v>8.1666666666666661</v>
      </c>
    </row>
    <row r="276" spans="1:8" hidden="1" outlineLevel="2">
      <c r="A276" s="32" t="s">
        <v>1238</v>
      </c>
      <c r="B276" s="32" t="s">
        <v>86</v>
      </c>
      <c r="C276" s="32" t="s">
        <v>1449</v>
      </c>
      <c r="D276" s="32" t="s">
        <v>1684</v>
      </c>
      <c r="E276" s="33">
        <v>12</v>
      </c>
      <c r="F276" s="33">
        <v>98</v>
      </c>
      <c r="G276" s="33">
        <v>10</v>
      </c>
      <c r="H276" s="13">
        <f t="shared" si="4"/>
        <v>8.1666666666666661</v>
      </c>
    </row>
    <row r="277" spans="1:8" hidden="1" outlineLevel="2">
      <c r="A277" s="32" t="s">
        <v>1238</v>
      </c>
      <c r="B277" s="32" t="s">
        <v>1858</v>
      </c>
      <c r="C277" s="32" t="s">
        <v>1223</v>
      </c>
      <c r="D277" s="32" t="s">
        <v>1239</v>
      </c>
      <c r="E277" s="33">
        <v>26</v>
      </c>
      <c r="F277" s="33">
        <v>212</v>
      </c>
      <c r="G277" s="33">
        <v>19</v>
      </c>
      <c r="H277" s="13">
        <f t="shared" si="4"/>
        <v>8.1538461538461533</v>
      </c>
    </row>
    <row r="278" spans="1:8" hidden="1" outlineLevel="2">
      <c r="A278" s="32" t="s">
        <v>1238</v>
      </c>
      <c r="B278" s="32" t="s">
        <v>1862</v>
      </c>
      <c r="C278" s="32" t="s">
        <v>1488</v>
      </c>
      <c r="D278" s="32" t="s">
        <v>1489</v>
      </c>
      <c r="E278" s="33">
        <v>35</v>
      </c>
      <c r="F278" s="33">
        <v>280</v>
      </c>
      <c r="G278" s="33">
        <v>21</v>
      </c>
      <c r="H278" s="13">
        <f t="shared" si="4"/>
        <v>8</v>
      </c>
    </row>
    <row r="279" spans="1:8" hidden="1" outlineLevel="2">
      <c r="A279" s="32" t="s">
        <v>1238</v>
      </c>
      <c r="B279" s="32" t="s">
        <v>86</v>
      </c>
      <c r="C279" s="32" t="s">
        <v>1333</v>
      </c>
      <c r="D279" s="32" t="s">
        <v>1332</v>
      </c>
      <c r="E279" s="33">
        <v>12</v>
      </c>
      <c r="F279" s="33">
        <v>95</v>
      </c>
      <c r="G279" s="33">
        <v>8</v>
      </c>
      <c r="H279" s="13">
        <f t="shared" si="4"/>
        <v>7.916666666666667</v>
      </c>
    </row>
    <row r="280" spans="1:8" hidden="1" outlineLevel="2">
      <c r="A280" s="32" t="s">
        <v>1238</v>
      </c>
      <c r="B280" s="32" t="s">
        <v>86</v>
      </c>
      <c r="C280" s="32" t="s">
        <v>1452</v>
      </c>
      <c r="D280" s="32" t="s">
        <v>1577</v>
      </c>
      <c r="E280" s="33">
        <v>90</v>
      </c>
      <c r="F280" s="33">
        <v>706</v>
      </c>
      <c r="G280" s="33">
        <v>92</v>
      </c>
      <c r="H280" s="13">
        <f t="shared" si="4"/>
        <v>7.8444444444444441</v>
      </c>
    </row>
    <row r="281" spans="1:8" hidden="1" outlineLevel="2">
      <c r="A281" s="32" t="s">
        <v>1238</v>
      </c>
      <c r="B281" s="32" t="s">
        <v>86</v>
      </c>
      <c r="C281" s="32" t="s">
        <v>1452</v>
      </c>
      <c r="D281" s="32" t="s">
        <v>1453</v>
      </c>
      <c r="E281" s="33">
        <v>25</v>
      </c>
      <c r="F281" s="33">
        <v>191</v>
      </c>
      <c r="G281" s="33">
        <v>28</v>
      </c>
      <c r="H281" s="13">
        <f t="shared" si="4"/>
        <v>7.64</v>
      </c>
    </row>
    <row r="282" spans="1:8" hidden="1" outlineLevel="2">
      <c r="A282" s="32" t="s">
        <v>1238</v>
      </c>
      <c r="B282" s="32" t="s">
        <v>1858</v>
      </c>
      <c r="C282" s="32" t="s">
        <v>533</v>
      </c>
      <c r="D282" s="32" t="s">
        <v>1789</v>
      </c>
      <c r="E282" s="33">
        <v>16</v>
      </c>
      <c r="F282" s="33">
        <v>122</v>
      </c>
      <c r="G282" s="33">
        <v>17</v>
      </c>
      <c r="H282" s="13">
        <f t="shared" si="4"/>
        <v>7.625</v>
      </c>
    </row>
    <row r="283" spans="1:8" hidden="1" outlineLevel="2">
      <c r="A283" s="32" t="s">
        <v>1238</v>
      </c>
      <c r="B283" s="32" t="s">
        <v>1858</v>
      </c>
      <c r="C283" s="32" t="s">
        <v>1809</v>
      </c>
      <c r="D283" s="32" t="s">
        <v>1369</v>
      </c>
      <c r="E283" s="33">
        <v>8</v>
      </c>
      <c r="F283" s="33">
        <v>61</v>
      </c>
      <c r="G283" s="33">
        <v>6</v>
      </c>
      <c r="H283" s="13">
        <f t="shared" si="4"/>
        <v>7.625</v>
      </c>
    </row>
    <row r="284" spans="1:8" hidden="1" outlineLevel="2">
      <c r="A284" s="32" t="s">
        <v>1238</v>
      </c>
      <c r="B284" s="32" t="s">
        <v>1858</v>
      </c>
      <c r="C284" s="32" t="s">
        <v>903</v>
      </c>
      <c r="D284" s="32" t="s">
        <v>1799</v>
      </c>
      <c r="E284" s="33">
        <v>20</v>
      </c>
      <c r="F284" s="33">
        <v>152</v>
      </c>
      <c r="G284" s="33">
        <v>11</v>
      </c>
      <c r="H284" s="13">
        <f t="shared" si="4"/>
        <v>7.6</v>
      </c>
    </row>
    <row r="285" spans="1:8" hidden="1" outlineLevel="2">
      <c r="A285" s="32" t="s">
        <v>1238</v>
      </c>
      <c r="B285" s="32" t="s">
        <v>86</v>
      </c>
      <c r="C285" s="32" t="s">
        <v>1565</v>
      </c>
      <c r="D285" s="32" t="s">
        <v>1567</v>
      </c>
      <c r="E285" s="33">
        <v>27</v>
      </c>
      <c r="F285" s="33">
        <v>204</v>
      </c>
      <c r="G285" s="33">
        <v>32</v>
      </c>
      <c r="H285" s="13">
        <f t="shared" si="4"/>
        <v>7.5555555555555554</v>
      </c>
    </row>
    <row r="286" spans="1:8" hidden="1" outlineLevel="2">
      <c r="A286" s="32" t="s">
        <v>1238</v>
      </c>
      <c r="B286" s="32" t="s">
        <v>1858</v>
      </c>
      <c r="C286" s="32" t="s">
        <v>1227</v>
      </c>
      <c r="D286" s="32" t="s">
        <v>1625</v>
      </c>
      <c r="E286" s="33">
        <v>12</v>
      </c>
      <c r="F286" s="33">
        <v>88</v>
      </c>
      <c r="G286" s="33">
        <v>12</v>
      </c>
      <c r="H286" s="13">
        <f t="shared" si="4"/>
        <v>7.333333333333333</v>
      </c>
    </row>
    <row r="287" spans="1:8" hidden="1" outlineLevel="2">
      <c r="A287" s="32" t="s">
        <v>1238</v>
      </c>
      <c r="B287" s="32" t="s">
        <v>86</v>
      </c>
      <c r="C287" s="32" t="s">
        <v>1336</v>
      </c>
      <c r="D287" s="32" t="s">
        <v>1790</v>
      </c>
      <c r="E287" s="33">
        <v>20</v>
      </c>
      <c r="F287" s="33">
        <v>146</v>
      </c>
      <c r="G287" s="33">
        <v>17</v>
      </c>
      <c r="H287" s="13">
        <f t="shared" si="4"/>
        <v>7.3</v>
      </c>
    </row>
    <row r="288" spans="1:8" hidden="1" outlineLevel="2">
      <c r="A288" s="32" t="s">
        <v>1238</v>
      </c>
      <c r="B288" s="32" t="s">
        <v>1858</v>
      </c>
      <c r="C288" s="32" t="s">
        <v>893</v>
      </c>
      <c r="D288" s="32" t="s">
        <v>1552</v>
      </c>
      <c r="E288" s="33">
        <v>15</v>
      </c>
      <c r="F288" s="33">
        <v>109</v>
      </c>
      <c r="G288" s="33">
        <v>15</v>
      </c>
      <c r="H288" s="13">
        <f t="shared" si="4"/>
        <v>7.2666666666666666</v>
      </c>
    </row>
    <row r="289" spans="1:8" hidden="1" outlineLevel="2">
      <c r="A289" s="32" t="s">
        <v>1238</v>
      </c>
      <c r="B289" s="32" t="s">
        <v>1858</v>
      </c>
      <c r="C289" s="32" t="s">
        <v>242</v>
      </c>
      <c r="D289" s="32" t="s">
        <v>1770</v>
      </c>
      <c r="E289" s="33">
        <v>20</v>
      </c>
      <c r="F289" s="33">
        <v>142</v>
      </c>
      <c r="G289" s="33">
        <v>23</v>
      </c>
      <c r="H289" s="13">
        <f t="shared" si="4"/>
        <v>7.1</v>
      </c>
    </row>
    <row r="290" spans="1:8" hidden="1" outlineLevel="2">
      <c r="A290" s="32" t="s">
        <v>1238</v>
      </c>
      <c r="B290" s="32" t="s">
        <v>1858</v>
      </c>
      <c r="C290" s="32" t="s">
        <v>144</v>
      </c>
      <c r="D290" s="32" t="s">
        <v>1405</v>
      </c>
      <c r="E290" s="33">
        <v>15</v>
      </c>
      <c r="F290" s="33">
        <v>106</v>
      </c>
      <c r="G290" s="33">
        <v>5</v>
      </c>
      <c r="H290" s="13">
        <f t="shared" si="4"/>
        <v>7.0666666666666664</v>
      </c>
    </row>
    <row r="291" spans="1:8" hidden="1" outlineLevel="2">
      <c r="A291" s="32" t="s">
        <v>1238</v>
      </c>
      <c r="B291" s="32" t="s">
        <v>1858</v>
      </c>
      <c r="C291" s="32" t="s">
        <v>1050</v>
      </c>
      <c r="D291" s="32" t="s">
        <v>1239</v>
      </c>
      <c r="E291" s="33">
        <v>24</v>
      </c>
      <c r="F291" s="33">
        <v>169</v>
      </c>
      <c r="G291" s="33">
        <v>11</v>
      </c>
      <c r="H291" s="13">
        <f t="shared" si="4"/>
        <v>7.041666666666667</v>
      </c>
    </row>
    <row r="292" spans="1:8" hidden="1" outlineLevel="2">
      <c r="A292" s="32" t="s">
        <v>1238</v>
      </c>
      <c r="B292" s="32" t="s">
        <v>1862</v>
      </c>
      <c r="C292" s="32" t="s">
        <v>115</v>
      </c>
      <c r="D292" s="32" t="s">
        <v>1782</v>
      </c>
      <c r="E292" s="33">
        <v>50</v>
      </c>
      <c r="F292" s="33">
        <v>351</v>
      </c>
      <c r="G292" s="33">
        <v>49</v>
      </c>
      <c r="H292" s="13">
        <f t="shared" si="4"/>
        <v>7.02</v>
      </c>
    </row>
    <row r="293" spans="1:8" hidden="1" outlineLevel="2">
      <c r="A293" s="32" t="s">
        <v>1238</v>
      </c>
      <c r="B293" s="32" t="s">
        <v>1858</v>
      </c>
      <c r="C293" s="32" t="s">
        <v>862</v>
      </c>
      <c r="D293" s="32" t="s">
        <v>1369</v>
      </c>
      <c r="E293" s="33">
        <v>9</v>
      </c>
      <c r="F293" s="33">
        <v>63</v>
      </c>
      <c r="G293" s="33">
        <v>7</v>
      </c>
      <c r="H293" s="13">
        <f t="shared" si="4"/>
        <v>7</v>
      </c>
    </row>
    <row r="294" spans="1:8" hidden="1" outlineLevel="2">
      <c r="A294" s="32" t="s">
        <v>1238</v>
      </c>
      <c r="B294" s="32" t="s">
        <v>1858</v>
      </c>
      <c r="C294" s="32" t="s">
        <v>533</v>
      </c>
      <c r="D294" s="32" t="s">
        <v>1291</v>
      </c>
      <c r="E294" s="33">
        <v>16</v>
      </c>
      <c r="F294" s="33">
        <v>111</v>
      </c>
      <c r="G294" s="33">
        <v>15</v>
      </c>
      <c r="H294" s="13">
        <f t="shared" si="4"/>
        <v>6.9375</v>
      </c>
    </row>
    <row r="295" spans="1:8" hidden="1" outlineLevel="2">
      <c r="A295" s="32" t="s">
        <v>1238</v>
      </c>
      <c r="B295" s="32" t="s">
        <v>1862</v>
      </c>
      <c r="C295" s="32" t="s">
        <v>975</v>
      </c>
      <c r="D295" s="32" t="s">
        <v>1369</v>
      </c>
      <c r="E295" s="33">
        <v>12</v>
      </c>
      <c r="F295" s="33">
        <v>83</v>
      </c>
      <c r="G295" s="33">
        <v>12</v>
      </c>
      <c r="H295" s="13">
        <f t="shared" si="4"/>
        <v>6.916666666666667</v>
      </c>
    </row>
    <row r="296" spans="1:8" hidden="1" outlineLevel="2">
      <c r="A296" s="32" t="s">
        <v>1238</v>
      </c>
      <c r="B296" s="32" t="s">
        <v>86</v>
      </c>
      <c r="C296" s="32" t="s">
        <v>1687</v>
      </c>
      <c r="D296" s="32" t="s">
        <v>1470</v>
      </c>
      <c r="E296" s="33">
        <v>16</v>
      </c>
      <c r="F296" s="33">
        <v>110</v>
      </c>
      <c r="G296" s="33">
        <v>16</v>
      </c>
      <c r="H296" s="13">
        <f t="shared" si="4"/>
        <v>6.875</v>
      </c>
    </row>
    <row r="297" spans="1:8" hidden="1" outlineLevel="2">
      <c r="A297" s="32" t="s">
        <v>1238</v>
      </c>
      <c r="B297" s="32" t="s">
        <v>1862</v>
      </c>
      <c r="C297" s="32" t="s">
        <v>1488</v>
      </c>
      <c r="D297" s="32" t="s">
        <v>1489</v>
      </c>
      <c r="E297" s="33">
        <v>50</v>
      </c>
      <c r="F297" s="33">
        <v>343</v>
      </c>
      <c r="G297" s="33">
        <v>38</v>
      </c>
      <c r="H297" s="13">
        <f t="shared" si="4"/>
        <v>6.86</v>
      </c>
    </row>
    <row r="298" spans="1:8" hidden="1" outlineLevel="2">
      <c r="A298" s="32" t="s">
        <v>1238</v>
      </c>
      <c r="B298" s="32" t="s">
        <v>86</v>
      </c>
      <c r="C298" s="32" t="s">
        <v>1563</v>
      </c>
      <c r="D298" s="32" t="s">
        <v>1247</v>
      </c>
      <c r="E298" s="33">
        <v>95</v>
      </c>
      <c r="F298" s="33">
        <v>648</v>
      </c>
      <c r="G298" s="33">
        <v>89</v>
      </c>
      <c r="H298" s="13">
        <f t="shared" si="4"/>
        <v>6.8210526315789473</v>
      </c>
    </row>
    <row r="299" spans="1:8" hidden="1" outlineLevel="2">
      <c r="A299" s="32" t="s">
        <v>1238</v>
      </c>
      <c r="B299" s="32" t="s">
        <v>86</v>
      </c>
      <c r="C299" s="32" t="s">
        <v>138</v>
      </c>
      <c r="D299" s="32" t="s">
        <v>1535</v>
      </c>
      <c r="E299" s="33">
        <v>150</v>
      </c>
      <c r="F299" s="33">
        <v>1022</v>
      </c>
      <c r="G299" s="33">
        <v>147</v>
      </c>
      <c r="H299" s="13">
        <f t="shared" si="4"/>
        <v>6.8133333333333335</v>
      </c>
    </row>
    <row r="300" spans="1:8" hidden="1" outlineLevel="2">
      <c r="A300" s="32" t="s">
        <v>1238</v>
      </c>
      <c r="B300" s="32" t="s">
        <v>1858</v>
      </c>
      <c r="C300" s="32" t="s">
        <v>1227</v>
      </c>
      <c r="D300" s="32" t="s">
        <v>1626</v>
      </c>
      <c r="E300" s="33">
        <v>6</v>
      </c>
      <c r="F300" s="33">
        <v>40</v>
      </c>
      <c r="G300" s="33">
        <v>6</v>
      </c>
      <c r="H300" s="13">
        <f t="shared" si="4"/>
        <v>6.666666666666667</v>
      </c>
    </row>
    <row r="301" spans="1:8" hidden="1" outlineLevel="2">
      <c r="A301" s="32" t="s">
        <v>1238</v>
      </c>
      <c r="B301" s="32" t="s">
        <v>1862</v>
      </c>
      <c r="C301" s="32" t="s">
        <v>1629</v>
      </c>
      <c r="D301" s="32" t="s">
        <v>1369</v>
      </c>
      <c r="E301" s="33">
        <v>15</v>
      </c>
      <c r="F301" s="33">
        <v>100</v>
      </c>
      <c r="G301" s="33">
        <v>12</v>
      </c>
      <c r="H301" s="13">
        <f t="shared" si="4"/>
        <v>6.666666666666667</v>
      </c>
    </row>
    <row r="302" spans="1:8" hidden="1" outlineLevel="2">
      <c r="A302" s="32" t="s">
        <v>1238</v>
      </c>
      <c r="B302" s="32" t="s">
        <v>86</v>
      </c>
      <c r="C302" s="32" t="s">
        <v>1193</v>
      </c>
      <c r="D302" s="32" t="s">
        <v>1335</v>
      </c>
      <c r="E302" s="33">
        <v>15</v>
      </c>
      <c r="F302" s="33">
        <v>98</v>
      </c>
      <c r="G302" s="33">
        <v>12</v>
      </c>
      <c r="H302" s="13">
        <f t="shared" si="4"/>
        <v>6.5333333333333332</v>
      </c>
    </row>
    <row r="303" spans="1:8" hidden="1" outlineLevel="2">
      <c r="A303" s="32" t="s">
        <v>1238</v>
      </c>
      <c r="B303" s="32" t="s">
        <v>1858</v>
      </c>
      <c r="C303" s="32" t="s">
        <v>242</v>
      </c>
      <c r="D303" s="32" t="s">
        <v>1493</v>
      </c>
      <c r="E303" s="33">
        <v>100</v>
      </c>
      <c r="F303" s="33">
        <v>647</v>
      </c>
      <c r="G303" s="33">
        <v>67</v>
      </c>
      <c r="H303" s="13">
        <f t="shared" si="4"/>
        <v>6.47</v>
      </c>
    </row>
    <row r="304" spans="1:8" hidden="1" outlineLevel="2">
      <c r="A304" s="32" t="s">
        <v>1238</v>
      </c>
      <c r="B304" s="32" t="s">
        <v>86</v>
      </c>
      <c r="C304" s="32" t="s">
        <v>1779</v>
      </c>
      <c r="D304" s="32" t="s">
        <v>1247</v>
      </c>
      <c r="E304" s="33">
        <v>66</v>
      </c>
      <c r="F304" s="33">
        <v>427</v>
      </c>
      <c r="G304" s="33">
        <v>57</v>
      </c>
      <c r="H304" s="13">
        <f t="shared" si="4"/>
        <v>6.4696969696969697</v>
      </c>
    </row>
    <row r="305" spans="1:8" hidden="1" outlineLevel="2">
      <c r="A305" s="32" t="s">
        <v>1238</v>
      </c>
      <c r="B305" s="32" t="s">
        <v>1862</v>
      </c>
      <c r="C305" s="32" t="s">
        <v>1260</v>
      </c>
      <c r="D305" s="32" t="s">
        <v>1783</v>
      </c>
      <c r="E305" s="33">
        <v>15</v>
      </c>
      <c r="F305" s="33">
        <v>93</v>
      </c>
      <c r="G305" s="33">
        <v>15</v>
      </c>
      <c r="H305" s="13">
        <f t="shared" si="4"/>
        <v>6.2</v>
      </c>
    </row>
    <row r="306" spans="1:8" hidden="1" outlineLevel="2">
      <c r="A306" s="32" t="s">
        <v>1238</v>
      </c>
      <c r="B306" s="32" t="s">
        <v>86</v>
      </c>
      <c r="C306" s="32" t="s">
        <v>1419</v>
      </c>
      <c r="D306" s="32" t="s">
        <v>1392</v>
      </c>
      <c r="E306" s="33">
        <v>24</v>
      </c>
      <c r="F306" s="33">
        <v>148</v>
      </c>
      <c r="G306" s="33">
        <v>17</v>
      </c>
      <c r="H306" s="13">
        <f t="shared" si="4"/>
        <v>6.166666666666667</v>
      </c>
    </row>
    <row r="307" spans="1:8" hidden="1" outlineLevel="2">
      <c r="A307" s="32" t="s">
        <v>1238</v>
      </c>
      <c r="B307" s="32" t="s">
        <v>86</v>
      </c>
      <c r="C307" s="32" t="s">
        <v>1655</v>
      </c>
      <c r="D307" s="32" t="s">
        <v>1392</v>
      </c>
      <c r="E307" s="33">
        <v>24</v>
      </c>
      <c r="F307" s="33">
        <v>148</v>
      </c>
      <c r="G307" s="33">
        <v>22</v>
      </c>
      <c r="H307" s="13">
        <f t="shared" si="4"/>
        <v>6.166666666666667</v>
      </c>
    </row>
    <row r="308" spans="1:8" hidden="1" outlineLevel="2">
      <c r="A308" s="32" t="s">
        <v>1238</v>
      </c>
      <c r="B308" s="32" t="s">
        <v>1862</v>
      </c>
      <c r="C308" s="32" t="s">
        <v>1273</v>
      </c>
      <c r="D308" s="32" t="s">
        <v>1576</v>
      </c>
      <c r="E308" s="33">
        <v>3</v>
      </c>
      <c r="F308" s="33">
        <v>18</v>
      </c>
      <c r="G308" s="33">
        <v>3</v>
      </c>
      <c r="H308" s="13">
        <f t="shared" si="4"/>
        <v>6</v>
      </c>
    </row>
    <row r="309" spans="1:8" hidden="1" outlineLevel="2">
      <c r="A309" s="32" t="s">
        <v>1238</v>
      </c>
      <c r="B309" s="32" t="s">
        <v>1862</v>
      </c>
      <c r="C309" s="32" t="s">
        <v>1806</v>
      </c>
      <c r="D309" s="32" t="s">
        <v>1807</v>
      </c>
      <c r="E309" s="33">
        <v>12</v>
      </c>
      <c r="F309" s="33">
        <v>72</v>
      </c>
      <c r="G309" s="33">
        <v>11</v>
      </c>
      <c r="H309" s="13">
        <f t="shared" si="4"/>
        <v>6</v>
      </c>
    </row>
    <row r="310" spans="1:8" hidden="1" outlineLevel="2">
      <c r="A310" s="32" t="s">
        <v>1238</v>
      </c>
      <c r="B310" s="32" t="s">
        <v>1858</v>
      </c>
      <c r="C310" s="32" t="s">
        <v>1223</v>
      </c>
      <c r="D310" s="32" t="s">
        <v>1492</v>
      </c>
      <c r="E310" s="33">
        <v>12</v>
      </c>
      <c r="F310" s="33">
        <v>71</v>
      </c>
      <c r="G310" s="33">
        <v>10</v>
      </c>
      <c r="H310" s="13">
        <f t="shared" si="4"/>
        <v>5.916666666666667</v>
      </c>
    </row>
    <row r="311" spans="1:8" hidden="1" outlineLevel="2">
      <c r="A311" s="32" t="s">
        <v>1238</v>
      </c>
      <c r="B311" s="32" t="s">
        <v>1862</v>
      </c>
      <c r="C311" s="32" t="s">
        <v>948</v>
      </c>
      <c r="D311" s="32" t="s">
        <v>1470</v>
      </c>
      <c r="E311" s="33">
        <v>12</v>
      </c>
      <c r="F311" s="33">
        <v>69</v>
      </c>
      <c r="G311" s="33">
        <v>6</v>
      </c>
      <c r="H311" s="13">
        <f t="shared" si="4"/>
        <v>5.75</v>
      </c>
    </row>
    <row r="312" spans="1:8" hidden="1" outlineLevel="2">
      <c r="A312" s="32" t="s">
        <v>1238</v>
      </c>
      <c r="B312" s="32" t="s">
        <v>86</v>
      </c>
      <c r="C312" s="32" t="s">
        <v>1246</v>
      </c>
      <c r="D312" s="32" t="s">
        <v>1247</v>
      </c>
      <c r="E312" s="33">
        <v>98</v>
      </c>
      <c r="F312" s="33">
        <v>561</v>
      </c>
      <c r="G312" s="33">
        <v>87</v>
      </c>
      <c r="H312" s="13">
        <f t="shared" si="4"/>
        <v>5.7244897959183669</v>
      </c>
    </row>
    <row r="313" spans="1:8" hidden="1" outlineLevel="2">
      <c r="A313" s="32" t="s">
        <v>1238</v>
      </c>
      <c r="B313" s="32" t="s">
        <v>1862</v>
      </c>
      <c r="C313" s="32" t="s">
        <v>955</v>
      </c>
      <c r="D313" s="32" t="s">
        <v>1299</v>
      </c>
      <c r="E313" s="33">
        <v>16</v>
      </c>
      <c r="F313" s="33">
        <v>91</v>
      </c>
      <c r="G313" s="33">
        <v>13</v>
      </c>
      <c r="H313" s="13">
        <f t="shared" si="4"/>
        <v>5.6875</v>
      </c>
    </row>
    <row r="314" spans="1:8" hidden="1" outlineLevel="2">
      <c r="A314" s="32" t="s">
        <v>1238</v>
      </c>
      <c r="B314" s="32" t="s">
        <v>1862</v>
      </c>
      <c r="C314" s="32" t="s">
        <v>1273</v>
      </c>
      <c r="D314" s="32" t="s">
        <v>1278</v>
      </c>
      <c r="E314" s="33">
        <v>3</v>
      </c>
      <c r="F314" s="33">
        <v>17</v>
      </c>
      <c r="G314" s="33">
        <v>2</v>
      </c>
      <c r="H314" s="13">
        <f t="shared" si="4"/>
        <v>5.666666666666667</v>
      </c>
    </row>
    <row r="315" spans="1:8" hidden="1" outlineLevel="2">
      <c r="A315" s="32" t="s">
        <v>1238</v>
      </c>
      <c r="B315" s="32" t="s">
        <v>1862</v>
      </c>
      <c r="C315" s="32" t="s">
        <v>1583</v>
      </c>
      <c r="D315" s="32" t="s">
        <v>1584</v>
      </c>
      <c r="E315" s="33">
        <v>12</v>
      </c>
      <c r="F315" s="33">
        <v>68</v>
      </c>
      <c r="G315" s="33">
        <v>6</v>
      </c>
      <c r="H315" s="13">
        <f t="shared" si="4"/>
        <v>5.666666666666667</v>
      </c>
    </row>
    <row r="316" spans="1:8" hidden="1" outlineLevel="2">
      <c r="A316" s="32" t="s">
        <v>1238</v>
      </c>
      <c r="B316" s="32" t="s">
        <v>1862</v>
      </c>
      <c r="C316" s="32" t="s">
        <v>965</v>
      </c>
      <c r="D316" s="32" t="s">
        <v>1506</v>
      </c>
      <c r="E316" s="33">
        <v>24</v>
      </c>
      <c r="F316" s="33">
        <v>135</v>
      </c>
      <c r="G316" s="33">
        <v>7</v>
      </c>
      <c r="H316" s="13">
        <f t="shared" si="4"/>
        <v>5.625</v>
      </c>
    </row>
    <row r="317" spans="1:8" hidden="1" outlineLevel="2">
      <c r="A317" s="32" t="s">
        <v>1238</v>
      </c>
      <c r="B317" s="32" t="s">
        <v>86</v>
      </c>
      <c r="C317" s="32" t="s">
        <v>190</v>
      </c>
      <c r="D317" s="32" t="s">
        <v>1578</v>
      </c>
      <c r="E317" s="33">
        <v>25</v>
      </c>
      <c r="F317" s="33">
        <v>137</v>
      </c>
      <c r="G317" s="33">
        <v>19</v>
      </c>
      <c r="H317" s="13">
        <f t="shared" si="4"/>
        <v>5.48</v>
      </c>
    </row>
    <row r="318" spans="1:8" hidden="1" outlineLevel="2">
      <c r="A318" s="32" t="s">
        <v>1238</v>
      </c>
      <c r="B318" s="32" t="s">
        <v>1858</v>
      </c>
      <c r="C318" s="32" t="s">
        <v>1117</v>
      </c>
      <c r="D318" s="32" t="s">
        <v>1335</v>
      </c>
      <c r="E318" s="33">
        <v>15</v>
      </c>
      <c r="F318" s="33">
        <v>81</v>
      </c>
      <c r="G318" s="33">
        <v>6</v>
      </c>
      <c r="H318" s="13">
        <f t="shared" si="4"/>
        <v>5.4</v>
      </c>
    </row>
    <row r="319" spans="1:8" hidden="1" outlineLevel="2">
      <c r="A319" s="32" t="s">
        <v>1238</v>
      </c>
      <c r="B319" s="32" t="s">
        <v>1862</v>
      </c>
      <c r="C319" s="32" t="s">
        <v>1574</v>
      </c>
      <c r="D319" s="32" t="s">
        <v>1247</v>
      </c>
      <c r="E319" s="33">
        <v>58</v>
      </c>
      <c r="F319" s="33">
        <v>313</v>
      </c>
      <c r="G319" s="33">
        <v>53</v>
      </c>
      <c r="H319" s="13">
        <f t="shared" si="4"/>
        <v>5.3965517241379306</v>
      </c>
    </row>
    <row r="320" spans="1:8" hidden="1" outlineLevel="2">
      <c r="A320" s="32" t="s">
        <v>1238</v>
      </c>
      <c r="B320" s="32" t="s">
        <v>1862</v>
      </c>
      <c r="C320" s="32" t="s">
        <v>1166</v>
      </c>
      <c r="D320" s="32" t="s">
        <v>1332</v>
      </c>
      <c r="E320" s="33">
        <v>8</v>
      </c>
      <c r="F320" s="33">
        <v>43</v>
      </c>
      <c r="G320" s="33">
        <v>5</v>
      </c>
      <c r="H320" s="13">
        <f t="shared" si="4"/>
        <v>5.375</v>
      </c>
    </row>
    <row r="321" spans="1:8" hidden="1" outlineLevel="2">
      <c r="A321" s="32" t="s">
        <v>1238</v>
      </c>
      <c r="B321" s="32" t="s">
        <v>1858</v>
      </c>
      <c r="C321" s="32" t="s">
        <v>1053</v>
      </c>
      <c r="D321" s="32" t="s">
        <v>1807</v>
      </c>
      <c r="E321" s="33">
        <v>14</v>
      </c>
      <c r="F321" s="33">
        <v>75</v>
      </c>
      <c r="G321" s="33">
        <v>8</v>
      </c>
      <c r="H321" s="13">
        <f t="shared" si="4"/>
        <v>5.3571428571428568</v>
      </c>
    </row>
    <row r="322" spans="1:8" hidden="1" outlineLevel="2">
      <c r="A322" s="32" t="s">
        <v>1238</v>
      </c>
      <c r="B322" s="32" t="s">
        <v>1858</v>
      </c>
      <c r="C322" s="32" t="s">
        <v>1197</v>
      </c>
      <c r="D322" s="32" t="s">
        <v>1585</v>
      </c>
      <c r="E322" s="33">
        <v>12</v>
      </c>
      <c r="F322" s="33">
        <v>64</v>
      </c>
      <c r="G322" s="33">
        <v>7</v>
      </c>
      <c r="H322" s="13">
        <f t="shared" ref="H322:H385" si="5">IFERROR(F322/E322,"")</f>
        <v>5.333333333333333</v>
      </c>
    </row>
    <row r="323" spans="1:8" hidden="1" outlineLevel="2">
      <c r="A323" s="32" t="s">
        <v>1238</v>
      </c>
      <c r="B323" s="32" t="s">
        <v>1862</v>
      </c>
      <c r="C323" s="32" t="s">
        <v>418</v>
      </c>
      <c r="D323" s="32" t="s">
        <v>1469</v>
      </c>
      <c r="E323" s="33">
        <v>34</v>
      </c>
      <c r="F323" s="33">
        <v>181</v>
      </c>
      <c r="G323" s="33">
        <v>32</v>
      </c>
      <c r="H323" s="13">
        <f t="shared" si="5"/>
        <v>5.3235294117647056</v>
      </c>
    </row>
    <row r="324" spans="1:8" hidden="1" outlineLevel="2">
      <c r="A324" s="32" t="s">
        <v>1238</v>
      </c>
      <c r="B324" s="32" t="s">
        <v>86</v>
      </c>
      <c r="C324" s="32" t="s">
        <v>1251</v>
      </c>
      <c r="D324" s="32" t="s">
        <v>1252</v>
      </c>
      <c r="E324" s="33">
        <v>70</v>
      </c>
      <c r="F324" s="33">
        <v>367</v>
      </c>
      <c r="G324" s="33">
        <v>70</v>
      </c>
      <c r="H324" s="13">
        <f t="shared" si="5"/>
        <v>5.2428571428571429</v>
      </c>
    </row>
    <row r="325" spans="1:8" hidden="1" outlineLevel="2">
      <c r="A325" s="32" t="s">
        <v>1238</v>
      </c>
      <c r="B325" s="32" t="s">
        <v>86</v>
      </c>
      <c r="C325" s="32" t="s">
        <v>1808</v>
      </c>
      <c r="D325" s="32" t="s">
        <v>1368</v>
      </c>
      <c r="E325" s="33">
        <v>15</v>
      </c>
      <c r="F325" s="33">
        <v>78</v>
      </c>
      <c r="G325" s="33">
        <v>14</v>
      </c>
      <c r="H325" s="13">
        <f t="shared" si="5"/>
        <v>5.2</v>
      </c>
    </row>
    <row r="326" spans="1:8" hidden="1" outlineLevel="2">
      <c r="A326" s="32" t="s">
        <v>1238</v>
      </c>
      <c r="B326" s="32" t="s">
        <v>1858</v>
      </c>
      <c r="C326" s="32" t="s">
        <v>1053</v>
      </c>
      <c r="D326" s="32" t="s">
        <v>1730</v>
      </c>
      <c r="E326" s="33">
        <v>15</v>
      </c>
      <c r="F326" s="33">
        <v>77</v>
      </c>
      <c r="G326" s="33">
        <v>7</v>
      </c>
      <c r="H326" s="13">
        <f t="shared" si="5"/>
        <v>5.1333333333333337</v>
      </c>
    </row>
    <row r="327" spans="1:8" hidden="1" outlineLevel="2">
      <c r="A327" s="32" t="s">
        <v>1238</v>
      </c>
      <c r="B327" s="32" t="s">
        <v>1858</v>
      </c>
      <c r="C327" s="32" t="s">
        <v>1049</v>
      </c>
      <c r="D327" s="32" t="s">
        <v>1343</v>
      </c>
      <c r="E327" s="33">
        <v>12</v>
      </c>
      <c r="F327" s="33">
        <v>61</v>
      </c>
      <c r="G327" s="33">
        <v>2</v>
      </c>
      <c r="H327" s="13">
        <f t="shared" si="5"/>
        <v>5.083333333333333</v>
      </c>
    </row>
    <row r="328" spans="1:8" hidden="1" outlineLevel="2">
      <c r="A328" s="32" t="s">
        <v>1238</v>
      </c>
      <c r="B328" s="32" t="s">
        <v>1858</v>
      </c>
      <c r="C328" s="32" t="s">
        <v>978</v>
      </c>
      <c r="D328" s="32" t="s">
        <v>1392</v>
      </c>
      <c r="E328" s="33">
        <v>12</v>
      </c>
      <c r="F328" s="33">
        <v>59</v>
      </c>
      <c r="G328" s="33">
        <v>12</v>
      </c>
      <c r="H328" s="13">
        <f t="shared" si="5"/>
        <v>4.916666666666667</v>
      </c>
    </row>
    <row r="329" spans="1:8" hidden="1" outlineLevel="2">
      <c r="A329" s="32" t="s">
        <v>1238</v>
      </c>
      <c r="B329" s="32" t="s">
        <v>86</v>
      </c>
      <c r="C329" s="32" t="s">
        <v>190</v>
      </c>
      <c r="D329" s="32" t="s">
        <v>1781</v>
      </c>
      <c r="E329" s="33">
        <v>25</v>
      </c>
      <c r="F329" s="33">
        <v>120</v>
      </c>
      <c r="G329" s="33">
        <v>12</v>
      </c>
      <c r="H329" s="13">
        <f t="shared" si="5"/>
        <v>4.8</v>
      </c>
    </row>
    <row r="330" spans="1:8" hidden="1" outlineLevel="2">
      <c r="A330" s="32" t="s">
        <v>1238</v>
      </c>
      <c r="B330" s="32" t="s">
        <v>86</v>
      </c>
      <c r="C330" s="32" t="s">
        <v>1655</v>
      </c>
      <c r="D330" s="32" t="s">
        <v>1838</v>
      </c>
      <c r="E330" s="33">
        <v>15</v>
      </c>
      <c r="F330" s="33">
        <v>72</v>
      </c>
      <c r="G330" s="33">
        <v>17</v>
      </c>
      <c r="H330" s="13">
        <f t="shared" si="5"/>
        <v>4.8</v>
      </c>
    </row>
    <row r="331" spans="1:8" hidden="1" outlineLevel="2">
      <c r="A331" s="32" t="s">
        <v>1238</v>
      </c>
      <c r="B331" s="32" t="s">
        <v>86</v>
      </c>
      <c r="C331" s="32" t="s">
        <v>1429</v>
      </c>
      <c r="D331" s="32" t="s">
        <v>1430</v>
      </c>
      <c r="E331" s="33">
        <v>220</v>
      </c>
      <c r="F331" s="33">
        <v>1042</v>
      </c>
      <c r="G331" s="33">
        <v>230</v>
      </c>
      <c r="H331" s="13">
        <f t="shared" si="5"/>
        <v>4.7363636363636363</v>
      </c>
    </row>
    <row r="332" spans="1:8" hidden="1" outlineLevel="2">
      <c r="A332" s="32" t="s">
        <v>1238</v>
      </c>
      <c r="B332" s="32" t="s">
        <v>86</v>
      </c>
      <c r="C332" s="32" t="s">
        <v>1439</v>
      </c>
      <c r="D332" s="32" t="s">
        <v>1440</v>
      </c>
      <c r="E332" s="33">
        <v>300</v>
      </c>
      <c r="F332" s="33">
        <v>1397</v>
      </c>
      <c r="G332" s="33">
        <v>299</v>
      </c>
      <c r="H332" s="13">
        <f t="shared" si="5"/>
        <v>4.6566666666666663</v>
      </c>
    </row>
    <row r="333" spans="1:8" hidden="1" outlineLevel="2">
      <c r="A333" s="32" t="s">
        <v>1238</v>
      </c>
      <c r="B333" s="32" t="s">
        <v>1858</v>
      </c>
      <c r="C333" s="32" t="s">
        <v>104</v>
      </c>
      <c r="D333" s="32" t="s">
        <v>1712</v>
      </c>
      <c r="E333" s="33">
        <v>120</v>
      </c>
      <c r="F333" s="33">
        <v>550</v>
      </c>
      <c r="G333" s="33">
        <v>119</v>
      </c>
      <c r="H333" s="13">
        <f t="shared" si="5"/>
        <v>4.583333333333333</v>
      </c>
    </row>
    <row r="334" spans="1:8" hidden="1" outlineLevel="2">
      <c r="A334" s="32" t="s">
        <v>1238</v>
      </c>
      <c r="B334" s="32" t="s">
        <v>1862</v>
      </c>
      <c r="C334" s="32" t="s">
        <v>1273</v>
      </c>
      <c r="D334" s="32" t="s">
        <v>1274</v>
      </c>
      <c r="E334" s="33">
        <v>2</v>
      </c>
      <c r="F334" s="33">
        <v>9</v>
      </c>
      <c r="G334" s="33">
        <v>3</v>
      </c>
      <c r="H334" s="13">
        <f t="shared" si="5"/>
        <v>4.5</v>
      </c>
    </row>
    <row r="335" spans="1:8" hidden="1" outlineLevel="2">
      <c r="A335" s="32" t="s">
        <v>1238</v>
      </c>
      <c r="B335" s="32" t="s">
        <v>1858</v>
      </c>
      <c r="C335" s="32" t="s">
        <v>1227</v>
      </c>
      <c r="D335" s="32" t="s">
        <v>1509</v>
      </c>
      <c r="E335" s="33">
        <v>6</v>
      </c>
      <c r="F335" s="33">
        <v>27</v>
      </c>
      <c r="G335" s="33">
        <v>6</v>
      </c>
      <c r="H335" s="13">
        <f t="shared" si="5"/>
        <v>4.5</v>
      </c>
    </row>
    <row r="336" spans="1:8" hidden="1" outlineLevel="2">
      <c r="A336" s="32" t="s">
        <v>1238</v>
      </c>
      <c r="B336" s="32" t="s">
        <v>86</v>
      </c>
      <c r="C336" s="32" t="s">
        <v>1565</v>
      </c>
      <c r="D336" s="32" t="s">
        <v>1681</v>
      </c>
      <c r="E336" s="33">
        <v>55</v>
      </c>
      <c r="F336" s="33">
        <v>246</v>
      </c>
      <c r="G336" s="33">
        <v>64</v>
      </c>
      <c r="H336" s="13">
        <f t="shared" si="5"/>
        <v>4.4727272727272727</v>
      </c>
    </row>
    <row r="337" spans="1:8" hidden="1" outlineLevel="2">
      <c r="A337" s="32" t="s">
        <v>1238</v>
      </c>
      <c r="B337" s="32" t="s">
        <v>1858</v>
      </c>
      <c r="C337" s="32" t="s">
        <v>882</v>
      </c>
      <c r="D337" s="32" t="s">
        <v>1667</v>
      </c>
      <c r="E337" s="33">
        <v>24</v>
      </c>
      <c r="F337" s="33">
        <v>106</v>
      </c>
      <c r="G337" s="33">
        <v>19</v>
      </c>
      <c r="H337" s="13">
        <f t="shared" si="5"/>
        <v>4.416666666666667</v>
      </c>
    </row>
    <row r="338" spans="1:8" hidden="1" outlineLevel="2">
      <c r="A338" s="32" t="s">
        <v>1238</v>
      </c>
      <c r="B338" s="32" t="s">
        <v>86</v>
      </c>
      <c r="C338" s="32" t="s">
        <v>996</v>
      </c>
      <c r="D338" s="32" t="s">
        <v>1330</v>
      </c>
      <c r="E338" s="33">
        <v>9</v>
      </c>
      <c r="F338" s="33">
        <v>39</v>
      </c>
      <c r="G338" s="33">
        <v>7</v>
      </c>
      <c r="H338" s="13">
        <f t="shared" si="5"/>
        <v>4.333333333333333</v>
      </c>
    </row>
    <row r="339" spans="1:8" hidden="1" outlineLevel="2">
      <c r="A339" s="32" t="s">
        <v>1238</v>
      </c>
      <c r="B339" s="32" t="s">
        <v>1862</v>
      </c>
      <c r="C339" s="32" t="s">
        <v>1357</v>
      </c>
      <c r="D339" s="32" t="s">
        <v>1368</v>
      </c>
      <c r="E339" s="33">
        <v>12</v>
      </c>
      <c r="F339" s="33">
        <v>52</v>
      </c>
      <c r="G339" s="33">
        <v>7</v>
      </c>
      <c r="H339" s="13">
        <f t="shared" si="5"/>
        <v>4.333333333333333</v>
      </c>
    </row>
    <row r="340" spans="1:8" hidden="1" outlineLevel="2">
      <c r="A340" s="32" t="s">
        <v>1238</v>
      </c>
      <c r="B340" s="32" t="s">
        <v>1862</v>
      </c>
      <c r="C340" s="32" t="s">
        <v>1568</v>
      </c>
      <c r="D340" s="32" t="s">
        <v>1569</v>
      </c>
      <c r="E340" s="33">
        <v>135</v>
      </c>
      <c r="F340" s="33">
        <v>583</v>
      </c>
      <c r="G340" s="33">
        <v>113</v>
      </c>
      <c r="H340" s="13">
        <f t="shared" si="5"/>
        <v>4.3185185185185189</v>
      </c>
    </row>
    <row r="341" spans="1:8" hidden="1" outlineLevel="2">
      <c r="A341" s="32" t="s">
        <v>1238</v>
      </c>
      <c r="B341" s="32" t="s">
        <v>1858</v>
      </c>
      <c r="C341" s="32" t="s">
        <v>1119</v>
      </c>
      <c r="D341" s="32" t="s">
        <v>1392</v>
      </c>
      <c r="E341" s="33">
        <v>16</v>
      </c>
      <c r="F341" s="33">
        <v>67</v>
      </c>
      <c r="G341" s="33">
        <v>10</v>
      </c>
      <c r="H341" s="13">
        <f t="shared" si="5"/>
        <v>4.1875</v>
      </c>
    </row>
    <row r="342" spans="1:8" hidden="1" outlineLevel="2">
      <c r="A342" s="32" t="s">
        <v>1238</v>
      </c>
      <c r="B342" s="32" t="s">
        <v>86</v>
      </c>
      <c r="C342" s="32" t="s">
        <v>110</v>
      </c>
      <c r="D342" s="32" t="s">
        <v>1374</v>
      </c>
      <c r="E342" s="33">
        <v>360</v>
      </c>
      <c r="F342" s="33">
        <v>1499</v>
      </c>
      <c r="G342" s="33">
        <v>291</v>
      </c>
      <c r="H342" s="13">
        <f t="shared" si="5"/>
        <v>4.1638888888888888</v>
      </c>
    </row>
    <row r="343" spans="1:8" hidden="1" outlineLevel="2">
      <c r="A343" s="32" t="s">
        <v>1238</v>
      </c>
      <c r="B343" s="32" t="s">
        <v>1858</v>
      </c>
      <c r="C343" s="32" t="s">
        <v>1596</v>
      </c>
      <c r="D343" s="32" t="s">
        <v>1492</v>
      </c>
      <c r="E343" s="33">
        <v>12</v>
      </c>
      <c r="F343" s="33">
        <v>49</v>
      </c>
      <c r="G343" s="33">
        <v>0</v>
      </c>
      <c r="H343" s="13">
        <f t="shared" si="5"/>
        <v>4.083333333333333</v>
      </c>
    </row>
    <row r="344" spans="1:8" hidden="1" outlineLevel="2">
      <c r="A344" s="32" t="s">
        <v>1238</v>
      </c>
      <c r="B344" s="32" t="s">
        <v>86</v>
      </c>
      <c r="C344" s="32" t="s">
        <v>138</v>
      </c>
      <c r="D344" s="32" t="s">
        <v>1536</v>
      </c>
      <c r="E344" s="33">
        <v>200</v>
      </c>
      <c r="F344" s="33">
        <v>805</v>
      </c>
      <c r="G344" s="33">
        <v>209</v>
      </c>
      <c r="H344" s="13">
        <f t="shared" si="5"/>
        <v>4.0250000000000004</v>
      </c>
    </row>
    <row r="345" spans="1:8" hidden="1" outlineLevel="2">
      <c r="A345" s="32" t="s">
        <v>1238</v>
      </c>
      <c r="B345" s="32" t="s">
        <v>1862</v>
      </c>
      <c r="C345" s="32" t="s">
        <v>1260</v>
      </c>
      <c r="D345" s="32" t="s">
        <v>1261</v>
      </c>
      <c r="E345" s="33">
        <v>15</v>
      </c>
      <c r="F345" s="33">
        <v>60</v>
      </c>
      <c r="G345" s="33">
        <v>9</v>
      </c>
      <c r="H345" s="13">
        <f t="shared" si="5"/>
        <v>4</v>
      </c>
    </row>
    <row r="346" spans="1:8" hidden="1" outlineLevel="2">
      <c r="A346" s="32" t="s">
        <v>1238</v>
      </c>
      <c r="B346" s="32" t="s">
        <v>1862</v>
      </c>
      <c r="C346" s="32" t="s">
        <v>1273</v>
      </c>
      <c r="D346" s="32" t="s">
        <v>1575</v>
      </c>
      <c r="E346" s="33">
        <v>2</v>
      </c>
      <c r="F346" s="33">
        <v>8</v>
      </c>
      <c r="G346" s="33">
        <v>2</v>
      </c>
      <c r="H346" s="13">
        <f t="shared" si="5"/>
        <v>4</v>
      </c>
    </row>
    <row r="347" spans="1:8" hidden="1" outlineLevel="2">
      <c r="A347" s="32" t="s">
        <v>1238</v>
      </c>
      <c r="B347" s="32" t="s">
        <v>1862</v>
      </c>
      <c r="C347" s="32" t="s">
        <v>962</v>
      </c>
      <c r="D347" s="32" t="s">
        <v>1332</v>
      </c>
      <c r="E347" s="33">
        <v>12</v>
      </c>
      <c r="F347" s="33">
        <v>48</v>
      </c>
      <c r="G347" s="33">
        <v>9</v>
      </c>
      <c r="H347" s="13">
        <f t="shared" si="5"/>
        <v>4</v>
      </c>
    </row>
    <row r="348" spans="1:8" hidden="1" outlineLevel="2">
      <c r="A348" s="32" t="s">
        <v>1238</v>
      </c>
      <c r="B348" s="32" t="s">
        <v>1858</v>
      </c>
      <c r="C348" s="32" t="s">
        <v>89</v>
      </c>
      <c r="D348" s="32" t="s">
        <v>1346</v>
      </c>
      <c r="E348" s="33">
        <v>55</v>
      </c>
      <c r="F348" s="33">
        <v>217</v>
      </c>
      <c r="G348" s="33">
        <v>54</v>
      </c>
      <c r="H348" s="13">
        <f t="shared" si="5"/>
        <v>3.9454545454545453</v>
      </c>
    </row>
    <row r="349" spans="1:8" hidden="1" outlineLevel="2">
      <c r="A349" s="32" t="s">
        <v>1238</v>
      </c>
      <c r="B349" s="32" t="s">
        <v>1862</v>
      </c>
      <c r="C349" s="32" t="s">
        <v>969</v>
      </c>
      <c r="D349" s="32" t="s">
        <v>1814</v>
      </c>
      <c r="E349" s="33">
        <v>7</v>
      </c>
      <c r="F349" s="33">
        <v>27</v>
      </c>
      <c r="G349" s="33">
        <v>4</v>
      </c>
      <c r="H349" s="13">
        <f t="shared" si="5"/>
        <v>3.8571428571428572</v>
      </c>
    </row>
    <row r="350" spans="1:8" hidden="1" outlineLevel="2">
      <c r="A350" s="32" t="s">
        <v>1238</v>
      </c>
      <c r="B350" s="32" t="s">
        <v>1858</v>
      </c>
      <c r="C350" s="32" t="s">
        <v>1758</v>
      </c>
      <c r="D350" s="32" t="s">
        <v>1759</v>
      </c>
      <c r="E350" s="33">
        <v>12</v>
      </c>
      <c r="F350" s="33">
        <v>46</v>
      </c>
      <c r="G350" s="33">
        <v>10</v>
      </c>
      <c r="H350" s="13">
        <f t="shared" si="5"/>
        <v>3.8333333333333335</v>
      </c>
    </row>
    <row r="351" spans="1:8" hidden="1" outlineLevel="2">
      <c r="A351" s="32" t="s">
        <v>1238</v>
      </c>
      <c r="B351" s="32" t="s">
        <v>86</v>
      </c>
      <c r="C351" s="32" t="s">
        <v>1623</v>
      </c>
      <c r="D351" s="32" t="s">
        <v>1624</v>
      </c>
      <c r="E351" s="33">
        <v>30</v>
      </c>
      <c r="F351" s="33">
        <v>113</v>
      </c>
      <c r="G351" s="33">
        <v>29</v>
      </c>
      <c r="H351" s="13">
        <f t="shared" si="5"/>
        <v>3.7666666666666666</v>
      </c>
    </row>
    <row r="352" spans="1:8" hidden="1" outlineLevel="2">
      <c r="A352" s="32" t="s">
        <v>1238</v>
      </c>
      <c r="B352" s="32" t="s">
        <v>1858</v>
      </c>
      <c r="C352" s="32" t="s">
        <v>1197</v>
      </c>
      <c r="D352" s="32" t="s">
        <v>1369</v>
      </c>
      <c r="E352" s="33">
        <v>12</v>
      </c>
      <c r="F352" s="33">
        <v>45</v>
      </c>
      <c r="G352" s="33">
        <v>7</v>
      </c>
      <c r="H352" s="13">
        <f t="shared" si="5"/>
        <v>3.75</v>
      </c>
    </row>
    <row r="353" spans="1:8" hidden="1" outlineLevel="2">
      <c r="A353" s="32" t="s">
        <v>1238</v>
      </c>
      <c r="B353" s="32" t="s">
        <v>1858</v>
      </c>
      <c r="C353" s="32" t="s">
        <v>1147</v>
      </c>
      <c r="D353" s="32" t="s">
        <v>1239</v>
      </c>
      <c r="E353" s="33">
        <v>36</v>
      </c>
      <c r="F353" s="33">
        <v>133</v>
      </c>
      <c r="G353" s="33">
        <v>10</v>
      </c>
      <c r="H353" s="13">
        <f t="shared" si="5"/>
        <v>3.6944444444444446</v>
      </c>
    </row>
    <row r="354" spans="1:8" hidden="1" outlineLevel="2">
      <c r="A354" s="32" t="s">
        <v>1238</v>
      </c>
      <c r="B354" s="32" t="s">
        <v>1858</v>
      </c>
      <c r="C354" s="32" t="s">
        <v>1331</v>
      </c>
      <c r="D354" s="32" t="s">
        <v>1332</v>
      </c>
      <c r="E354" s="33">
        <v>12</v>
      </c>
      <c r="F354" s="33">
        <v>44</v>
      </c>
      <c r="G354" s="33">
        <v>6</v>
      </c>
      <c r="H354" s="13">
        <f t="shared" si="5"/>
        <v>3.6666666666666665</v>
      </c>
    </row>
    <row r="355" spans="1:8" hidden="1" outlineLevel="2">
      <c r="A355" s="32" t="s">
        <v>1238</v>
      </c>
      <c r="B355" s="32" t="s">
        <v>1862</v>
      </c>
      <c r="C355" s="32" t="s">
        <v>1273</v>
      </c>
      <c r="D355" s="32" t="s">
        <v>1471</v>
      </c>
      <c r="E355" s="33">
        <v>2</v>
      </c>
      <c r="F355" s="33">
        <v>7</v>
      </c>
      <c r="G355" s="33">
        <v>2</v>
      </c>
      <c r="H355" s="13">
        <f t="shared" si="5"/>
        <v>3.5</v>
      </c>
    </row>
    <row r="356" spans="1:8" hidden="1" outlineLevel="2">
      <c r="A356" s="32" t="s">
        <v>1238</v>
      </c>
      <c r="B356" s="32" t="s">
        <v>1862</v>
      </c>
      <c r="C356" s="32" t="s">
        <v>1796</v>
      </c>
      <c r="D356" s="32" t="s">
        <v>1797</v>
      </c>
      <c r="E356" s="33">
        <v>200</v>
      </c>
      <c r="F356" s="33">
        <v>693</v>
      </c>
      <c r="G356" s="33">
        <v>96</v>
      </c>
      <c r="H356" s="13">
        <f t="shared" si="5"/>
        <v>3.4649999999999999</v>
      </c>
    </row>
    <row r="357" spans="1:8" hidden="1" outlineLevel="2">
      <c r="A357" s="32" t="s">
        <v>1238</v>
      </c>
      <c r="B357" s="32" t="s">
        <v>86</v>
      </c>
      <c r="C357" s="32" t="s">
        <v>138</v>
      </c>
      <c r="D357" s="32" t="s">
        <v>1737</v>
      </c>
      <c r="E357" s="33">
        <v>100</v>
      </c>
      <c r="F357" s="33">
        <v>344</v>
      </c>
      <c r="G357" s="33">
        <v>105</v>
      </c>
      <c r="H357" s="13">
        <f t="shared" si="5"/>
        <v>3.44</v>
      </c>
    </row>
    <row r="358" spans="1:8" hidden="1" outlineLevel="2">
      <c r="A358" s="32" t="s">
        <v>1238</v>
      </c>
      <c r="B358" s="32" t="s">
        <v>1858</v>
      </c>
      <c r="C358" s="32" t="s">
        <v>1268</v>
      </c>
      <c r="D358" s="32" t="s">
        <v>1270</v>
      </c>
      <c r="E358" s="33">
        <v>50</v>
      </c>
      <c r="F358" s="33">
        <v>171</v>
      </c>
      <c r="G358" s="33">
        <v>20</v>
      </c>
      <c r="H358" s="13">
        <f t="shared" si="5"/>
        <v>3.42</v>
      </c>
    </row>
    <row r="359" spans="1:8" hidden="1" outlineLevel="2">
      <c r="A359" s="32" t="s">
        <v>1238</v>
      </c>
      <c r="B359" s="32" t="s">
        <v>1862</v>
      </c>
      <c r="C359" s="32" t="s">
        <v>1158</v>
      </c>
      <c r="D359" s="32" t="s">
        <v>1753</v>
      </c>
      <c r="E359" s="33">
        <v>12</v>
      </c>
      <c r="F359" s="33">
        <v>41</v>
      </c>
      <c r="G359" s="33">
        <v>5</v>
      </c>
      <c r="H359" s="13">
        <f t="shared" si="5"/>
        <v>3.4166666666666665</v>
      </c>
    </row>
    <row r="360" spans="1:8" hidden="1" outlineLevel="2">
      <c r="A360" s="32" t="s">
        <v>1238</v>
      </c>
      <c r="B360" s="32" t="s">
        <v>86</v>
      </c>
      <c r="C360" s="32" t="s">
        <v>1565</v>
      </c>
      <c r="D360" s="32" t="s">
        <v>1566</v>
      </c>
      <c r="E360" s="33">
        <v>115</v>
      </c>
      <c r="F360" s="33">
        <v>390</v>
      </c>
      <c r="G360" s="33">
        <v>113</v>
      </c>
      <c r="H360" s="13">
        <f t="shared" si="5"/>
        <v>3.3913043478260869</v>
      </c>
    </row>
    <row r="361" spans="1:8" hidden="1" outlineLevel="2">
      <c r="A361" s="32" t="s">
        <v>1238</v>
      </c>
      <c r="B361" s="32" t="s">
        <v>1858</v>
      </c>
      <c r="C361" s="32" t="s">
        <v>1044</v>
      </c>
      <c r="D361" s="32" t="s">
        <v>1392</v>
      </c>
      <c r="E361" s="33">
        <v>12</v>
      </c>
      <c r="F361" s="33">
        <v>40</v>
      </c>
      <c r="G361" s="33">
        <v>7</v>
      </c>
      <c r="H361" s="13">
        <f t="shared" si="5"/>
        <v>3.3333333333333335</v>
      </c>
    </row>
    <row r="362" spans="1:8" hidden="1" outlineLevel="2">
      <c r="A362" s="32" t="s">
        <v>1238</v>
      </c>
      <c r="B362" s="32" t="s">
        <v>1858</v>
      </c>
      <c r="C362" s="32" t="s">
        <v>1197</v>
      </c>
      <c r="D362" s="32" t="s">
        <v>1368</v>
      </c>
      <c r="E362" s="33">
        <v>12</v>
      </c>
      <c r="F362" s="33">
        <v>40</v>
      </c>
      <c r="G362" s="33">
        <v>4</v>
      </c>
      <c r="H362" s="13">
        <f t="shared" si="5"/>
        <v>3.3333333333333335</v>
      </c>
    </row>
    <row r="363" spans="1:8" hidden="1" outlineLevel="2">
      <c r="A363" s="32" t="s">
        <v>1238</v>
      </c>
      <c r="B363" s="32" t="s">
        <v>1858</v>
      </c>
      <c r="C363" s="32" t="s">
        <v>907</v>
      </c>
      <c r="D363" s="32" t="s">
        <v>1785</v>
      </c>
      <c r="E363" s="33">
        <v>24</v>
      </c>
      <c r="F363" s="33">
        <v>79</v>
      </c>
      <c r="G363" s="33">
        <v>13</v>
      </c>
      <c r="H363" s="13">
        <f t="shared" si="5"/>
        <v>3.2916666666666665</v>
      </c>
    </row>
    <row r="364" spans="1:8" hidden="1" outlineLevel="2">
      <c r="A364" s="32" t="s">
        <v>1238</v>
      </c>
      <c r="B364" s="32" t="s">
        <v>1858</v>
      </c>
      <c r="C364" s="32" t="s">
        <v>1286</v>
      </c>
      <c r="D364" s="32" t="s">
        <v>1685</v>
      </c>
      <c r="E364" s="33">
        <v>84</v>
      </c>
      <c r="F364" s="33">
        <v>275</v>
      </c>
      <c r="G364" s="33">
        <v>85</v>
      </c>
      <c r="H364" s="13">
        <f t="shared" si="5"/>
        <v>3.2738095238095237</v>
      </c>
    </row>
    <row r="365" spans="1:8" hidden="1" outlineLevel="2">
      <c r="A365" s="32" t="s">
        <v>1238</v>
      </c>
      <c r="B365" s="32" t="s">
        <v>1862</v>
      </c>
      <c r="C365" s="32" t="s">
        <v>1772</v>
      </c>
      <c r="D365" s="32" t="s">
        <v>1332</v>
      </c>
      <c r="E365" s="33">
        <v>12</v>
      </c>
      <c r="F365" s="33">
        <v>39</v>
      </c>
      <c r="G365" s="33">
        <v>4</v>
      </c>
      <c r="H365" s="13">
        <f t="shared" si="5"/>
        <v>3.25</v>
      </c>
    </row>
    <row r="366" spans="1:8" hidden="1" outlineLevel="2">
      <c r="A366" s="32" t="s">
        <v>1238</v>
      </c>
      <c r="B366" s="32" t="s">
        <v>1858</v>
      </c>
      <c r="C366" s="32" t="s">
        <v>1197</v>
      </c>
      <c r="D366" s="32" t="s">
        <v>1850</v>
      </c>
      <c r="E366" s="33">
        <v>12</v>
      </c>
      <c r="F366" s="33">
        <v>37</v>
      </c>
      <c r="G366" s="33">
        <v>2</v>
      </c>
      <c r="H366" s="13">
        <f t="shared" si="5"/>
        <v>3.0833333333333335</v>
      </c>
    </row>
    <row r="367" spans="1:8" hidden="1" outlineLevel="2">
      <c r="A367" s="32" t="s">
        <v>1238</v>
      </c>
      <c r="B367" s="32" t="s">
        <v>1862</v>
      </c>
      <c r="C367" s="32" t="s">
        <v>1597</v>
      </c>
      <c r="D367" s="32" t="s">
        <v>1598</v>
      </c>
      <c r="E367" s="33">
        <v>70</v>
      </c>
      <c r="F367" s="33">
        <v>214</v>
      </c>
      <c r="G367" s="33">
        <v>43</v>
      </c>
      <c r="H367" s="13">
        <f t="shared" si="5"/>
        <v>3.0571428571428569</v>
      </c>
    </row>
    <row r="368" spans="1:8" hidden="1" outlineLevel="2">
      <c r="A368" s="32" t="s">
        <v>1238</v>
      </c>
      <c r="B368" s="32" t="s">
        <v>1862</v>
      </c>
      <c r="C368" s="32" t="s">
        <v>1273</v>
      </c>
      <c r="D368" s="32" t="s">
        <v>1275</v>
      </c>
      <c r="E368" s="33">
        <v>3</v>
      </c>
      <c r="F368" s="33">
        <v>9</v>
      </c>
      <c r="G368" s="33">
        <v>2</v>
      </c>
      <c r="H368" s="13">
        <f t="shared" si="5"/>
        <v>3</v>
      </c>
    </row>
    <row r="369" spans="1:8" hidden="1" outlineLevel="2">
      <c r="A369" s="32" t="s">
        <v>1238</v>
      </c>
      <c r="B369" s="32" t="s">
        <v>1858</v>
      </c>
      <c r="C369" s="32" t="s">
        <v>881</v>
      </c>
      <c r="D369" s="32" t="s">
        <v>1626</v>
      </c>
      <c r="E369" s="33">
        <v>12</v>
      </c>
      <c r="F369" s="33">
        <v>36</v>
      </c>
      <c r="G369" s="33">
        <v>4</v>
      </c>
      <c r="H369" s="13">
        <f t="shared" si="5"/>
        <v>3</v>
      </c>
    </row>
    <row r="370" spans="1:8" hidden="1" outlineLevel="2">
      <c r="A370" s="32" t="s">
        <v>1238</v>
      </c>
      <c r="B370" s="32" t="s">
        <v>1858</v>
      </c>
      <c r="C370" s="32" t="s">
        <v>89</v>
      </c>
      <c r="D370" s="32" t="s">
        <v>1346</v>
      </c>
      <c r="E370" s="33">
        <v>40</v>
      </c>
      <c r="F370" s="33">
        <v>119</v>
      </c>
      <c r="G370" s="33">
        <v>28</v>
      </c>
      <c r="H370" s="13">
        <f t="shared" si="5"/>
        <v>2.9750000000000001</v>
      </c>
    </row>
    <row r="371" spans="1:8" hidden="1" outlineLevel="2">
      <c r="A371" s="32" t="s">
        <v>1238</v>
      </c>
      <c r="B371" s="32" t="s">
        <v>1862</v>
      </c>
      <c r="C371" s="32" t="s">
        <v>1081</v>
      </c>
      <c r="D371" s="32" t="s">
        <v>1356</v>
      </c>
      <c r="E371" s="33">
        <v>20</v>
      </c>
      <c r="F371" s="33">
        <v>59</v>
      </c>
      <c r="G371" s="33">
        <v>12</v>
      </c>
      <c r="H371" s="13">
        <f t="shared" si="5"/>
        <v>2.95</v>
      </c>
    </row>
    <row r="372" spans="1:8" hidden="1" outlineLevel="2">
      <c r="A372" s="32" t="s">
        <v>1238</v>
      </c>
      <c r="B372" s="32" t="s">
        <v>1862</v>
      </c>
      <c r="C372" s="32" t="s">
        <v>962</v>
      </c>
      <c r="D372" s="32" t="s">
        <v>1367</v>
      </c>
      <c r="E372" s="33">
        <v>12</v>
      </c>
      <c r="F372" s="33">
        <v>35</v>
      </c>
      <c r="G372" s="33">
        <v>9</v>
      </c>
      <c r="H372" s="13">
        <f t="shared" si="5"/>
        <v>2.9166666666666665</v>
      </c>
    </row>
    <row r="373" spans="1:8" hidden="1" outlineLevel="2">
      <c r="A373" s="32" t="s">
        <v>1238</v>
      </c>
      <c r="B373" s="32" t="s">
        <v>86</v>
      </c>
      <c r="C373" s="32" t="s">
        <v>996</v>
      </c>
      <c r="D373" s="32" t="s">
        <v>1672</v>
      </c>
      <c r="E373" s="33">
        <v>9</v>
      </c>
      <c r="F373" s="33">
        <v>26</v>
      </c>
      <c r="G373" s="33">
        <v>10</v>
      </c>
      <c r="H373" s="13">
        <f t="shared" si="5"/>
        <v>2.8888888888888888</v>
      </c>
    </row>
    <row r="374" spans="1:8" hidden="1" outlineLevel="2">
      <c r="A374" s="32" t="s">
        <v>1238</v>
      </c>
      <c r="B374" s="32" t="s">
        <v>86</v>
      </c>
      <c r="C374" s="32" t="s">
        <v>1494</v>
      </c>
      <c r="D374" s="32" t="s">
        <v>1470</v>
      </c>
      <c r="E374" s="33">
        <v>20</v>
      </c>
      <c r="F374" s="33">
        <v>57</v>
      </c>
      <c r="G374" s="33">
        <v>10</v>
      </c>
      <c r="H374" s="13">
        <f t="shared" si="5"/>
        <v>2.85</v>
      </c>
    </row>
    <row r="375" spans="1:8" hidden="1" outlineLevel="2">
      <c r="A375" s="32" t="s">
        <v>1238</v>
      </c>
      <c r="B375" s="32" t="s">
        <v>86</v>
      </c>
      <c r="C375" s="32" t="s">
        <v>1042</v>
      </c>
      <c r="D375" s="32" t="s">
        <v>1470</v>
      </c>
      <c r="E375" s="33">
        <v>15</v>
      </c>
      <c r="F375" s="33">
        <v>41</v>
      </c>
      <c r="G375" s="33">
        <v>12</v>
      </c>
      <c r="H375" s="13">
        <f t="shared" si="5"/>
        <v>2.7333333333333334</v>
      </c>
    </row>
    <row r="376" spans="1:8" hidden="1" outlineLevel="2">
      <c r="A376" s="32" t="s">
        <v>1238</v>
      </c>
      <c r="B376" s="32" t="s">
        <v>86</v>
      </c>
      <c r="C376" s="32" t="s">
        <v>1849</v>
      </c>
      <c r="D376" s="32" t="s">
        <v>1392</v>
      </c>
      <c r="E376" s="33">
        <v>25</v>
      </c>
      <c r="F376" s="33">
        <v>68</v>
      </c>
      <c r="G376" s="33">
        <v>11</v>
      </c>
      <c r="H376" s="13">
        <f t="shared" si="5"/>
        <v>2.72</v>
      </c>
    </row>
    <row r="377" spans="1:8" hidden="1" outlineLevel="2">
      <c r="A377" s="32" t="s">
        <v>1238</v>
      </c>
      <c r="B377" s="32" t="s">
        <v>1858</v>
      </c>
      <c r="C377" s="32" t="s">
        <v>880</v>
      </c>
      <c r="D377" s="32" t="s">
        <v>1484</v>
      </c>
      <c r="E377" s="33">
        <v>12</v>
      </c>
      <c r="F377" s="33">
        <v>32</v>
      </c>
      <c r="G377" s="33">
        <v>6</v>
      </c>
      <c r="H377" s="13">
        <f t="shared" si="5"/>
        <v>2.6666666666666665</v>
      </c>
    </row>
    <row r="378" spans="1:8" hidden="1" outlineLevel="2">
      <c r="A378" s="32" t="s">
        <v>1238</v>
      </c>
      <c r="B378" s="32" t="s">
        <v>1858</v>
      </c>
      <c r="C378" s="32" t="s">
        <v>89</v>
      </c>
      <c r="D378" s="32" t="s">
        <v>1346</v>
      </c>
      <c r="E378" s="33">
        <v>20</v>
      </c>
      <c r="F378" s="33">
        <v>53</v>
      </c>
      <c r="G378" s="33">
        <v>7</v>
      </c>
      <c r="H378" s="13">
        <f t="shared" si="5"/>
        <v>2.65</v>
      </c>
    </row>
    <row r="379" spans="1:8" hidden="1" outlineLevel="2">
      <c r="A379" s="32" t="s">
        <v>1238</v>
      </c>
      <c r="B379" s="32" t="s">
        <v>86</v>
      </c>
      <c r="C379" s="32" t="s">
        <v>1257</v>
      </c>
      <c r="D379" s="32" t="s">
        <v>1259</v>
      </c>
      <c r="E379" s="33">
        <v>30</v>
      </c>
      <c r="F379" s="33">
        <v>76</v>
      </c>
      <c r="G379" s="33">
        <v>10</v>
      </c>
      <c r="H379" s="13">
        <f t="shared" si="5"/>
        <v>2.5333333333333332</v>
      </c>
    </row>
    <row r="380" spans="1:8" hidden="1" outlineLevel="2">
      <c r="A380" s="32" t="s">
        <v>1238</v>
      </c>
      <c r="B380" s="32" t="s">
        <v>1858</v>
      </c>
      <c r="C380" s="32" t="s">
        <v>1596</v>
      </c>
      <c r="D380" s="32" t="s">
        <v>1354</v>
      </c>
      <c r="E380" s="33">
        <v>12</v>
      </c>
      <c r="F380" s="33">
        <v>29</v>
      </c>
      <c r="G380" s="33">
        <v>1</v>
      </c>
      <c r="H380" s="13">
        <f t="shared" si="5"/>
        <v>2.4166666666666665</v>
      </c>
    </row>
    <row r="381" spans="1:8" hidden="1" outlineLevel="2">
      <c r="A381" s="32" t="s">
        <v>1238</v>
      </c>
      <c r="B381" s="32" t="s">
        <v>1862</v>
      </c>
      <c r="C381" s="32" t="s">
        <v>1326</v>
      </c>
      <c r="D381" s="32" t="s">
        <v>1618</v>
      </c>
      <c r="E381" s="33">
        <v>60</v>
      </c>
      <c r="F381" s="33">
        <v>141</v>
      </c>
      <c r="G381" s="33">
        <v>0</v>
      </c>
      <c r="H381" s="13">
        <f t="shared" si="5"/>
        <v>2.35</v>
      </c>
    </row>
    <row r="382" spans="1:8" hidden="1" outlineLevel="2">
      <c r="A382" s="32" t="s">
        <v>1238</v>
      </c>
      <c r="B382" s="32" t="s">
        <v>1858</v>
      </c>
      <c r="C382" s="32" t="s">
        <v>939</v>
      </c>
      <c r="D382" s="32" t="s">
        <v>1368</v>
      </c>
      <c r="E382" s="33">
        <v>12</v>
      </c>
      <c r="F382" s="33">
        <v>27</v>
      </c>
      <c r="G382" s="33">
        <v>3</v>
      </c>
      <c r="H382" s="13">
        <f t="shared" si="5"/>
        <v>2.25</v>
      </c>
    </row>
    <row r="383" spans="1:8" hidden="1" outlineLevel="2">
      <c r="A383" s="32" t="s">
        <v>1238</v>
      </c>
      <c r="B383" s="32" t="s">
        <v>1862</v>
      </c>
      <c r="C383" s="32" t="s">
        <v>1320</v>
      </c>
      <c r="D383" s="32" t="s">
        <v>1321</v>
      </c>
      <c r="E383" s="33">
        <v>12</v>
      </c>
      <c r="F383" s="33">
        <v>25</v>
      </c>
      <c r="G383" s="33">
        <v>2</v>
      </c>
      <c r="H383" s="13">
        <f t="shared" si="5"/>
        <v>2.0833333333333335</v>
      </c>
    </row>
    <row r="384" spans="1:8" hidden="1" outlineLevel="2">
      <c r="A384" s="32" t="s">
        <v>1238</v>
      </c>
      <c r="B384" s="32" t="s">
        <v>1858</v>
      </c>
      <c r="C384" s="32" t="s">
        <v>1268</v>
      </c>
      <c r="D384" s="32" t="s">
        <v>1269</v>
      </c>
      <c r="E384" s="33">
        <v>100</v>
      </c>
      <c r="F384" s="33">
        <v>205</v>
      </c>
      <c r="G384" s="33">
        <v>25</v>
      </c>
      <c r="H384" s="13">
        <f t="shared" si="5"/>
        <v>2.0499999999999998</v>
      </c>
    </row>
    <row r="385" spans="1:8" hidden="1" outlineLevel="2">
      <c r="A385" s="32" t="s">
        <v>1238</v>
      </c>
      <c r="B385" s="32" t="s">
        <v>1858</v>
      </c>
      <c r="C385" s="32" t="s">
        <v>1268</v>
      </c>
      <c r="D385" s="32" t="s">
        <v>1270</v>
      </c>
      <c r="E385" s="33">
        <v>200</v>
      </c>
      <c r="F385" s="33">
        <v>408</v>
      </c>
      <c r="G385" s="33">
        <v>75</v>
      </c>
      <c r="H385" s="13">
        <f t="shared" si="5"/>
        <v>2.04</v>
      </c>
    </row>
    <row r="386" spans="1:8" hidden="1" outlineLevel="2">
      <c r="A386" s="32" t="s">
        <v>1238</v>
      </c>
      <c r="B386" s="32" t="s">
        <v>1862</v>
      </c>
      <c r="C386" s="32" t="s">
        <v>1273</v>
      </c>
      <c r="D386" s="32" t="s">
        <v>1611</v>
      </c>
      <c r="E386" s="33">
        <v>2</v>
      </c>
      <c r="F386" s="33">
        <v>4</v>
      </c>
      <c r="G386" s="33">
        <v>1</v>
      </c>
      <c r="H386" s="13">
        <f t="shared" ref="H386:H449" si="6">IFERROR(F386/E386,"")</f>
        <v>2</v>
      </c>
    </row>
    <row r="387" spans="1:8" hidden="1" outlineLevel="2">
      <c r="A387" s="32" t="s">
        <v>1238</v>
      </c>
      <c r="B387" s="32" t="s">
        <v>1858</v>
      </c>
      <c r="C387" s="32" t="s">
        <v>1197</v>
      </c>
      <c r="D387" s="32" t="s">
        <v>1819</v>
      </c>
      <c r="E387" s="33">
        <v>12</v>
      </c>
      <c r="F387" s="33">
        <v>24</v>
      </c>
      <c r="G387" s="33">
        <v>11</v>
      </c>
      <c r="H387" s="13">
        <f t="shared" si="6"/>
        <v>2</v>
      </c>
    </row>
    <row r="388" spans="1:8" hidden="1" outlineLevel="2">
      <c r="A388" s="32" t="s">
        <v>1238</v>
      </c>
      <c r="B388" s="32" t="s">
        <v>1858</v>
      </c>
      <c r="C388" s="32" t="s">
        <v>162</v>
      </c>
      <c r="D388" s="32" t="s">
        <v>1763</v>
      </c>
      <c r="E388" s="33">
        <v>60</v>
      </c>
      <c r="F388" s="33">
        <v>107</v>
      </c>
      <c r="G388" s="33">
        <v>0</v>
      </c>
      <c r="H388" s="13">
        <f t="shared" si="6"/>
        <v>1.7833333333333334</v>
      </c>
    </row>
    <row r="389" spans="1:8" hidden="1" outlineLevel="2">
      <c r="A389" s="32" t="s">
        <v>1238</v>
      </c>
      <c r="B389" s="32" t="s">
        <v>86</v>
      </c>
      <c r="C389" s="32" t="s">
        <v>1111</v>
      </c>
      <c r="D389" s="32" t="s">
        <v>1328</v>
      </c>
      <c r="E389" s="33">
        <v>32</v>
      </c>
      <c r="F389" s="33">
        <v>54</v>
      </c>
      <c r="G389" s="33">
        <v>6</v>
      </c>
      <c r="H389" s="13">
        <f t="shared" si="6"/>
        <v>1.6875</v>
      </c>
    </row>
    <row r="390" spans="1:8" hidden="1" outlineLevel="2">
      <c r="A390" s="32" t="s">
        <v>1238</v>
      </c>
      <c r="B390" s="32" t="s">
        <v>1862</v>
      </c>
      <c r="C390" s="32" t="s">
        <v>1273</v>
      </c>
      <c r="D390" s="32" t="s">
        <v>1277</v>
      </c>
      <c r="E390" s="33">
        <v>3</v>
      </c>
      <c r="F390" s="33">
        <v>5</v>
      </c>
      <c r="G390" s="33">
        <v>2</v>
      </c>
      <c r="H390" s="13">
        <f t="shared" si="6"/>
        <v>1.6666666666666667</v>
      </c>
    </row>
    <row r="391" spans="1:8" hidden="1" outlineLevel="2">
      <c r="A391" s="32" t="s">
        <v>1238</v>
      </c>
      <c r="B391" s="32" t="s">
        <v>86</v>
      </c>
      <c r="C391" s="32" t="s">
        <v>873</v>
      </c>
      <c r="D391" s="32" t="s">
        <v>1354</v>
      </c>
      <c r="E391" s="33">
        <v>15</v>
      </c>
      <c r="F391" s="33">
        <v>25</v>
      </c>
      <c r="G391" s="33">
        <v>3</v>
      </c>
      <c r="H391" s="13">
        <f t="shared" si="6"/>
        <v>1.6666666666666667</v>
      </c>
    </row>
    <row r="392" spans="1:8" hidden="1" outlineLevel="2">
      <c r="A392" s="32" t="s">
        <v>1238</v>
      </c>
      <c r="B392" s="32" t="s">
        <v>1858</v>
      </c>
      <c r="C392" s="32" t="s">
        <v>886</v>
      </c>
      <c r="D392" s="32" t="s">
        <v>1334</v>
      </c>
      <c r="E392" s="33">
        <v>12</v>
      </c>
      <c r="F392" s="33">
        <v>19</v>
      </c>
      <c r="G392" s="33">
        <v>3</v>
      </c>
      <c r="H392" s="13">
        <f t="shared" si="6"/>
        <v>1.5833333333333333</v>
      </c>
    </row>
    <row r="393" spans="1:8" hidden="1" outlineLevel="2">
      <c r="A393" s="32" t="s">
        <v>1238</v>
      </c>
      <c r="B393" s="32" t="s">
        <v>1862</v>
      </c>
      <c r="C393" s="32" t="s">
        <v>1080</v>
      </c>
      <c r="D393" s="32" t="s">
        <v>1367</v>
      </c>
      <c r="E393" s="33">
        <v>16</v>
      </c>
      <c r="F393" s="33">
        <v>25</v>
      </c>
      <c r="G393" s="33">
        <v>7</v>
      </c>
      <c r="H393" s="13">
        <f t="shared" si="6"/>
        <v>1.5625</v>
      </c>
    </row>
    <row r="394" spans="1:8" hidden="1" outlineLevel="2">
      <c r="A394" s="32" t="s">
        <v>1238</v>
      </c>
      <c r="B394" s="32" t="s">
        <v>86</v>
      </c>
      <c r="C394" s="32" t="s">
        <v>1257</v>
      </c>
      <c r="D394" s="32" t="s">
        <v>1570</v>
      </c>
      <c r="E394" s="33">
        <v>300</v>
      </c>
      <c r="F394" s="33">
        <v>404</v>
      </c>
      <c r="G394" s="33">
        <v>133</v>
      </c>
      <c r="H394" s="13">
        <f t="shared" si="6"/>
        <v>1.3466666666666667</v>
      </c>
    </row>
    <row r="395" spans="1:8" hidden="1" outlineLevel="2">
      <c r="A395" s="32" t="s">
        <v>1238</v>
      </c>
      <c r="B395" s="32" t="s">
        <v>86</v>
      </c>
      <c r="C395" s="32" t="s">
        <v>1033</v>
      </c>
      <c r="D395" s="32" t="s">
        <v>1451</v>
      </c>
      <c r="E395" s="33">
        <v>15</v>
      </c>
      <c r="F395" s="33">
        <v>20</v>
      </c>
      <c r="G395" s="33">
        <v>10</v>
      </c>
      <c r="H395" s="13">
        <f t="shared" si="6"/>
        <v>1.3333333333333333</v>
      </c>
    </row>
    <row r="396" spans="1:8" hidden="1" outlineLevel="2">
      <c r="A396" s="32" t="s">
        <v>1238</v>
      </c>
      <c r="B396" s="32" t="s">
        <v>1858</v>
      </c>
      <c r="C396" s="32" t="s">
        <v>1197</v>
      </c>
      <c r="D396" s="32" t="s">
        <v>1709</v>
      </c>
      <c r="E396" s="33">
        <v>12</v>
      </c>
      <c r="F396" s="33">
        <v>16</v>
      </c>
      <c r="G396" s="33">
        <v>3</v>
      </c>
      <c r="H396" s="13">
        <f t="shared" si="6"/>
        <v>1.3333333333333333</v>
      </c>
    </row>
    <row r="397" spans="1:8" hidden="1" outlineLevel="2">
      <c r="A397" s="32" t="s">
        <v>1238</v>
      </c>
      <c r="B397" s="32" t="s">
        <v>1858</v>
      </c>
      <c r="C397" s="32" t="s">
        <v>1771</v>
      </c>
      <c r="D397" s="32" t="s">
        <v>1367</v>
      </c>
      <c r="E397" s="33">
        <v>12</v>
      </c>
      <c r="F397" s="33">
        <v>10</v>
      </c>
      <c r="G397" s="33">
        <v>3</v>
      </c>
      <c r="H397" s="13">
        <f t="shared" si="6"/>
        <v>0.83333333333333337</v>
      </c>
    </row>
    <row r="398" spans="1:8" hidden="1" outlineLevel="2">
      <c r="A398" s="32" t="s">
        <v>1238</v>
      </c>
      <c r="B398" s="32" t="s">
        <v>86</v>
      </c>
      <c r="C398" s="32" t="s">
        <v>1257</v>
      </c>
      <c r="D398" s="32" t="s">
        <v>1258</v>
      </c>
      <c r="E398" s="33">
        <v>250</v>
      </c>
      <c r="F398" s="33">
        <v>208</v>
      </c>
      <c r="G398" s="33">
        <v>87</v>
      </c>
      <c r="H398" s="13">
        <f t="shared" si="6"/>
        <v>0.83199999999999996</v>
      </c>
    </row>
    <row r="399" spans="1:8" hidden="1" outlineLevel="2">
      <c r="A399" s="32" t="s">
        <v>1238</v>
      </c>
      <c r="B399" s="32" t="s">
        <v>1862</v>
      </c>
      <c r="C399" s="32" t="s">
        <v>1273</v>
      </c>
      <c r="D399" s="32" t="s">
        <v>1688</v>
      </c>
      <c r="E399" s="33">
        <v>2</v>
      </c>
      <c r="F399" s="33">
        <v>1</v>
      </c>
      <c r="G399" s="33">
        <v>0</v>
      </c>
      <c r="H399" s="13">
        <f t="shared" si="6"/>
        <v>0.5</v>
      </c>
    </row>
    <row r="400" spans="1:8" hidden="1" outlineLevel="2">
      <c r="A400" s="32" t="s">
        <v>1238</v>
      </c>
      <c r="B400" s="32" t="s">
        <v>86</v>
      </c>
      <c r="C400" s="32" t="s">
        <v>1042</v>
      </c>
      <c r="D400" s="32" t="s">
        <v>1335</v>
      </c>
      <c r="E400" s="33">
        <v>15</v>
      </c>
      <c r="F400" s="33">
        <v>7</v>
      </c>
      <c r="G400" s="33">
        <v>2</v>
      </c>
      <c r="H400" s="13">
        <f t="shared" si="6"/>
        <v>0.46666666666666667</v>
      </c>
    </row>
    <row r="401" spans="1:8" hidden="1" outlineLevel="2">
      <c r="A401" s="32" t="s">
        <v>1238</v>
      </c>
      <c r="B401" s="32" t="s">
        <v>86</v>
      </c>
      <c r="C401" s="32" t="s">
        <v>1478</v>
      </c>
      <c r="D401" s="32" t="s">
        <v>1479</v>
      </c>
      <c r="E401" s="33">
        <v>7</v>
      </c>
      <c r="F401" s="33">
        <v>3</v>
      </c>
      <c r="G401" s="33">
        <v>3</v>
      </c>
      <c r="H401" s="13">
        <f t="shared" si="6"/>
        <v>0.42857142857142855</v>
      </c>
    </row>
    <row r="402" spans="1:8" hidden="1" outlineLevel="2">
      <c r="A402" s="32" t="s">
        <v>1238</v>
      </c>
      <c r="B402" s="32" t="s">
        <v>86</v>
      </c>
      <c r="C402" s="32" t="s">
        <v>1802</v>
      </c>
      <c r="D402" s="32" t="s">
        <v>1803</v>
      </c>
      <c r="E402" s="33">
        <v>30</v>
      </c>
      <c r="F402" s="33">
        <v>7</v>
      </c>
      <c r="G402" s="33">
        <v>1</v>
      </c>
      <c r="H402" s="13">
        <f t="shared" si="6"/>
        <v>0.23333333333333334</v>
      </c>
    </row>
    <row r="403" spans="1:8" hidden="1" outlineLevel="2">
      <c r="A403" s="32" t="s">
        <v>1238</v>
      </c>
      <c r="B403" s="32" t="s">
        <v>1858</v>
      </c>
      <c r="C403" s="32" t="s">
        <v>1211</v>
      </c>
      <c r="D403" s="32" t="s">
        <v>1451</v>
      </c>
      <c r="E403" s="33">
        <v>6</v>
      </c>
      <c r="F403" s="33">
        <v>1</v>
      </c>
      <c r="G403" s="33">
        <v>0</v>
      </c>
      <c r="H403" s="13">
        <f t="shared" si="6"/>
        <v>0.16666666666666666</v>
      </c>
    </row>
    <row r="404" spans="1:8" outlineLevel="1" collapsed="1">
      <c r="A404" s="37" t="s">
        <v>1876</v>
      </c>
      <c r="B404" s="37"/>
      <c r="C404" s="37"/>
      <c r="D404" s="37"/>
      <c r="E404" s="38">
        <f>SUBTOTAL(9,E2:E403)</f>
        <v>13567</v>
      </c>
      <c r="F404" s="38">
        <f>SUBTOTAL(9,F2:F403)</f>
        <v>274478</v>
      </c>
      <c r="G404" s="38">
        <f>SUBTOTAL(9,G2:G403)</f>
        <v>11748</v>
      </c>
      <c r="H404" s="39">
        <f t="shared" si="6"/>
        <v>20.231296528340827</v>
      </c>
    </row>
    <row r="405" spans="1:8" hidden="1" outlineLevel="2">
      <c r="A405" s="32" t="s">
        <v>797</v>
      </c>
      <c r="B405" s="32" t="s">
        <v>86</v>
      </c>
      <c r="C405" s="32" t="s">
        <v>1132</v>
      </c>
      <c r="D405" s="32" t="s">
        <v>891</v>
      </c>
      <c r="E405" s="33">
        <v>24</v>
      </c>
      <c r="F405" s="33">
        <v>4955</v>
      </c>
      <c r="G405" s="33">
        <v>23</v>
      </c>
      <c r="H405" s="13">
        <f t="shared" si="6"/>
        <v>206.45833333333334</v>
      </c>
    </row>
    <row r="406" spans="1:8" hidden="1" outlineLevel="2">
      <c r="A406" s="32" t="s">
        <v>797</v>
      </c>
      <c r="B406" s="32" t="s">
        <v>86</v>
      </c>
      <c r="C406" s="32" t="s">
        <v>1026</v>
      </c>
      <c r="D406" s="32" t="s">
        <v>891</v>
      </c>
      <c r="E406" s="33">
        <v>24</v>
      </c>
      <c r="F406" s="33">
        <v>4689</v>
      </c>
      <c r="G406" s="33">
        <v>24</v>
      </c>
      <c r="H406" s="13">
        <f t="shared" si="6"/>
        <v>195.375</v>
      </c>
    </row>
    <row r="407" spans="1:8" hidden="1" outlineLevel="2">
      <c r="A407" s="32" t="s">
        <v>797</v>
      </c>
      <c r="B407" s="32" t="s">
        <v>86</v>
      </c>
      <c r="C407" s="32" t="s">
        <v>856</v>
      </c>
      <c r="D407" s="32" t="s">
        <v>891</v>
      </c>
      <c r="E407" s="33">
        <v>70</v>
      </c>
      <c r="F407" s="33">
        <v>11222</v>
      </c>
      <c r="G407" s="33">
        <v>69</v>
      </c>
      <c r="H407" s="13">
        <f t="shared" si="6"/>
        <v>160.31428571428572</v>
      </c>
    </row>
    <row r="408" spans="1:8" hidden="1" outlineLevel="2">
      <c r="A408" s="32" t="s">
        <v>797</v>
      </c>
      <c r="B408" s="32" t="s">
        <v>86</v>
      </c>
      <c r="C408" s="32" t="s">
        <v>865</v>
      </c>
      <c r="D408" s="32" t="s">
        <v>885</v>
      </c>
      <c r="E408" s="33">
        <v>35</v>
      </c>
      <c r="F408" s="33">
        <v>5519</v>
      </c>
      <c r="G408" s="33">
        <v>35</v>
      </c>
      <c r="H408" s="13">
        <f t="shared" si="6"/>
        <v>157.68571428571428</v>
      </c>
    </row>
    <row r="409" spans="1:8" hidden="1" outlineLevel="2">
      <c r="A409" s="32" t="s">
        <v>797</v>
      </c>
      <c r="B409" s="32" t="s">
        <v>86</v>
      </c>
      <c r="C409" s="32" t="s">
        <v>1034</v>
      </c>
      <c r="D409" s="32" t="s">
        <v>891</v>
      </c>
      <c r="E409" s="33">
        <v>35</v>
      </c>
      <c r="F409" s="33">
        <v>5326</v>
      </c>
      <c r="G409" s="33">
        <v>39</v>
      </c>
      <c r="H409" s="13">
        <f t="shared" si="6"/>
        <v>152.17142857142858</v>
      </c>
    </row>
    <row r="410" spans="1:8" hidden="1" outlineLevel="2">
      <c r="A410" s="32" t="s">
        <v>797</v>
      </c>
      <c r="B410" s="32" t="s">
        <v>1862</v>
      </c>
      <c r="C410" s="32" t="s">
        <v>930</v>
      </c>
      <c r="D410" s="32" t="s">
        <v>1181</v>
      </c>
      <c r="E410" s="33">
        <v>12</v>
      </c>
      <c r="F410" s="33">
        <v>1725</v>
      </c>
      <c r="G410" s="33">
        <v>11</v>
      </c>
      <c r="H410" s="13">
        <f t="shared" si="6"/>
        <v>143.75</v>
      </c>
    </row>
    <row r="411" spans="1:8" hidden="1" outlineLevel="2">
      <c r="A411" s="32" t="s">
        <v>797</v>
      </c>
      <c r="B411" s="32" t="s">
        <v>1862</v>
      </c>
      <c r="C411" s="32" t="s">
        <v>930</v>
      </c>
      <c r="D411" s="32" t="s">
        <v>960</v>
      </c>
      <c r="E411" s="33">
        <v>12</v>
      </c>
      <c r="F411" s="33">
        <v>1697</v>
      </c>
      <c r="G411" s="33">
        <v>12</v>
      </c>
      <c r="H411" s="13">
        <f t="shared" si="6"/>
        <v>141.41666666666666</v>
      </c>
    </row>
    <row r="412" spans="1:8" hidden="1" outlineLevel="2">
      <c r="A412" s="32" t="s">
        <v>797</v>
      </c>
      <c r="B412" s="32" t="s">
        <v>86</v>
      </c>
      <c r="C412" s="32" t="s">
        <v>1130</v>
      </c>
      <c r="D412" s="32" t="s">
        <v>867</v>
      </c>
      <c r="E412" s="33">
        <v>24</v>
      </c>
      <c r="F412" s="33">
        <v>3293</v>
      </c>
      <c r="G412" s="33">
        <v>20</v>
      </c>
      <c r="H412" s="13">
        <f t="shared" si="6"/>
        <v>137.20833333333334</v>
      </c>
    </row>
    <row r="413" spans="1:8" hidden="1" outlineLevel="2">
      <c r="A413" s="32" t="s">
        <v>797</v>
      </c>
      <c r="B413" s="32" t="s">
        <v>1862</v>
      </c>
      <c r="C413" s="32" t="s">
        <v>959</v>
      </c>
      <c r="D413" s="32" t="s">
        <v>960</v>
      </c>
      <c r="E413" s="33">
        <v>13</v>
      </c>
      <c r="F413" s="33">
        <v>1743</v>
      </c>
      <c r="G413" s="33">
        <v>13</v>
      </c>
      <c r="H413" s="13">
        <f t="shared" si="6"/>
        <v>134.07692307692307</v>
      </c>
    </row>
    <row r="414" spans="1:8" hidden="1" outlineLevel="2">
      <c r="A414" s="32" t="s">
        <v>797</v>
      </c>
      <c r="B414" s="32" t="s">
        <v>86</v>
      </c>
      <c r="C414" s="32" t="s">
        <v>1193</v>
      </c>
      <c r="D414" s="32" t="s">
        <v>1194</v>
      </c>
      <c r="E414" s="33">
        <v>15</v>
      </c>
      <c r="F414" s="33">
        <v>1977</v>
      </c>
      <c r="G414" s="33">
        <v>13</v>
      </c>
      <c r="H414" s="13">
        <f t="shared" si="6"/>
        <v>131.80000000000001</v>
      </c>
    </row>
    <row r="415" spans="1:8" hidden="1" outlineLevel="2">
      <c r="A415" s="32" t="s">
        <v>797</v>
      </c>
      <c r="B415" s="32" t="s">
        <v>86</v>
      </c>
      <c r="C415" s="32" t="s">
        <v>857</v>
      </c>
      <c r="D415" s="32" t="s">
        <v>837</v>
      </c>
      <c r="E415" s="33">
        <v>30</v>
      </c>
      <c r="F415" s="33">
        <v>3914</v>
      </c>
      <c r="G415" s="33">
        <v>30</v>
      </c>
      <c r="H415" s="13">
        <f t="shared" si="6"/>
        <v>130.46666666666667</v>
      </c>
    </row>
    <row r="416" spans="1:8" hidden="1" outlineLevel="2">
      <c r="A416" s="32" t="s">
        <v>797</v>
      </c>
      <c r="B416" s="32" t="s">
        <v>86</v>
      </c>
      <c r="C416" s="32" t="s">
        <v>1138</v>
      </c>
      <c r="D416" s="32" t="s">
        <v>891</v>
      </c>
      <c r="E416" s="33">
        <v>35</v>
      </c>
      <c r="F416" s="33">
        <v>4513</v>
      </c>
      <c r="G416" s="33">
        <v>33</v>
      </c>
      <c r="H416" s="13">
        <f t="shared" si="6"/>
        <v>128.94285714285715</v>
      </c>
    </row>
    <row r="417" spans="1:8" hidden="1" outlineLevel="2">
      <c r="A417" s="32" t="s">
        <v>797</v>
      </c>
      <c r="B417" s="32" t="s">
        <v>86</v>
      </c>
      <c r="C417" s="32" t="s">
        <v>1115</v>
      </c>
      <c r="D417" s="32" t="s">
        <v>891</v>
      </c>
      <c r="E417" s="33">
        <v>35</v>
      </c>
      <c r="F417" s="33">
        <v>4328</v>
      </c>
      <c r="G417" s="33">
        <v>34</v>
      </c>
      <c r="H417" s="13">
        <f t="shared" si="6"/>
        <v>123.65714285714286</v>
      </c>
    </row>
    <row r="418" spans="1:8" hidden="1" outlineLevel="2">
      <c r="A418" s="32" t="s">
        <v>797</v>
      </c>
      <c r="B418" s="32" t="s">
        <v>1862</v>
      </c>
      <c r="C418" s="32" t="s">
        <v>959</v>
      </c>
      <c r="D418" s="32" t="s">
        <v>1181</v>
      </c>
      <c r="E418" s="33">
        <v>12</v>
      </c>
      <c r="F418" s="33">
        <v>1433</v>
      </c>
      <c r="G418" s="33">
        <v>12</v>
      </c>
      <c r="H418" s="13">
        <f t="shared" si="6"/>
        <v>119.41666666666667</v>
      </c>
    </row>
    <row r="419" spans="1:8" hidden="1" outlineLevel="2">
      <c r="A419" s="32" t="s">
        <v>797</v>
      </c>
      <c r="B419" s="32" t="s">
        <v>1862</v>
      </c>
      <c r="C419" s="32" t="s">
        <v>963</v>
      </c>
      <c r="D419" s="32" t="s">
        <v>891</v>
      </c>
      <c r="E419" s="33">
        <v>35</v>
      </c>
      <c r="F419" s="33">
        <v>4044</v>
      </c>
      <c r="G419" s="33">
        <v>31</v>
      </c>
      <c r="H419" s="13">
        <f t="shared" si="6"/>
        <v>115.54285714285714</v>
      </c>
    </row>
    <row r="420" spans="1:8" hidden="1" outlineLevel="2">
      <c r="A420" s="32" t="s">
        <v>797</v>
      </c>
      <c r="B420" s="32" t="s">
        <v>1862</v>
      </c>
      <c r="C420" s="32" t="s">
        <v>1084</v>
      </c>
      <c r="D420" s="32" t="s">
        <v>837</v>
      </c>
      <c r="E420" s="33">
        <v>12</v>
      </c>
      <c r="F420" s="33">
        <v>1385</v>
      </c>
      <c r="G420" s="33">
        <v>12</v>
      </c>
      <c r="H420" s="13">
        <f t="shared" si="6"/>
        <v>115.41666666666667</v>
      </c>
    </row>
    <row r="421" spans="1:8" hidden="1" outlineLevel="2">
      <c r="A421" s="32" t="s">
        <v>797</v>
      </c>
      <c r="B421" s="32" t="s">
        <v>86</v>
      </c>
      <c r="C421" s="32" t="s">
        <v>865</v>
      </c>
      <c r="D421" s="32" t="s">
        <v>891</v>
      </c>
      <c r="E421" s="33">
        <v>35</v>
      </c>
      <c r="F421" s="33">
        <v>4011</v>
      </c>
      <c r="G421" s="33">
        <v>35</v>
      </c>
      <c r="H421" s="13">
        <f t="shared" si="6"/>
        <v>114.6</v>
      </c>
    </row>
    <row r="422" spans="1:8" hidden="1" outlineLevel="2">
      <c r="A422" s="32" t="s">
        <v>797</v>
      </c>
      <c r="B422" s="32" t="s">
        <v>86</v>
      </c>
      <c r="C422" s="32" t="s">
        <v>1135</v>
      </c>
      <c r="D422" s="32" t="s">
        <v>885</v>
      </c>
      <c r="E422" s="33">
        <v>24</v>
      </c>
      <c r="F422" s="33">
        <v>2718</v>
      </c>
      <c r="G422" s="33">
        <v>18</v>
      </c>
      <c r="H422" s="13">
        <f t="shared" si="6"/>
        <v>113.25</v>
      </c>
    </row>
    <row r="423" spans="1:8" hidden="1" outlineLevel="2">
      <c r="A423" s="32" t="s">
        <v>797</v>
      </c>
      <c r="B423" s="32" t="s">
        <v>86</v>
      </c>
      <c r="C423" s="32" t="s">
        <v>859</v>
      </c>
      <c r="D423" s="32" t="s">
        <v>837</v>
      </c>
      <c r="E423" s="33">
        <v>24</v>
      </c>
      <c r="F423" s="33">
        <v>2694</v>
      </c>
      <c r="G423" s="33">
        <v>26</v>
      </c>
      <c r="H423" s="13">
        <f t="shared" si="6"/>
        <v>112.25</v>
      </c>
    </row>
    <row r="424" spans="1:8" hidden="1" outlineLevel="2">
      <c r="A424" s="32" t="s">
        <v>797</v>
      </c>
      <c r="B424" s="32" t="s">
        <v>86</v>
      </c>
      <c r="C424" s="32" t="s">
        <v>856</v>
      </c>
      <c r="D424" s="32" t="s">
        <v>823</v>
      </c>
      <c r="E424" s="33">
        <v>32</v>
      </c>
      <c r="F424" s="33">
        <v>3567</v>
      </c>
      <c r="G424" s="33">
        <v>33</v>
      </c>
      <c r="H424" s="13">
        <f t="shared" si="6"/>
        <v>111.46875</v>
      </c>
    </row>
    <row r="425" spans="1:8" hidden="1" outlineLevel="2">
      <c r="A425" s="32" t="s">
        <v>797</v>
      </c>
      <c r="B425" s="32" t="s">
        <v>86</v>
      </c>
      <c r="C425" s="32" t="s">
        <v>1029</v>
      </c>
      <c r="D425" s="32" t="s">
        <v>885</v>
      </c>
      <c r="E425" s="33">
        <v>35</v>
      </c>
      <c r="F425" s="33">
        <v>3869</v>
      </c>
      <c r="G425" s="33">
        <v>29</v>
      </c>
      <c r="H425" s="13">
        <f t="shared" si="6"/>
        <v>110.54285714285714</v>
      </c>
    </row>
    <row r="426" spans="1:8" hidden="1" outlineLevel="2">
      <c r="A426" s="32" t="s">
        <v>797</v>
      </c>
      <c r="B426" s="32" t="s">
        <v>86</v>
      </c>
      <c r="C426" s="32" t="s">
        <v>862</v>
      </c>
      <c r="D426" s="32" t="s">
        <v>825</v>
      </c>
      <c r="E426" s="33">
        <v>35</v>
      </c>
      <c r="F426" s="33">
        <v>3721</v>
      </c>
      <c r="G426" s="33">
        <v>34</v>
      </c>
      <c r="H426" s="13">
        <f t="shared" si="6"/>
        <v>106.31428571428572</v>
      </c>
    </row>
    <row r="427" spans="1:8" hidden="1" outlineLevel="2">
      <c r="A427" s="32" t="s">
        <v>797</v>
      </c>
      <c r="B427" s="32" t="s">
        <v>86</v>
      </c>
      <c r="C427" s="32" t="s">
        <v>835</v>
      </c>
      <c r="D427" s="32" t="s">
        <v>837</v>
      </c>
      <c r="E427" s="33">
        <v>24</v>
      </c>
      <c r="F427" s="33">
        <v>2493</v>
      </c>
      <c r="G427" s="33">
        <v>25</v>
      </c>
      <c r="H427" s="13">
        <f t="shared" si="6"/>
        <v>103.875</v>
      </c>
    </row>
    <row r="428" spans="1:8" hidden="1" outlineLevel="2">
      <c r="A428" s="32" t="s">
        <v>797</v>
      </c>
      <c r="B428" s="32" t="s">
        <v>1862</v>
      </c>
      <c r="C428" s="32" t="s">
        <v>944</v>
      </c>
      <c r="D428" s="32" t="s">
        <v>885</v>
      </c>
      <c r="E428" s="33">
        <v>24</v>
      </c>
      <c r="F428" s="33">
        <v>2358</v>
      </c>
      <c r="G428" s="33">
        <v>20</v>
      </c>
      <c r="H428" s="13">
        <f t="shared" si="6"/>
        <v>98.25</v>
      </c>
    </row>
    <row r="429" spans="1:8" hidden="1" outlineLevel="2">
      <c r="A429" s="32" t="s">
        <v>797</v>
      </c>
      <c r="B429" s="32" t="s">
        <v>86</v>
      </c>
      <c r="C429" s="32" t="s">
        <v>824</v>
      </c>
      <c r="D429" s="32" t="s">
        <v>822</v>
      </c>
      <c r="E429" s="33">
        <v>24</v>
      </c>
      <c r="F429" s="33">
        <v>2304</v>
      </c>
      <c r="G429" s="33">
        <v>23</v>
      </c>
      <c r="H429" s="13">
        <f t="shared" si="6"/>
        <v>96</v>
      </c>
    </row>
    <row r="430" spans="1:8" hidden="1" outlineLevel="2">
      <c r="A430" s="32" t="s">
        <v>797</v>
      </c>
      <c r="B430" s="32" t="s">
        <v>86</v>
      </c>
      <c r="C430" s="32" t="s">
        <v>831</v>
      </c>
      <c r="D430" s="32" t="s">
        <v>991</v>
      </c>
      <c r="E430" s="33">
        <v>24</v>
      </c>
      <c r="F430" s="33">
        <v>2279</v>
      </c>
      <c r="G430" s="33">
        <v>27</v>
      </c>
      <c r="H430" s="13">
        <f t="shared" si="6"/>
        <v>94.958333333333329</v>
      </c>
    </row>
    <row r="431" spans="1:8" hidden="1" outlineLevel="2">
      <c r="A431" s="32" t="s">
        <v>797</v>
      </c>
      <c r="B431" s="32" t="s">
        <v>1862</v>
      </c>
      <c r="C431" s="32" t="s">
        <v>1154</v>
      </c>
      <c r="D431" s="32" t="s">
        <v>885</v>
      </c>
      <c r="E431" s="33">
        <v>24</v>
      </c>
      <c r="F431" s="33">
        <v>2274</v>
      </c>
      <c r="G431" s="33">
        <v>19</v>
      </c>
      <c r="H431" s="13">
        <f t="shared" si="6"/>
        <v>94.75</v>
      </c>
    </row>
    <row r="432" spans="1:8" hidden="1" outlineLevel="2">
      <c r="A432" s="32" t="s">
        <v>797</v>
      </c>
      <c r="B432" s="32" t="s">
        <v>1862</v>
      </c>
      <c r="C432" s="32" t="s">
        <v>930</v>
      </c>
      <c r="D432" s="32" t="s">
        <v>1069</v>
      </c>
      <c r="E432" s="33">
        <v>12</v>
      </c>
      <c r="F432" s="33">
        <v>1115</v>
      </c>
      <c r="G432" s="33">
        <v>8</v>
      </c>
      <c r="H432" s="13">
        <f t="shared" si="6"/>
        <v>92.916666666666671</v>
      </c>
    </row>
    <row r="433" spans="1:8" hidden="1" outlineLevel="2">
      <c r="A433" s="32" t="s">
        <v>797</v>
      </c>
      <c r="B433" s="32" t="s">
        <v>1862</v>
      </c>
      <c r="C433" s="32" t="s">
        <v>1087</v>
      </c>
      <c r="D433" s="32" t="s">
        <v>837</v>
      </c>
      <c r="E433" s="33">
        <v>12</v>
      </c>
      <c r="F433" s="33">
        <v>1085</v>
      </c>
      <c r="G433" s="33">
        <v>11</v>
      </c>
      <c r="H433" s="13">
        <f t="shared" si="6"/>
        <v>90.416666666666671</v>
      </c>
    </row>
    <row r="434" spans="1:8" hidden="1" outlineLevel="2">
      <c r="A434" s="32" t="s">
        <v>797</v>
      </c>
      <c r="B434" s="32" t="s">
        <v>86</v>
      </c>
      <c r="C434" s="32" t="s">
        <v>1034</v>
      </c>
      <c r="D434" s="32" t="s">
        <v>825</v>
      </c>
      <c r="E434" s="33">
        <v>37</v>
      </c>
      <c r="F434" s="33">
        <v>3303</v>
      </c>
      <c r="G434" s="33">
        <v>40</v>
      </c>
      <c r="H434" s="13">
        <f t="shared" si="6"/>
        <v>89.270270270270274</v>
      </c>
    </row>
    <row r="435" spans="1:8" hidden="1" outlineLevel="2">
      <c r="A435" s="32" t="s">
        <v>797</v>
      </c>
      <c r="B435" s="32" t="s">
        <v>1862</v>
      </c>
      <c r="C435" s="32" t="s">
        <v>932</v>
      </c>
      <c r="D435" s="32" t="s">
        <v>837</v>
      </c>
      <c r="E435" s="33">
        <v>30</v>
      </c>
      <c r="F435" s="33">
        <v>2649</v>
      </c>
      <c r="G435" s="33">
        <v>30</v>
      </c>
      <c r="H435" s="13">
        <f t="shared" si="6"/>
        <v>88.3</v>
      </c>
    </row>
    <row r="436" spans="1:8" hidden="1" outlineLevel="2">
      <c r="A436" s="32" t="s">
        <v>797</v>
      </c>
      <c r="B436" s="32" t="s">
        <v>86</v>
      </c>
      <c r="C436" s="32" t="s">
        <v>1034</v>
      </c>
      <c r="D436" s="32" t="s">
        <v>885</v>
      </c>
      <c r="E436" s="33">
        <v>35</v>
      </c>
      <c r="F436" s="33">
        <v>3077</v>
      </c>
      <c r="G436" s="33">
        <v>34</v>
      </c>
      <c r="H436" s="13">
        <f t="shared" si="6"/>
        <v>87.914285714285711</v>
      </c>
    </row>
    <row r="437" spans="1:8" hidden="1" outlineLevel="2">
      <c r="A437" s="32" t="s">
        <v>797</v>
      </c>
      <c r="B437" s="32" t="s">
        <v>86</v>
      </c>
      <c r="C437" s="32" t="s">
        <v>1026</v>
      </c>
      <c r="D437" s="32" t="s">
        <v>885</v>
      </c>
      <c r="E437" s="33">
        <v>35</v>
      </c>
      <c r="F437" s="33">
        <v>3068</v>
      </c>
      <c r="G437" s="33">
        <v>29</v>
      </c>
      <c r="H437" s="13">
        <f t="shared" si="6"/>
        <v>87.657142857142858</v>
      </c>
    </row>
    <row r="438" spans="1:8" hidden="1" outlineLevel="2">
      <c r="A438" s="32" t="s">
        <v>797</v>
      </c>
      <c r="B438" s="32" t="s">
        <v>86</v>
      </c>
      <c r="C438" s="32" t="s">
        <v>996</v>
      </c>
      <c r="D438" s="32" t="s">
        <v>997</v>
      </c>
      <c r="E438" s="33">
        <v>15</v>
      </c>
      <c r="F438" s="33">
        <v>1311</v>
      </c>
      <c r="G438" s="33">
        <v>17</v>
      </c>
      <c r="H438" s="13">
        <f t="shared" si="6"/>
        <v>87.4</v>
      </c>
    </row>
    <row r="439" spans="1:8" hidden="1" outlineLevel="2">
      <c r="A439" s="32" t="s">
        <v>797</v>
      </c>
      <c r="B439" s="32" t="s">
        <v>86</v>
      </c>
      <c r="C439" s="32" t="s">
        <v>856</v>
      </c>
      <c r="D439" s="32" t="s">
        <v>819</v>
      </c>
      <c r="E439" s="33">
        <v>35</v>
      </c>
      <c r="F439" s="33">
        <v>3013</v>
      </c>
      <c r="G439" s="33">
        <v>34</v>
      </c>
      <c r="H439" s="13">
        <f t="shared" si="6"/>
        <v>86.085714285714289</v>
      </c>
    </row>
    <row r="440" spans="1:8" hidden="1" outlineLevel="2">
      <c r="A440" s="32" t="s">
        <v>797</v>
      </c>
      <c r="B440" s="32" t="s">
        <v>86</v>
      </c>
      <c r="C440" s="32" t="s">
        <v>1026</v>
      </c>
      <c r="D440" s="32" t="s">
        <v>798</v>
      </c>
      <c r="E440" s="33">
        <v>35</v>
      </c>
      <c r="F440" s="33">
        <v>2997</v>
      </c>
      <c r="G440" s="33">
        <v>34</v>
      </c>
      <c r="H440" s="13">
        <f t="shared" si="6"/>
        <v>85.628571428571433</v>
      </c>
    </row>
    <row r="441" spans="1:8" hidden="1" outlineLevel="2">
      <c r="A441" s="32" t="s">
        <v>797</v>
      </c>
      <c r="B441" s="32" t="s">
        <v>1862</v>
      </c>
      <c r="C441" s="32" t="s">
        <v>934</v>
      </c>
      <c r="D441" s="32" t="s">
        <v>885</v>
      </c>
      <c r="E441" s="33">
        <v>30</v>
      </c>
      <c r="F441" s="33">
        <v>2563</v>
      </c>
      <c r="G441" s="33">
        <v>30</v>
      </c>
      <c r="H441" s="13">
        <f t="shared" si="6"/>
        <v>85.433333333333337</v>
      </c>
    </row>
    <row r="442" spans="1:8" hidden="1" outlineLevel="2">
      <c r="A442" s="32" t="s">
        <v>797</v>
      </c>
      <c r="B442" s="32" t="s">
        <v>1862</v>
      </c>
      <c r="C442" s="32" t="s">
        <v>959</v>
      </c>
      <c r="D442" s="32" t="s">
        <v>1069</v>
      </c>
      <c r="E442" s="33">
        <v>13</v>
      </c>
      <c r="F442" s="33">
        <v>1075</v>
      </c>
      <c r="G442" s="33">
        <v>13</v>
      </c>
      <c r="H442" s="13">
        <f t="shared" si="6"/>
        <v>82.692307692307693</v>
      </c>
    </row>
    <row r="443" spans="1:8" hidden="1" outlineLevel="2">
      <c r="A443" s="32" t="s">
        <v>797</v>
      </c>
      <c r="B443" s="32" t="s">
        <v>86</v>
      </c>
      <c r="C443" s="32" t="s">
        <v>1130</v>
      </c>
      <c r="D443" s="32" t="s">
        <v>991</v>
      </c>
      <c r="E443" s="33">
        <v>24</v>
      </c>
      <c r="F443" s="33">
        <v>1980</v>
      </c>
      <c r="G443" s="33">
        <v>21</v>
      </c>
      <c r="H443" s="13">
        <f t="shared" si="6"/>
        <v>82.5</v>
      </c>
    </row>
    <row r="444" spans="1:8" hidden="1" outlineLevel="2">
      <c r="A444" s="32" t="s">
        <v>797</v>
      </c>
      <c r="B444" s="32" t="s">
        <v>86</v>
      </c>
      <c r="C444" s="32" t="s">
        <v>859</v>
      </c>
      <c r="D444" s="32" t="s">
        <v>798</v>
      </c>
      <c r="E444" s="33">
        <v>35</v>
      </c>
      <c r="F444" s="33">
        <v>2840</v>
      </c>
      <c r="G444" s="33">
        <v>31</v>
      </c>
      <c r="H444" s="13">
        <f t="shared" si="6"/>
        <v>81.142857142857139</v>
      </c>
    </row>
    <row r="445" spans="1:8" hidden="1" outlineLevel="2">
      <c r="A445" s="32" t="s">
        <v>797</v>
      </c>
      <c r="B445" s="32" t="s">
        <v>1862</v>
      </c>
      <c r="C445" s="32" t="s">
        <v>907</v>
      </c>
      <c r="D445" s="32" t="s">
        <v>837</v>
      </c>
      <c r="E445" s="33">
        <v>24</v>
      </c>
      <c r="F445" s="33">
        <v>1924</v>
      </c>
      <c r="G445" s="33">
        <v>23</v>
      </c>
      <c r="H445" s="13">
        <f t="shared" si="6"/>
        <v>80.166666666666671</v>
      </c>
    </row>
    <row r="446" spans="1:8" hidden="1" outlineLevel="2">
      <c r="A446" s="32" t="s">
        <v>797</v>
      </c>
      <c r="B446" s="32" t="s">
        <v>86</v>
      </c>
      <c r="C446" s="32" t="s">
        <v>865</v>
      </c>
      <c r="D446" s="32" t="s">
        <v>867</v>
      </c>
      <c r="E446" s="33">
        <v>35</v>
      </c>
      <c r="F446" s="33">
        <v>2797</v>
      </c>
      <c r="G446" s="33">
        <v>34</v>
      </c>
      <c r="H446" s="13">
        <f t="shared" si="6"/>
        <v>79.914285714285711</v>
      </c>
    </row>
    <row r="447" spans="1:8" hidden="1" outlineLevel="2">
      <c r="A447" s="32" t="s">
        <v>797</v>
      </c>
      <c r="B447" s="32" t="s">
        <v>86</v>
      </c>
      <c r="C447" s="32" t="s">
        <v>862</v>
      </c>
      <c r="D447" s="32" t="s">
        <v>823</v>
      </c>
      <c r="E447" s="33">
        <v>48</v>
      </c>
      <c r="F447" s="33">
        <v>3790</v>
      </c>
      <c r="G447" s="33">
        <v>50</v>
      </c>
      <c r="H447" s="13">
        <f t="shared" si="6"/>
        <v>78.958333333333329</v>
      </c>
    </row>
    <row r="448" spans="1:8" hidden="1" outlineLevel="2">
      <c r="A448" s="32" t="s">
        <v>797</v>
      </c>
      <c r="B448" s="32" t="s">
        <v>1862</v>
      </c>
      <c r="C448" s="32" t="s">
        <v>948</v>
      </c>
      <c r="D448" s="32" t="s">
        <v>823</v>
      </c>
      <c r="E448" s="33">
        <v>24</v>
      </c>
      <c r="F448" s="33">
        <v>1894</v>
      </c>
      <c r="G448" s="33">
        <v>22</v>
      </c>
      <c r="H448" s="13">
        <f t="shared" si="6"/>
        <v>78.916666666666671</v>
      </c>
    </row>
    <row r="449" spans="1:8" hidden="1" outlineLevel="2">
      <c r="A449" s="32" t="s">
        <v>797</v>
      </c>
      <c r="B449" s="32" t="s">
        <v>86</v>
      </c>
      <c r="C449" s="32" t="s">
        <v>1026</v>
      </c>
      <c r="D449" s="32" t="s">
        <v>991</v>
      </c>
      <c r="E449" s="33">
        <v>35</v>
      </c>
      <c r="F449" s="33">
        <v>2759</v>
      </c>
      <c r="G449" s="33">
        <v>35</v>
      </c>
      <c r="H449" s="13">
        <f t="shared" si="6"/>
        <v>78.828571428571422</v>
      </c>
    </row>
    <row r="450" spans="1:8" hidden="1" outlineLevel="2">
      <c r="A450" s="32" t="s">
        <v>797</v>
      </c>
      <c r="B450" s="32" t="s">
        <v>86</v>
      </c>
      <c r="C450" s="32" t="s">
        <v>865</v>
      </c>
      <c r="D450" s="32" t="s">
        <v>819</v>
      </c>
      <c r="E450" s="33">
        <v>35</v>
      </c>
      <c r="F450" s="33">
        <v>2750</v>
      </c>
      <c r="G450" s="33">
        <v>36</v>
      </c>
      <c r="H450" s="13">
        <f t="shared" ref="H450:H513" si="7">IFERROR(F450/E450,"")</f>
        <v>78.571428571428569</v>
      </c>
    </row>
    <row r="451" spans="1:8" hidden="1" outlineLevel="2">
      <c r="A451" s="32" t="s">
        <v>797</v>
      </c>
      <c r="B451" s="32" t="s">
        <v>86</v>
      </c>
      <c r="C451" s="32" t="s">
        <v>1138</v>
      </c>
      <c r="D451" s="32" t="s">
        <v>819</v>
      </c>
      <c r="E451" s="33">
        <v>35</v>
      </c>
      <c r="F451" s="33">
        <v>2718</v>
      </c>
      <c r="G451" s="33">
        <v>30</v>
      </c>
      <c r="H451" s="13">
        <f t="shared" si="7"/>
        <v>77.657142857142858</v>
      </c>
    </row>
    <row r="452" spans="1:8" hidden="1" outlineLevel="2">
      <c r="A452" s="32" t="s">
        <v>797</v>
      </c>
      <c r="B452" s="32" t="s">
        <v>86</v>
      </c>
      <c r="C452" s="32" t="s">
        <v>1026</v>
      </c>
      <c r="D452" s="32" t="s">
        <v>825</v>
      </c>
      <c r="E452" s="33">
        <v>24</v>
      </c>
      <c r="F452" s="33">
        <v>1848</v>
      </c>
      <c r="G452" s="33">
        <v>23</v>
      </c>
      <c r="H452" s="13">
        <f t="shared" si="7"/>
        <v>77</v>
      </c>
    </row>
    <row r="453" spans="1:8" hidden="1" outlineLevel="2">
      <c r="A453" s="32" t="s">
        <v>797</v>
      </c>
      <c r="B453" s="32" t="s">
        <v>86</v>
      </c>
      <c r="C453" s="32" t="s">
        <v>1202</v>
      </c>
      <c r="D453" s="32" t="s">
        <v>798</v>
      </c>
      <c r="E453" s="33">
        <v>35</v>
      </c>
      <c r="F453" s="33">
        <v>2645</v>
      </c>
      <c r="G453" s="33">
        <v>35</v>
      </c>
      <c r="H453" s="13">
        <f t="shared" si="7"/>
        <v>75.571428571428569</v>
      </c>
    </row>
    <row r="454" spans="1:8" hidden="1" outlineLevel="2">
      <c r="A454" s="32" t="s">
        <v>797</v>
      </c>
      <c r="B454" s="32" t="s">
        <v>86</v>
      </c>
      <c r="C454" s="32" t="s">
        <v>1115</v>
      </c>
      <c r="D454" s="32" t="s">
        <v>822</v>
      </c>
      <c r="E454" s="33">
        <v>24</v>
      </c>
      <c r="F454" s="33">
        <v>1768</v>
      </c>
      <c r="G454" s="33">
        <v>22</v>
      </c>
      <c r="H454" s="13">
        <f t="shared" si="7"/>
        <v>73.666666666666671</v>
      </c>
    </row>
    <row r="455" spans="1:8" hidden="1" outlineLevel="2">
      <c r="A455" s="32" t="s">
        <v>797</v>
      </c>
      <c r="B455" s="32" t="s">
        <v>86</v>
      </c>
      <c r="C455" s="32" t="s">
        <v>1121</v>
      </c>
      <c r="D455" s="32" t="s">
        <v>819</v>
      </c>
      <c r="E455" s="33">
        <v>24</v>
      </c>
      <c r="F455" s="33">
        <v>1756</v>
      </c>
      <c r="G455" s="33">
        <v>22</v>
      </c>
      <c r="H455" s="13">
        <f t="shared" si="7"/>
        <v>73.166666666666671</v>
      </c>
    </row>
    <row r="456" spans="1:8" hidden="1" outlineLevel="2">
      <c r="A456" s="32" t="s">
        <v>797</v>
      </c>
      <c r="B456" s="32" t="s">
        <v>86</v>
      </c>
      <c r="C456" s="32" t="s">
        <v>862</v>
      </c>
      <c r="D456" s="32" t="s">
        <v>798</v>
      </c>
      <c r="E456" s="33">
        <v>35</v>
      </c>
      <c r="F456" s="33">
        <v>2550</v>
      </c>
      <c r="G456" s="33">
        <v>37</v>
      </c>
      <c r="H456" s="13">
        <f t="shared" si="7"/>
        <v>72.857142857142861</v>
      </c>
    </row>
    <row r="457" spans="1:8" hidden="1" outlineLevel="2">
      <c r="A457" s="32" t="s">
        <v>797</v>
      </c>
      <c r="B457" s="32" t="s">
        <v>1862</v>
      </c>
      <c r="C457" s="32" t="s">
        <v>1154</v>
      </c>
      <c r="D457" s="32" t="s">
        <v>823</v>
      </c>
      <c r="E457" s="33">
        <v>24</v>
      </c>
      <c r="F457" s="33">
        <v>1735</v>
      </c>
      <c r="G457" s="33">
        <v>24</v>
      </c>
      <c r="H457" s="13">
        <f t="shared" si="7"/>
        <v>72.291666666666671</v>
      </c>
    </row>
    <row r="458" spans="1:8" hidden="1" outlineLevel="2">
      <c r="A458" s="32" t="s">
        <v>797</v>
      </c>
      <c r="B458" s="32" t="s">
        <v>1858</v>
      </c>
      <c r="C458" s="32" t="s">
        <v>903</v>
      </c>
      <c r="D458" s="32" t="s">
        <v>798</v>
      </c>
      <c r="E458" s="33">
        <v>18</v>
      </c>
      <c r="F458" s="33">
        <v>1298</v>
      </c>
      <c r="G458" s="33">
        <v>19</v>
      </c>
      <c r="H458" s="13">
        <f t="shared" si="7"/>
        <v>72.111111111111114</v>
      </c>
    </row>
    <row r="459" spans="1:8" hidden="1" outlineLevel="2">
      <c r="A459" s="32" t="s">
        <v>797</v>
      </c>
      <c r="B459" s="32" t="s">
        <v>86</v>
      </c>
      <c r="C459" s="32" t="s">
        <v>1132</v>
      </c>
      <c r="D459" s="32" t="s">
        <v>822</v>
      </c>
      <c r="E459" s="33">
        <v>24</v>
      </c>
      <c r="F459" s="33">
        <v>1728</v>
      </c>
      <c r="G459" s="33">
        <v>24</v>
      </c>
      <c r="H459" s="13">
        <f t="shared" si="7"/>
        <v>72</v>
      </c>
    </row>
    <row r="460" spans="1:8" hidden="1" outlineLevel="2">
      <c r="A460" s="32" t="s">
        <v>797</v>
      </c>
      <c r="B460" s="32" t="s">
        <v>1862</v>
      </c>
      <c r="C460" s="32" t="s">
        <v>1086</v>
      </c>
      <c r="D460" s="32" t="s">
        <v>891</v>
      </c>
      <c r="E460" s="33">
        <v>35</v>
      </c>
      <c r="F460" s="33">
        <v>2500</v>
      </c>
      <c r="G460" s="33">
        <v>35</v>
      </c>
      <c r="H460" s="13">
        <f t="shared" si="7"/>
        <v>71.428571428571431</v>
      </c>
    </row>
    <row r="461" spans="1:8" hidden="1" outlineLevel="2">
      <c r="A461" s="32" t="s">
        <v>797</v>
      </c>
      <c r="B461" s="32" t="s">
        <v>86</v>
      </c>
      <c r="C461" s="32" t="s">
        <v>856</v>
      </c>
      <c r="D461" s="32" t="s">
        <v>885</v>
      </c>
      <c r="E461" s="33">
        <v>70</v>
      </c>
      <c r="F461" s="33">
        <v>4990</v>
      </c>
      <c r="G461" s="33">
        <v>70</v>
      </c>
      <c r="H461" s="13">
        <f t="shared" si="7"/>
        <v>71.285714285714292</v>
      </c>
    </row>
    <row r="462" spans="1:8" hidden="1" outlineLevel="2">
      <c r="A462" s="32" t="s">
        <v>797</v>
      </c>
      <c r="B462" s="32" t="s">
        <v>86</v>
      </c>
      <c r="C462" s="32" t="s">
        <v>820</v>
      </c>
      <c r="D462" s="32" t="s">
        <v>823</v>
      </c>
      <c r="E462" s="33">
        <v>48</v>
      </c>
      <c r="F462" s="33">
        <v>3383</v>
      </c>
      <c r="G462" s="33">
        <v>50</v>
      </c>
      <c r="H462" s="13">
        <f t="shared" si="7"/>
        <v>70.479166666666671</v>
      </c>
    </row>
    <row r="463" spans="1:8" hidden="1" outlineLevel="2">
      <c r="A463" s="32" t="s">
        <v>797</v>
      </c>
      <c r="B463" s="32" t="s">
        <v>1862</v>
      </c>
      <c r="C463" s="32" t="s">
        <v>1071</v>
      </c>
      <c r="D463" s="32" t="s">
        <v>837</v>
      </c>
      <c r="E463" s="33">
        <v>30</v>
      </c>
      <c r="F463" s="33">
        <v>2107</v>
      </c>
      <c r="G463" s="33">
        <v>30</v>
      </c>
      <c r="H463" s="13">
        <f t="shared" si="7"/>
        <v>70.233333333333334</v>
      </c>
    </row>
    <row r="464" spans="1:8" hidden="1" outlineLevel="2">
      <c r="A464" s="32" t="s">
        <v>797</v>
      </c>
      <c r="B464" s="32" t="s">
        <v>86</v>
      </c>
      <c r="C464" s="32" t="s">
        <v>865</v>
      </c>
      <c r="D464" s="32" t="s">
        <v>798</v>
      </c>
      <c r="E464" s="33">
        <v>35</v>
      </c>
      <c r="F464" s="33">
        <v>2452</v>
      </c>
      <c r="G464" s="33">
        <v>33</v>
      </c>
      <c r="H464" s="13">
        <f t="shared" si="7"/>
        <v>70.057142857142864</v>
      </c>
    </row>
    <row r="465" spans="1:8" hidden="1" outlineLevel="2">
      <c r="A465" s="32" t="s">
        <v>797</v>
      </c>
      <c r="B465" s="32" t="s">
        <v>1862</v>
      </c>
      <c r="C465" s="32" t="s">
        <v>930</v>
      </c>
      <c r="D465" s="32" t="s">
        <v>961</v>
      </c>
      <c r="E465" s="33">
        <v>12</v>
      </c>
      <c r="F465" s="33">
        <v>828</v>
      </c>
      <c r="G465" s="33">
        <v>11</v>
      </c>
      <c r="H465" s="13">
        <f t="shared" si="7"/>
        <v>69</v>
      </c>
    </row>
    <row r="466" spans="1:8" hidden="1" outlineLevel="2">
      <c r="A466" s="32" t="s">
        <v>797</v>
      </c>
      <c r="B466" s="32" t="s">
        <v>86</v>
      </c>
      <c r="C466" s="32" t="s">
        <v>856</v>
      </c>
      <c r="D466" s="32" t="s">
        <v>798</v>
      </c>
      <c r="E466" s="33">
        <v>70</v>
      </c>
      <c r="F466" s="33">
        <v>4789</v>
      </c>
      <c r="G466" s="33">
        <v>69</v>
      </c>
      <c r="H466" s="13">
        <f t="shared" si="7"/>
        <v>68.414285714285711</v>
      </c>
    </row>
    <row r="467" spans="1:8" hidden="1" outlineLevel="2">
      <c r="A467" s="32" t="s">
        <v>797</v>
      </c>
      <c r="B467" s="32" t="s">
        <v>1862</v>
      </c>
      <c r="C467" s="32" t="s">
        <v>939</v>
      </c>
      <c r="D467" s="32" t="s">
        <v>923</v>
      </c>
      <c r="E467" s="33">
        <v>15</v>
      </c>
      <c r="F467" s="33">
        <v>1011</v>
      </c>
      <c r="G467" s="33">
        <v>13</v>
      </c>
      <c r="H467" s="13">
        <f t="shared" si="7"/>
        <v>67.400000000000006</v>
      </c>
    </row>
    <row r="468" spans="1:8" hidden="1" outlineLevel="2">
      <c r="A468" s="32" t="s">
        <v>797</v>
      </c>
      <c r="B468" s="32" t="s">
        <v>86</v>
      </c>
      <c r="C468" s="32" t="s">
        <v>856</v>
      </c>
      <c r="D468" s="32" t="s">
        <v>867</v>
      </c>
      <c r="E468" s="33">
        <v>70</v>
      </c>
      <c r="F468" s="33">
        <v>4690</v>
      </c>
      <c r="G468" s="33">
        <v>69</v>
      </c>
      <c r="H468" s="13">
        <f t="shared" si="7"/>
        <v>67</v>
      </c>
    </row>
    <row r="469" spans="1:8" hidden="1" outlineLevel="2">
      <c r="A469" s="32" t="s">
        <v>797</v>
      </c>
      <c r="B469" s="32" t="s">
        <v>86</v>
      </c>
      <c r="C469" s="32" t="s">
        <v>1034</v>
      </c>
      <c r="D469" s="32" t="s">
        <v>798</v>
      </c>
      <c r="E469" s="33">
        <v>35</v>
      </c>
      <c r="F469" s="33">
        <v>2321</v>
      </c>
      <c r="G469" s="33">
        <v>31</v>
      </c>
      <c r="H469" s="13">
        <f t="shared" si="7"/>
        <v>66.314285714285717</v>
      </c>
    </row>
    <row r="470" spans="1:8" hidden="1" outlineLevel="2">
      <c r="A470" s="32" t="s">
        <v>797</v>
      </c>
      <c r="B470" s="32" t="s">
        <v>86</v>
      </c>
      <c r="C470" s="32" t="s">
        <v>859</v>
      </c>
      <c r="D470" s="32" t="s">
        <v>866</v>
      </c>
      <c r="E470" s="33">
        <v>24</v>
      </c>
      <c r="F470" s="33">
        <v>1586</v>
      </c>
      <c r="G470" s="33">
        <v>24</v>
      </c>
      <c r="H470" s="13">
        <f t="shared" si="7"/>
        <v>66.083333333333329</v>
      </c>
    </row>
    <row r="471" spans="1:8" hidden="1" outlineLevel="2">
      <c r="A471" s="32" t="s">
        <v>797</v>
      </c>
      <c r="B471" s="32" t="s">
        <v>86</v>
      </c>
      <c r="C471" s="32" t="s">
        <v>856</v>
      </c>
      <c r="D471" s="32" t="s">
        <v>825</v>
      </c>
      <c r="E471" s="33">
        <v>35</v>
      </c>
      <c r="F471" s="33">
        <v>2311</v>
      </c>
      <c r="G471" s="33">
        <v>35</v>
      </c>
      <c r="H471" s="13">
        <f t="shared" si="7"/>
        <v>66.028571428571425</v>
      </c>
    </row>
    <row r="472" spans="1:8" hidden="1" outlineLevel="2">
      <c r="A472" s="32" t="s">
        <v>797</v>
      </c>
      <c r="B472" s="32" t="s">
        <v>1862</v>
      </c>
      <c r="C472" s="32" t="s">
        <v>945</v>
      </c>
      <c r="D472" s="32" t="s">
        <v>885</v>
      </c>
      <c r="E472" s="33">
        <v>24</v>
      </c>
      <c r="F472" s="33">
        <v>1558</v>
      </c>
      <c r="G472" s="33">
        <v>23</v>
      </c>
      <c r="H472" s="13">
        <f t="shared" si="7"/>
        <v>64.916666666666671</v>
      </c>
    </row>
    <row r="473" spans="1:8" hidden="1" outlineLevel="2">
      <c r="A473" s="32" t="s">
        <v>797</v>
      </c>
      <c r="B473" s="32" t="s">
        <v>86</v>
      </c>
      <c r="C473" s="32" t="s">
        <v>862</v>
      </c>
      <c r="D473" s="32" t="s">
        <v>839</v>
      </c>
      <c r="E473" s="33">
        <v>24</v>
      </c>
      <c r="F473" s="33">
        <v>1555</v>
      </c>
      <c r="G473" s="33">
        <v>27</v>
      </c>
      <c r="H473" s="13">
        <f t="shared" si="7"/>
        <v>64.791666666666671</v>
      </c>
    </row>
    <row r="474" spans="1:8" hidden="1" outlineLevel="2">
      <c r="A474" s="32" t="s">
        <v>797</v>
      </c>
      <c r="B474" s="32" t="s">
        <v>1862</v>
      </c>
      <c r="C474" s="32" t="s">
        <v>944</v>
      </c>
      <c r="D474" s="32" t="s">
        <v>905</v>
      </c>
      <c r="E474" s="33">
        <v>35</v>
      </c>
      <c r="F474" s="33">
        <v>2231</v>
      </c>
      <c r="G474" s="33">
        <v>34</v>
      </c>
      <c r="H474" s="13">
        <f t="shared" si="7"/>
        <v>63.74285714285714</v>
      </c>
    </row>
    <row r="475" spans="1:8" hidden="1" outlineLevel="2">
      <c r="A475" s="32" t="s">
        <v>797</v>
      </c>
      <c r="B475" s="32" t="s">
        <v>1858</v>
      </c>
      <c r="C475" s="32" t="s">
        <v>909</v>
      </c>
      <c r="D475" s="32" t="s">
        <v>837</v>
      </c>
      <c r="E475" s="33">
        <v>29</v>
      </c>
      <c r="F475" s="33">
        <v>1840</v>
      </c>
      <c r="G475" s="33">
        <v>29</v>
      </c>
      <c r="H475" s="13">
        <f t="shared" si="7"/>
        <v>63.448275862068968</v>
      </c>
    </row>
    <row r="476" spans="1:8" hidden="1" outlineLevel="2">
      <c r="A476" s="32" t="s">
        <v>797</v>
      </c>
      <c r="B476" s="32" t="s">
        <v>86</v>
      </c>
      <c r="C476" s="32" t="s">
        <v>1205</v>
      </c>
      <c r="D476" s="32" t="s">
        <v>825</v>
      </c>
      <c r="E476" s="33">
        <v>24</v>
      </c>
      <c r="F476" s="33">
        <v>1502</v>
      </c>
      <c r="G476" s="33">
        <v>22</v>
      </c>
      <c r="H476" s="13">
        <f t="shared" si="7"/>
        <v>62.583333333333336</v>
      </c>
    </row>
    <row r="477" spans="1:8" hidden="1" outlineLevel="2">
      <c r="A477" s="32" t="s">
        <v>797</v>
      </c>
      <c r="B477" s="32" t="s">
        <v>1862</v>
      </c>
      <c r="C477" s="32" t="s">
        <v>935</v>
      </c>
      <c r="D477" s="32" t="s">
        <v>891</v>
      </c>
      <c r="E477" s="33">
        <v>35</v>
      </c>
      <c r="F477" s="33">
        <v>2182</v>
      </c>
      <c r="G477" s="33">
        <v>29</v>
      </c>
      <c r="H477" s="13">
        <f t="shared" si="7"/>
        <v>62.342857142857142</v>
      </c>
    </row>
    <row r="478" spans="1:8" hidden="1" outlineLevel="2">
      <c r="A478" s="32" t="s">
        <v>797</v>
      </c>
      <c r="B478" s="32" t="s">
        <v>1862</v>
      </c>
      <c r="C478" s="32" t="s">
        <v>949</v>
      </c>
      <c r="D478" s="32" t="s">
        <v>891</v>
      </c>
      <c r="E478" s="33">
        <v>35</v>
      </c>
      <c r="F478" s="33">
        <v>2164</v>
      </c>
      <c r="G478" s="33">
        <v>35</v>
      </c>
      <c r="H478" s="13">
        <f t="shared" si="7"/>
        <v>61.828571428571429</v>
      </c>
    </row>
    <row r="479" spans="1:8" hidden="1" outlineLevel="2">
      <c r="A479" s="32" t="s">
        <v>797</v>
      </c>
      <c r="B479" s="32" t="s">
        <v>86</v>
      </c>
      <c r="C479" s="32" t="s">
        <v>1034</v>
      </c>
      <c r="D479" s="32" t="s">
        <v>822</v>
      </c>
      <c r="E479" s="33">
        <v>35</v>
      </c>
      <c r="F479" s="33">
        <v>2160</v>
      </c>
      <c r="G479" s="33">
        <v>35</v>
      </c>
      <c r="H479" s="13">
        <f t="shared" si="7"/>
        <v>61.714285714285715</v>
      </c>
    </row>
    <row r="480" spans="1:8" hidden="1" outlineLevel="2">
      <c r="A480" s="32" t="s">
        <v>797</v>
      </c>
      <c r="B480" s="32" t="s">
        <v>1862</v>
      </c>
      <c r="C480" s="32" t="s">
        <v>1214</v>
      </c>
      <c r="D480" s="32" t="s">
        <v>823</v>
      </c>
      <c r="E480" s="33">
        <v>30</v>
      </c>
      <c r="F480" s="33">
        <v>1806</v>
      </c>
      <c r="G480" s="33">
        <v>29</v>
      </c>
      <c r="H480" s="13">
        <f t="shared" si="7"/>
        <v>60.2</v>
      </c>
    </row>
    <row r="481" spans="1:8" hidden="1" outlineLevel="2">
      <c r="A481" s="32" t="s">
        <v>797</v>
      </c>
      <c r="B481" s="32" t="s">
        <v>86</v>
      </c>
      <c r="C481" s="32" t="s">
        <v>865</v>
      </c>
      <c r="D481" s="32" t="s">
        <v>825</v>
      </c>
      <c r="E481" s="33">
        <v>35</v>
      </c>
      <c r="F481" s="33">
        <v>2089</v>
      </c>
      <c r="G481" s="33">
        <v>31</v>
      </c>
      <c r="H481" s="13">
        <f t="shared" si="7"/>
        <v>59.685714285714283</v>
      </c>
    </row>
    <row r="482" spans="1:8" hidden="1" outlineLevel="2">
      <c r="A482" s="32" t="s">
        <v>797</v>
      </c>
      <c r="B482" s="32" t="s">
        <v>1862</v>
      </c>
      <c r="C482" s="32" t="s">
        <v>943</v>
      </c>
      <c r="D482" s="32" t="s">
        <v>798</v>
      </c>
      <c r="E482" s="33">
        <v>35</v>
      </c>
      <c r="F482" s="33">
        <v>2066</v>
      </c>
      <c r="G482" s="33">
        <v>37</v>
      </c>
      <c r="H482" s="13">
        <f t="shared" si="7"/>
        <v>59.028571428571432</v>
      </c>
    </row>
    <row r="483" spans="1:8" hidden="1" outlineLevel="2">
      <c r="A483" s="32" t="s">
        <v>797</v>
      </c>
      <c r="B483" s="32" t="s">
        <v>1862</v>
      </c>
      <c r="C483" s="32" t="s">
        <v>957</v>
      </c>
      <c r="D483" s="32" t="s">
        <v>798</v>
      </c>
      <c r="E483" s="33">
        <v>35</v>
      </c>
      <c r="F483" s="33">
        <v>2027</v>
      </c>
      <c r="G483" s="33">
        <v>28</v>
      </c>
      <c r="H483" s="13">
        <f t="shared" si="7"/>
        <v>57.914285714285711</v>
      </c>
    </row>
    <row r="484" spans="1:8" hidden="1" outlineLevel="2">
      <c r="A484" s="32" t="s">
        <v>797</v>
      </c>
      <c r="B484" s="32" t="s">
        <v>86</v>
      </c>
      <c r="C484" s="32" t="s">
        <v>856</v>
      </c>
      <c r="D484" s="32" t="s">
        <v>905</v>
      </c>
      <c r="E484" s="33">
        <v>105</v>
      </c>
      <c r="F484" s="33">
        <v>6074</v>
      </c>
      <c r="G484" s="33">
        <v>96</v>
      </c>
      <c r="H484" s="13">
        <f t="shared" si="7"/>
        <v>57.847619047619048</v>
      </c>
    </row>
    <row r="485" spans="1:8" hidden="1" outlineLevel="2">
      <c r="A485" s="32" t="s">
        <v>797</v>
      </c>
      <c r="B485" s="32" t="s">
        <v>86</v>
      </c>
      <c r="C485" s="32" t="s">
        <v>824</v>
      </c>
      <c r="D485" s="32" t="s">
        <v>825</v>
      </c>
      <c r="E485" s="33">
        <v>24</v>
      </c>
      <c r="F485" s="33">
        <v>1380</v>
      </c>
      <c r="G485" s="33">
        <v>23</v>
      </c>
      <c r="H485" s="13">
        <f t="shared" si="7"/>
        <v>57.5</v>
      </c>
    </row>
    <row r="486" spans="1:8" hidden="1" outlineLevel="2">
      <c r="A486" s="32" t="s">
        <v>797</v>
      </c>
      <c r="B486" s="32" t="s">
        <v>86</v>
      </c>
      <c r="C486" s="32" t="s">
        <v>831</v>
      </c>
      <c r="D486" s="32" t="s">
        <v>832</v>
      </c>
      <c r="E486" s="33">
        <v>24</v>
      </c>
      <c r="F486" s="33">
        <v>1380</v>
      </c>
      <c r="G486" s="33">
        <v>25</v>
      </c>
      <c r="H486" s="13">
        <f t="shared" si="7"/>
        <v>57.5</v>
      </c>
    </row>
    <row r="487" spans="1:8" hidden="1" outlineLevel="2">
      <c r="A487" s="32" t="s">
        <v>797</v>
      </c>
      <c r="B487" s="32" t="s">
        <v>1862</v>
      </c>
      <c r="C487" s="32" t="s">
        <v>913</v>
      </c>
      <c r="D487" s="32" t="s">
        <v>961</v>
      </c>
      <c r="E487" s="33">
        <v>12</v>
      </c>
      <c r="F487" s="33">
        <v>689</v>
      </c>
      <c r="G487" s="33">
        <v>10</v>
      </c>
      <c r="H487" s="13">
        <f t="shared" si="7"/>
        <v>57.416666666666664</v>
      </c>
    </row>
    <row r="488" spans="1:8" hidden="1" outlineLevel="2">
      <c r="A488" s="32" t="s">
        <v>797</v>
      </c>
      <c r="B488" s="32" t="s">
        <v>86</v>
      </c>
      <c r="C488" s="32" t="s">
        <v>841</v>
      </c>
      <c r="D488" s="32" t="s">
        <v>912</v>
      </c>
      <c r="E488" s="33">
        <v>60</v>
      </c>
      <c r="F488" s="33">
        <v>3429</v>
      </c>
      <c r="G488" s="33">
        <v>54</v>
      </c>
      <c r="H488" s="13">
        <f t="shared" si="7"/>
        <v>57.15</v>
      </c>
    </row>
    <row r="489" spans="1:8" hidden="1" outlineLevel="2">
      <c r="A489" s="32" t="s">
        <v>797</v>
      </c>
      <c r="B489" s="32" t="s">
        <v>1858</v>
      </c>
      <c r="C489" s="32" t="s">
        <v>908</v>
      </c>
      <c r="D489" s="32" t="s">
        <v>891</v>
      </c>
      <c r="E489" s="33">
        <v>35</v>
      </c>
      <c r="F489" s="33">
        <v>1983</v>
      </c>
      <c r="G489" s="33">
        <v>30</v>
      </c>
      <c r="H489" s="13">
        <f t="shared" si="7"/>
        <v>56.657142857142858</v>
      </c>
    </row>
    <row r="490" spans="1:8" hidden="1" outlineLevel="2">
      <c r="A490" s="32" t="s">
        <v>797</v>
      </c>
      <c r="B490" s="32" t="s">
        <v>1858</v>
      </c>
      <c r="C490" s="32" t="s">
        <v>985</v>
      </c>
      <c r="D490" s="32" t="s">
        <v>837</v>
      </c>
      <c r="E490" s="33">
        <v>23</v>
      </c>
      <c r="F490" s="33">
        <v>1297</v>
      </c>
      <c r="G490" s="33">
        <v>18</v>
      </c>
      <c r="H490" s="13">
        <f t="shared" si="7"/>
        <v>56.391304347826086</v>
      </c>
    </row>
    <row r="491" spans="1:8" hidden="1" outlineLevel="2">
      <c r="A491" s="32" t="s">
        <v>797</v>
      </c>
      <c r="B491" s="32" t="s">
        <v>86</v>
      </c>
      <c r="C491" s="32" t="s">
        <v>859</v>
      </c>
      <c r="D491" s="32" t="s">
        <v>839</v>
      </c>
      <c r="E491" s="33">
        <v>24</v>
      </c>
      <c r="F491" s="33">
        <v>1350</v>
      </c>
      <c r="G491" s="33">
        <v>23</v>
      </c>
      <c r="H491" s="13">
        <f t="shared" si="7"/>
        <v>56.25</v>
      </c>
    </row>
    <row r="492" spans="1:8" hidden="1" outlineLevel="2">
      <c r="A492" s="32" t="s">
        <v>797</v>
      </c>
      <c r="B492" s="32" t="s">
        <v>1858</v>
      </c>
      <c r="C492" s="32" t="s">
        <v>919</v>
      </c>
      <c r="D492" s="32" t="s">
        <v>885</v>
      </c>
      <c r="E492" s="33">
        <v>32</v>
      </c>
      <c r="F492" s="33">
        <v>1794</v>
      </c>
      <c r="G492" s="33">
        <v>33</v>
      </c>
      <c r="H492" s="13">
        <f t="shared" si="7"/>
        <v>56.0625</v>
      </c>
    </row>
    <row r="493" spans="1:8" hidden="1" outlineLevel="2">
      <c r="A493" s="32" t="s">
        <v>797</v>
      </c>
      <c r="B493" s="32" t="s">
        <v>1862</v>
      </c>
      <c r="C493" s="32" t="s">
        <v>1221</v>
      </c>
      <c r="D493" s="32" t="s">
        <v>867</v>
      </c>
      <c r="E493" s="33">
        <v>34</v>
      </c>
      <c r="F493" s="33">
        <v>1906</v>
      </c>
      <c r="G493" s="33">
        <v>25</v>
      </c>
      <c r="H493" s="13">
        <f t="shared" si="7"/>
        <v>56.058823529411768</v>
      </c>
    </row>
    <row r="494" spans="1:8" hidden="1" outlineLevel="2">
      <c r="A494" s="32" t="s">
        <v>797</v>
      </c>
      <c r="B494" s="32" t="s">
        <v>1858</v>
      </c>
      <c r="C494" s="32" t="s">
        <v>814</v>
      </c>
      <c r="D494" s="32" t="s">
        <v>885</v>
      </c>
      <c r="E494" s="33">
        <v>30</v>
      </c>
      <c r="F494" s="33">
        <v>1680</v>
      </c>
      <c r="G494" s="33">
        <v>30</v>
      </c>
      <c r="H494" s="13">
        <f t="shared" si="7"/>
        <v>56</v>
      </c>
    </row>
    <row r="495" spans="1:8" hidden="1" outlineLevel="2">
      <c r="A495" s="32" t="s">
        <v>797</v>
      </c>
      <c r="B495" s="32" t="s">
        <v>1858</v>
      </c>
      <c r="C495" s="32" t="s">
        <v>924</v>
      </c>
      <c r="D495" s="32" t="s">
        <v>891</v>
      </c>
      <c r="E495" s="33">
        <v>35</v>
      </c>
      <c r="F495" s="33">
        <v>1958</v>
      </c>
      <c r="G495" s="33">
        <v>34</v>
      </c>
      <c r="H495" s="13">
        <f t="shared" si="7"/>
        <v>55.942857142857143</v>
      </c>
    </row>
    <row r="496" spans="1:8" hidden="1" outlineLevel="2">
      <c r="A496" s="32" t="s">
        <v>797</v>
      </c>
      <c r="B496" s="32" t="s">
        <v>1862</v>
      </c>
      <c r="C496" s="32" t="s">
        <v>1155</v>
      </c>
      <c r="D496" s="32" t="s">
        <v>885</v>
      </c>
      <c r="E496" s="33">
        <v>30</v>
      </c>
      <c r="F496" s="33">
        <v>1646</v>
      </c>
      <c r="G496" s="33">
        <v>23</v>
      </c>
      <c r="H496" s="13">
        <f t="shared" si="7"/>
        <v>54.866666666666667</v>
      </c>
    </row>
    <row r="497" spans="1:8" hidden="1" outlineLevel="2">
      <c r="A497" s="32" t="s">
        <v>797</v>
      </c>
      <c r="B497" s="32" t="s">
        <v>1862</v>
      </c>
      <c r="C497" s="32" t="s">
        <v>1070</v>
      </c>
      <c r="D497" s="32" t="s">
        <v>823</v>
      </c>
      <c r="E497" s="33">
        <v>35</v>
      </c>
      <c r="F497" s="33">
        <v>1914</v>
      </c>
      <c r="G497" s="33">
        <v>32</v>
      </c>
      <c r="H497" s="13">
        <f t="shared" si="7"/>
        <v>54.685714285714283</v>
      </c>
    </row>
    <row r="498" spans="1:8" hidden="1" outlineLevel="2">
      <c r="A498" s="32" t="s">
        <v>797</v>
      </c>
      <c r="B498" s="32" t="s">
        <v>86</v>
      </c>
      <c r="C498" s="32" t="s">
        <v>835</v>
      </c>
      <c r="D498" s="32" t="s">
        <v>839</v>
      </c>
      <c r="E498" s="33">
        <v>24</v>
      </c>
      <c r="F498" s="33">
        <v>1296</v>
      </c>
      <c r="G498" s="33">
        <v>25</v>
      </c>
      <c r="H498" s="13">
        <f t="shared" si="7"/>
        <v>54</v>
      </c>
    </row>
    <row r="499" spans="1:8" hidden="1" outlineLevel="2">
      <c r="A499" s="32" t="s">
        <v>797</v>
      </c>
      <c r="B499" s="32" t="s">
        <v>1858</v>
      </c>
      <c r="C499" s="32" t="s">
        <v>914</v>
      </c>
      <c r="D499" s="32" t="s">
        <v>837</v>
      </c>
      <c r="E499" s="33">
        <v>27</v>
      </c>
      <c r="F499" s="33">
        <v>1445</v>
      </c>
      <c r="G499" s="33">
        <v>25</v>
      </c>
      <c r="H499" s="13">
        <f t="shared" si="7"/>
        <v>53.518518518518519</v>
      </c>
    </row>
    <row r="500" spans="1:8" hidden="1" outlineLevel="2">
      <c r="A500" s="32" t="s">
        <v>797</v>
      </c>
      <c r="B500" s="32" t="s">
        <v>1862</v>
      </c>
      <c r="C500" s="32" t="s">
        <v>862</v>
      </c>
      <c r="D500" s="32" t="s">
        <v>823</v>
      </c>
      <c r="E500" s="33">
        <v>35</v>
      </c>
      <c r="F500" s="33">
        <v>1866</v>
      </c>
      <c r="G500" s="33">
        <v>35</v>
      </c>
      <c r="H500" s="13">
        <f t="shared" si="7"/>
        <v>53.314285714285717</v>
      </c>
    </row>
    <row r="501" spans="1:8" hidden="1" outlineLevel="2">
      <c r="A501" s="32" t="s">
        <v>797</v>
      </c>
      <c r="B501" s="32" t="s">
        <v>1858</v>
      </c>
      <c r="C501" s="32" t="s">
        <v>983</v>
      </c>
      <c r="D501" s="32" t="s">
        <v>798</v>
      </c>
      <c r="E501" s="33">
        <v>35</v>
      </c>
      <c r="F501" s="33">
        <v>1852</v>
      </c>
      <c r="G501" s="33">
        <v>31</v>
      </c>
      <c r="H501" s="13">
        <f t="shared" si="7"/>
        <v>52.914285714285711</v>
      </c>
    </row>
    <row r="502" spans="1:8" hidden="1" outlineLevel="2">
      <c r="A502" s="32" t="s">
        <v>797</v>
      </c>
      <c r="B502" s="32" t="s">
        <v>86</v>
      </c>
      <c r="C502" s="32" t="s">
        <v>1138</v>
      </c>
      <c r="D502" s="32" t="s">
        <v>911</v>
      </c>
      <c r="E502" s="33">
        <v>35</v>
      </c>
      <c r="F502" s="33">
        <v>1848</v>
      </c>
      <c r="G502" s="33">
        <v>32</v>
      </c>
      <c r="H502" s="13">
        <f t="shared" si="7"/>
        <v>52.8</v>
      </c>
    </row>
    <row r="503" spans="1:8" hidden="1" outlineLevel="2">
      <c r="A503" s="32" t="s">
        <v>797</v>
      </c>
      <c r="B503" s="32" t="s">
        <v>86</v>
      </c>
      <c r="C503" s="32" t="s">
        <v>877</v>
      </c>
      <c r="D503" s="32" t="s">
        <v>998</v>
      </c>
      <c r="E503" s="33">
        <v>24</v>
      </c>
      <c r="F503" s="33">
        <v>1267</v>
      </c>
      <c r="G503" s="33">
        <v>26</v>
      </c>
      <c r="H503" s="13">
        <f t="shared" si="7"/>
        <v>52.791666666666664</v>
      </c>
    </row>
    <row r="504" spans="1:8" hidden="1" outlineLevel="2">
      <c r="A504" s="32" t="s">
        <v>797</v>
      </c>
      <c r="B504" s="32" t="s">
        <v>1858</v>
      </c>
      <c r="C504" s="32" t="s">
        <v>916</v>
      </c>
      <c r="D504" s="32" t="s">
        <v>798</v>
      </c>
      <c r="E504" s="33">
        <v>32</v>
      </c>
      <c r="F504" s="33">
        <v>1679</v>
      </c>
      <c r="G504" s="33">
        <v>32</v>
      </c>
      <c r="H504" s="13">
        <f t="shared" si="7"/>
        <v>52.46875</v>
      </c>
    </row>
    <row r="505" spans="1:8" hidden="1" outlineLevel="2">
      <c r="A505" s="32" t="s">
        <v>797</v>
      </c>
      <c r="B505" s="32" t="s">
        <v>1858</v>
      </c>
      <c r="C505" s="32" t="s">
        <v>976</v>
      </c>
      <c r="D505" s="32" t="s">
        <v>837</v>
      </c>
      <c r="E505" s="33">
        <v>30</v>
      </c>
      <c r="F505" s="33">
        <v>1567</v>
      </c>
      <c r="G505" s="33">
        <v>30</v>
      </c>
      <c r="H505" s="13">
        <f t="shared" si="7"/>
        <v>52.233333333333334</v>
      </c>
    </row>
    <row r="506" spans="1:8" hidden="1" outlineLevel="2">
      <c r="A506" s="32" t="s">
        <v>797</v>
      </c>
      <c r="B506" s="32" t="s">
        <v>1858</v>
      </c>
      <c r="C506" s="32" t="s">
        <v>1053</v>
      </c>
      <c r="D506" s="32" t="s">
        <v>891</v>
      </c>
      <c r="E506" s="33">
        <v>35</v>
      </c>
      <c r="F506" s="33">
        <v>1823</v>
      </c>
      <c r="G506" s="33">
        <v>35</v>
      </c>
      <c r="H506" s="13">
        <f t="shared" si="7"/>
        <v>52.085714285714289</v>
      </c>
    </row>
    <row r="507" spans="1:8" hidden="1" outlineLevel="2">
      <c r="A507" s="32" t="s">
        <v>797</v>
      </c>
      <c r="B507" s="32" t="s">
        <v>1858</v>
      </c>
      <c r="C507" s="32" t="s">
        <v>914</v>
      </c>
      <c r="D507" s="32" t="s">
        <v>885</v>
      </c>
      <c r="E507" s="33">
        <v>34</v>
      </c>
      <c r="F507" s="33">
        <v>1762</v>
      </c>
      <c r="G507" s="33">
        <v>32</v>
      </c>
      <c r="H507" s="13">
        <f t="shared" si="7"/>
        <v>51.823529411764703</v>
      </c>
    </row>
    <row r="508" spans="1:8" hidden="1" outlineLevel="2">
      <c r="A508" s="32" t="s">
        <v>797</v>
      </c>
      <c r="B508" s="32" t="s">
        <v>1862</v>
      </c>
      <c r="C508" s="32" t="s">
        <v>1020</v>
      </c>
      <c r="D508" s="32" t="s">
        <v>885</v>
      </c>
      <c r="E508" s="33">
        <v>30</v>
      </c>
      <c r="F508" s="33">
        <v>1553</v>
      </c>
      <c r="G508" s="33">
        <v>29</v>
      </c>
      <c r="H508" s="13">
        <f t="shared" si="7"/>
        <v>51.766666666666666</v>
      </c>
    </row>
    <row r="509" spans="1:8" hidden="1" outlineLevel="2">
      <c r="A509" s="32" t="s">
        <v>797</v>
      </c>
      <c r="B509" s="32" t="s">
        <v>1862</v>
      </c>
      <c r="C509" s="32" t="s">
        <v>1103</v>
      </c>
      <c r="D509" s="32" t="s">
        <v>885</v>
      </c>
      <c r="E509" s="33">
        <v>35</v>
      </c>
      <c r="F509" s="33">
        <v>1794</v>
      </c>
      <c r="G509" s="33">
        <v>33</v>
      </c>
      <c r="H509" s="13">
        <f t="shared" si="7"/>
        <v>51.25714285714286</v>
      </c>
    </row>
    <row r="510" spans="1:8" hidden="1" outlineLevel="2">
      <c r="A510" s="32" t="s">
        <v>797</v>
      </c>
      <c r="B510" s="32" t="s">
        <v>1862</v>
      </c>
      <c r="C510" s="32" t="s">
        <v>1088</v>
      </c>
      <c r="D510" s="32" t="s">
        <v>822</v>
      </c>
      <c r="E510" s="33">
        <v>35</v>
      </c>
      <c r="F510" s="33">
        <v>1782</v>
      </c>
      <c r="G510" s="33">
        <v>34</v>
      </c>
      <c r="H510" s="13">
        <f t="shared" si="7"/>
        <v>50.914285714285711</v>
      </c>
    </row>
    <row r="511" spans="1:8" hidden="1" outlineLevel="2">
      <c r="A511" s="32" t="s">
        <v>797</v>
      </c>
      <c r="B511" s="32" t="s">
        <v>86</v>
      </c>
      <c r="C511" s="32" t="s">
        <v>857</v>
      </c>
      <c r="D511" s="32" t="s">
        <v>839</v>
      </c>
      <c r="E511" s="33">
        <v>24</v>
      </c>
      <c r="F511" s="33">
        <v>1219</v>
      </c>
      <c r="G511" s="33">
        <v>21</v>
      </c>
      <c r="H511" s="13">
        <f t="shared" si="7"/>
        <v>50.791666666666664</v>
      </c>
    </row>
    <row r="512" spans="1:8" hidden="1" outlineLevel="2">
      <c r="A512" s="32" t="s">
        <v>797</v>
      </c>
      <c r="B512" s="32" t="s">
        <v>1862</v>
      </c>
      <c r="C512" s="32" t="s">
        <v>959</v>
      </c>
      <c r="D512" s="32" t="s">
        <v>961</v>
      </c>
      <c r="E512" s="33">
        <v>13</v>
      </c>
      <c r="F512" s="33">
        <v>659</v>
      </c>
      <c r="G512" s="33">
        <v>13</v>
      </c>
      <c r="H512" s="13">
        <f t="shared" si="7"/>
        <v>50.692307692307693</v>
      </c>
    </row>
    <row r="513" spans="1:8" hidden="1" outlineLevel="2">
      <c r="A513" s="32" t="s">
        <v>797</v>
      </c>
      <c r="B513" s="32" t="s">
        <v>1862</v>
      </c>
      <c r="C513" s="32" t="s">
        <v>1095</v>
      </c>
      <c r="D513" s="32" t="s">
        <v>885</v>
      </c>
      <c r="E513" s="33">
        <v>35</v>
      </c>
      <c r="F513" s="33">
        <v>1773</v>
      </c>
      <c r="G513" s="33">
        <v>35</v>
      </c>
      <c r="H513" s="13">
        <f t="shared" si="7"/>
        <v>50.657142857142858</v>
      </c>
    </row>
    <row r="514" spans="1:8" hidden="1" outlineLevel="2">
      <c r="A514" s="32" t="s">
        <v>797</v>
      </c>
      <c r="B514" s="32" t="s">
        <v>1862</v>
      </c>
      <c r="C514" s="32" t="s">
        <v>1146</v>
      </c>
      <c r="D514" s="32" t="s">
        <v>837</v>
      </c>
      <c r="E514" s="33">
        <v>24</v>
      </c>
      <c r="F514" s="33">
        <v>1171</v>
      </c>
      <c r="G514" s="33">
        <v>24</v>
      </c>
      <c r="H514" s="13">
        <f t="shared" ref="H514:H577" si="8">IFERROR(F514/E514,"")</f>
        <v>48.791666666666664</v>
      </c>
    </row>
    <row r="515" spans="1:8" hidden="1" outlineLevel="2">
      <c r="A515" s="32" t="s">
        <v>797</v>
      </c>
      <c r="B515" s="32" t="s">
        <v>1862</v>
      </c>
      <c r="C515" s="32" t="s">
        <v>947</v>
      </c>
      <c r="D515" s="32" t="s">
        <v>819</v>
      </c>
      <c r="E515" s="33">
        <v>30</v>
      </c>
      <c r="F515" s="33">
        <v>1463</v>
      </c>
      <c r="G515" s="33">
        <v>22</v>
      </c>
      <c r="H515" s="13">
        <f t="shared" si="8"/>
        <v>48.766666666666666</v>
      </c>
    </row>
    <row r="516" spans="1:8" hidden="1" outlineLevel="2">
      <c r="A516" s="32" t="s">
        <v>797</v>
      </c>
      <c r="B516" s="32" t="s">
        <v>1862</v>
      </c>
      <c r="C516" s="32" t="s">
        <v>945</v>
      </c>
      <c r="D516" s="32" t="s">
        <v>798</v>
      </c>
      <c r="E516" s="33">
        <v>35</v>
      </c>
      <c r="F516" s="33">
        <v>1701</v>
      </c>
      <c r="G516" s="33">
        <v>32</v>
      </c>
      <c r="H516" s="13">
        <f t="shared" si="8"/>
        <v>48.6</v>
      </c>
    </row>
    <row r="517" spans="1:8" hidden="1" outlineLevel="2">
      <c r="A517" s="32" t="s">
        <v>797</v>
      </c>
      <c r="B517" s="32" t="s">
        <v>1862</v>
      </c>
      <c r="C517" s="32" t="s">
        <v>963</v>
      </c>
      <c r="D517" s="32" t="s">
        <v>912</v>
      </c>
      <c r="E517" s="33">
        <v>30</v>
      </c>
      <c r="F517" s="33">
        <v>1448</v>
      </c>
      <c r="G517" s="33">
        <v>29</v>
      </c>
      <c r="H517" s="13">
        <f t="shared" si="8"/>
        <v>48.266666666666666</v>
      </c>
    </row>
    <row r="518" spans="1:8" hidden="1" outlineLevel="2">
      <c r="A518" s="32" t="s">
        <v>797</v>
      </c>
      <c r="B518" s="32" t="s">
        <v>1862</v>
      </c>
      <c r="C518" s="32" t="s">
        <v>1100</v>
      </c>
      <c r="D518" s="32" t="s">
        <v>852</v>
      </c>
      <c r="E518" s="33">
        <v>12</v>
      </c>
      <c r="F518" s="33">
        <v>579</v>
      </c>
      <c r="G518" s="33">
        <v>8</v>
      </c>
      <c r="H518" s="13">
        <f t="shared" si="8"/>
        <v>48.25</v>
      </c>
    </row>
    <row r="519" spans="1:8" hidden="1" outlineLevel="2">
      <c r="A519" s="32" t="s">
        <v>797</v>
      </c>
      <c r="B519" s="32" t="s">
        <v>1862</v>
      </c>
      <c r="C519" s="32" t="s">
        <v>1014</v>
      </c>
      <c r="D519" s="32" t="s">
        <v>822</v>
      </c>
      <c r="E519" s="33">
        <v>35</v>
      </c>
      <c r="F519" s="33">
        <v>1658</v>
      </c>
      <c r="G519" s="33">
        <v>33</v>
      </c>
      <c r="H519" s="13">
        <f t="shared" si="8"/>
        <v>47.371428571428574</v>
      </c>
    </row>
    <row r="520" spans="1:8" hidden="1" outlineLevel="2">
      <c r="A520" s="32" t="s">
        <v>797</v>
      </c>
      <c r="B520" s="32" t="s">
        <v>86</v>
      </c>
      <c r="C520" s="32" t="s">
        <v>1138</v>
      </c>
      <c r="D520" s="32" t="s">
        <v>832</v>
      </c>
      <c r="E520" s="33">
        <v>24</v>
      </c>
      <c r="F520" s="33">
        <v>1136</v>
      </c>
      <c r="G520" s="33">
        <v>23</v>
      </c>
      <c r="H520" s="13">
        <f t="shared" si="8"/>
        <v>47.333333333333336</v>
      </c>
    </row>
    <row r="521" spans="1:8" hidden="1" outlineLevel="2">
      <c r="A521" s="32" t="s">
        <v>797</v>
      </c>
      <c r="B521" s="32" t="s">
        <v>86</v>
      </c>
      <c r="C521" s="32" t="s">
        <v>994</v>
      </c>
      <c r="D521" s="32" t="s">
        <v>1003</v>
      </c>
      <c r="E521" s="33">
        <v>24</v>
      </c>
      <c r="F521" s="33">
        <v>1135</v>
      </c>
      <c r="G521" s="33">
        <v>17</v>
      </c>
      <c r="H521" s="13">
        <f t="shared" si="8"/>
        <v>47.291666666666664</v>
      </c>
    </row>
    <row r="522" spans="1:8" hidden="1" outlineLevel="2">
      <c r="A522" s="32" t="s">
        <v>797</v>
      </c>
      <c r="B522" s="32" t="s">
        <v>1858</v>
      </c>
      <c r="C522" s="32" t="s">
        <v>919</v>
      </c>
      <c r="D522" s="32" t="s">
        <v>891</v>
      </c>
      <c r="E522" s="33">
        <v>36</v>
      </c>
      <c r="F522" s="33">
        <v>1701</v>
      </c>
      <c r="G522" s="33">
        <v>36</v>
      </c>
      <c r="H522" s="13">
        <f t="shared" si="8"/>
        <v>47.25</v>
      </c>
    </row>
    <row r="523" spans="1:8" hidden="1" outlineLevel="2">
      <c r="A523" s="32" t="s">
        <v>797</v>
      </c>
      <c r="B523" s="32" t="s">
        <v>1862</v>
      </c>
      <c r="C523" s="32" t="s">
        <v>862</v>
      </c>
      <c r="D523" s="32" t="s">
        <v>837</v>
      </c>
      <c r="E523" s="33">
        <v>24</v>
      </c>
      <c r="F523" s="33">
        <v>1128</v>
      </c>
      <c r="G523" s="33">
        <v>23</v>
      </c>
      <c r="H523" s="13">
        <f t="shared" si="8"/>
        <v>47</v>
      </c>
    </row>
    <row r="524" spans="1:8" hidden="1" outlineLevel="2">
      <c r="A524" s="32" t="s">
        <v>797</v>
      </c>
      <c r="B524" s="32" t="s">
        <v>1862</v>
      </c>
      <c r="C524" s="32" t="s">
        <v>1084</v>
      </c>
      <c r="D524" s="32" t="s">
        <v>839</v>
      </c>
      <c r="E524" s="33">
        <v>12</v>
      </c>
      <c r="F524" s="33">
        <v>559</v>
      </c>
      <c r="G524" s="33">
        <v>12</v>
      </c>
      <c r="H524" s="13">
        <f t="shared" si="8"/>
        <v>46.583333333333336</v>
      </c>
    </row>
    <row r="525" spans="1:8" hidden="1" outlineLevel="2">
      <c r="A525" s="32" t="s">
        <v>797</v>
      </c>
      <c r="B525" s="32" t="s">
        <v>1862</v>
      </c>
      <c r="C525" s="32" t="s">
        <v>1074</v>
      </c>
      <c r="D525" s="32" t="s">
        <v>891</v>
      </c>
      <c r="E525" s="33">
        <v>35</v>
      </c>
      <c r="F525" s="33">
        <v>1612</v>
      </c>
      <c r="G525" s="33">
        <v>36</v>
      </c>
      <c r="H525" s="13">
        <f t="shared" si="8"/>
        <v>46.057142857142857</v>
      </c>
    </row>
    <row r="526" spans="1:8" hidden="1" outlineLevel="2">
      <c r="A526" s="32" t="s">
        <v>797</v>
      </c>
      <c r="B526" s="32" t="s">
        <v>86</v>
      </c>
      <c r="C526" s="32" t="s">
        <v>820</v>
      </c>
      <c r="D526" s="32" t="s">
        <v>822</v>
      </c>
      <c r="E526" s="33">
        <v>59</v>
      </c>
      <c r="F526" s="33">
        <v>2715</v>
      </c>
      <c r="G526" s="33">
        <v>55</v>
      </c>
      <c r="H526" s="13">
        <f t="shared" si="8"/>
        <v>46.016949152542374</v>
      </c>
    </row>
    <row r="527" spans="1:8" hidden="1" outlineLevel="2">
      <c r="A527" s="32" t="s">
        <v>797</v>
      </c>
      <c r="B527" s="32" t="s">
        <v>1862</v>
      </c>
      <c r="C527" s="32" t="s">
        <v>954</v>
      </c>
      <c r="D527" s="32" t="s">
        <v>798</v>
      </c>
      <c r="E527" s="33">
        <v>37</v>
      </c>
      <c r="F527" s="33">
        <v>1697</v>
      </c>
      <c r="G527" s="33">
        <v>33</v>
      </c>
      <c r="H527" s="13">
        <f t="shared" si="8"/>
        <v>45.864864864864863</v>
      </c>
    </row>
    <row r="528" spans="1:8" hidden="1" outlineLevel="2">
      <c r="A528" s="32" t="s">
        <v>797</v>
      </c>
      <c r="B528" s="32" t="s">
        <v>1858</v>
      </c>
      <c r="C528" s="32" t="s">
        <v>979</v>
      </c>
      <c r="D528" s="32" t="s">
        <v>798</v>
      </c>
      <c r="E528" s="33">
        <v>34</v>
      </c>
      <c r="F528" s="33">
        <v>1557</v>
      </c>
      <c r="G528" s="33">
        <v>32</v>
      </c>
      <c r="H528" s="13">
        <f t="shared" si="8"/>
        <v>45.794117647058826</v>
      </c>
    </row>
    <row r="529" spans="1:8" hidden="1" outlineLevel="2">
      <c r="A529" s="32" t="s">
        <v>797</v>
      </c>
      <c r="B529" s="32" t="s">
        <v>1858</v>
      </c>
      <c r="C529" s="32" t="s">
        <v>1066</v>
      </c>
      <c r="D529" s="32" t="s">
        <v>823</v>
      </c>
      <c r="E529" s="33">
        <v>30</v>
      </c>
      <c r="F529" s="33">
        <v>1371</v>
      </c>
      <c r="G529" s="33">
        <v>42</v>
      </c>
      <c r="H529" s="13">
        <f t="shared" si="8"/>
        <v>45.7</v>
      </c>
    </row>
    <row r="530" spans="1:8" hidden="1" outlineLevel="2">
      <c r="A530" s="32" t="s">
        <v>797</v>
      </c>
      <c r="B530" s="32" t="s">
        <v>1858</v>
      </c>
      <c r="C530" s="32" t="s">
        <v>1227</v>
      </c>
      <c r="D530" s="32" t="s">
        <v>1228</v>
      </c>
      <c r="E530" s="33">
        <v>24</v>
      </c>
      <c r="F530" s="33">
        <v>1092</v>
      </c>
      <c r="G530" s="33">
        <v>25</v>
      </c>
      <c r="H530" s="13">
        <f t="shared" si="8"/>
        <v>45.5</v>
      </c>
    </row>
    <row r="531" spans="1:8" hidden="1" outlineLevel="2">
      <c r="A531" s="32" t="s">
        <v>797</v>
      </c>
      <c r="B531" s="32" t="s">
        <v>1862</v>
      </c>
      <c r="C531" s="32" t="s">
        <v>945</v>
      </c>
      <c r="D531" s="32" t="s">
        <v>872</v>
      </c>
      <c r="E531" s="33">
        <v>32</v>
      </c>
      <c r="F531" s="33">
        <v>1451</v>
      </c>
      <c r="G531" s="33">
        <v>30</v>
      </c>
      <c r="H531" s="13">
        <f t="shared" si="8"/>
        <v>45.34375</v>
      </c>
    </row>
    <row r="532" spans="1:8" hidden="1" outlineLevel="2">
      <c r="A532" s="32" t="s">
        <v>797</v>
      </c>
      <c r="B532" s="32" t="s">
        <v>1862</v>
      </c>
      <c r="C532" s="32" t="s">
        <v>975</v>
      </c>
      <c r="D532" s="32" t="s">
        <v>885</v>
      </c>
      <c r="E532" s="33">
        <v>35</v>
      </c>
      <c r="F532" s="33">
        <v>1581</v>
      </c>
      <c r="G532" s="33">
        <v>36</v>
      </c>
      <c r="H532" s="13">
        <f t="shared" si="8"/>
        <v>45.171428571428571</v>
      </c>
    </row>
    <row r="533" spans="1:8" hidden="1" outlineLevel="2">
      <c r="A533" s="32" t="s">
        <v>797</v>
      </c>
      <c r="B533" s="32" t="s">
        <v>86</v>
      </c>
      <c r="C533" s="32" t="s">
        <v>1135</v>
      </c>
      <c r="D533" s="32" t="s">
        <v>825</v>
      </c>
      <c r="E533" s="33">
        <v>24</v>
      </c>
      <c r="F533" s="33">
        <v>1080</v>
      </c>
      <c r="G533" s="33">
        <v>21</v>
      </c>
      <c r="H533" s="13">
        <f t="shared" si="8"/>
        <v>45</v>
      </c>
    </row>
    <row r="534" spans="1:8" hidden="1" outlineLevel="2">
      <c r="A534" s="32" t="s">
        <v>797</v>
      </c>
      <c r="B534" s="32" t="s">
        <v>1858</v>
      </c>
      <c r="C534" s="32" t="s">
        <v>981</v>
      </c>
      <c r="D534" s="32" t="s">
        <v>891</v>
      </c>
      <c r="E534" s="33">
        <v>35</v>
      </c>
      <c r="F534" s="33">
        <v>1569</v>
      </c>
      <c r="G534" s="33">
        <v>34</v>
      </c>
      <c r="H534" s="13">
        <f t="shared" si="8"/>
        <v>44.828571428571429</v>
      </c>
    </row>
    <row r="535" spans="1:8" hidden="1" outlineLevel="2">
      <c r="A535" s="32" t="s">
        <v>797</v>
      </c>
      <c r="B535" s="32" t="s">
        <v>86</v>
      </c>
      <c r="C535" s="32" t="s">
        <v>1135</v>
      </c>
      <c r="D535" s="32" t="s">
        <v>822</v>
      </c>
      <c r="E535" s="33">
        <v>24</v>
      </c>
      <c r="F535" s="33">
        <v>1072</v>
      </c>
      <c r="G535" s="33">
        <v>21</v>
      </c>
      <c r="H535" s="13">
        <f t="shared" si="8"/>
        <v>44.666666666666664</v>
      </c>
    </row>
    <row r="536" spans="1:8" hidden="1" outlineLevel="2">
      <c r="A536" s="32" t="s">
        <v>797</v>
      </c>
      <c r="B536" s="32" t="s">
        <v>1862</v>
      </c>
      <c r="C536" s="32" t="s">
        <v>963</v>
      </c>
      <c r="D536" s="32" t="s">
        <v>839</v>
      </c>
      <c r="E536" s="33">
        <v>24</v>
      </c>
      <c r="F536" s="33">
        <v>1072</v>
      </c>
      <c r="G536" s="33">
        <v>24</v>
      </c>
      <c r="H536" s="13">
        <f t="shared" si="8"/>
        <v>44.666666666666664</v>
      </c>
    </row>
    <row r="537" spans="1:8" hidden="1" outlineLevel="2">
      <c r="A537" s="32" t="s">
        <v>797</v>
      </c>
      <c r="B537" s="32" t="s">
        <v>86</v>
      </c>
      <c r="C537" s="32" t="s">
        <v>851</v>
      </c>
      <c r="D537" s="32" t="s">
        <v>852</v>
      </c>
      <c r="E537" s="33">
        <v>30</v>
      </c>
      <c r="F537" s="33">
        <v>1336</v>
      </c>
      <c r="G537" s="33">
        <v>31</v>
      </c>
      <c r="H537" s="13">
        <f t="shared" si="8"/>
        <v>44.533333333333331</v>
      </c>
    </row>
    <row r="538" spans="1:8" hidden="1" outlineLevel="2">
      <c r="A538" s="32" t="s">
        <v>797</v>
      </c>
      <c r="B538" s="32" t="s">
        <v>1862</v>
      </c>
      <c r="C538" s="32" t="s">
        <v>963</v>
      </c>
      <c r="D538" s="32" t="s">
        <v>823</v>
      </c>
      <c r="E538" s="33">
        <v>60</v>
      </c>
      <c r="F538" s="33">
        <v>2658</v>
      </c>
      <c r="G538" s="33">
        <v>58</v>
      </c>
      <c r="H538" s="13">
        <f t="shared" si="8"/>
        <v>44.3</v>
      </c>
    </row>
    <row r="539" spans="1:8" hidden="1" outlineLevel="2">
      <c r="A539" s="32" t="s">
        <v>797</v>
      </c>
      <c r="B539" s="32" t="s">
        <v>1862</v>
      </c>
      <c r="C539" s="32" t="s">
        <v>1083</v>
      </c>
      <c r="D539" s="32" t="s">
        <v>822</v>
      </c>
      <c r="E539" s="33">
        <v>35</v>
      </c>
      <c r="F539" s="33">
        <v>1531</v>
      </c>
      <c r="G539" s="33">
        <v>34</v>
      </c>
      <c r="H539" s="13">
        <f t="shared" si="8"/>
        <v>43.74285714285714</v>
      </c>
    </row>
    <row r="540" spans="1:8" hidden="1" outlineLevel="2">
      <c r="A540" s="32" t="s">
        <v>797</v>
      </c>
      <c r="B540" s="32" t="s">
        <v>1858</v>
      </c>
      <c r="C540" s="32" t="s">
        <v>1164</v>
      </c>
      <c r="D540" s="32" t="s">
        <v>872</v>
      </c>
      <c r="E540" s="33">
        <v>30</v>
      </c>
      <c r="F540" s="33">
        <v>1311</v>
      </c>
      <c r="G540" s="33">
        <v>21</v>
      </c>
      <c r="H540" s="13">
        <f t="shared" si="8"/>
        <v>43.7</v>
      </c>
    </row>
    <row r="541" spans="1:8" hidden="1" outlineLevel="2">
      <c r="A541" s="32" t="s">
        <v>797</v>
      </c>
      <c r="B541" s="32" t="s">
        <v>1862</v>
      </c>
      <c r="C541" s="32" t="s">
        <v>965</v>
      </c>
      <c r="D541" s="32" t="s">
        <v>798</v>
      </c>
      <c r="E541" s="33">
        <v>37</v>
      </c>
      <c r="F541" s="33">
        <v>1616</v>
      </c>
      <c r="G541" s="33">
        <v>29</v>
      </c>
      <c r="H541" s="13">
        <f t="shared" si="8"/>
        <v>43.675675675675677</v>
      </c>
    </row>
    <row r="542" spans="1:8" hidden="1" outlineLevel="2">
      <c r="A542" s="32" t="s">
        <v>797</v>
      </c>
      <c r="B542" s="32" t="s">
        <v>86</v>
      </c>
      <c r="C542" s="32" t="s">
        <v>856</v>
      </c>
      <c r="D542" s="32" t="s">
        <v>866</v>
      </c>
      <c r="E542" s="33">
        <v>35</v>
      </c>
      <c r="F542" s="33">
        <v>1520</v>
      </c>
      <c r="G542" s="33">
        <v>34</v>
      </c>
      <c r="H542" s="13">
        <f t="shared" si="8"/>
        <v>43.428571428571431</v>
      </c>
    </row>
    <row r="543" spans="1:8" hidden="1" outlineLevel="2">
      <c r="A543" s="32" t="s">
        <v>797</v>
      </c>
      <c r="B543" s="32" t="s">
        <v>1862</v>
      </c>
      <c r="C543" s="32" t="s">
        <v>1088</v>
      </c>
      <c r="D543" s="32" t="s">
        <v>867</v>
      </c>
      <c r="E543" s="33">
        <v>35</v>
      </c>
      <c r="F543" s="33">
        <v>1517</v>
      </c>
      <c r="G543" s="33">
        <v>23</v>
      </c>
      <c r="H543" s="13">
        <f t="shared" si="8"/>
        <v>43.342857142857142</v>
      </c>
    </row>
    <row r="544" spans="1:8" hidden="1" outlineLevel="2">
      <c r="A544" s="32" t="s">
        <v>797</v>
      </c>
      <c r="B544" s="32" t="s">
        <v>1862</v>
      </c>
      <c r="C544" s="32" t="s">
        <v>1084</v>
      </c>
      <c r="D544" s="32" t="s">
        <v>798</v>
      </c>
      <c r="E544" s="33">
        <v>35</v>
      </c>
      <c r="F544" s="33">
        <v>1512</v>
      </c>
      <c r="G544" s="33">
        <v>29</v>
      </c>
      <c r="H544" s="13">
        <f t="shared" si="8"/>
        <v>43.2</v>
      </c>
    </row>
    <row r="545" spans="1:8" hidden="1" outlineLevel="2">
      <c r="A545" s="32" t="s">
        <v>797</v>
      </c>
      <c r="B545" s="32" t="s">
        <v>1862</v>
      </c>
      <c r="C545" s="32" t="s">
        <v>1087</v>
      </c>
      <c r="D545" s="32" t="s">
        <v>839</v>
      </c>
      <c r="E545" s="33">
        <v>12</v>
      </c>
      <c r="F545" s="33">
        <v>518</v>
      </c>
      <c r="G545" s="33">
        <v>11</v>
      </c>
      <c r="H545" s="13">
        <f t="shared" si="8"/>
        <v>43.166666666666664</v>
      </c>
    </row>
    <row r="546" spans="1:8" hidden="1" outlineLevel="2">
      <c r="A546" s="32" t="s">
        <v>797</v>
      </c>
      <c r="B546" s="32" t="s">
        <v>86</v>
      </c>
      <c r="C546" s="32" t="s">
        <v>865</v>
      </c>
      <c r="D546" s="32" t="s">
        <v>958</v>
      </c>
      <c r="E546" s="33">
        <v>35</v>
      </c>
      <c r="F546" s="33">
        <v>1485</v>
      </c>
      <c r="G546" s="33">
        <v>31</v>
      </c>
      <c r="H546" s="13">
        <f t="shared" si="8"/>
        <v>42.428571428571431</v>
      </c>
    </row>
    <row r="547" spans="1:8" hidden="1" outlineLevel="2">
      <c r="A547" s="32" t="s">
        <v>797</v>
      </c>
      <c r="B547" s="32" t="s">
        <v>1862</v>
      </c>
      <c r="C547" s="32" t="s">
        <v>1084</v>
      </c>
      <c r="D547" s="32" t="s">
        <v>912</v>
      </c>
      <c r="E547" s="33">
        <v>45</v>
      </c>
      <c r="F547" s="33">
        <v>1906</v>
      </c>
      <c r="G547" s="33">
        <v>44</v>
      </c>
      <c r="H547" s="13">
        <f t="shared" si="8"/>
        <v>42.355555555555554</v>
      </c>
    </row>
    <row r="548" spans="1:8" hidden="1" outlineLevel="2">
      <c r="A548" s="32" t="s">
        <v>797</v>
      </c>
      <c r="B548" s="32" t="s">
        <v>1858</v>
      </c>
      <c r="C548" s="32" t="s">
        <v>815</v>
      </c>
      <c r="D548" s="32" t="s">
        <v>823</v>
      </c>
      <c r="E548" s="33">
        <v>70</v>
      </c>
      <c r="F548" s="33">
        <v>2958</v>
      </c>
      <c r="G548" s="33">
        <v>65</v>
      </c>
      <c r="H548" s="13">
        <f t="shared" si="8"/>
        <v>42.25714285714286</v>
      </c>
    </row>
    <row r="549" spans="1:8" hidden="1" outlineLevel="2">
      <c r="A549" s="32" t="s">
        <v>797</v>
      </c>
      <c r="B549" s="32" t="s">
        <v>1862</v>
      </c>
      <c r="C549" s="32" t="s">
        <v>1094</v>
      </c>
      <c r="D549" s="32" t="s">
        <v>798</v>
      </c>
      <c r="E549" s="33">
        <v>35</v>
      </c>
      <c r="F549" s="33">
        <v>1477</v>
      </c>
      <c r="G549" s="33">
        <v>31</v>
      </c>
      <c r="H549" s="13">
        <f t="shared" si="8"/>
        <v>42.2</v>
      </c>
    </row>
    <row r="550" spans="1:8" hidden="1" outlineLevel="2">
      <c r="A550" s="32" t="s">
        <v>797</v>
      </c>
      <c r="B550" s="32" t="s">
        <v>1862</v>
      </c>
      <c r="C550" s="32" t="s">
        <v>1074</v>
      </c>
      <c r="D550" s="32" t="s">
        <v>822</v>
      </c>
      <c r="E550" s="33">
        <v>35</v>
      </c>
      <c r="F550" s="33">
        <v>1470</v>
      </c>
      <c r="G550" s="33">
        <v>28</v>
      </c>
      <c r="H550" s="13">
        <f t="shared" si="8"/>
        <v>42</v>
      </c>
    </row>
    <row r="551" spans="1:8" hidden="1" outlineLevel="2">
      <c r="A551" s="32" t="s">
        <v>797</v>
      </c>
      <c r="B551" s="32" t="s">
        <v>1858</v>
      </c>
      <c r="C551" s="32" t="s">
        <v>888</v>
      </c>
      <c r="D551" s="32" t="s">
        <v>891</v>
      </c>
      <c r="E551" s="33">
        <v>35</v>
      </c>
      <c r="F551" s="33">
        <v>1468</v>
      </c>
      <c r="G551" s="33">
        <v>28</v>
      </c>
      <c r="H551" s="13">
        <f t="shared" si="8"/>
        <v>41.942857142857143</v>
      </c>
    </row>
    <row r="552" spans="1:8" hidden="1" outlineLevel="2">
      <c r="A552" s="32" t="s">
        <v>797</v>
      </c>
      <c r="B552" s="32" t="s">
        <v>1862</v>
      </c>
      <c r="C552" s="32" t="s">
        <v>913</v>
      </c>
      <c r="D552" s="32" t="s">
        <v>931</v>
      </c>
      <c r="E552" s="33">
        <v>12</v>
      </c>
      <c r="F552" s="33">
        <v>503</v>
      </c>
      <c r="G552" s="33">
        <v>12</v>
      </c>
      <c r="H552" s="13">
        <f t="shared" si="8"/>
        <v>41.916666666666664</v>
      </c>
    </row>
    <row r="553" spans="1:8" hidden="1" outlineLevel="2">
      <c r="A553" s="32" t="s">
        <v>797</v>
      </c>
      <c r="B553" s="32" t="s">
        <v>86</v>
      </c>
      <c r="C553" s="32" t="s">
        <v>1135</v>
      </c>
      <c r="D553" s="32" t="s">
        <v>822</v>
      </c>
      <c r="E553" s="33">
        <v>24</v>
      </c>
      <c r="F553" s="33">
        <v>998</v>
      </c>
      <c r="G553" s="33">
        <v>23</v>
      </c>
      <c r="H553" s="13">
        <f t="shared" si="8"/>
        <v>41.583333333333336</v>
      </c>
    </row>
    <row r="554" spans="1:8" hidden="1" outlineLevel="2">
      <c r="A554" s="32" t="s">
        <v>797</v>
      </c>
      <c r="B554" s="32" t="s">
        <v>1862</v>
      </c>
      <c r="C554" s="32" t="s">
        <v>1083</v>
      </c>
      <c r="D554" s="32" t="s">
        <v>832</v>
      </c>
      <c r="E554" s="33">
        <v>35</v>
      </c>
      <c r="F554" s="33">
        <v>1454</v>
      </c>
      <c r="G554" s="33">
        <v>27</v>
      </c>
      <c r="H554" s="13">
        <f t="shared" si="8"/>
        <v>41.542857142857144</v>
      </c>
    </row>
    <row r="555" spans="1:8" hidden="1" outlineLevel="2">
      <c r="A555" s="32" t="s">
        <v>797</v>
      </c>
      <c r="B555" s="32" t="s">
        <v>1862</v>
      </c>
      <c r="C555" s="32" t="s">
        <v>803</v>
      </c>
      <c r="D555" s="32" t="s">
        <v>891</v>
      </c>
      <c r="E555" s="33">
        <v>70</v>
      </c>
      <c r="F555" s="33">
        <v>2900</v>
      </c>
      <c r="G555" s="33">
        <v>67</v>
      </c>
      <c r="H555" s="13">
        <f t="shared" si="8"/>
        <v>41.428571428571431</v>
      </c>
    </row>
    <row r="556" spans="1:8" hidden="1" outlineLevel="2">
      <c r="A556" s="32" t="s">
        <v>797</v>
      </c>
      <c r="B556" s="32" t="s">
        <v>1862</v>
      </c>
      <c r="C556" s="32" t="s">
        <v>966</v>
      </c>
      <c r="D556" s="32" t="s">
        <v>798</v>
      </c>
      <c r="E556" s="33">
        <v>35</v>
      </c>
      <c r="F556" s="33">
        <v>1444</v>
      </c>
      <c r="G556" s="33">
        <v>35</v>
      </c>
      <c r="H556" s="13">
        <f t="shared" si="8"/>
        <v>41.25714285714286</v>
      </c>
    </row>
    <row r="557" spans="1:8" hidden="1" outlineLevel="2">
      <c r="A557" s="32" t="s">
        <v>797</v>
      </c>
      <c r="B557" s="32" t="s">
        <v>1862</v>
      </c>
      <c r="C557" s="32" t="s">
        <v>1153</v>
      </c>
      <c r="D557" s="32" t="s">
        <v>885</v>
      </c>
      <c r="E557" s="33">
        <v>38</v>
      </c>
      <c r="F557" s="33">
        <v>1556</v>
      </c>
      <c r="G557" s="33">
        <v>38</v>
      </c>
      <c r="H557" s="13">
        <f t="shared" si="8"/>
        <v>40.94736842105263</v>
      </c>
    </row>
    <row r="558" spans="1:8" hidden="1" outlineLevel="2">
      <c r="A558" s="32" t="s">
        <v>797</v>
      </c>
      <c r="B558" s="32" t="s">
        <v>86</v>
      </c>
      <c r="C558" s="32" t="s">
        <v>899</v>
      </c>
      <c r="D558" s="32" t="s">
        <v>872</v>
      </c>
      <c r="E558" s="33">
        <v>34</v>
      </c>
      <c r="F558" s="33">
        <v>1390</v>
      </c>
      <c r="G558" s="33">
        <v>33</v>
      </c>
      <c r="H558" s="13">
        <f t="shared" si="8"/>
        <v>40.882352941176471</v>
      </c>
    </row>
    <row r="559" spans="1:8" hidden="1" outlineLevel="2">
      <c r="A559" s="32" t="s">
        <v>797</v>
      </c>
      <c r="B559" s="32" t="s">
        <v>1858</v>
      </c>
      <c r="C559" s="32" t="s">
        <v>805</v>
      </c>
      <c r="D559" s="32" t="s">
        <v>885</v>
      </c>
      <c r="E559" s="33">
        <v>36</v>
      </c>
      <c r="F559" s="33">
        <v>1463</v>
      </c>
      <c r="G559" s="33">
        <v>36</v>
      </c>
      <c r="H559" s="13">
        <f t="shared" si="8"/>
        <v>40.638888888888886</v>
      </c>
    </row>
    <row r="560" spans="1:8" hidden="1" outlineLevel="2">
      <c r="A560" s="32" t="s">
        <v>797</v>
      </c>
      <c r="B560" s="32" t="s">
        <v>1862</v>
      </c>
      <c r="C560" s="32" t="s">
        <v>935</v>
      </c>
      <c r="D560" s="32" t="s">
        <v>822</v>
      </c>
      <c r="E560" s="33">
        <v>35</v>
      </c>
      <c r="F560" s="33">
        <v>1418</v>
      </c>
      <c r="G560" s="33">
        <v>26</v>
      </c>
      <c r="H560" s="13">
        <f t="shared" si="8"/>
        <v>40.514285714285712</v>
      </c>
    </row>
    <row r="561" spans="1:8" hidden="1" outlineLevel="2">
      <c r="A561" s="32" t="s">
        <v>797</v>
      </c>
      <c r="B561" s="32" t="s">
        <v>1862</v>
      </c>
      <c r="C561" s="32" t="s">
        <v>943</v>
      </c>
      <c r="D561" s="32" t="s">
        <v>822</v>
      </c>
      <c r="E561" s="33">
        <v>35</v>
      </c>
      <c r="F561" s="33">
        <v>1418</v>
      </c>
      <c r="G561" s="33">
        <v>33</v>
      </c>
      <c r="H561" s="13">
        <f t="shared" si="8"/>
        <v>40.514285714285712</v>
      </c>
    </row>
    <row r="562" spans="1:8" hidden="1" outlineLevel="2">
      <c r="A562" s="32" t="s">
        <v>797</v>
      </c>
      <c r="B562" s="32" t="s">
        <v>1862</v>
      </c>
      <c r="C562" s="32" t="s">
        <v>939</v>
      </c>
      <c r="D562" s="32" t="s">
        <v>825</v>
      </c>
      <c r="E562" s="33">
        <v>32</v>
      </c>
      <c r="F562" s="33">
        <v>1293</v>
      </c>
      <c r="G562" s="33">
        <v>30</v>
      </c>
      <c r="H562" s="13">
        <f t="shared" si="8"/>
        <v>40.40625</v>
      </c>
    </row>
    <row r="563" spans="1:8" hidden="1" outlineLevel="2">
      <c r="A563" s="32" t="s">
        <v>797</v>
      </c>
      <c r="B563" s="32" t="s">
        <v>1858</v>
      </c>
      <c r="C563" s="32" t="s">
        <v>913</v>
      </c>
      <c r="D563" s="32" t="s">
        <v>885</v>
      </c>
      <c r="E563" s="33">
        <v>35</v>
      </c>
      <c r="F563" s="33">
        <v>1412</v>
      </c>
      <c r="G563" s="33">
        <v>36</v>
      </c>
      <c r="H563" s="13">
        <f t="shared" si="8"/>
        <v>40.342857142857142</v>
      </c>
    </row>
    <row r="564" spans="1:8" hidden="1" outlineLevel="2">
      <c r="A564" s="32" t="s">
        <v>797</v>
      </c>
      <c r="B564" s="32" t="s">
        <v>86</v>
      </c>
      <c r="C564" s="32" t="s">
        <v>1205</v>
      </c>
      <c r="D564" s="32" t="s">
        <v>958</v>
      </c>
      <c r="E564" s="33">
        <v>35</v>
      </c>
      <c r="F564" s="33">
        <v>1407</v>
      </c>
      <c r="G564" s="33">
        <v>33</v>
      </c>
      <c r="H564" s="13">
        <f t="shared" si="8"/>
        <v>40.200000000000003</v>
      </c>
    </row>
    <row r="565" spans="1:8" hidden="1" outlineLevel="2">
      <c r="A565" s="32" t="s">
        <v>797</v>
      </c>
      <c r="B565" s="32" t="s">
        <v>1858</v>
      </c>
      <c r="C565" s="32" t="s">
        <v>815</v>
      </c>
      <c r="D565" s="32" t="s">
        <v>837</v>
      </c>
      <c r="E565" s="33">
        <v>30</v>
      </c>
      <c r="F565" s="33">
        <v>1200</v>
      </c>
      <c r="G565" s="33">
        <v>33</v>
      </c>
      <c r="H565" s="13">
        <f t="shared" si="8"/>
        <v>40</v>
      </c>
    </row>
    <row r="566" spans="1:8" hidden="1" outlineLevel="2">
      <c r="A566" s="32" t="s">
        <v>797</v>
      </c>
      <c r="B566" s="32" t="s">
        <v>1862</v>
      </c>
      <c r="C566" s="32" t="s">
        <v>964</v>
      </c>
      <c r="D566" s="32" t="s">
        <v>885</v>
      </c>
      <c r="E566" s="33">
        <v>35</v>
      </c>
      <c r="F566" s="33">
        <v>1399</v>
      </c>
      <c r="G566" s="33">
        <v>32</v>
      </c>
      <c r="H566" s="13">
        <f t="shared" si="8"/>
        <v>39.971428571428568</v>
      </c>
    </row>
    <row r="567" spans="1:8" hidden="1" outlineLevel="2">
      <c r="A567" s="32" t="s">
        <v>797</v>
      </c>
      <c r="B567" s="32" t="s">
        <v>1862</v>
      </c>
      <c r="C567" s="32" t="s">
        <v>1185</v>
      </c>
      <c r="D567" s="32" t="s">
        <v>822</v>
      </c>
      <c r="E567" s="33">
        <v>35</v>
      </c>
      <c r="F567" s="33">
        <v>1396</v>
      </c>
      <c r="G567" s="33">
        <v>35</v>
      </c>
      <c r="H567" s="13">
        <f t="shared" si="8"/>
        <v>39.885714285714286</v>
      </c>
    </row>
    <row r="568" spans="1:8" hidden="1" outlineLevel="2">
      <c r="A568" s="32" t="s">
        <v>797</v>
      </c>
      <c r="B568" s="32" t="s">
        <v>1858</v>
      </c>
      <c r="C568" s="32" t="s">
        <v>987</v>
      </c>
      <c r="D568" s="32" t="s">
        <v>912</v>
      </c>
      <c r="E568" s="33">
        <v>30</v>
      </c>
      <c r="F568" s="33">
        <v>1196</v>
      </c>
      <c r="G568" s="33">
        <v>30</v>
      </c>
      <c r="H568" s="13">
        <f t="shared" si="8"/>
        <v>39.866666666666667</v>
      </c>
    </row>
    <row r="569" spans="1:8" hidden="1" outlineLevel="2">
      <c r="A569" s="32" t="s">
        <v>797</v>
      </c>
      <c r="B569" s="32" t="s">
        <v>1862</v>
      </c>
      <c r="C569" s="32" t="s">
        <v>1010</v>
      </c>
      <c r="D569" s="32" t="s">
        <v>798</v>
      </c>
      <c r="E569" s="33">
        <v>35</v>
      </c>
      <c r="F569" s="33">
        <v>1395</v>
      </c>
      <c r="G569" s="33">
        <v>34</v>
      </c>
      <c r="H569" s="13">
        <f t="shared" si="8"/>
        <v>39.857142857142854</v>
      </c>
    </row>
    <row r="570" spans="1:8" hidden="1" outlineLevel="2">
      <c r="A570" s="32" t="s">
        <v>797</v>
      </c>
      <c r="B570" s="32" t="s">
        <v>86</v>
      </c>
      <c r="C570" s="32" t="s">
        <v>1132</v>
      </c>
      <c r="D570" s="32" t="s">
        <v>832</v>
      </c>
      <c r="E570" s="33">
        <v>24</v>
      </c>
      <c r="F570" s="33">
        <v>955</v>
      </c>
      <c r="G570" s="33">
        <v>25</v>
      </c>
      <c r="H570" s="13">
        <f t="shared" si="8"/>
        <v>39.791666666666664</v>
      </c>
    </row>
    <row r="571" spans="1:8" hidden="1" outlineLevel="2">
      <c r="A571" s="32" t="s">
        <v>797</v>
      </c>
      <c r="B571" s="32" t="s">
        <v>1862</v>
      </c>
      <c r="C571" s="32" t="s">
        <v>1103</v>
      </c>
      <c r="D571" s="32" t="s">
        <v>798</v>
      </c>
      <c r="E571" s="33">
        <v>35</v>
      </c>
      <c r="F571" s="33">
        <v>1392</v>
      </c>
      <c r="G571" s="33">
        <v>28</v>
      </c>
      <c r="H571" s="13">
        <f t="shared" si="8"/>
        <v>39.771428571428572</v>
      </c>
    </row>
    <row r="572" spans="1:8" hidden="1" outlineLevel="2">
      <c r="A572" s="32" t="s">
        <v>797</v>
      </c>
      <c r="B572" s="32" t="s">
        <v>1858</v>
      </c>
      <c r="C572" s="32" t="s">
        <v>910</v>
      </c>
      <c r="D572" s="32" t="s">
        <v>822</v>
      </c>
      <c r="E572" s="33">
        <v>35</v>
      </c>
      <c r="F572" s="33">
        <v>1392</v>
      </c>
      <c r="G572" s="33">
        <v>34</v>
      </c>
      <c r="H572" s="13">
        <f t="shared" si="8"/>
        <v>39.771428571428572</v>
      </c>
    </row>
    <row r="573" spans="1:8" hidden="1" outlineLevel="2">
      <c r="A573" s="32" t="s">
        <v>797</v>
      </c>
      <c r="B573" s="32" t="s">
        <v>1862</v>
      </c>
      <c r="C573" s="32" t="s">
        <v>959</v>
      </c>
      <c r="D573" s="32" t="s">
        <v>931</v>
      </c>
      <c r="E573" s="33">
        <v>13</v>
      </c>
      <c r="F573" s="33">
        <v>517</v>
      </c>
      <c r="G573" s="33">
        <v>13</v>
      </c>
      <c r="H573" s="13">
        <f t="shared" si="8"/>
        <v>39.769230769230766</v>
      </c>
    </row>
    <row r="574" spans="1:8" hidden="1" outlineLevel="2">
      <c r="A574" s="32" t="s">
        <v>797</v>
      </c>
      <c r="B574" s="32" t="s">
        <v>86</v>
      </c>
      <c r="C574" s="32" t="s">
        <v>856</v>
      </c>
      <c r="D574" s="32" t="s">
        <v>822</v>
      </c>
      <c r="E574" s="33">
        <v>70</v>
      </c>
      <c r="F574" s="33">
        <v>2783</v>
      </c>
      <c r="G574" s="33">
        <v>70</v>
      </c>
      <c r="H574" s="13">
        <f t="shared" si="8"/>
        <v>39.75714285714286</v>
      </c>
    </row>
    <row r="575" spans="1:8" hidden="1" outlineLevel="2">
      <c r="A575" s="32" t="s">
        <v>797</v>
      </c>
      <c r="B575" s="32" t="s">
        <v>86</v>
      </c>
      <c r="C575" s="32" t="s">
        <v>865</v>
      </c>
      <c r="D575" s="32" t="s">
        <v>822</v>
      </c>
      <c r="E575" s="33">
        <v>35</v>
      </c>
      <c r="F575" s="33">
        <v>1387</v>
      </c>
      <c r="G575" s="33">
        <v>35</v>
      </c>
      <c r="H575" s="13">
        <f t="shared" si="8"/>
        <v>39.628571428571426</v>
      </c>
    </row>
    <row r="576" spans="1:8" hidden="1" outlineLevel="2">
      <c r="A576" s="32" t="s">
        <v>797</v>
      </c>
      <c r="B576" s="32" t="s">
        <v>1858</v>
      </c>
      <c r="C576" s="32" t="s">
        <v>939</v>
      </c>
      <c r="D576" s="32" t="s">
        <v>885</v>
      </c>
      <c r="E576" s="33">
        <v>35</v>
      </c>
      <c r="F576" s="33">
        <v>1386</v>
      </c>
      <c r="G576" s="33">
        <v>33</v>
      </c>
      <c r="H576" s="13">
        <f t="shared" si="8"/>
        <v>39.6</v>
      </c>
    </row>
    <row r="577" spans="1:8" hidden="1" outlineLevel="2">
      <c r="A577" s="32" t="s">
        <v>797</v>
      </c>
      <c r="B577" s="32" t="s">
        <v>1858</v>
      </c>
      <c r="C577" s="32" t="s">
        <v>979</v>
      </c>
      <c r="D577" s="32" t="s">
        <v>885</v>
      </c>
      <c r="E577" s="33">
        <v>34</v>
      </c>
      <c r="F577" s="33">
        <v>1346</v>
      </c>
      <c r="G577" s="33">
        <v>31</v>
      </c>
      <c r="H577" s="13">
        <f t="shared" si="8"/>
        <v>39.588235294117645</v>
      </c>
    </row>
    <row r="578" spans="1:8" hidden="1" outlineLevel="2">
      <c r="A578" s="32" t="s">
        <v>797</v>
      </c>
      <c r="B578" s="32" t="s">
        <v>1862</v>
      </c>
      <c r="C578" s="32" t="s">
        <v>964</v>
      </c>
      <c r="D578" s="32" t="s">
        <v>837</v>
      </c>
      <c r="E578" s="33">
        <v>30</v>
      </c>
      <c r="F578" s="33">
        <v>1185</v>
      </c>
      <c r="G578" s="33">
        <v>26</v>
      </c>
      <c r="H578" s="13">
        <f t="shared" ref="H578:H641" si="9">IFERROR(F578/E578,"")</f>
        <v>39.5</v>
      </c>
    </row>
    <row r="579" spans="1:8" hidden="1" outlineLevel="2">
      <c r="A579" s="32" t="s">
        <v>797</v>
      </c>
      <c r="B579" s="32" t="s">
        <v>1858</v>
      </c>
      <c r="C579" s="32" t="s">
        <v>1078</v>
      </c>
      <c r="D579" s="32" t="s">
        <v>867</v>
      </c>
      <c r="E579" s="33">
        <v>35</v>
      </c>
      <c r="F579" s="33">
        <v>1379</v>
      </c>
      <c r="G579" s="33">
        <v>32</v>
      </c>
      <c r="H579" s="13">
        <f t="shared" si="9"/>
        <v>39.4</v>
      </c>
    </row>
    <row r="580" spans="1:8" hidden="1" outlineLevel="2">
      <c r="A580" s="32" t="s">
        <v>797</v>
      </c>
      <c r="B580" s="32" t="s">
        <v>1862</v>
      </c>
      <c r="C580" s="32" t="s">
        <v>1185</v>
      </c>
      <c r="D580" s="32" t="s">
        <v>911</v>
      </c>
      <c r="E580" s="33">
        <v>24</v>
      </c>
      <c r="F580" s="33">
        <v>933</v>
      </c>
      <c r="G580" s="33">
        <v>18</v>
      </c>
      <c r="H580" s="13">
        <f t="shared" si="9"/>
        <v>38.875</v>
      </c>
    </row>
    <row r="581" spans="1:8" hidden="1" outlineLevel="2">
      <c r="A581" s="32" t="s">
        <v>797</v>
      </c>
      <c r="B581" s="32" t="s">
        <v>1862</v>
      </c>
      <c r="C581" s="32" t="s">
        <v>1166</v>
      </c>
      <c r="D581" s="32" t="s">
        <v>885</v>
      </c>
      <c r="E581" s="33">
        <v>55</v>
      </c>
      <c r="F581" s="33">
        <v>2136</v>
      </c>
      <c r="G581" s="33">
        <v>51</v>
      </c>
      <c r="H581" s="13">
        <f t="shared" si="9"/>
        <v>38.836363636363636</v>
      </c>
    </row>
    <row r="582" spans="1:8" hidden="1" outlineLevel="2">
      <c r="A582" s="32" t="s">
        <v>797</v>
      </c>
      <c r="B582" s="32" t="s">
        <v>1858</v>
      </c>
      <c r="C582" s="32" t="s">
        <v>908</v>
      </c>
      <c r="D582" s="32" t="s">
        <v>822</v>
      </c>
      <c r="E582" s="33">
        <v>35</v>
      </c>
      <c r="F582" s="33">
        <v>1355</v>
      </c>
      <c r="G582" s="33">
        <v>31</v>
      </c>
      <c r="H582" s="13">
        <f t="shared" si="9"/>
        <v>38.714285714285715</v>
      </c>
    </row>
    <row r="583" spans="1:8" hidden="1" outlineLevel="2">
      <c r="A583" s="32" t="s">
        <v>797</v>
      </c>
      <c r="B583" s="32" t="s">
        <v>1862</v>
      </c>
      <c r="C583" s="32" t="s">
        <v>1086</v>
      </c>
      <c r="D583" s="32" t="s">
        <v>867</v>
      </c>
      <c r="E583" s="33">
        <v>35</v>
      </c>
      <c r="F583" s="33">
        <v>1352</v>
      </c>
      <c r="G583" s="33">
        <v>32</v>
      </c>
      <c r="H583" s="13">
        <f t="shared" si="9"/>
        <v>38.628571428571426</v>
      </c>
    </row>
    <row r="584" spans="1:8" hidden="1" outlineLevel="2">
      <c r="A584" s="32" t="s">
        <v>797</v>
      </c>
      <c r="B584" s="32" t="s">
        <v>86</v>
      </c>
      <c r="C584" s="32" t="s">
        <v>902</v>
      </c>
      <c r="D584" s="32" t="s">
        <v>891</v>
      </c>
      <c r="E584" s="33">
        <v>30</v>
      </c>
      <c r="F584" s="33">
        <v>1158</v>
      </c>
      <c r="G584" s="33">
        <v>30</v>
      </c>
      <c r="H584" s="13">
        <f t="shared" si="9"/>
        <v>38.6</v>
      </c>
    </row>
    <row r="585" spans="1:8" hidden="1" outlineLevel="2">
      <c r="A585" s="32" t="s">
        <v>797</v>
      </c>
      <c r="B585" s="32" t="s">
        <v>1862</v>
      </c>
      <c r="C585" s="32" t="s">
        <v>1199</v>
      </c>
      <c r="D585" s="32" t="s">
        <v>1030</v>
      </c>
      <c r="E585" s="33">
        <v>16</v>
      </c>
      <c r="F585" s="33">
        <v>615</v>
      </c>
      <c r="G585" s="33">
        <v>17</v>
      </c>
      <c r="H585" s="13">
        <f t="shared" si="9"/>
        <v>38.4375</v>
      </c>
    </row>
    <row r="586" spans="1:8" hidden="1" outlineLevel="2">
      <c r="A586" s="32" t="s">
        <v>797</v>
      </c>
      <c r="B586" s="32" t="s">
        <v>1858</v>
      </c>
      <c r="C586" s="32" t="s">
        <v>805</v>
      </c>
      <c r="D586" s="32" t="s">
        <v>798</v>
      </c>
      <c r="E586" s="33">
        <v>36</v>
      </c>
      <c r="F586" s="33">
        <v>1368</v>
      </c>
      <c r="G586" s="33">
        <v>36</v>
      </c>
      <c r="H586" s="13">
        <f t="shared" si="9"/>
        <v>38</v>
      </c>
    </row>
    <row r="587" spans="1:8" hidden="1" outlineLevel="2">
      <c r="A587" s="32" t="s">
        <v>797</v>
      </c>
      <c r="B587" s="32" t="s">
        <v>1862</v>
      </c>
      <c r="C587" s="32" t="s">
        <v>930</v>
      </c>
      <c r="D587" s="32" t="s">
        <v>931</v>
      </c>
      <c r="E587" s="33">
        <v>12</v>
      </c>
      <c r="F587" s="33">
        <v>454</v>
      </c>
      <c r="G587" s="33">
        <v>11</v>
      </c>
      <c r="H587" s="13">
        <f t="shared" si="9"/>
        <v>37.833333333333336</v>
      </c>
    </row>
    <row r="588" spans="1:8" hidden="1" outlineLevel="2">
      <c r="A588" s="32" t="s">
        <v>797</v>
      </c>
      <c r="B588" s="32" t="s">
        <v>1858</v>
      </c>
      <c r="C588" s="32" t="s">
        <v>1106</v>
      </c>
      <c r="D588" s="32" t="s">
        <v>837</v>
      </c>
      <c r="E588" s="33">
        <v>30</v>
      </c>
      <c r="F588" s="33">
        <v>1134</v>
      </c>
      <c r="G588" s="33">
        <v>30</v>
      </c>
      <c r="H588" s="13">
        <f t="shared" si="9"/>
        <v>37.799999999999997</v>
      </c>
    </row>
    <row r="589" spans="1:8" hidden="1" outlineLevel="2">
      <c r="A589" s="32" t="s">
        <v>797</v>
      </c>
      <c r="B589" s="32" t="s">
        <v>86</v>
      </c>
      <c r="C589" s="32" t="s">
        <v>1026</v>
      </c>
      <c r="D589" s="32" t="s">
        <v>822</v>
      </c>
      <c r="E589" s="33">
        <v>35</v>
      </c>
      <c r="F589" s="33">
        <v>1318</v>
      </c>
      <c r="G589" s="33">
        <v>36</v>
      </c>
      <c r="H589" s="13">
        <f t="shared" si="9"/>
        <v>37.657142857142858</v>
      </c>
    </row>
    <row r="590" spans="1:8" hidden="1" outlineLevel="2">
      <c r="A590" s="32" t="s">
        <v>797</v>
      </c>
      <c r="B590" s="32" t="s">
        <v>1862</v>
      </c>
      <c r="C590" s="32" t="s">
        <v>1200</v>
      </c>
      <c r="D590" s="32" t="s">
        <v>997</v>
      </c>
      <c r="E590" s="33">
        <v>30</v>
      </c>
      <c r="F590" s="33">
        <v>1128</v>
      </c>
      <c r="G590" s="33">
        <v>29</v>
      </c>
      <c r="H590" s="13">
        <f t="shared" si="9"/>
        <v>37.6</v>
      </c>
    </row>
    <row r="591" spans="1:8" hidden="1" outlineLevel="2">
      <c r="A591" s="32" t="s">
        <v>797</v>
      </c>
      <c r="B591" s="32" t="s">
        <v>1858</v>
      </c>
      <c r="C591" s="32" t="s">
        <v>935</v>
      </c>
      <c r="D591" s="32" t="s">
        <v>885</v>
      </c>
      <c r="E591" s="33">
        <v>33</v>
      </c>
      <c r="F591" s="33">
        <v>1236</v>
      </c>
      <c r="G591" s="33">
        <v>33</v>
      </c>
      <c r="H591" s="13">
        <f t="shared" si="9"/>
        <v>37.454545454545453</v>
      </c>
    </row>
    <row r="592" spans="1:8" hidden="1" outlineLevel="2">
      <c r="A592" s="32" t="s">
        <v>797</v>
      </c>
      <c r="B592" s="32" t="s">
        <v>86</v>
      </c>
      <c r="C592" s="32" t="s">
        <v>841</v>
      </c>
      <c r="D592" s="32" t="s">
        <v>845</v>
      </c>
      <c r="E592" s="33">
        <v>30</v>
      </c>
      <c r="F592" s="33">
        <v>1119</v>
      </c>
      <c r="G592" s="33">
        <v>31</v>
      </c>
      <c r="H592" s="13">
        <f t="shared" si="9"/>
        <v>37.299999999999997</v>
      </c>
    </row>
    <row r="593" spans="1:8" hidden="1" outlineLevel="2">
      <c r="A593" s="32" t="s">
        <v>797</v>
      </c>
      <c r="B593" s="32" t="s">
        <v>1862</v>
      </c>
      <c r="C593" s="32" t="s">
        <v>949</v>
      </c>
      <c r="D593" s="32" t="s">
        <v>991</v>
      </c>
      <c r="E593" s="33">
        <v>35</v>
      </c>
      <c r="F593" s="33">
        <v>1305</v>
      </c>
      <c r="G593" s="33">
        <v>34</v>
      </c>
      <c r="H593" s="13">
        <f t="shared" si="9"/>
        <v>37.285714285714285</v>
      </c>
    </row>
    <row r="594" spans="1:8" hidden="1" outlineLevel="2">
      <c r="A594" s="32" t="s">
        <v>797</v>
      </c>
      <c r="B594" s="32" t="s">
        <v>1862</v>
      </c>
      <c r="C594" s="32" t="s">
        <v>950</v>
      </c>
      <c r="D594" s="32" t="s">
        <v>825</v>
      </c>
      <c r="E594" s="33">
        <v>35</v>
      </c>
      <c r="F594" s="33">
        <v>1303</v>
      </c>
      <c r="G594" s="33">
        <v>33</v>
      </c>
      <c r="H594" s="13">
        <f t="shared" si="9"/>
        <v>37.228571428571428</v>
      </c>
    </row>
    <row r="595" spans="1:8" hidden="1" outlineLevel="2">
      <c r="A595" s="32" t="s">
        <v>797</v>
      </c>
      <c r="B595" s="32" t="s">
        <v>1862</v>
      </c>
      <c r="C595" s="32" t="s">
        <v>934</v>
      </c>
      <c r="D595" s="32" t="s">
        <v>832</v>
      </c>
      <c r="E595" s="33">
        <v>24</v>
      </c>
      <c r="F595" s="33">
        <v>887</v>
      </c>
      <c r="G595" s="33">
        <v>24</v>
      </c>
      <c r="H595" s="13">
        <f t="shared" si="9"/>
        <v>36.958333333333336</v>
      </c>
    </row>
    <row r="596" spans="1:8" hidden="1" outlineLevel="2">
      <c r="A596" s="32" t="s">
        <v>797</v>
      </c>
      <c r="B596" s="32" t="s">
        <v>86</v>
      </c>
      <c r="C596" s="32" t="s">
        <v>1029</v>
      </c>
      <c r="D596" s="32" t="s">
        <v>993</v>
      </c>
      <c r="E596" s="33">
        <v>60</v>
      </c>
      <c r="F596" s="33">
        <v>2184</v>
      </c>
      <c r="G596" s="33">
        <v>56</v>
      </c>
      <c r="H596" s="13">
        <f t="shared" si="9"/>
        <v>36.4</v>
      </c>
    </row>
    <row r="597" spans="1:8" hidden="1" outlineLevel="2">
      <c r="A597" s="32" t="s">
        <v>797</v>
      </c>
      <c r="B597" s="32" t="s">
        <v>1858</v>
      </c>
      <c r="C597" s="32" t="s">
        <v>986</v>
      </c>
      <c r="D597" s="32" t="s">
        <v>891</v>
      </c>
      <c r="E597" s="33">
        <v>35</v>
      </c>
      <c r="F597" s="33">
        <v>1272</v>
      </c>
      <c r="G597" s="33">
        <v>33</v>
      </c>
      <c r="H597" s="13">
        <f t="shared" si="9"/>
        <v>36.342857142857142</v>
      </c>
    </row>
    <row r="598" spans="1:8" hidden="1" outlineLevel="2">
      <c r="A598" s="32" t="s">
        <v>797</v>
      </c>
      <c r="B598" s="32" t="s">
        <v>1858</v>
      </c>
      <c r="C598" s="32" t="s">
        <v>1235</v>
      </c>
      <c r="D598" s="32" t="s">
        <v>891</v>
      </c>
      <c r="E598" s="33">
        <v>35</v>
      </c>
      <c r="F598" s="33">
        <v>1258</v>
      </c>
      <c r="G598" s="33">
        <v>30</v>
      </c>
      <c r="H598" s="13">
        <f t="shared" si="9"/>
        <v>35.942857142857143</v>
      </c>
    </row>
    <row r="599" spans="1:8" hidden="1" outlineLevel="2">
      <c r="A599" s="32" t="s">
        <v>797</v>
      </c>
      <c r="B599" s="32" t="s">
        <v>1858</v>
      </c>
      <c r="C599" s="32" t="s">
        <v>1045</v>
      </c>
      <c r="D599" s="32" t="s">
        <v>837</v>
      </c>
      <c r="E599" s="33">
        <v>24</v>
      </c>
      <c r="F599" s="33">
        <v>852</v>
      </c>
      <c r="G599" s="33">
        <v>22</v>
      </c>
      <c r="H599" s="13">
        <f t="shared" si="9"/>
        <v>35.5</v>
      </c>
    </row>
    <row r="600" spans="1:8" hidden="1" outlineLevel="2">
      <c r="A600" s="32" t="s">
        <v>797</v>
      </c>
      <c r="B600" s="32" t="s">
        <v>1862</v>
      </c>
      <c r="C600" s="32" t="s">
        <v>1090</v>
      </c>
      <c r="D600" s="32" t="s">
        <v>798</v>
      </c>
      <c r="E600" s="33">
        <v>35</v>
      </c>
      <c r="F600" s="33">
        <v>1241</v>
      </c>
      <c r="G600" s="33">
        <v>27</v>
      </c>
      <c r="H600" s="13">
        <f t="shared" si="9"/>
        <v>35.457142857142856</v>
      </c>
    </row>
    <row r="601" spans="1:8" hidden="1" outlineLevel="2">
      <c r="A601" s="32" t="s">
        <v>797</v>
      </c>
      <c r="B601" s="32" t="s">
        <v>1862</v>
      </c>
      <c r="C601" s="32" t="s">
        <v>933</v>
      </c>
      <c r="D601" s="32" t="s">
        <v>798</v>
      </c>
      <c r="E601" s="33">
        <v>36</v>
      </c>
      <c r="F601" s="33">
        <v>1276</v>
      </c>
      <c r="G601" s="33">
        <v>36</v>
      </c>
      <c r="H601" s="13">
        <f t="shared" si="9"/>
        <v>35.444444444444443</v>
      </c>
    </row>
    <row r="602" spans="1:8" hidden="1" outlineLevel="2">
      <c r="A602" s="32" t="s">
        <v>797</v>
      </c>
      <c r="B602" s="32" t="s">
        <v>1862</v>
      </c>
      <c r="C602" s="32" t="s">
        <v>1187</v>
      </c>
      <c r="D602" s="32" t="s">
        <v>825</v>
      </c>
      <c r="E602" s="33">
        <v>35</v>
      </c>
      <c r="F602" s="33">
        <v>1239</v>
      </c>
      <c r="G602" s="33">
        <v>35</v>
      </c>
      <c r="H602" s="13">
        <f t="shared" si="9"/>
        <v>35.4</v>
      </c>
    </row>
    <row r="603" spans="1:8" hidden="1" outlineLevel="2">
      <c r="A603" s="32" t="s">
        <v>797</v>
      </c>
      <c r="B603" s="32" t="s">
        <v>86</v>
      </c>
      <c r="C603" s="32" t="s">
        <v>857</v>
      </c>
      <c r="D603" s="32" t="s">
        <v>920</v>
      </c>
      <c r="E603" s="33">
        <v>15</v>
      </c>
      <c r="F603" s="33">
        <v>531</v>
      </c>
      <c r="G603" s="33">
        <v>14</v>
      </c>
      <c r="H603" s="13">
        <f t="shared" si="9"/>
        <v>35.4</v>
      </c>
    </row>
    <row r="604" spans="1:8" hidden="1" outlineLevel="2">
      <c r="A604" s="32" t="s">
        <v>797</v>
      </c>
      <c r="B604" s="32" t="s">
        <v>86</v>
      </c>
      <c r="C604" s="32" t="s">
        <v>904</v>
      </c>
      <c r="D604" s="32" t="s">
        <v>905</v>
      </c>
      <c r="E604" s="33">
        <v>15</v>
      </c>
      <c r="F604" s="33">
        <v>529</v>
      </c>
      <c r="G604" s="33">
        <v>7</v>
      </c>
      <c r="H604" s="13">
        <f t="shared" si="9"/>
        <v>35.266666666666666</v>
      </c>
    </row>
    <row r="605" spans="1:8" hidden="1" outlineLevel="2">
      <c r="A605" s="32" t="s">
        <v>797</v>
      </c>
      <c r="B605" s="32" t="s">
        <v>1862</v>
      </c>
      <c r="C605" s="32" t="s">
        <v>935</v>
      </c>
      <c r="D605" s="32" t="s">
        <v>991</v>
      </c>
      <c r="E605" s="33">
        <v>35</v>
      </c>
      <c r="F605" s="33">
        <v>1230</v>
      </c>
      <c r="G605" s="33">
        <v>25</v>
      </c>
      <c r="H605" s="13">
        <f t="shared" si="9"/>
        <v>35.142857142857146</v>
      </c>
    </row>
    <row r="606" spans="1:8" hidden="1" outlineLevel="2">
      <c r="A606" s="32" t="s">
        <v>797</v>
      </c>
      <c r="B606" s="32" t="s">
        <v>1862</v>
      </c>
      <c r="C606" s="32" t="s">
        <v>1191</v>
      </c>
      <c r="D606" s="32" t="s">
        <v>993</v>
      </c>
      <c r="E606" s="33">
        <v>28</v>
      </c>
      <c r="F606" s="33">
        <v>967</v>
      </c>
      <c r="G606" s="33">
        <v>27</v>
      </c>
      <c r="H606" s="13">
        <f t="shared" si="9"/>
        <v>34.535714285714285</v>
      </c>
    </row>
    <row r="607" spans="1:8" hidden="1" outlineLevel="2">
      <c r="A607" s="32" t="s">
        <v>797</v>
      </c>
      <c r="B607" s="32" t="s">
        <v>1858</v>
      </c>
      <c r="C607" s="32" t="s">
        <v>981</v>
      </c>
      <c r="D607" s="32" t="s">
        <v>823</v>
      </c>
      <c r="E607" s="33">
        <v>35</v>
      </c>
      <c r="F607" s="33">
        <v>1203</v>
      </c>
      <c r="G607" s="33">
        <v>33</v>
      </c>
      <c r="H607" s="13">
        <f t="shared" si="9"/>
        <v>34.371428571428574</v>
      </c>
    </row>
    <row r="608" spans="1:8" hidden="1" outlineLevel="2">
      <c r="A608" s="32" t="s">
        <v>797</v>
      </c>
      <c r="B608" s="32" t="s">
        <v>1862</v>
      </c>
      <c r="C608" s="32" t="s">
        <v>947</v>
      </c>
      <c r="D608" s="32" t="s">
        <v>825</v>
      </c>
      <c r="E608" s="33">
        <v>35</v>
      </c>
      <c r="F608" s="33">
        <v>1197</v>
      </c>
      <c r="G608" s="33">
        <v>29</v>
      </c>
      <c r="H608" s="13">
        <f t="shared" si="9"/>
        <v>34.200000000000003</v>
      </c>
    </row>
    <row r="609" spans="1:8" hidden="1" outlineLevel="2">
      <c r="A609" s="32" t="s">
        <v>797</v>
      </c>
      <c r="B609" s="32" t="s">
        <v>1858</v>
      </c>
      <c r="C609" s="32" t="s">
        <v>1105</v>
      </c>
      <c r="D609" s="32" t="s">
        <v>825</v>
      </c>
      <c r="E609" s="33">
        <v>33</v>
      </c>
      <c r="F609" s="33">
        <v>1128</v>
      </c>
      <c r="G609" s="33">
        <v>32</v>
      </c>
      <c r="H609" s="13">
        <f t="shared" si="9"/>
        <v>34.18181818181818</v>
      </c>
    </row>
    <row r="610" spans="1:8" hidden="1" outlineLevel="2">
      <c r="A610" s="32" t="s">
        <v>797</v>
      </c>
      <c r="B610" s="32" t="s">
        <v>1862</v>
      </c>
      <c r="C610" s="32" t="s">
        <v>1151</v>
      </c>
      <c r="D610" s="32" t="s">
        <v>819</v>
      </c>
      <c r="E610" s="33">
        <v>32</v>
      </c>
      <c r="F610" s="33">
        <v>1090</v>
      </c>
      <c r="G610" s="33">
        <v>29</v>
      </c>
      <c r="H610" s="13">
        <f t="shared" si="9"/>
        <v>34.0625</v>
      </c>
    </row>
    <row r="611" spans="1:8" hidden="1" outlineLevel="2">
      <c r="A611" s="32" t="s">
        <v>797</v>
      </c>
      <c r="B611" s="32" t="s">
        <v>1858</v>
      </c>
      <c r="C611" s="32" t="s">
        <v>990</v>
      </c>
      <c r="D611" s="32" t="s">
        <v>885</v>
      </c>
      <c r="E611" s="33">
        <v>35</v>
      </c>
      <c r="F611" s="33">
        <v>1192</v>
      </c>
      <c r="G611" s="33">
        <v>24</v>
      </c>
      <c r="H611" s="13">
        <f t="shared" si="9"/>
        <v>34.057142857142857</v>
      </c>
    </row>
    <row r="612" spans="1:8" hidden="1" outlineLevel="2">
      <c r="A612" s="32" t="s">
        <v>797</v>
      </c>
      <c r="B612" s="32" t="s">
        <v>1862</v>
      </c>
      <c r="C612" s="32" t="s">
        <v>1082</v>
      </c>
      <c r="D612" s="32" t="s">
        <v>798</v>
      </c>
      <c r="E612" s="33">
        <v>35</v>
      </c>
      <c r="F612" s="33">
        <v>1191</v>
      </c>
      <c r="G612" s="33">
        <v>31</v>
      </c>
      <c r="H612" s="13">
        <f t="shared" si="9"/>
        <v>34.028571428571432</v>
      </c>
    </row>
    <row r="613" spans="1:8" hidden="1" outlineLevel="2">
      <c r="A613" s="32" t="s">
        <v>797</v>
      </c>
      <c r="B613" s="32" t="s">
        <v>1862</v>
      </c>
      <c r="C613" s="32" t="s">
        <v>1095</v>
      </c>
      <c r="D613" s="32" t="s">
        <v>825</v>
      </c>
      <c r="E613" s="33">
        <v>35</v>
      </c>
      <c r="F613" s="33">
        <v>1183</v>
      </c>
      <c r="G613" s="33">
        <v>35</v>
      </c>
      <c r="H613" s="13">
        <f t="shared" si="9"/>
        <v>33.799999999999997</v>
      </c>
    </row>
    <row r="614" spans="1:8" hidden="1" outlineLevel="2">
      <c r="A614" s="32" t="s">
        <v>797</v>
      </c>
      <c r="B614" s="32" t="s">
        <v>1858</v>
      </c>
      <c r="C614" s="32" t="s">
        <v>976</v>
      </c>
      <c r="D614" s="32" t="s">
        <v>839</v>
      </c>
      <c r="E614" s="33">
        <v>30</v>
      </c>
      <c r="F614" s="33">
        <v>1014</v>
      </c>
      <c r="G614" s="33">
        <v>30</v>
      </c>
      <c r="H614" s="13">
        <f t="shared" si="9"/>
        <v>33.799999999999997</v>
      </c>
    </row>
    <row r="615" spans="1:8" hidden="1" outlineLevel="2">
      <c r="A615" s="32" t="s">
        <v>797</v>
      </c>
      <c r="B615" s="32" t="s">
        <v>1862</v>
      </c>
      <c r="C615" s="32" t="s">
        <v>934</v>
      </c>
      <c r="D615" s="32" t="s">
        <v>1003</v>
      </c>
      <c r="E615" s="33">
        <v>30</v>
      </c>
      <c r="F615" s="33">
        <v>1012</v>
      </c>
      <c r="G615" s="33">
        <v>29</v>
      </c>
      <c r="H615" s="13">
        <f t="shared" si="9"/>
        <v>33.733333333333334</v>
      </c>
    </row>
    <row r="616" spans="1:8" hidden="1" outlineLevel="2">
      <c r="A616" s="32" t="s">
        <v>797</v>
      </c>
      <c r="B616" s="32" t="s">
        <v>1862</v>
      </c>
      <c r="C616" s="32" t="s">
        <v>1103</v>
      </c>
      <c r="D616" s="32" t="s">
        <v>872</v>
      </c>
      <c r="E616" s="33">
        <v>30</v>
      </c>
      <c r="F616" s="33">
        <v>1009</v>
      </c>
      <c r="G616" s="33">
        <v>22</v>
      </c>
      <c r="H616" s="13">
        <f t="shared" si="9"/>
        <v>33.633333333333333</v>
      </c>
    </row>
    <row r="617" spans="1:8" hidden="1" outlineLevel="2">
      <c r="A617" s="32" t="s">
        <v>797</v>
      </c>
      <c r="B617" s="32" t="s">
        <v>1862</v>
      </c>
      <c r="C617" s="32" t="s">
        <v>1101</v>
      </c>
      <c r="D617" s="32" t="s">
        <v>825</v>
      </c>
      <c r="E617" s="33">
        <v>30</v>
      </c>
      <c r="F617" s="33">
        <v>1003</v>
      </c>
      <c r="G617" s="33">
        <v>26</v>
      </c>
      <c r="H617" s="13">
        <f t="shared" si="9"/>
        <v>33.43333333333333</v>
      </c>
    </row>
    <row r="618" spans="1:8" hidden="1" outlineLevel="2">
      <c r="A618" s="32" t="s">
        <v>797</v>
      </c>
      <c r="B618" s="32" t="s">
        <v>1858</v>
      </c>
      <c r="C618" s="32" t="s">
        <v>815</v>
      </c>
      <c r="D618" s="32" t="s">
        <v>991</v>
      </c>
      <c r="E618" s="33">
        <v>35</v>
      </c>
      <c r="F618" s="33">
        <v>1170</v>
      </c>
      <c r="G618" s="33">
        <v>35</v>
      </c>
      <c r="H618" s="13">
        <f t="shared" si="9"/>
        <v>33.428571428571431</v>
      </c>
    </row>
    <row r="619" spans="1:8" hidden="1" outlineLevel="2">
      <c r="A619" s="32" t="s">
        <v>797</v>
      </c>
      <c r="B619" s="32" t="s">
        <v>1862</v>
      </c>
      <c r="C619" s="32" t="s">
        <v>1010</v>
      </c>
      <c r="D619" s="32" t="s">
        <v>866</v>
      </c>
      <c r="E619" s="33">
        <v>24</v>
      </c>
      <c r="F619" s="33">
        <v>798</v>
      </c>
      <c r="G619" s="33">
        <v>26</v>
      </c>
      <c r="H619" s="13">
        <f t="shared" si="9"/>
        <v>33.25</v>
      </c>
    </row>
    <row r="620" spans="1:8" hidden="1" outlineLevel="2">
      <c r="A620" s="32" t="s">
        <v>797</v>
      </c>
      <c r="B620" s="32" t="s">
        <v>86</v>
      </c>
      <c r="C620" s="32" t="s">
        <v>899</v>
      </c>
      <c r="D620" s="32" t="s">
        <v>1003</v>
      </c>
      <c r="E620" s="33">
        <v>34</v>
      </c>
      <c r="F620" s="33">
        <v>1129</v>
      </c>
      <c r="G620" s="33">
        <v>32</v>
      </c>
      <c r="H620" s="13">
        <f t="shared" si="9"/>
        <v>33.205882352941174</v>
      </c>
    </row>
    <row r="621" spans="1:8" hidden="1" outlineLevel="2">
      <c r="A621" s="32" t="s">
        <v>797</v>
      </c>
      <c r="B621" s="32" t="s">
        <v>1862</v>
      </c>
      <c r="C621" s="32" t="s">
        <v>964</v>
      </c>
      <c r="D621" s="32" t="s">
        <v>822</v>
      </c>
      <c r="E621" s="33">
        <v>35</v>
      </c>
      <c r="F621" s="33">
        <v>1160</v>
      </c>
      <c r="G621" s="33">
        <v>30</v>
      </c>
      <c r="H621" s="13">
        <f t="shared" si="9"/>
        <v>33.142857142857146</v>
      </c>
    </row>
    <row r="622" spans="1:8" hidden="1" outlineLevel="2">
      <c r="A622" s="32" t="s">
        <v>797</v>
      </c>
      <c r="B622" s="32" t="s">
        <v>1858</v>
      </c>
      <c r="C622" s="32" t="s">
        <v>939</v>
      </c>
      <c r="D622" s="32" t="s">
        <v>822</v>
      </c>
      <c r="E622" s="33">
        <v>24</v>
      </c>
      <c r="F622" s="33">
        <v>794</v>
      </c>
      <c r="G622" s="33">
        <v>24</v>
      </c>
      <c r="H622" s="13">
        <f t="shared" si="9"/>
        <v>33.083333333333336</v>
      </c>
    </row>
    <row r="623" spans="1:8" hidden="1" outlineLevel="2">
      <c r="A623" s="32" t="s">
        <v>797</v>
      </c>
      <c r="B623" s="32" t="s">
        <v>86</v>
      </c>
      <c r="C623" s="32" t="s">
        <v>856</v>
      </c>
      <c r="D623" s="32" t="s">
        <v>832</v>
      </c>
      <c r="E623" s="33">
        <v>70</v>
      </c>
      <c r="F623" s="33">
        <v>2313</v>
      </c>
      <c r="G623" s="33">
        <v>69</v>
      </c>
      <c r="H623" s="13">
        <f t="shared" si="9"/>
        <v>33.042857142857144</v>
      </c>
    </row>
    <row r="624" spans="1:8" hidden="1" outlineLevel="2">
      <c r="A624" s="32" t="s">
        <v>797</v>
      </c>
      <c r="B624" s="32" t="s">
        <v>1862</v>
      </c>
      <c r="C624" s="32" t="s">
        <v>974</v>
      </c>
      <c r="D624" s="32" t="s">
        <v>837</v>
      </c>
      <c r="E624" s="33">
        <v>24</v>
      </c>
      <c r="F624" s="33">
        <v>787</v>
      </c>
      <c r="G624" s="33">
        <v>22</v>
      </c>
      <c r="H624" s="13">
        <f t="shared" si="9"/>
        <v>32.791666666666664</v>
      </c>
    </row>
    <row r="625" spans="1:8" hidden="1" outlineLevel="2">
      <c r="A625" s="32" t="s">
        <v>797</v>
      </c>
      <c r="B625" s="32" t="s">
        <v>1862</v>
      </c>
      <c r="C625" s="32" t="s">
        <v>965</v>
      </c>
      <c r="D625" s="32" t="s">
        <v>825</v>
      </c>
      <c r="E625" s="33">
        <v>35</v>
      </c>
      <c r="F625" s="33">
        <v>1146</v>
      </c>
      <c r="G625" s="33">
        <v>26</v>
      </c>
      <c r="H625" s="13">
        <f t="shared" si="9"/>
        <v>32.74285714285714</v>
      </c>
    </row>
    <row r="626" spans="1:8" hidden="1" outlineLevel="2">
      <c r="A626" s="32" t="s">
        <v>797</v>
      </c>
      <c r="B626" s="32" t="s">
        <v>86</v>
      </c>
      <c r="C626" s="32" t="s">
        <v>865</v>
      </c>
      <c r="D626" s="32" t="s">
        <v>866</v>
      </c>
      <c r="E626" s="33">
        <v>35</v>
      </c>
      <c r="F626" s="33">
        <v>1145</v>
      </c>
      <c r="G626" s="33">
        <v>34</v>
      </c>
      <c r="H626" s="13">
        <f t="shared" si="9"/>
        <v>32.714285714285715</v>
      </c>
    </row>
    <row r="627" spans="1:8" hidden="1" outlineLevel="2">
      <c r="A627" s="32" t="s">
        <v>797</v>
      </c>
      <c r="B627" s="32" t="s">
        <v>1862</v>
      </c>
      <c r="C627" s="32" t="s">
        <v>969</v>
      </c>
      <c r="D627" s="32" t="s">
        <v>798</v>
      </c>
      <c r="E627" s="33">
        <v>35</v>
      </c>
      <c r="F627" s="33">
        <v>1143</v>
      </c>
      <c r="G627" s="33">
        <v>32</v>
      </c>
      <c r="H627" s="13">
        <f t="shared" si="9"/>
        <v>32.657142857142858</v>
      </c>
    </row>
    <row r="628" spans="1:8" hidden="1" outlineLevel="2">
      <c r="A628" s="32" t="s">
        <v>797</v>
      </c>
      <c r="B628" s="32" t="s">
        <v>1858</v>
      </c>
      <c r="C628" s="32" t="s">
        <v>1234</v>
      </c>
      <c r="D628" s="32" t="s">
        <v>891</v>
      </c>
      <c r="E628" s="33">
        <v>24</v>
      </c>
      <c r="F628" s="33">
        <v>781</v>
      </c>
      <c r="G628" s="33">
        <v>24</v>
      </c>
      <c r="H628" s="13">
        <f t="shared" si="9"/>
        <v>32.541666666666664</v>
      </c>
    </row>
    <row r="629" spans="1:8" hidden="1" outlineLevel="2">
      <c r="A629" s="32" t="s">
        <v>797</v>
      </c>
      <c r="B629" s="32" t="s">
        <v>1858</v>
      </c>
      <c r="C629" s="32" t="s">
        <v>1143</v>
      </c>
      <c r="D629" s="32" t="s">
        <v>798</v>
      </c>
      <c r="E629" s="33">
        <v>35</v>
      </c>
      <c r="F629" s="33">
        <v>1136</v>
      </c>
      <c r="G629" s="33">
        <v>35</v>
      </c>
      <c r="H629" s="13">
        <f t="shared" si="9"/>
        <v>32.457142857142856</v>
      </c>
    </row>
    <row r="630" spans="1:8" hidden="1" outlineLevel="2">
      <c r="A630" s="32" t="s">
        <v>797</v>
      </c>
      <c r="B630" s="32" t="s">
        <v>1858</v>
      </c>
      <c r="C630" s="32" t="s">
        <v>910</v>
      </c>
      <c r="D630" s="32" t="s">
        <v>885</v>
      </c>
      <c r="E630" s="33">
        <v>35</v>
      </c>
      <c r="F630" s="33">
        <v>1130</v>
      </c>
      <c r="G630" s="33">
        <v>26</v>
      </c>
      <c r="H630" s="13">
        <f t="shared" si="9"/>
        <v>32.285714285714285</v>
      </c>
    </row>
    <row r="631" spans="1:8" hidden="1" outlineLevel="2">
      <c r="A631" s="32" t="s">
        <v>797</v>
      </c>
      <c r="B631" s="32" t="s">
        <v>1862</v>
      </c>
      <c r="C631" s="32" t="s">
        <v>1085</v>
      </c>
      <c r="D631" s="32" t="s">
        <v>798</v>
      </c>
      <c r="E631" s="33">
        <v>35</v>
      </c>
      <c r="F631" s="33">
        <v>1127</v>
      </c>
      <c r="G631" s="33">
        <v>35</v>
      </c>
      <c r="H631" s="13">
        <f t="shared" si="9"/>
        <v>32.200000000000003</v>
      </c>
    </row>
    <row r="632" spans="1:8" hidden="1" outlineLevel="2">
      <c r="A632" s="32" t="s">
        <v>797</v>
      </c>
      <c r="B632" s="32" t="s">
        <v>1862</v>
      </c>
      <c r="C632" s="32" t="s">
        <v>1080</v>
      </c>
      <c r="D632" s="32" t="s">
        <v>905</v>
      </c>
      <c r="E632" s="33">
        <v>90</v>
      </c>
      <c r="F632" s="33">
        <v>2892</v>
      </c>
      <c r="G632" s="33">
        <v>88</v>
      </c>
      <c r="H632" s="13">
        <f t="shared" si="9"/>
        <v>32.133333333333333</v>
      </c>
    </row>
    <row r="633" spans="1:8" hidden="1" outlineLevel="2">
      <c r="A633" s="32" t="s">
        <v>797</v>
      </c>
      <c r="B633" s="32" t="s">
        <v>1858</v>
      </c>
      <c r="C633" s="32" t="s">
        <v>939</v>
      </c>
      <c r="D633" s="32" t="s">
        <v>825</v>
      </c>
      <c r="E633" s="33">
        <v>24</v>
      </c>
      <c r="F633" s="33">
        <v>770</v>
      </c>
      <c r="G633" s="33">
        <v>24</v>
      </c>
      <c r="H633" s="13">
        <f t="shared" si="9"/>
        <v>32.083333333333336</v>
      </c>
    </row>
    <row r="634" spans="1:8" hidden="1" outlineLevel="2">
      <c r="A634" s="32" t="s">
        <v>797</v>
      </c>
      <c r="B634" s="32" t="s">
        <v>1862</v>
      </c>
      <c r="C634" s="32" t="s">
        <v>1002</v>
      </c>
      <c r="D634" s="32" t="s">
        <v>1003</v>
      </c>
      <c r="E634" s="33">
        <v>35</v>
      </c>
      <c r="F634" s="33">
        <v>1121</v>
      </c>
      <c r="G634" s="33">
        <v>29</v>
      </c>
      <c r="H634" s="13">
        <f t="shared" si="9"/>
        <v>32.028571428571432</v>
      </c>
    </row>
    <row r="635" spans="1:8" hidden="1" outlineLevel="2">
      <c r="A635" s="32" t="s">
        <v>797</v>
      </c>
      <c r="B635" s="32" t="s">
        <v>1862</v>
      </c>
      <c r="C635" s="32" t="s">
        <v>1187</v>
      </c>
      <c r="D635" s="32" t="s">
        <v>867</v>
      </c>
      <c r="E635" s="33">
        <v>40</v>
      </c>
      <c r="F635" s="33">
        <v>1271</v>
      </c>
      <c r="G635" s="33">
        <v>36</v>
      </c>
      <c r="H635" s="13">
        <f t="shared" si="9"/>
        <v>31.774999999999999</v>
      </c>
    </row>
    <row r="636" spans="1:8" hidden="1" outlineLevel="2">
      <c r="A636" s="32" t="s">
        <v>797</v>
      </c>
      <c r="B636" s="32" t="s">
        <v>1858</v>
      </c>
      <c r="C636" s="32" t="s">
        <v>914</v>
      </c>
      <c r="D636" s="32" t="s">
        <v>819</v>
      </c>
      <c r="E636" s="33">
        <v>34</v>
      </c>
      <c r="F636" s="33">
        <v>1079</v>
      </c>
      <c r="G636" s="33">
        <v>31</v>
      </c>
      <c r="H636" s="13">
        <f t="shared" si="9"/>
        <v>31.735294117647058</v>
      </c>
    </row>
    <row r="637" spans="1:8" hidden="1" outlineLevel="2">
      <c r="A637" s="32" t="s">
        <v>797</v>
      </c>
      <c r="B637" s="32" t="s">
        <v>1858</v>
      </c>
      <c r="C637" s="32" t="s">
        <v>1045</v>
      </c>
      <c r="D637" s="32" t="s">
        <v>822</v>
      </c>
      <c r="E637" s="33">
        <v>35</v>
      </c>
      <c r="F637" s="33">
        <v>1110</v>
      </c>
      <c r="G637" s="33">
        <v>27</v>
      </c>
      <c r="H637" s="13">
        <f t="shared" si="9"/>
        <v>31.714285714285715</v>
      </c>
    </row>
    <row r="638" spans="1:8" hidden="1" outlineLevel="2">
      <c r="A638" s="32" t="s">
        <v>797</v>
      </c>
      <c r="B638" s="32" t="s">
        <v>86</v>
      </c>
      <c r="C638" s="32" t="s">
        <v>859</v>
      </c>
      <c r="D638" s="32" t="s">
        <v>861</v>
      </c>
      <c r="E638" s="33">
        <v>24</v>
      </c>
      <c r="F638" s="33">
        <v>761</v>
      </c>
      <c r="G638" s="33">
        <v>25</v>
      </c>
      <c r="H638" s="13">
        <f t="shared" si="9"/>
        <v>31.708333333333332</v>
      </c>
    </row>
    <row r="639" spans="1:8" hidden="1" outlineLevel="2">
      <c r="A639" s="32" t="s">
        <v>797</v>
      </c>
      <c r="B639" s="32" t="s">
        <v>1862</v>
      </c>
      <c r="C639" s="32" t="s">
        <v>1099</v>
      </c>
      <c r="D639" s="32" t="s">
        <v>861</v>
      </c>
      <c r="E639" s="33">
        <v>24</v>
      </c>
      <c r="F639" s="33">
        <v>760</v>
      </c>
      <c r="G639" s="33">
        <v>25</v>
      </c>
      <c r="H639" s="13">
        <f t="shared" si="9"/>
        <v>31.666666666666668</v>
      </c>
    </row>
    <row r="640" spans="1:8" hidden="1" outlineLevel="2">
      <c r="A640" s="32" t="s">
        <v>797</v>
      </c>
      <c r="B640" s="32" t="s">
        <v>1862</v>
      </c>
      <c r="C640" s="32" t="s">
        <v>1083</v>
      </c>
      <c r="D640" s="32" t="s">
        <v>798</v>
      </c>
      <c r="E640" s="33">
        <v>35</v>
      </c>
      <c r="F640" s="33">
        <v>1106</v>
      </c>
      <c r="G640" s="33">
        <v>34</v>
      </c>
      <c r="H640" s="13">
        <f t="shared" si="9"/>
        <v>31.6</v>
      </c>
    </row>
    <row r="641" spans="1:8" hidden="1" outlineLevel="2">
      <c r="A641" s="32" t="s">
        <v>797</v>
      </c>
      <c r="B641" s="32" t="s">
        <v>1862</v>
      </c>
      <c r="C641" s="32" t="s">
        <v>1095</v>
      </c>
      <c r="D641" s="32" t="s">
        <v>798</v>
      </c>
      <c r="E641" s="33">
        <v>35</v>
      </c>
      <c r="F641" s="33">
        <v>1106</v>
      </c>
      <c r="G641" s="33">
        <v>35</v>
      </c>
      <c r="H641" s="13">
        <f t="shared" si="9"/>
        <v>31.6</v>
      </c>
    </row>
    <row r="642" spans="1:8" hidden="1" outlineLevel="2">
      <c r="A642" s="32" t="s">
        <v>797</v>
      </c>
      <c r="B642" s="32" t="s">
        <v>1858</v>
      </c>
      <c r="C642" s="32" t="s">
        <v>1058</v>
      </c>
      <c r="D642" s="32" t="s">
        <v>891</v>
      </c>
      <c r="E642" s="33">
        <v>35</v>
      </c>
      <c r="F642" s="33">
        <v>1105</v>
      </c>
      <c r="G642" s="33">
        <v>33</v>
      </c>
      <c r="H642" s="13">
        <f t="shared" ref="H642:H705" si="10">IFERROR(F642/E642,"")</f>
        <v>31.571428571428573</v>
      </c>
    </row>
    <row r="643" spans="1:8" hidden="1" outlineLevel="2">
      <c r="A643" s="32" t="s">
        <v>797</v>
      </c>
      <c r="B643" s="32" t="s">
        <v>1862</v>
      </c>
      <c r="C643" s="32" t="s">
        <v>1087</v>
      </c>
      <c r="D643" s="32" t="s">
        <v>997</v>
      </c>
      <c r="E643" s="33">
        <v>30</v>
      </c>
      <c r="F643" s="33">
        <v>946</v>
      </c>
      <c r="G643" s="33">
        <v>30</v>
      </c>
      <c r="H643" s="13">
        <f t="shared" si="10"/>
        <v>31.533333333333335</v>
      </c>
    </row>
    <row r="644" spans="1:8" hidden="1" outlineLevel="2">
      <c r="A644" s="32" t="s">
        <v>797</v>
      </c>
      <c r="B644" s="32" t="s">
        <v>1858</v>
      </c>
      <c r="C644" s="32" t="s">
        <v>815</v>
      </c>
      <c r="D644" s="32" t="s">
        <v>822</v>
      </c>
      <c r="E644" s="33">
        <v>35</v>
      </c>
      <c r="F644" s="33">
        <v>1103</v>
      </c>
      <c r="G644" s="33">
        <v>34</v>
      </c>
      <c r="H644" s="13">
        <f t="shared" si="10"/>
        <v>31.514285714285716</v>
      </c>
    </row>
    <row r="645" spans="1:8" hidden="1" outlineLevel="2">
      <c r="A645" s="32" t="s">
        <v>797</v>
      </c>
      <c r="B645" s="32" t="s">
        <v>86</v>
      </c>
      <c r="C645" s="32" t="s">
        <v>857</v>
      </c>
      <c r="D645" s="32" t="s">
        <v>861</v>
      </c>
      <c r="E645" s="33">
        <v>24</v>
      </c>
      <c r="F645" s="33">
        <v>756</v>
      </c>
      <c r="G645" s="33">
        <v>20</v>
      </c>
      <c r="H645" s="13">
        <f t="shared" si="10"/>
        <v>31.5</v>
      </c>
    </row>
    <row r="646" spans="1:8" hidden="1" outlineLevel="2">
      <c r="A646" s="32" t="s">
        <v>797</v>
      </c>
      <c r="B646" s="32" t="s">
        <v>1862</v>
      </c>
      <c r="C646" s="32" t="s">
        <v>963</v>
      </c>
      <c r="D646" s="32" t="s">
        <v>991</v>
      </c>
      <c r="E646" s="33">
        <v>35</v>
      </c>
      <c r="F646" s="33">
        <v>1101</v>
      </c>
      <c r="G646" s="33">
        <v>35</v>
      </c>
      <c r="H646" s="13">
        <f t="shared" si="10"/>
        <v>31.457142857142856</v>
      </c>
    </row>
    <row r="647" spans="1:8" hidden="1" outlineLevel="2">
      <c r="A647" s="32" t="s">
        <v>797</v>
      </c>
      <c r="B647" s="32" t="s">
        <v>1858</v>
      </c>
      <c r="C647" s="32" t="s">
        <v>910</v>
      </c>
      <c r="D647" s="32" t="s">
        <v>912</v>
      </c>
      <c r="E647" s="33">
        <v>60</v>
      </c>
      <c r="F647" s="33">
        <v>1867</v>
      </c>
      <c r="G647" s="33">
        <v>59</v>
      </c>
      <c r="H647" s="13">
        <f t="shared" si="10"/>
        <v>31.116666666666667</v>
      </c>
    </row>
    <row r="648" spans="1:8" hidden="1" outlineLevel="2">
      <c r="A648" s="32" t="s">
        <v>797</v>
      </c>
      <c r="B648" s="32" t="s">
        <v>86</v>
      </c>
      <c r="C648" s="32" t="s">
        <v>1029</v>
      </c>
      <c r="D648" s="32" t="s">
        <v>1030</v>
      </c>
      <c r="E648" s="33">
        <v>48</v>
      </c>
      <c r="F648" s="33">
        <v>1488</v>
      </c>
      <c r="G648" s="33">
        <v>47</v>
      </c>
      <c r="H648" s="13">
        <f t="shared" si="10"/>
        <v>31</v>
      </c>
    </row>
    <row r="649" spans="1:8" hidden="1" outlineLevel="2">
      <c r="A649" s="32" t="s">
        <v>797</v>
      </c>
      <c r="B649" s="32" t="s">
        <v>1858</v>
      </c>
      <c r="C649" s="32" t="s">
        <v>990</v>
      </c>
      <c r="D649" s="32" t="s">
        <v>991</v>
      </c>
      <c r="E649" s="33">
        <v>35</v>
      </c>
      <c r="F649" s="33">
        <v>1084</v>
      </c>
      <c r="G649" s="33">
        <v>35</v>
      </c>
      <c r="H649" s="13">
        <f t="shared" si="10"/>
        <v>30.971428571428572</v>
      </c>
    </row>
    <row r="650" spans="1:8" hidden="1" outlineLevel="2">
      <c r="A650" s="32" t="s">
        <v>797</v>
      </c>
      <c r="B650" s="32" t="s">
        <v>86</v>
      </c>
      <c r="C650" s="32" t="s">
        <v>841</v>
      </c>
      <c r="D650" s="32" t="s">
        <v>1032</v>
      </c>
      <c r="E650" s="33">
        <v>60</v>
      </c>
      <c r="F650" s="33">
        <v>1847</v>
      </c>
      <c r="G650" s="33">
        <v>63</v>
      </c>
      <c r="H650" s="13">
        <f t="shared" si="10"/>
        <v>30.783333333333335</v>
      </c>
    </row>
    <row r="651" spans="1:8" hidden="1" outlineLevel="2">
      <c r="A651" s="32" t="s">
        <v>797</v>
      </c>
      <c r="B651" s="32" t="s">
        <v>1858</v>
      </c>
      <c r="C651" s="32" t="s">
        <v>917</v>
      </c>
      <c r="D651" s="32" t="s">
        <v>825</v>
      </c>
      <c r="E651" s="33">
        <v>35</v>
      </c>
      <c r="F651" s="33">
        <v>1077</v>
      </c>
      <c r="G651" s="33">
        <v>33</v>
      </c>
      <c r="H651" s="13">
        <f t="shared" si="10"/>
        <v>30.771428571428572</v>
      </c>
    </row>
    <row r="652" spans="1:8" hidden="1" outlineLevel="2">
      <c r="A652" s="32" t="s">
        <v>797</v>
      </c>
      <c r="B652" s="32" t="s">
        <v>1862</v>
      </c>
      <c r="C652" s="32" t="s">
        <v>1079</v>
      </c>
      <c r="D652" s="32" t="s">
        <v>911</v>
      </c>
      <c r="E652" s="33">
        <v>16</v>
      </c>
      <c r="F652" s="33">
        <v>492</v>
      </c>
      <c r="G652" s="33">
        <v>10</v>
      </c>
      <c r="H652" s="13">
        <f t="shared" si="10"/>
        <v>30.75</v>
      </c>
    </row>
    <row r="653" spans="1:8" hidden="1" outlineLevel="2">
      <c r="A653" s="32" t="s">
        <v>797</v>
      </c>
      <c r="B653" s="32" t="s">
        <v>1858</v>
      </c>
      <c r="C653" s="32" t="s">
        <v>939</v>
      </c>
      <c r="D653" s="32" t="s">
        <v>798</v>
      </c>
      <c r="E653" s="33">
        <v>35</v>
      </c>
      <c r="F653" s="33">
        <v>1075</v>
      </c>
      <c r="G653" s="33">
        <v>33</v>
      </c>
      <c r="H653" s="13">
        <f t="shared" si="10"/>
        <v>30.714285714285715</v>
      </c>
    </row>
    <row r="654" spans="1:8" hidden="1" outlineLevel="2">
      <c r="A654" s="32" t="s">
        <v>797</v>
      </c>
      <c r="B654" s="32" t="s">
        <v>1862</v>
      </c>
      <c r="C654" s="32" t="s">
        <v>944</v>
      </c>
      <c r="D654" s="32" t="s">
        <v>832</v>
      </c>
      <c r="E654" s="33">
        <v>24</v>
      </c>
      <c r="F654" s="33">
        <v>733</v>
      </c>
      <c r="G654" s="33">
        <v>24</v>
      </c>
      <c r="H654" s="13">
        <f t="shared" si="10"/>
        <v>30.541666666666668</v>
      </c>
    </row>
    <row r="655" spans="1:8" hidden="1" outlineLevel="2">
      <c r="A655" s="32" t="s">
        <v>797</v>
      </c>
      <c r="B655" s="32" t="s">
        <v>1858</v>
      </c>
      <c r="C655" s="32" t="s">
        <v>907</v>
      </c>
      <c r="D655" s="32" t="s">
        <v>798</v>
      </c>
      <c r="E655" s="33">
        <v>35</v>
      </c>
      <c r="F655" s="33">
        <v>1067</v>
      </c>
      <c r="G655" s="33">
        <v>35</v>
      </c>
      <c r="H655" s="13">
        <f t="shared" si="10"/>
        <v>30.485714285714284</v>
      </c>
    </row>
    <row r="656" spans="1:8" hidden="1" outlineLevel="2">
      <c r="A656" s="32" t="s">
        <v>797</v>
      </c>
      <c r="B656" s="32" t="s">
        <v>1862</v>
      </c>
      <c r="C656" s="32" t="s">
        <v>965</v>
      </c>
      <c r="D656" s="32" t="s">
        <v>822</v>
      </c>
      <c r="E656" s="33">
        <v>35</v>
      </c>
      <c r="F656" s="33">
        <v>1065</v>
      </c>
      <c r="G656" s="33">
        <v>28</v>
      </c>
      <c r="H656" s="13">
        <f t="shared" si="10"/>
        <v>30.428571428571427</v>
      </c>
    </row>
    <row r="657" spans="1:8" hidden="1" outlineLevel="2">
      <c r="A657" s="32" t="s">
        <v>797</v>
      </c>
      <c r="B657" s="32" t="s">
        <v>1862</v>
      </c>
      <c r="C657" s="32" t="s">
        <v>966</v>
      </c>
      <c r="D657" s="32" t="s">
        <v>832</v>
      </c>
      <c r="E657" s="33">
        <v>35</v>
      </c>
      <c r="F657" s="33">
        <v>1064</v>
      </c>
      <c r="G657" s="33">
        <v>31</v>
      </c>
      <c r="H657" s="13">
        <f t="shared" si="10"/>
        <v>30.4</v>
      </c>
    </row>
    <row r="658" spans="1:8" hidden="1" outlineLevel="2">
      <c r="A658" s="32" t="s">
        <v>797</v>
      </c>
      <c r="B658" s="32" t="s">
        <v>1862</v>
      </c>
      <c r="C658" s="32" t="s">
        <v>969</v>
      </c>
      <c r="D658" s="32" t="s">
        <v>883</v>
      </c>
      <c r="E658" s="33">
        <v>15</v>
      </c>
      <c r="F658" s="33">
        <v>456</v>
      </c>
      <c r="G658" s="33">
        <v>14</v>
      </c>
      <c r="H658" s="13">
        <f t="shared" si="10"/>
        <v>30.4</v>
      </c>
    </row>
    <row r="659" spans="1:8" hidden="1" outlineLevel="2">
      <c r="A659" s="32" t="s">
        <v>797</v>
      </c>
      <c r="B659" s="32" t="s">
        <v>1858</v>
      </c>
      <c r="C659" s="32" t="s">
        <v>1213</v>
      </c>
      <c r="D659" s="32" t="s">
        <v>885</v>
      </c>
      <c r="E659" s="33">
        <v>28</v>
      </c>
      <c r="F659" s="33">
        <v>848</v>
      </c>
      <c r="G659" s="33">
        <v>29</v>
      </c>
      <c r="H659" s="13">
        <f t="shared" si="10"/>
        <v>30.285714285714285</v>
      </c>
    </row>
    <row r="660" spans="1:8" hidden="1" outlineLevel="2">
      <c r="A660" s="32" t="s">
        <v>797</v>
      </c>
      <c r="B660" s="32" t="s">
        <v>1862</v>
      </c>
      <c r="C660" s="32" t="s">
        <v>1114</v>
      </c>
      <c r="D660" s="32" t="s">
        <v>993</v>
      </c>
      <c r="E660" s="33">
        <v>30</v>
      </c>
      <c r="F660" s="33">
        <v>902</v>
      </c>
      <c r="G660" s="33">
        <v>26</v>
      </c>
      <c r="H660" s="13">
        <f t="shared" si="10"/>
        <v>30.066666666666666</v>
      </c>
    </row>
    <row r="661" spans="1:8" hidden="1" outlineLevel="2">
      <c r="A661" s="32" t="s">
        <v>797</v>
      </c>
      <c r="B661" s="32" t="s">
        <v>1858</v>
      </c>
      <c r="C661" s="32" t="s">
        <v>916</v>
      </c>
      <c r="D661" s="32" t="s">
        <v>825</v>
      </c>
      <c r="E661" s="33">
        <v>32</v>
      </c>
      <c r="F661" s="33">
        <v>961</v>
      </c>
      <c r="G661" s="33">
        <v>34</v>
      </c>
      <c r="H661" s="13">
        <f t="shared" si="10"/>
        <v>30.03125</v>
      </c>
    </row>
    <row r="662" spans="1:8" hidden="1" outlineLevel="2">
      <c r="A662" s="32" t="s">
        <v>797</v>
      </c>
      <c r="B662" s="32" t="s">
        <v>86</v>
      </c>
      <c r="C662" s="32" t="s">
        <v>899</v>
      </c>
      <c r="D662" s="32" t="s">
        <v>998</v>
      </c>
      <c r="E662" s="33">
        <v>68</v>
      </c>
      <c r="F662" s="33">
        <v>2041</v>
      </c>
      <c r="G662" s="33">
        <v>65</v>
      </c>
      <c r="H662" s="13">
        <f t="shared" si="10"/>
        <v>30.014705882352942</v>
      </c>
    </row>
    <row r="663" spans="1:8" hidden="1" outlineLevel="2">
      <c r="A663" s="32" t="s">
        <v>797</v>
      </c>
      <c r="B663" s="32" t="s">
        <v>1858</v>
      </c>
      <c r="C663" s="32" t="s">
        <v>910</v>
      </c>
      <c r="D663" s="32" t="s">
        <v>798</v>
      </c>
      <c r="E663" s="33">
        <v>35</v>
      </c>
      <c r="F663" s="33">
        <v>1046</v>
      </c>
      <c r="G663" s="33">
        <v>36</v>
      </c>
      <c r="H663" s="13">
        <f t="shared" si="10"/>
        <v>29.885714285714286</v>
      </c>
    </row>
    <row r="664" spans="1:8" hidden="1" outlineLevel="2">
      <c r="A664" s="32" t="s">
        <v>797</v>
      </c>
      <c r="B664" s="32" t="s">
        <v>1862</v>
      </c>
      <c r="C664" s="32" t="s">
        <v>1100</v>
      </c>
      <c r="D664" s="32" t="s">
        <v>1035</v>
      </c>
      <c r="E664" s="33">
        <v>12</v>
      </c>
      <c r="F664" s="33">
        <v>358</v>
      </c>
      <c r="G664" s="33">
        <v>10</v>
      </c>
      <c r="H664" s="13">
        <f t="shared" si="10"/>
        <v>29.833333333333332</v>
      </c>
    </row>
    <row r="665" spans="1:8" hidden="1" outlineLevel="2">
      <c r="A665" s="32" t="s">
        <v>797</v>
      </c>
      <c r="B665" s="32" t="s">
        <v>1862</v>
      </c>
      <c r="C665" s="32" t="s">
        <v>933</v>
      </c>
      <c r="D665" s="32" t="s">
        <v>822</v>
      </c>
      <c r="E665" s="33">
        <v>36</v>
      </c>
      <c r="F665" s="33">
        <v>1068</v>
      </c>
      <c r="G665" s="33">
        <v>36</v>
      </c>
      <c r="H665" s="13">
        <f t="shared" si="10"/>
        <v>29.666666666666668</v>
      </c>
    </row>
    <row r="666" spans="1:8" hidden="1" outlineLevel="2">
      <c r="A666" s="32" t="s">
        <v>797</v>
      </c>
      <c r="B666" s="32" t="s">
        <v>1862</v>
      </c>
      <c r="C666" s="32" t="s">
        <v>1170</v>
      </c>
      <c r="D666" s="32" t="s">
        <v>798</v>
      </c>
      <c r="E666" s="33">
        <v>30</v>
      </c>
      <c r="F666" s="33">
        <v>889</v>
      </c>
      <c r="G666" s="33">
        <v>25</v>
      </c>
      <c r="H666" s="13">
        <f t="shared" si="10"/>
        <v>29.633333333333333</v>
      </c>
    </row>
    <row r="667" spans="1:8" hidden="1" outlineLevel="2">
      <c r="A667" s="32" t="s">
        <v>797</v>
      </c>
      <c r="B667" s="32" t="s">
        <v>1862</v>
      </c>
      <c r="C667" s="32" t="s">
        <v>939</v>
      </c>
      <c r="D667" s="32" t="s">
        <v>958</v>
      </c>
      <c r="E667" s="33">
        <v>35</v>
      </c>
      <c r="F667" s="33">
        <v>1033</v>
      </c>
      <c r="G667" s="33">
        <v>34</v>
      </c>
      <c r="H667" s="13">
        <f t="shared" si="10"/>
        <v>29.514285714285716</v>
      </c>
    </row>
    <row r="668" spans="1:8" hidden="1" outlineLevel="2">
      <c r="A668" s="32" t="s">
        <v>797</v>
      </c>
      <c r="B668" s="32" t="s">
        <v>1858</v>
      </c>
      <c r="C668" s="32" t="s">
        <v>800</v>
      </c>
      <c r="D668" s="32" t="s">
        <v>891</v>
      </c>
      <c r="E668" s="33">
        <v>35</v>
      </c>
      <c r="F668" s="33">
        <v>1018</v>
      </c>
      <c r="G668" s="33">
        <v>33</v>
      </c>
      <c r="H668" s="13">
        <f t="shared" si="10"/>
        <v>29.085714285714285</v>
      </c>
    </row>
    <row r="669" spans="1:8" hidden="1" outlineLevel="2">
      <c r="A669" s="32" t="s">
        <v>797</v>
      </c>
      <c r="B669" s="32" t="s">
        <v>1858</v>
      </c>
      <c r="C669" s="32" t="s">
        <v>1207</v>
      </c>
      <c r="D669" s="32" t="s">
        <v>825</v>
      </c>
      <c r="E669" s="33">
        <v>24</v>
      </c>
      <c r="F669" s="33">
        <v>697</v>
      </c>
      <c r="G669" s="33">
        <v>23</v>
      </c>
      <c r="H669" s="13">
        <f t="shared" si="10"/>
        <v>29.041666666666668</v>
      </c>
    </row>
    <row r="670" spans="1:8" hidden="1" outlineLevel="2">
      <c r="A670" s="32" t="s">
        <v>797</v>
      </c>
      <c r="B670" s="32" t="s">
        <v>1858</v>
      </c>
      <c r="C670" s="32" t="s">
        <v>1143</v>
      </c>
      <c r="D670" s="32" t="s">
        <v>905</v>
      </c>
      <c r="E670" s="33">
        <v>52</v>
      </c>
      <c r="F670" s="33">
        <v>1509</v>
      </c>
      <c r="G670" s="33">
        <v>42</v>
      </c>
      <c r="H670" s="13">
        <f t="shared" si="10"/>
        <v>29.01923076923077</v>
      </c>
    </row>
    <row r="671" spans="1:8" hidden="1" outlineLevel="2">
      <c r="A671" s="32" t="s">
        <v>797</v>
      </c>
      <c r="B671" s="32" t="s">
        <v>86</v>
      </c>
      <c r="C671" s="32" t="s">
        <v>996</v>
      </c>
      <c r="D671" s="32" t="s">
        <v>853</v>
      </c>
      <c r="E671" s="33">
        <v>24</v>
      </c>
      <c r="F671" s="33">
        <v>688</v>
      </c>
      <c r="G671" s="33">
        <v>20</v>
      </c>
      <c r="H671" s="13">
        <f t="shared" si="10"/>
        <v>28.666666666666668</v>
      </c>
    </row>
    <row r="672" spans="1:8" hidden="1" outlineLevel="2">
      <c r="A672" s="32" t="s">
        <v>797</v>
      </c>
      <c r="B672" s="32" t="s">
        <v>1858</v>
      </c>
      <c r="C672" s="32" t="s">
        <v>899</v>
      </c>
      <c r="D672" s="32" t="s">
        <v>885</v>
      </c>
      <c r="E672" s="33">
        <v>18</v>
      </c>
      <c r="F672" s="33">
        <v>514</v>
      </c>
      <c r="G672" s="33">
        <v>14</v>
      </c>
      <c r="H672" s="13">
        <f t="shared" si="10"/>
        <v>28.555555555555557</v>
      </c>
    </row>
    <row r="673" spans="1:8" hidden="1" outlineLevel="2">
      <c r="A673" s="32" t="s">
        <v>797</v>
      </c>
      <c r="B673" s="32" t="s">
        <v>1858</v>
      </c>
      <c r="C673" s="32" t="s">
        <v>910</v>
      </c>
      <c r="D673" s="32" t="s">
        <v>911</v>
      </c>
      <c r="E673" s="33">
        <v>35</v>
      </c>
      <c r="F673" s="33">
        <v>997</v>
      </c>
      <c r="G673" s="33">
        <v>39</v>
      </c>
      <c r="H673" s="13">
        <f t="shared" si="10"/>
        <v>28.485714285714284</v>
      </c>
    </row>
    <row r="674" spans="1:8" hidden="1" outlineLevel="2">
      <c r="A674" s="32" t="s">
        <v>797</v>
      </c>
      <c r="B674" s="32" t="s">
        <v>1862</v>
      </c>
      <c r="C674" s="32" t="s">
        <v>1161</v>
      </c>
      <c r="D674" s="32" t="s">
        <v>798</v>
      </c>
      <c r="E674" s="33">
        <v>35</v>
      </c>
      <c r="F674" s="33">
        <v>992</v>
      </c>
      <c r="G674" s="33">
        <v>29</v>
      </c>
      <c r="H674" s="13">
        <f t="shared" si="10"/>
        <v>28.342857142857142</v>
      </c>
    </row>
    <row r="675" spans="1:8" hidden="1" outlineLevel="2">
      <c r="A675" s="32" t="s">
        <v>797</v>
      </c>
      <c r="B675" s="32" t="s">
        <v>1862</v>
      </c>
      <c r="C675" s="32" t="s">
        <v>963</v>
      </c>
      <c r="D675" s="32" t="s">
        <v>832</v>
      </c>
      <c r="E675" s="33">
        <v>35</v>
      </c>
      <c r="F675" s="33">
        <v>986</v>
      </c>
      <c r="G675" s="33">
        <v>34</v>
      </c>
      <c r="H675" s="13">
        <f t="shared" si="10"/>
        <v>28.171428571428571</v>
      </c>
    </row>
    <row r="676" spans="1:8" hidden="1" outlineLevel="2">
      <c r="A676" s="32" t="s">
        <v>797</v>
      </c>
      <c r="B676" s="32" t="s">
        <v>1862</v>
      </c>
      <c r="C676" s="32" t="s">
        <v>965</v>
      </c>
      <c r="D676" s="32" t="s">
        <v>832</v>
      </c>
      <c r="E676" s="33">
        <v>37</v>
      </c>
      <c r="F676" s="33">
        <v>1041</v>
      </c>
      <c r="G676" s="33">
        <v>37</v>
      </c>
      <c r="H676" s="13">
        <f t="shared" si="10"/>
        <v>28.135135135135137</v>
      </c>
    </row>
    <row r="677" spans="1:8" hidden="1" outlineLevel="2">
      <c r="A677" s="32" t="s">
        <v>797</v>
      </c>
      <c r="B677" s="32" t="s">
        <v>1858</v>
      </c>
      <c r="C677" s="32" t="s">
        <v>1078</v>
      </c>
      <c r="D677" s="32" t="s">
        <v>822</v>
      </c>
      <c r="E677" s="33">
        <v>35</v>
      </c>
      <c r="F677" s="33">
        <v>975</v>
      </c>
      <c r="G677" s="33">
        <v>35</v>
      </c>
      <c r="H677" s="13">
        <f t="shared" si="10"/>
        <v>27.857142857142858</v>
      </c>
    </row>
    <row r="678" spans="1:8" hidden="1" outlineLevel="2">
      <c r="A678" s="32" t="s">
        <v>797</v>
      </c>
      <c r="B678" s="32" t="s">
        <v>1862</v>
      </c>
      <c r="C678" s="32" t="s">
        <v>953</v>
      </c>
      <c r="D678" s="32" t="s">
        <v>822</v>
      </c>
      <c r="E678" s="33">
        <v>35</v>
      </c>
      <c r="F678" s="33">
        <v>974</v>
      </c>
      <c r="G678" s="33">
        <v>34</v>
      </c>
      <c r="H678" s="13">
        <f t="shared" si="10"/>
        <v>27.828571428571429</v>
      </c>
    </row>
    <row r="679" spans="1:8" hidden="1" outlineLevel="2">
      <c r="A679" s="32" t="s">
        <v>797</v>
      </c>
      <c r="B679" s="32" t="s">
        <v>1858</v>
      </c>
      <c r="C679" s="32" t="s">
        <v>982</v>
      </c>
      <c r="D679" s="32" t="s">
        <v>825</v>
      </c>
      <c r="E679" s="33">
        <v>35</v>
      </c>
      <c r="F679" s="33">
        <v>972</v>
      </c>
      <c r="G679" s="33">
        <v>28</v>
      </c>
      <c r="H679" s="13">
        <f t="shared" si="10"/>
        <v>27.771428571428572</v>
      </c>
    </row>
    <row r="680" spans="1:8" hidden="1" outlineLevel="2">
      <c r="A680" s="32" t="s">
        <v>797</v>
      </c>
      <c r="B680" s="32" t="s">
        <v>1858</v>
      </c>
      <c r="C680" s="32" t="s">
        <v>1055</v>
      </c>
      <c r="D680" s="32" t="s">
        <v>905</v>
      </c>
      <c r="E680" s="33">
        <v>70</v>
      </c>
      <c r="F680" s="33">
        <v>1940</v>
      </c>
      <c r="G680" s="33">
        <v>67</v>
      </c>
      <c r="H680" s="13">
        <f t="shared" si="10"/>
        <v>27.714285714285715</v>
      </c>
    </row>
    <row r="681" spans="1:8" hidden="1" outlineLevel="2">
      <c r="A681" s="32" t="s">
        <v>797</v>
      </c>
      <c r="B681" s="32" t="s">
        <v>1862</v>
      </c>
      <c r="C681" s="32" t="s">
        <v>945</v>
      </c>
      <c r="D681" s="32" t="s">
        <v>832</v>
      </c>
      <c r="E681" s="33">
        <v>30</v>
      </c>
      <c r="F681" s="33">
        <v>828</v>
      </c>
      <c r="G681" s="33">
        <v>29</v>
      </c>
      <c r="H681" s="13">
        <f t="shared" si="10"/>
        <v>27.6</v>
      </c>
    </row>
    <row r="682" spans="1:8" hidden="1" outlineLevel="2">
      <c r="A682" s="32" t="s">
        <v>797</v>
      </c>
      <c r="B682" s="32" t="s">
        <v>1858</v>
      </c>
      <c r="C682" s="32" t="s">
        <v>884</v>
      </c>
      <c r="D682" s="32" t="s">
        <v>885</v>
      </c>
      <c r="E682" s="33">
        <v>35</v>
      </c>
      <c r="F682" s="33">
        <v>963</v>
      </c>
      <c r="G682" s="33">
        <v>31</v>
      </c>
      <c r="H682" s="13">
        <f t="shared" si="10"/>
        <v>27.514285714285716</v>
      </c>
    </row>
    <row r="683" spans="1:8" hidden="1" outlineLevel="2">
      <c r="A683" s="32" t="s">
        <v>797</v>
      </c>
      <c r="B683" s="32" t="s">
        <v>1858</v>
      </c>
      <c r="C683" s="32" t="s">
        <v>914</v>
      </c>
      <c r="D683" s="32" t="s">
        <v>822</v>
      </c>
      <c r="E683" s="33">
        <v>34</v>
      </c>
      <c r="F683" s="33">
        <v>924</v>
      </c>
      <c r="G683" s="33">
        <v>34</v>
      </c>
      <c r="H683" s="13">
        <f t="shared" si="10"/>
        <v>27.176470588235293</v>
      </c>
    </row>
    <row r="684" spans="1:8" hidden="1" outlineLevel="2">
      <c r="A684" s="32" t="s">
        <v>797</v>
      </c>
      <c r="B684" s="32" t="s">
        <v>1858</v>
      </c>
      <c r="C684" s="32" t="s">
        <v>996</v>
      </c>
      <c r="D684" s="32" t="s">
        <v>1032</v>
      </c>
      <c r="E684" s="33">
        <v>29</v>
      </c>
      <c r="F684" s="33">
        <v>788</v>
      </c>
      <c r="G684" s="33">
        <v>25</v>
      </c>
      <c r="H684" s="13">
        <f t="shared" si="10"/>
        <v>27.172413793103448</v>
      </c>
    </row>
    <row r="685" spans="1:8" hidden="1" outlineLevel="2">
      <c r="A685" s="32" t="s">
        <v>797</v>
      </c>
      <c r="B685" s="32" t="s">
        <v>1862</v>
      </c>
      <c r="C685" s="32" t="s">
        <v>799</v>
      </c>
      <c r="D685" s="32" t="s">
        <v>798</v>
      </c>
      <c r="E685" s="33">
        <v>20</v>
      </c>
      <c r="F685" s="33">
        <v>540</v>
      </c>
      <c r="G685" s="33">
        <v>17</v>
      </c>
      <c r="H685" s="13">
        <f t="shared" si="10"/>
        <v>27</v>
      </c>
    </row>
    <row r="686" spans="1:8" hidden="1" outlineLevel="2">
      <c r="A686" s="32" t="s">
        <v>797</v>
      </c>
      <c r="B686" s="32" t="s">
        <v>86</v>
      </c>
      <c r="C686" s="32" t="s">
        <v>994</v>
      </c>
      <c r="D686" s="32" t="s">
        <v>1022</v>
      </c>
      <c r="E686" s="33">
        <v>24</v>
      </c>
      <c r="F686" s="33">
        <v>644</v>
      </c>
      <c r="G686" s="33">
        <v>20</v>
      </c>
      <c r="H686" s="13">
        <f t="shared" si="10"/>
        <v>26.833333333333332</v>
      </c>
    </row>
    <row r="687" spans="1:8" hidden="1" outlineLevel="2">
      <c r="A687" s="32" t="s">
        <v>797</v>
      </c>
      <c r="B687" s="32" t="s">
        <v>1862</v>
      </c>
      <c r="C687" s="32" t="s">
        <v>1097</v>
      </c>
      <c r="D687" s="32" t="s">
        <v>1030</v>
      </c>
      <c r="E687" s="33">
        <v>24</v>
      </c>
      <c r="F687" s="33">
        <v>644</v>
      </c>
      <c r="G687" s="33">
        <v>16</v>
      </c>
      <c r="H687" s="13">
        <f t="shared" si="10"/>
        <v>26.833333333333332</v>
      </c>
    </row>
    <row r="688" spans="1:8" hidden="1" outlineLevel="2">
      <c r="A688" s="32" t="s">
        <v>797</v>
      </c>
      <c r="B688" s="32" t="s">
        <v>1862</v>
      </c>
      <c r="C688" s="32" t="s">
        <v>1157</v>
      </c>
      <c r="D688" s="32" t="s">
        <v>832</v>
      </c>
      <c r="E688" s="33">
        <v>35</v>
      </c>
      <c r="F688" s="33">
        <v>938</v>
      </c>
      <c r="G688" s="33">
        <v>29</v>
      </c>
      <c r="H688" s="13">
        <f t="shared" si="10"/>
        <v>26.8</v>
      </c>
    </row>
    <row r="689" spans="1:8" hidden="1" outlineLevel="2">
      <c r="A689" s="32" t="s">
        <v>797</v>
      </c>
      <c r="B689" s="32" t="s">
        <v>1862</v>
      </c>
      <c r="C689" s="32" t="s">
        <v>1080</v>
      </c>
      <c r="D689" s="32" t="s">
        <v>998</v>
      </c>
      <c r="E689" s="33">
        <v>38</v>
      </c>
      <c r="F689" s="33">
        <v>1011</v>
      </c>
      <c r="G689" s="33">
        <v>32</v>
      </c>
      <c r="H689" s="13">
        <f t="shared" si="10"/>
        <v>26.605263157894736</v>
      </c>
    </row>
    <row r="690" spans="1:8" hidden="1" outlineLevel="2">
      <c r="A690" s="32" t="s">
        <v>797</v>
      </c>
      <c r="B690" s="32" t="s">
        <v>1862</v>
      </c>
      <c r="C690" s="32" t="s">
        <v>1157</v>
      </c>
      <c r="D690" s="32" t="s">
        <v>822</v>
      </c>
      <c r="E690" s="33">
        <v>48</v>
      </c>
      <c r="F690" s="33">
        <v>1275</v>
      </c>
      <c r="G690" s="33">
        <v>43</v>
      </c>
      <c r="H690" s="13">
        <f t="shared" si="10"/>
        <v>26.5625</v>
      </c>
    </row>
    <row r="691" spans="1:8" hidden="1" outlineLevel="2">
      <c r="A691" s="32" t="s">
        <v>797</v>
      </c>
      <c r="B691" s="32" t="s">
        <v>1858</v>
      </c>
      <c r="C691" s="32" t="s">
        <v>929</v>
      </c>
      <c r="D691" s="32" t="s">
        <v>872</v>
      </c>
      <c r="E691" s="33">
        <v>32</v>
      </c>
      <c r="F691" s="33">
        <v>849</v>
      </c>
      <c r="G691" s="33">
        <v>28</v>
      </c>
      <c r="H691" s="13">
        <f t="shared" si="10"/>
        <v>26.53125</v>
      </c>
    </row>
    <row r="692" spans="1:8" hidden="1" outlineLevel="2">
      <c r="A692" s="32" t="s">
        <v>797</v>
      </c>
      <c r="B692" s="32" t="s">
        <v>1858</v>
      </c>
      <c r="C692" s="32" t="s">
        <v>1173</v>
      </c>
      <c r="D692" s="32" t="s">
        <v>885</v>
      </c>
      <c r="E692" s="33">
        <v>30</v>
      </c>
      <c r="F692" s="33">
        <v>794</v>
      </c>
      <c r="G692" s="33">
        <v>29</v>
      </c>
      <c r="H692" s="13">
        <f t="shared" si="10"/>
        <v>26.466666666666665</v>
      </c>
    </row>
    <row r="693" spans="1:8" hidden="1" outlineLevel="2">
      <c r="A693" s="32" t="s">
        <v>797</v>
      </c>
      <c r="B693" s="32" t="s">
        <v>1862</v>
      </c>
      <c r="C693" s="32" t="s">
        <v>907</v>
      </c>
      <c r="D693" s="32" t="s">
        <v>832</v>
      </c>
      <c r="E693" s="33">
        <v>30</v>
      </c>
      <c r="F693" s="33">
        <v>792</v>
      </c>
      <c r="G693" s="33">
        <v>30</v>
      </c>
      <c r="H693" s="13">
        <f t="shared" si="10"/>
        <v>26.4</v>
      </c>
    </row>
    <row r="694" spans="1:8" hidden="1" outlineLevel="2">
      <c r="A694" s="32" t="s">
        <v>797</v>
      </c>
      <c r="B694" s="32" t="s">
        <v>86</v>
      </c>
      <c r="C694" s="32" t="s">
        <v>851</v>
      </c>
      <c r="D694" s="32" t="s">
        <v>1035</v>
      </c>
      <c r="E694" s="33">
        <v>30</v>
      </c>
      <c r="F694" s="33">
        <v>785</v>
      </c>
      <c r="G694" s="33">
        <v>32</v>
      </c>
      <c r="H694" s="13">
        <f t="shared" si="10"/>
        <v>26.166666666666668</v>
      </c>
    </row>
    <row r="695" spans="1:8" hidden="1" outlineLevel="2">
      <c r="A695" s="32" t="s">
        <v>797</v>
      </c>
      <c r="B695" s="32" t="s">
        <v>86</v>
      </c>
      <c r="C695" s="32" t="s">
        <v>1033</v>
      </c>
      <c r="D695" s="32" t="s">
        <v>861</v>
      </c>
      <c r="E695" s="33">
        <v>30</v>
      </c>
      <c r="F695" s="33">
        <v>780</v>
      </c>
      <c r="G695" s="33">
        <v>32</v>
      </c>
      <c r="H695" s="13">
        <f t="shared" si="10"/>
        <v>26</v>
      </c>
    </row>
    <row r="696" spans="1:8" hidden="1" outlineLevel="2">
      <c r="A696" s="32" t="s">
        <v>797</v>
      </c>
      <c r="B696" s="32" t="s">
        <v>1862</v>
      </c>
      <c r="C696" s="32" t="s">
        <v>1084</v>
      </c>
      <c r="D696" s="32" t="s">
        <v>825</v>
      </c>
      <c r="E696" s="33">
        <v>70</v>
      </c>
      <c r="F696" s="33">
        <v>1819</v>
      </c>
      <c r="G696" s="33">
        <v>66</v>
      </c>
      <c r="H696" s="13">
        <f t="shared" si="10"/>
        <v>25.985714285714284</v>
      </c>
    </row>
    <row r="697" spans="1:8" hidden="1" outlineLevel="2">
      <c r="A697" s="32" t="s">
        <v>797</v>
      </c>
      <c r="B697" s="32" t="s">
        <v>1858</v>
      </c>
      <c r="C697" s="32" t="s">
        <v>1052</v>
      </c>
      <c r="D697" s="32" t="s">
        <v>823</v>
      </c>
      <c r="E697" s="33">
        <v>48</v>
      </c>
      <c r="F697" s="33">
        <v>1228</v>
      </c>
      <c r="G697" s="33">
        <v>47</v>
      </c>
      <c r="H697" s="13">
        <f t="shared" si="10"/>
        <v>25.583333333333332</v>
      </c>
    </row>
    <row r="698" spans="1:8" hidden="1" outlineLevel="2">
      <c r="A698" s="32" t="s">
        <v>797</v>
      </c>
      <c r="B698" s="32" t="s">
        <v>1862</v>
      </c>
      <c r="C698" s="32" t="s">
        <v>963</v>
      </c>
      <c r="D698" s="32" t="s">
        <v>1003</v>
      </c>
      <c r="E698" s="33">
        <v>35</v>
      </c>
      <c r="F698" s="33">
        <v>894</v>
      </c>
      <c r="G698" s="33">
        <v>29</v>
      </c>
      <c r="H698" s="13">
        <f t="shared" si="10"/>
        <v>25.542857142857144</v>
      </c>
    </row>
    <row r="699" spans="1:8" hidden="1" outlineLevel="2">
      <c r="A699" s="32" t="s">
        <v>797</v>
      </c>
      <c r="B699" s="32" t="s">
        <v>1858</v>
      </c>
      <c r="C699" s="32" t="s">
        <v>1180</v>
      </c>
      <c r="D699" s="32" t="s">
        <v>825</v>
      </c>
      <c r="E699" s="33">
        <v>34</v>
      </c>
      <c r="F699" s="33">
        <v>859</v>
      </c>
      <c r="G699" s="33">
        <v>30</v>
      </c>
      <c r="H699" s="13">
        <f t="shared" si="10"/>
        <v>25.264705882352942</v>
      </c>
    </row>
    <row r="700" spans="1:8" hidden="1" outlineLevel="2">
      <c r="A700" s="32" t="s">
        <v>797</v>
      </c>
      <c r="B700" s="32" t="s">
        <v>1862</v>
      </c>
      <c r="C700" s="32" t="s">
        <v>953</v>
      </c>
      <c r="D700" s="32" t="s">
        <v>832</v>
      </c>
      <c r="E700" s="33">
        <v>24</v>
      </c>
      <c r="F700" s="33">
        <v>606</v>
      </c>
      <c r="G700" s="33">
        <v>16</v>
      </c>
      <c r="H700" s="13">
        <f t="shared" si="10"/>
        <v>25.25</v>
      </c>
    </row>
    <row r="701" spans="1:8" hidden="1" outlineLevel="2">
      <c r="A701" s="32" t="s">
        <v>797</v>
      </c>
      <c r="B701" s="32" t="s">
        <v>1862</v>
      </c>
      <c r="C701" s="32" t="s">
        <v>963</v>
      </c>
      <c r="D701" s="32" t="s">
        <v>822</v>
      </c>
      <c r="E701" s="33">
        <v>35</v>
      </c>
      <c r="F701" s="33">
        <v>881</v>
      </c>
      <c r="G701" s="33">
        <v>36</v>
      </c>
      <c r="H701" s="13">
        <f t="shared" si="10"/>
        <v>25.171428571428571</v>
      </c>
    </row>
    <row r="702" spans="1:8" hidden="1" outlineLevel="2">
      <c r="A702" s="32" t="s">
        <v>797</v>
      </c>
      <c r="B702" s="32" t="s">
        <v>1858</v>
      </c>
      <c r="C702" s="32" t="s">
        <v>984</v>
      </c>
      <c r="D702" s="32" t="s">
        <v>825</v>
      </c>
      <c r="E702" s="33">
        <v>30</v>
      </c>
      <c r="F702" s="33">
        <v>755</v>
      </c>
      <c r="G702" s="33">
        <v>27</v>
      </c>
      <c r="H702" s="13">
        <f t="shared" si="10"/>
        <v>25.166666666666668</v>
      </c>
    </row>
    <row r="703" spans="1:8" hidden="1" outlineLevel="2">
      <c r="A703" s="32" t="s">
        <v>797</v>
      </c>
      <c r="B703" s="32" t="s">
        <v>1858</v>
      </c>
      <c r="C703" s="32" t="s">
        <v>979</v>
      </c>
      <c r="D703" s="32" t="s">
        <v>911</v>
      </c>
      <c r="E703" s="33">
        <v>34</v>
      </c>
      <c r="F703" s="33">
        <v>854</v>
      </c>
      <c r="G703" s="33">
        <v>33</v>
      </c>
      <c r="H703" s="13">
        <f t="shared" si="10"/>
        <v>25.117647058823529</v>
      </c>
    </row>
    <row r="704" spans="1:8" hidden="1" outlineLevel="2">
      <c r="A704" s="32" t="s">
        <v>797</v>
      </c>
      <c r="B704" s="32" t="s">
        <v>1858</v>
      </c>
      <c r="C704" s="32" t="s">
        <v>1117</v>
      </c>
      <c r="D704" s="32" t="s">
        <v>839</v>
      </c>
      <c r="E704" s="33">
        <v>28</v>
      </c>
      <c r="F704" s="33">
        <v>699</v>
      </c>
      <c r="G704" s="33">
        <v>28</v>
      </c>
      <c r="H704" s="13">
        <f t="shared" si="10"/>
        <v>24.964285714285715</v>
      </c>
    </row>
    <row r="705" spans="1:8" hidden="1" outlineLevel="2">
      <c r="A705" s="32" t="s">
        <v>797</v>
      </c>
      <c r="B705" s="32" t="s">
        <v>1858</v>
      </c>
      <c r="C705" s="32" t="s">
        <v>988</v>
      </c>
      <c r="D705" s="32" t="s">
        <v>885</v>
      </c>
      <c r="E705" s="33">
        <v>35</v>
      </c>
      <c r="F705" s="33">
        <v>873</v>
      </c>
      <c r="G705" s="33">
        <v>32</v>
      </c>
      <c r="H705" s="13">
        <f t="shared" si="10"/>
        <v>24.942857142857143</v>
      </c>
    </row>
    <row r="706" spans="1:8" hidden="1" outlineLevel="2">
      <c r="A706" s="32" t="s">
        <v>797</v>
      </c>
      <c r="B706" s="32" t="s">
        <v>1858</v>
      </c>
      <c r="C706" s="32" t="s">
        <v>910</v>
      </c>
      <c r="D706" s="32" t="s">
        <v>832</v>
      </c>
      <c r="E706" s="33">
        <v>35</v>
      </c>
      <c r="F706" s="33">
        <v>868</v>
      </c>
      <c r="G706" s="33">
        <v>37</v>
      </c>
      <c r="H706" s="13">
        <f t="shared" ref="H706:H769" si="11">IFERROR(F706/E706,"")</f>
        <v>24.8</v>
      </c>
    </row>
    <row r="707" spans="1:8" hidden="1" outlineLevel="2">
      <c r="A707" s="32" t="s">
        <v>797</v>
      </c>
      <c r="B707" s="32" t="s">
        <v>1858</v>
      </c>
      <c r="C707" s="32" t="s">
        <v>818</v>
      </c>
      <c r="D707" s="32" t="s">
        <v>819</v>
      </c>
      <c r="E707" s="33">
        <v>24</v>
      </c>
      <c r="F707" s="33">
        <v>590</v>
      </c>
      <c r="G707" s="33">
        <v>24</v>
      </c>
      <c r="H707" s="13">
        <f t="shared" si="11"/>
        <v>24.583333333333332</v>
      </c>
    </row>
    <row r="708" spans="1:8" hidden="1" outlineLevel="2">
      <c r="A708" s="32" t="s">
        <v>797</v>
      </c>
      <c r="B708" s="32" t="s">
        <v>1862</v>
      </c>
      <c r="C708" s="32" t="s">
        <v>1162</v>
      </c>
      <c r="D708" s="32" t="s">
        <v>825</v>
      </c>
      <c r="E708" s="33">
        <v>30</v>
      </c>
      <c r="F708" s="33">
        <v>735</v>
      </c>
      <c r="G708" s="33">
        <v>27</v>
      </c>
      <c r="H708" s="13">
        <f t="shared" si="11"/>
        <v>24.5</v>
      </c>
    </row>
    <row r="709" spans="1:8" hidden="1" outlineLevel="2">
      <c r="A709" s="32" t="s">
        <v>797</v>
      </c>
      <c r="B709" s="32" t="s">
        <v>1858</v>
      </c>
      <c r="C709" s="32" t="s">
        <v>1163</v>
      </c>
      <c r="D709" s="32" t="s">
        <v>798</v>
      </c>
      <c r="E709" s="33">
        <v>53</v>
      </c>
      <c r="F709" s="33">
        <v>1298</v>
      </c>
      <c r="G709" s="33">
        <v>53</v>
      </c>
      <c r="H709" s="13">
        <f t="shared" si="11"/>
        <v>24.490566037735849</v>
      </c>
    </row>
    <row r="710" spans="1:8" hidden="1" outlineLevel="2">
      <c r="A710" s="32" t="s">
        <v>797</v>
      </c>
      <c r="B710" s="32" t="s">
        <v>1858</v>
      </c>
      <c r="C710" s="32" t="s">
        <v>1067</v>
      </c>
      <c r="D710" s="32" t="s">
        <v>837</v>
      </c>
      <c r="E710" s="33">
        <v>30</v>
      </c>
      <c r="F710" s="33">
        <v>734</v>
      </c>
      <c r="G710" s="33">
        <v>30</v>
      </c>
      <c r="H710" s="13">
        <f t="shared" si="11"/>
        <v>24.466666666666665</v>
      </c>
    </row>
    <row r="711" spans="1:8" hidden="1" outlineLevel="2">
      <c r="A711" s="32" t="s">
        <v>797</v>
      </c>
      <c r="B711" s="32" t="s">
        <v>1862</v>
      </c>
      <c r="C711" s="32" t="s">
        <v>1168</v>
      </c>
      <c r="D711" s="32" t="s">
        <v>958</v>
      </c>
      <c r="E711" s="33">
        <v>35</v>
      </c>
      <c r="F711" s="33">
        <v>854</v>
      </c>
      <c r="G711" s="33">
        <v>31</v>
      </c>
      <c r="H711" s="13">
        <f t="shared" si="11"/>
        <v>24.4</v>
      </c>
    </row>
    <row r="712" spans="1:8" hidden="1" outlineLevel="2">
      <c r="A712" s="32" t="s">
        <v>797</v>
      </c>
      <c r="B712" s="32" t="s">
        <v>1858</v>
      </c>
      <c r="C712" s="32" t="s">
        <v>1149</v>
      </c>
      <c r="D712" s="32" t="s">
        <v>839</v>
      </c>
      <c r="E712" s="33">
        <v>30</v>
      </c>
      <c r="F712" s="33">
        <v>725</v>
      </c>
      <c r="G712" s="33">
        <v>26</v>
      </c>
      <c r="H712" s="13">
        <f t="shared" si="11"/>
        <v>24.166666666666668</v>
      </c>
    </row>
    <row r="713" spans="1:8" hidden="1" outlineLevel="2">
      <c r="A713" s="32" t="s">
        <v>797</v>
      </c>
      <c r="B713" s="32" t="s">
        <v>1862</v>
      </c>
      <c r="C713" s="32" t="s">
        <v>1085</v>
      </c>
      <c r="D713" s="32" t="s">
        <v>822</v>
      </c>
      <c r="E713" s="33">
        <v>35</v>
      </c>
      <c r="F713" s="33">
        <v>842</v>
      </c>
      <c r="G713" s="33">
        <v>35</v>
      </c>
      <c r="H713" s="13">
        <f t="shared" si="11"/>
        <v>24.057142857142857</v>
      </c>
    </row>
    <row r="714" spans="1:8" hidden="1" outlineLevel="2">
      <c r="A714" s="32" t="s">
        <v>797</v>
      </c>
      <c r="B714" s="32" t="s">
        <v>1858</v>
      </c>
      <c r="C714" s="32" t="s">
        <v>1108</v>
      </c>
      <c r="D714" s="32" t="s">
        <v>819</v>
      </c>
      <c r="E714" s="33">
        <v>35</v>
      </c>
      <c r="F714" s="33">
        <v>839</v>
      </c>
      <c r="G714" s="33">
        <v>28</v>
      </c>
      <c r="H714" s="13">
        <f t="shared" si="11"/>
        <v>23.971428571428572</v>
      </c>
    </row>
    <row r="715" spans="1:8" hidden="1" outlineLevel="2">
      <c r="A715" s="32" t="s">
        <v>797</v>
      </c>
      <c r="B715" s="32" t="s">
        <v>1858</v>
      </c>
      <c r="C715" s="32" t="s">
        <v>983</v>
      </c>
      <c r="D715" s="32" t="s">
        <v>822</v>
      </c>
      <c r="E715" s="33">
        <v>35</v>
      </c>
      <c r="F715" s="33">
        <v>836</v>
      </c>
      <c r="G715" s="33">
        <v>35</v>
      </c>
      <c r="H715" s="13">
        <f t="shared" si="11"/>
        <v>23.885714285714286</v>
      </c>
    </row>
    <row r="716" spans="1:8" hidden="1" outlineLevel="2">
      <c r="A716" s="32" t="s">
        <v>797</v>
      </c>
      <c r="B716" s="32" t="s">
        <v>1858</v>
      </c>
      <c r="C716" s="32" t="s">
        <v>909</v>
      </c>
      <c r="D716" s="32" t="s">
        <v>823</v>
      </c>
      <c r="E716" s="33">
        <v>32</v>
      </c>
      <c r="F716" s="33">
        <v>761</v>
      </c>
      <c r="G716" s="33">
        <v>34</v>
      </c>
      <c r="H716" s="13">
        <f t="shared" si="11"/>
        <v>23.78125</v>
      </c>
    </row>
    <row r="717" spans="1:8" hidden="1" outlineLevel="2">
      <c r="A717" s="32" t="s">
        <v>797</v>
      </c>
      <c r="B717" s="32" t="s">
        <v>86</v>
      </c>
      <c r="C717" s="32" t="s">
        <v>859</v>
      </c>
      <c r="D717" s="32" t="s">
        <v>883</v>
      </c>
      <c r="E717" s="33">
        <v>24</v>
      </c>
      <c r="F717" s="33">
        <v>568</v>
      </c>
      <c r="G717" s="33">
        <v>23</v>
      </c>
      <c r="H717" s="13">
        <f t="shared" si="11"/>
        <v>23.666666666666668</v>
      </c>
    </row>
    <row r="718" spans="1:8" hidden="1" outlineLevel="2">
      <c r="A718" s="32" t="s">
        <v>797</v>
      </c>
      <c r="B718" s="32" t="s">
        <v>1858</v>
      </c>
      <c r="C718" s="32" t="s">
        <v>1053</v>
      </c>
      <c r="D718" s="32" t="s">
        <v>822</v>
      </c>
      <c r="E718" s="33">
        <v>35</v>
      </c>
      <c r="F718" s="33">
        <v>822</v>
      </c>
      <c r="G718" s="33">
        <v>24</v>
      </c>
      <c r="H718" s="13">
        <f t="shared" si="11"/>
        <v>23.485714285714284</v>
      </c>
    </row>
    <row r="719" spans="1:8" hidden="1" outlineLevel="2">
      <c r="A719" s="32" t="s">
        <v>797</v>
      </c>
      <c r="B719" s="32" t="s">
        <v>1862</v>
      </c>
      <c r="C719" s="32" t="s">
        <v>892</v>
      </c>
      <c r="D719" s="32" t="s">
        <v>1003</v>
      </c>
      <c r="E719" s="33">
        <v>24</v>
      </c>
      <c r="F719" s="33">
        <v>563</v>
      </c>
      <c r="G719" s="33">
        <v>18</v>
      </c>
      <c r="H719" s="13">
        <f t="shared" si="11"/>
        <v>23.458333333333332</v>
      </c>
    </row>
    <row r="720" spans="1:8" hidden="1" outlineLevel="2">
      <c r="A720" s="32" t="s">
        <v>797</v>
      </c>
      <c r="B720" s="32" t="s">
        <v>86</v>
      </c>
      <c r="C720" s="32" t="s">
        <v>1204</v>
      </c>
      <c r="D720" s="32" t="s">
        <v>923</v>
      </c>
      <c r="E720" s="33">
        <v>72</v>
      </c>
      <c r="F720" s="33">
        <v>1682</v>
      </c>
      <c r="G720" s="33">
        <v>63</v>
      </c>
      <c r="H720" s="13">
        <f t="shared" si="11"/>
        <v>23.361111111111111</v>
      </c>
    </row>
    <row r="721" spans="1:8" hidden="1" outlineLevel="2">
      <c r="A721" s="32" t="s">
        <v>797</v>
      </c>
      <c r="B721" s="32" t="s">
        <v>1862</v>
      </c>
      <c r="C721" s="32" t="s">
        <v>950</v>
      </c>
      <c r="D721" s="32" t="s">
        <v>822</v>
      </c>
      <c r="E721" s="33">
        <v>59</v>
      </c>
      <c r="F721" s="33">
        <v>1374</v>
      </c>
      <c r="G721" s="33">
        <v>59</v>
      </c>
      <c r="H721" s="13">
        <f t="shared" si="11"/>
        <v>23.288135593220339</v>
      </c>
    </row>
    <row r="722" spans="1:8" hidden="1" outlineLevel="2">
      <c r="A722" s="32" t="s">
        <v>797</v>
      </c>
      <c r="B722" s="32" t="s">
        <v>1858</v>
      </c>
      <c r="C722" s="32" t="s">
        <v>892</v>
      </c>
      <c r="D722" s="32" t="s">
        <v>798</v>
      </c>
      <c r="E722" s="33">
        <v>35</v>
      </c>
      <c r="F722" s="33">
        <v>812</v>
      </c>
      <c r="G722" s="33">
        <v>33</v>
      </c>
      <c r="H722" s="13">
        <f t="shared" si="11"/>
        <v>23.2</v>
      </c>
    </row>
    <row r="723" spans="1:8" hidden="1" outlineLevel="2">
      <c r="A723" s="32" t="s">
        <v>797</v>
      </c>
      <c r="B723" s="32" t="s">
        <v>1862</v>
      </c>
      <c r="C723" s="32" t="s">
        <v>1091</v>
      </c>
      <c r="D723" s="32" t="s">
        <v>1003</v>
      </c>
      <c r="E723" s="33">
        <v>30</v>
      </c>
      <c r="F723" s="33">
        <v>694</v>
      </c>
      <c r="G723" s="33">
        <v>23</v>
      </c>
      <c r="H723" s="13">
        <f t="shared" si="11"/>
        <v>23.133333333333333</v>
      </c>
    </row>
    <row r="724" spans="1:8" hidden="1" outlineLevel="2">
      <c r="A724" s="32" t="s">
        <v>797</v>
      </c>
      <c r="B724" s="32" t="s">
        <v>1858</v>
      </c>
      <c r="C724" s="32" t="s">
        <v>980</v>
      </c>
      <c r="D724" s="32" t="s">
        <v>958</v>
      </c>
      <c r="E724" s="33">
        <v>34</v>
      </c>
      <c r="F724" s="33">
        <v>786</v>
      </c>
      <c r="G724" s="33">
        <v>33</v>
      </c>
      <c r="H724" s="13">
        <f t="shared" si="11"/>
        <v>23.117647058823529</v>
      </c>
    </row>
    <row r="725" spans="1:8" hidden="1" outlineLevel="2">
      <c r="A725" s="32" t="s">
        <v>797</v>
      </c>
      <c r="B725" s="32" t="s">
        <v>1858</v>
      </c>
      <c r="C725" s="32" t="s">
        <v>916</v>
      </c>
      <c r="D725" s="32" t="s">
        <v>822</v>
      </c>
      <c r="E725" s="33">
        <v>32</v>
      </c>
      <c r="F725" s="33">
        <v>738</v>
      </c>
      <c r="G725" s="33">
        <v>33</v>
      </c>
      <c r="H725" s="13">
        <f t="shared" si="11"/>
        <v>23.0625</v>
      </c>
    </row>
    <row r="726" spans="1:8" hidden="1" outlineLevel="2">
      <c r="A726" s="32" t="s">
        <v>797</v>
      </c>
      <c r="B726" s="32" t="s">
        <v>1858</v>
      </c>
      <c r="C726" s="32" t="s">
        <v>913</v>
      </c>
      <c r="D726" s="32" t="s">
        <v>991</v>
      </c>
      <c r="E726" s="33">
        <v>35</v>
      </c>
      <c r="F726" s="33">
        <v>807</v>
      </c>
      <c r="G726" s="33">
        <v>34</v>
      </c>
      <c r="H726" s="13">
        <f t="shared" si="11"/>
        <v>23.057142857142857</v>
      </c>
    </row>
    <row r="727" spans="1:8" hidden="1" outlineLevel="2">
      <c r="A727" s="32" t="s">
        <v>797</v>
      </c>
      <c r="B727" s="32" t="s">
        <v>1858</v>
      </c>
      <c r="C727" s="32" t="s">
        <v>1144</v>
      </c>
      <c r="D727" s="32" t="s">
        <v>798</v>
      </c>
      <c r="E727" s="33">
        <v>33</v>
      </c>
      <c r="F727" s="33">
        <v>757</v>
      </c>
      <c r="G727" s="33">
        <v>36</v>
      </c>
      <c r="H727" s="13">
        <f t="shared" si="11"/>
        <v>22.939393939393938</v>
      </c>
    </row>
    <row r="728" spans="1:8" hidden="1" outlineLevel="2">
      <c r="A728" s="32" t="s">
        <v>797</v>
      </c>
      <c r="B728" s="32" t="s">
        <v>1858</v>
      </c>
      <c r="C728" s="32" t="s">
        <v>1237</v>
      </c>
      <c r="D728" s="32" t="s">
        <v>819</v>
      </c>
      <c r="E728" s="33">
        <v>24</v>
      </c>
      <c r="F728" s="33">
        <v>550</v>
      </c>
      <c r="G728" s="33">
        <v>23</v>
      </c>
      <c r="H728" s="13">
        <f t="shared" si="11"/>
        <v>22.916666666666668</v>
      </c>
    </row>
    <row r="729" spans="1:8" hidden="1" outlineLevel="2">
      <c r="A729" s="32" t="s">
        <v>797</v>
      </c>
      <c r="B729" s="32" t="s">
        <v>1858</v>
      </c>
      <c r="C729" s="32" t="s">
        <v>982</v>
      </c>
      <c r="D729" s="32" t="s">
        <v>832</v>
      </c>
      <c r="E729" s="33">
        <v>35</v>
      </c>
      <c r="F729" s="33">
        <v>798</v>
      </c>
      <c r="G729" s="33">
        <v>30</v>
      </c>
      <c r="H729" s="13">
        <f t="shared" si="11"/>
        <v>22.8</v>
      </c>
    </row>
    <row r="730" spans="1:8" hidden="1" outlineLevel="2">
      <c r="A730" s="32" t="s">
        <v>797</v>
      </c>
      <c r="B730" s="32" t="s">
        <v>1862</v>
      </c>
      <c r="C730" s="32" t="s">
        <v>1169</v>
      </c>
      <c r="D730" s="32" t="s">
        <v>798</v>
      </c>
      <c r="E730" s="33">
        <v>35</v>
      </c>
      <c r="F730" s="33">
        <v>796</v>
      </c>
      <c r="G730" s="33">
        <v>31</v>
      </c>
      <c r="H730" s="13">
        <f t="shared" si="11"/>
        <v>22.742857142857144</v>
      </c>
    </row>
    <row r="731" spans="1:8" hidden="1" outlineLevel="2">
      <c r="A731" s="32" t="s">
        <v>797</v>
      </c>
      <c r="B731" s="32" t="s">
        <v>1858</v>
      </c>
      <c r="C731" s="32" t="s">
        <v>914</v>
      </c>
      <c r="D731" s="32" t="s">
        <v>832</v>
      </c>
      <c r="E731" s="33">
        <v>34</v>
      </c>
      <c r="F731" s="33">
        <v>773</v>
      </c>
      <c r="G731" s="33">
        <v>34</v>
      </c>
      <c r="H731" s="13">
        <f t="shared" si="11"/>
        <v>22.735294117647058</v>
      </c>
    </row>
    <row r="732" spans="1:8" hidden="1" outlineLevel="2">
      <c r="A732" s="32" t="s">
        <v>797</v>
      </c>
      <c r="B732" s="32" t="s">
        <v>1858</v>
      </c>
      <c r="C732" s="32" t="s">
        <v>908</v>
      </c>
      <c r="D732" s="32" t="s">
        <v>872</v>
      </c>
      <c r="E732" s="33">
        <v>30</v>
      </c>
      <c r="F732" s="33">
        <v>682</v>
      </c>
      <c r="G732" s="33">
        <v>27</v>
      </c>
      <c r="H732" s="13">
        <f t="shared" si="11"/>
        <v>22.733333333333334</v>
      </c>
    </row>
    <row r="733" spans="1:8" hidden="1" outlineLevel="2">
      <c r="A733" s="32" t="s">
        <v>797</v>
      </c>
      <c r="B733" s="32" t="s">
        <v>1862</v>
      </c>
      <c r="C733" s="32" t="s">
        <v>1092</v>
      </c>
      <c r="D733" s="32" t="s">
        <v>844</v>
      </c>
      <c r="E733" s="33">
        <v>24</v>
      </c>
      <c r="F733" s="33">
        <v>542</v>
      </c>
      <c r="G733" s="33">
        <v>24</v>
      </c>
      <c r="H733" s="13">
        <f t="shared" si="11"/>
        <v>22.583333333333332</v>
      </c>
    </row>
    <row r="734" spans="1:8" hidden="1" outlineLevel="2">
      <c r="A734" s="32" t="s">
        <v>797</v>
      </c>
      <c r="B734" s="32" t="s">
        <v>86</v>
      </c>
      <c r="C734" s="32" t="s">
        <v>851</v>
      </c>
      <c r="D734" s="32" t="s">
        <v>853</v>
      </c>
      <c r="E734" s="33">
        <v>35</v>
      </c>
      <c r="F734" s="33">
        <v>790</v>
      </c>
      <c r="G734" s="33">
        <v>39</v>
      </c>
      <c r="H734" s="13">
        <f t="shared" si="11"/>
        <v>22.571428571428573</v>
      </c>
    </row>
    <row r="735" spans="1:8" hidden="1" outlineLevel="2">
      <c r="A735" s="32" t="s">
        <v>797</v>
      </c>
      <c r="B735" s="32" t="s">
        <v>86</v>
      </c>
      <c r="C735" s="32" t="s">
        <v>835</v>
      </c>
      <c r="D735" s="32" t="s">
        <v>836</v>
      </c>
      <c r="E735" s="33">
        <v>24</v>
      </c>
      <c r="F735" s="33">
        <v>537</v>
      </c>
      <c r="G735" s="33">
        <v>19</v>
      </c>
      <c r="H735" s="13">
        <f t="shared" si="11"/>
        <v>22.375</v>
      </c>
    </row>
    <row r="736" spans="1:8" hidden="1" outlineLevel="2">
      <c r="A736" s="32" t="s">
        <v>797</v>
      </c>
      <c r="B736" s="32" t="s">
        <v>1862</v>
      </c>
      <c r="C736" s="32" t="s">
        <v>1084</v>
      </c>
      <c r="D736" s="32" t="s">
        <v>861</v>
      </c>
      <c r="E736" s="33">
        <v>24</v>
      </c>
      <c r="F736" s="33">
        <v>537</v>
      </c>
      <c r="G736" s="33">
        <v>24</v>
      </c>
      <c r="H736" s="13">
        <f t="shared" si="11"/>
        <v>22.375</v>
      </c>
    </row>
    <row r="737" spans="1:8" hidden="1" outlineLevel="2">
      <c r="A737" s="32" t="s">
        <v>797</v>
      </c>
      <c r="B737" s="32" t="s">
        <v>1858</v>
      </c>
      <c r="C737" s="32" t="s">
        <v>1179</v>
      </c>
      <c r="D737" s="32" t="s">
        <v>798</v>
      </c>
      <c r="E737" s="33">
        <v>36</v>
      </c>
      <c r="F737" s="33">
        <v>804</v>
      </c>
      <c r="G737" s="33">
        <v>28</v>
      </c>
      <c r="H737" s="13">
        <f t="shared" si="11"/>
        <v>22.333333333333332</v>
      </c>
    </row>
    <row r="738" spans="1:8" hidden="1" outlineLevel="2">
      <c r="A738" s="32" t="s">
        <v>797</v>
      </c>
      <c r="B738" s="32" t="s">
        <v>86</v>
      </c>
      <c r="C738" s="32" t="s">
        <v>1029</v>
      </c>
      <c r="D738" s="32" t="s">
        <v>853</v>
      </c>
      <c r="E738" s="33">
        <v>35</v>
      </c>
      <c r="F738" s="33">
        <v>780</v>
      </c>
      <c r="G738" s="33">
        <v>32</v>
      </c>
      <c r="H738" s="13">
        <f t="shared" si="11"/>
        <v>22.285714285714285</v>
      </c>
    </row>
    <row r="739" spans="1:8" hidden="1" outlineLevel="2">
      <c r="A739" s="32" t="s">
        <v>797</v>
      </c>
      <c r="B739" s="32" t="s">
        <v>86</v>
      </c>
      <c r="C739" s="32" t="s">
        <v>835</v>
      </c>
      <c r="D739" s="32" t="s">
        <v>838</v>
      </c>
      <c r="E739" s="33">
        <v>15</v>
      </c>
      <c r="F739" s="33">
        <v>333</v>
      </c>
      <c r="G739" s="33">
        <v>14</v>
      </c>
      <c r="H739" s="13">
        <f t="shared" si="11"/>
        <v>22.2</v>
      </c>
    </row>
    <row r="740" spans="1:8" hidden="1" outlineLevel="2">
      <c r="A740" s="32" t="s">
        <v>797</v>
      </c>
      <c r="B740" s="32" t="s">
        <v>1858</v>
      </c>
      <c r="C740" s="32" t="s">
        <v>887</v>
      </c>
      <c r="D740" s="32" t="s">
        <v>885</v>
      </c>
      <c r="E740" s="33">
        <v>35</v>
      </c>
      <c r="F740" s="33">
        <v>776</v>
      </c>
      <c r="G740" s="33">
        <v>32</v>
      </c>
      <c r="H740" s="13">
        <f t="shared" si="11"/>
        <v>22.171428571428571</v>
      </c>
    </row>
    <row r="741" spans="1:8" hidden="1" outlineLevel="2">
      <c r="A741" s="32" t="s">
        <v>797</v>
      </c>
      <c r="B741" s="32" t="s">
        <v>86</v>
      </c>
      <c r="C741" s="32" t="s">
        <v>841</v>
      </c>
      <c r="D741" s="32" t="s">
        <v>846</v>
      </c>
      <c r="E741" s="33">
        <v>30</v>
      </c>
      <c r="F741" s="33">
        <v>665</v>
      </c>
      <c r="G741" s="33">
        <v>28</v>
      </c>
      <c r="H741" s="13">
        <f t="shared" si="11"/>
        <v>22.166666666666668</v>
      </c>
    </row>
    <row r="742" spans="1:8" hidden="1" outlineLevel="2">
      <c r="A742" s="32" t="s">
        <v>797</v>
      </c>
      <c r="B742" s="32" t="s">
        <v>1862</v>
      </c>
      <c r="C742" s="32" t="s">
        <v>950</v>
      </c>
      <c r="D742" s="32" t="s">
        <v>832</v>
      </c>
      <c r="E742" s="33">
        <v>35</v>
      </c>
      <c r="F742" s="33">
        <v>775</v>
      </c>
      <c r="G742" s="33">
        <v>33</v>
      </c>
      <c r="H742" s="13">
        <f t="shared" si="11"/>
        <v>22.142857142857142</v>
      </c>
    </row>
    <row r="743" spans="1:8" hidden="1" outlineLevel="2">
      <c r="A743" s="32" t="s">
        <v>797</v>
      </c>
      <c r="B743" s="32" t="s">
        <v>1862</v>
      </c>
      <c r="C743" s="32" t="s">
        <v>1087</v>
      </c>
      <c r="D743" s="32" t="s">
        <v>852</v>
      </c>
      <c r="E743" s="33">
        <v>30</v>
      </c>
      <c r="F743" s="33">
        <v>660</v>
      </c>
      <c r="G743" s="33">
        <v>27</v>
      </c>
      <c r="H743" s="13">
        <f t="shared" si="11"/>
        <v>22</v>
      </c>
    </row>
    <row r="744" spans="1:8" hidden="1" outlineLevel="2">
      <c r="A744" s="32" t="s">
        <v>797</v>
      </c>
      <c r="B744" s="32" t="s">
        <v>1862</v>
      </c>
      <c r="C744" s="32" t="s">
        <v>1183</v>
      </c>
      <c r="D744" s="32" t="s">
        <v>1184</v>
      </c>
      <c r="E744" s="33">
        <v>15</v>
      </c>
      <c r="F744" s="33">
        <v>330</v>
      </c>
      <c r="G744" s="33">
        <v>15</v>
      </c>
      <c r="H744" s="13">
        <f t="shared" si="11"/>
        <v>22</v>
      </c>
    </row>
    <row r="745" spans="1:8" hidden="1" outlineLevel="2">
      <c r="A745" s="32" t="s">
        <v>797</v>
      </c>
      <c r="B745" s="32" t="s">
        <v>1862</v>
      </c>
      <c r="C745" s="32" t="s">
        <v>1219</v>
      </c>
      <c r="D745" s="32" t="s">
        <v>798</v>
      </c>
      <c r="E745" s="33">
        <v>32</v>
      </c>
      <c r="F745" s="33">
        <v>703</v>
      </c>
      <c r="G745" s="33">
        <v>31</v>
      </c>
      <c r="H745" s="13">
        <f t="shared" si="11"/>
        <v>21.96875</v>
      </c>
    </row>
    <row r="746" spans="1:8" hidden="1" outlineLevel="2">
      <c r="A746" s="32" t="s">
        <v>797</v>
      </c>
      <c r="B746" s="32" t="s">
        <v>1858</v>
      </c>
      <c r="C746" s="32" t="s">
        <v>1123</v>
      </c>
      <c r="D746" s="32" t="s">
        <v>825</v>
      </c>
      <c r="E746" s="33">
        <v>35</v>
      </c>
      <c r="F746" s="33">
        <v>768</v>
      </c>
      <c r="G746" s="33">
        <v>34</v>
      </c>
      <c r="H746" s="13">
        <f t="shared" si="11"/>
        <v>21.942857142857143</v>
      </c>
    </row>
    <row r="747" spans="1:8" hidden="1" outlineLevel="2">
      <c r="A747" s="32" t="s">
        <v>797</v>
      </c>
      <c r="B747" s="32" t="s">
        <v>1862</v>
      </c>
      <c r="C747" s="32" t="s">
        <v>970</v>
      </c>
      <c r="D747" s="32" t="s">
        <v>971</v>
      </c>
      <c r="E747" s="33">
        <v>24</v>
      </c>
      <c r="F747" s="33">
        <v>526</v>
      </c>
      <c r="G747" s="33">
        <v>23</v>
      </c>
      <c r="H747" s="13">
        <f t="shared" si="11"/>
        <v>21.916666666666668</v>
      </c>
    </row>
    <row r="748" spans="1:8" hidden="1" outlineLevel="2">
      <c r="A748" s="32" t="s">
        <v>797</v>
      </c>
      <c r="B748" s="32" t="s">
        <v>1858</v>
      </c>
      <c r="C748" s="32" t="s">
        <v>981</v>
      </c>
      <c r="D748" s="32" t="s">
        <v>822</v>
      </c>
      <c r="E748" s="33">
        <v>35</v>
      </c>
      <c r="F748" s="33">
        <v>766</v>
      </c>
      <c r="G748" s="33">
        <v>27</v>
      </c>
      <c r="H748" s="13">
        <f t="shared" si="11"/>
        <v>21.885714285714286</v>
      </c>
    </row>
    <row r="749" spans="1:8" hidden="1" outlineLevel="2">
      <c r="A749" s="32" t="s">
        <v>797</v>
      </c>
      <c r="B749" s="32" t="s">
        <v>1858</v>
      </c>
      <c r="C749" s="32" t="s">
        <v>1207</v>
      </c>
      <c r="D749" s="32" t="s">
        <v>822</v>
      </c>
      <c r="E749" s="33">
        <v>24</v>
      </c>
      <c r="F749" s="33">
        <v>519</v>
      </c>
      <c r="G749" s="33">
        <v>20</v>
      </c>
      <c r="H749" s="13">
        <f t="shared" si="11"/>
        <v>21.625</v>
      </c>
    </row>
    <row r="750" spans="1:8" hidden="1" outlineLevel="2">
      <c r="A750" s="32" t="s">
        <v>797</v>
      </c>
      <c r="B750" s="32" t="s">
        <v>1858</v>
      </c>
      <c r="C750" s="32" t="s">
        <v>981</v>
      </c>
      <c r="D750" s="32" t="s">
        <v>825</v>
      </c>
      <c r="E750" s="33">
        <v>35</v>
      </c>
      <c r="F750" s="33">
        <v>756</v>
      </c>
      <c r="G750" s="33">
        <v>34</v>
      </c>
      <c r="H750" s="13">
        <f t="shared" si="11"/>
        <v>21.6</v>
      </c>
    </row>
    <row r="751" spans="1:8" hidden="1" outlineLevel="2">
      <c r="A751" s="32" t="s">
        <v>797</v>
      </c>
      <c r="B751" s="32" t="s">
        <v>1858</v>
      </c>
      <c r="C751" s="32" t="s">
        <v>1009</v>
      </c>
      <c r="D751" s="32" t="s">
        <v>905</v>
      </c>
      <c r="E751" s="33">
        <v>35</v>
      </c>
      <c r="F751" s="33">
        <v>755</v>
      </c>
      <c r="G751" s="33">
        <v>33</v>
      </c>
      <c r="H751" s="13">
        <f t="shared" si="11"/>
        <v>21.571428571428573</v>
      </c>
    </row>
    <row r="752" spans="1:8" hidden="1" outlineLevel="2">
      <c r="A752" s="32" t="s">
        <v>797</v>
      </c>
      <c r="B752" s="32" t="s">
        <v>1862</v>
      </c>
      <c r="C752" s="32" t="s">
        <v>862</v>
      </c>
      <c r="D752" s="32" t="s">
        <v>861</v>
      </c>
      <c r="E752" s="33">
        <v>20</v>
      </c>
      <c r="F752" s="33">
        <v>428</v>
      </c>
      <c r="G752" s="33">
        <v>18</v>
      </c>
      <c r="H752" s="13">
        <f t="shared" si="11"/>
        <v>21.4</v>
      </c>
    </row>
    <row r="753" spans="1:8" hidden="1" outlineLevel="2">
      <c r="A753" s="32" t="s">
        <v>797</v>
      </c>
      <c r="B753" s="32" t="s">
        <v>1862</v>
      </c>
      <c r="C753" s="32" t="s">
        <v>932</v>
      </c>
      <c r="D753" s="32" t="s">
        <v>861</v>
      </c>
      <c r="E753" s="33">
        <v>30</v>
      </c>
      <c r="F753" s="33">
        <v>640</v>
      </c>
      <c r="G753" s="33">
        <v>30</v>
      </c>
      <c r="H753" s="13">
        <f t="shared" si="11"/>
        <v>21.333333333333332</v>
      </c>
    </row>
    <row r="754" spans="1:8" hidden="1" outlineLevel="2">
      <c r="A754" s="32" t="s">
        <v>797</v>
      </c>
      <c r="B754" s="32" t="s">
        <v>1862</v>
      </c>
      <c r="C754" s="32" t="s">
        <v>1079</v>
      </c>
      <c r="D754" s="32" t="s">
        <v>822</v>
      </c>
      <c r="E754" s="33">
        <v>16</v>
      </c>
      <c r="F754" s="33">
        <v>341</v>
      </c>
      <c r="G754" s="33">
        <v>15</v>
      </c>
      <c r="H754" s="13">
        <f t="shared" si="11"/>
        <v>21.3125</v>
      </c>
    </row>
    <row r="755" spans="1:8" hidden="1" outlineLevel="2">
      <c r="A755" s="32" t="s">
        <v>797</v>
      </c>
      <c r="B755" s="32" t="s">
        <v>1862</v>
      </c>
      <c r="C755" s="32" t="s">
        <v>1188</v>
      </c>
      <c r="D755" s="32" t="s">
        <v>928</v>
      </c>
      <c r="E755" s="33">
        <v>20</v>
      </c>
      <c r="F755" s="33">
        <v>426</v>
      </c>
      <c r="G755" s="33">
        <v>15</v>
      </c>
      <c r="H755" s="13">
        <f t="shared" si="11"/>
        <v>21.3</v>
      </c>
    </row>
    <row r="756" spans="1:8" hidden="1" outlineLevel="2">
      <c r="A756" s="32" t="s">
        <v>797</v>
      </c>
      <c r="B756" s="32" t="s">
        <v>86</v>
      </c>
      <c r="C756" s="32" t="s">
        <v>851</v>
      </c>
      <c r="D756" s="32" t="s">
        <v>906</v>
      </c>
      <c r="E756" s="33">
        <v>24</v>
      </c>
      <c r="F756" s="33">
        <v>511</v>
      </c>
      <c r="G756" s="33">
        <v>26</v>
      </c>
      <c r="H756" s="13">
        <f t="shared" si="11"/>
        <v>21.291666666666668</v>
      </c>
    </row>
    <row r="757" spans="1:8" hidden="1" outlineLevel="2">
      <c r="A757" s="32" t="s">
        <v>797</v>
      </c>
      <c r="B757" s="32" t="s">
        <v>1858</v>
      </c>
      <c r="C757" s="32" t="s">
        <v>815</v>
      </c>
      <c r="D757" s="32" t="s">
        <v>911</v>
      </c>
      <c r="E757" s="33">
        <v>35</v>
      </c>
      <c r="F757" s="33">
        <v>745</v>
      </c>
      <c r="G757" s="33">
        <v>34</v>
      </c>
      <c r="H757" s="13">
        <f t="shared" si="11"/>
        <v>21.285714285714285</v>
      </c>
    </row>
    <row r="758" spans="1:8" hidden="1" outlineLevel="2">
      <c r="A758" s="32" t="s">
        <v>797</v>
      </c>
      <c r="B758" s="32" t="s">
        <v>1858</v>
      </c>
      <c r="C758" s="32" t="s">
        <v>989</v>
      </c>
      <c r="D758" s="32" t="s">
        <v>823</v>
      </c>
      <c r="E758" s="33">
        <v>32</v>
      </c>
      <c r="F758" s="33">
        <v>681</v>
      </c>
      <c r="G758" s="33">
        <v>26</v>
      </c>
      <c r="H758" s="13">
        <f t="shared" si="11"/>
        <v>21.28125</v>
      </c>
    </row>
    <row r="759" spans="1:8" hidden="1" outlineLevel="2">
      <c r="A759" s="32" t="s">
        <v>797</v>
      </c>
      <c r="B759" s="32" t="s">
        <v>86</v>
      </c>
      <c r="C759" s="32" t="s">
        <v>1018</v>
      </c>
      <c r="D759" s="32" t="s">
        <v>1019</v>
      </c>
      <c r="E759" s="33">
        <v>24</v>
      </c>
      <c r="F759" s="33">
        <v>508</v>
      </c>
      <c r="G759" s="33">
        <v>17</v>
      </c>
      <c r="H759" s="13">
        <f t="shared" si="11"/>
        <v>21.166666666666668</v>
      </c>
    </row>
    <row r="760" spans="1:8" hidden="1" outlineLevel="2">
      <c r="A760" s="32" t="s">
        <v>797</v>
      </c>
      <c r="B760" s="32" t="s">
        <v>1862</v>
      </c>
      <c r="C760" s="32" t="s">
        <v>1082</v>
      </c>
      <c r="D760" s="32" t="s">
        <v>822</v>
      </c>
      <c r="E760" s="33">
        <v>35</v>
      </c>
      <c r="F760" s="33">
        <v>739</v>
      </c>
      <c r="G760" s="33">
        <v>33</v>
      </c>
      <c r="H760" s="13">
        <f t="shared" si="11"/>
        <v>21.114285714285714</v>
      </c>
    </row>
    <row r="761" spans="1:8" hidden="1" outlineLevel="2">
      <c r="A761" s="32" t="s">
        <v>797</v>
      </c>
      <c r="B761" s="32" t="s">
        <v>1858</v>
      </c>
      <c r="C761" s="32" t="s">
        <v>1209</v>
      </c>
      <c r="D761" s="32" t="s">
        <v>823</v>
      </c>
      <c r="E761" s="33">
        <v>33</v>
      </c>
      <c r="F761" s="33">
        <v>696</v>
      </c>
      <c r="G761" s="33">
        <v>33</v>
      </c>
      <c r="H761" s="13">
        <f t="shared" si="11"/>
        <v>21.09090909090909</v>
      </c>
    </row>
    <row r="762" spans="1:8" hidden="1" outlineLevel="2">
      <c r="A762" s="32" t="s">
        <v>797</v>
      </c>
      <c r="B762" s="32" t="s">
        <v>1858</v>
      </c>
      <c r="C762" s="32" t="s">
        <v>1176</v>
      </c>
      <c r="D762" s="32" t="s">
        <v>1019</v>
      </c>
      <c r="E762" s="33">
        <v>12</v>
      </c>
      <c r="F762" s="33">
        <v>252</v>
      </c>
      <c r="G762" s="33">
        <v>11</v>
      </c>
      <c r="H762" s="13">
        <f t="shared" si="11"/>
        <v>21</v>
      </c>
    </row>
    <row r="763" spans="1:8" hidden="1" outlineLevel="2">
      <c r="A763" s="32" t="s">
        <v>797</v>
      </c>
      <c r="B763" s="32" t="s">
        <v>1862</v>
      </c>
      <c r="C763" s="32" t="s">
        <v>1078</v>
      </c>
      <c r="D763" s="32" t="s">
        <v>845</v>
      </c>
      <c r="E763" s="33">
        <v>30</v>
      </c>
      <c r="F763" s="33">
        <v>630</v>
      </c>
      <c r="G763" s="33">
        <v>30</v>
      </c>
      <c r="H763" s="13">
        <f t="shared" si="11"/>
        <v>21</v>
      </c>
    </row>
    <row r="764" spans="1:8" hidden="1" outlineLevel="2">
      <c r="A764" s="32" t="s">
        <v>797</v>
      </c>
      <c r="B764" s="32" t="s">
        <v>1862</v>
      </c>
      <c r="C764" s="32" t="s">
        <v>862</v>
      </c>
      <c r="D764" s="32" t="s">
        <v>839</v>
      </c>
      <c r="E764" s="33">
        <v>24</v>
      </c>
      <c r="F764" s="33">
        <v>502</v>
      </c>
      <c r="G764" s="33">
        <v>22</v>
      </c>
      <c r="H764" s="13">
        <f t="shared" si="11"/>
        <v>20.916666666666668</v>
      </c>
    </row>
    <row r="765" spans="1:8" hidden="1" outlineLevel="2">
      <c r="A765" s="32" t="s">
        <v>797</v>
      </c>
      <c r="B765" s="32" t="s">
        <v>1858</v>
      </c>
      <c r="C765" s="32" t="s">
        <v>888</v>
      </c>
      <c r="D765" s="32" t="s">
        <v>839</v>
      </c>
      <c r="E765" s="33">
        <v>24</v>
      </c>
      <c r="F765" s="33">
        <v>499</v>
      </c>
      <c r="G765" s="33">
        <v>23</v>
      </c>
      <c r="H765" s="13">
        <f t="shared" si="11"/>
        <v>20.791666666666668</v>
      </c>
    </row>
    <row r="766" spans="1:8" hidden="1" outlineLevel="2">
      <c r="A766" s="32" t="s">
        <v>797</v>
      </c>
      <c r="B766" s="32" t="s">
        <v>1858</v>
      </c>
      <c r="C766" s="32" t="s">
        <v>890</v>
      </c>
      <c r="D766" s="32" t="s">
        <v>891</v>
      </c>
      <c r="E766" s="33">
        <v>35</v>
      </c>
      <c r="F766" s="33">
        <v>727</v>
      </c>
      <c r="G766" s="33">
        <v>34</v>
      </c>
      <c r="H766" s="13">
        <f t="shared" si="11"/>
        <v>20.771428571428572</v>
      </c>
    </row>
    <row r="767" spans="1:8" hidden="1" outlineLevel="2">
      <c r="A767" s="32" t="s">
        <v>797</v>
      </c>
      <c r="B767" s="32" t="s">
        <v>86</v>
      </c>
      <c r="C767" s="32" t="s">
        <v>851</v>
      </c>
      <c r="D767" s="32" t="s">
        <v>971</v>
      </c>
      <c r="E767" s="33">
        <v>30</v>
      </c>
      <c r="F767" s="33">
        <v>622</v>
      </c>
      <c r="G767" s="33">
        <v>32</v>
      </c>
      <c r="H767" s="13">
        <f t="shared" si="11"/>
        <v>20.733333333333334</v>
      </c>
    </row>
    <row r="768" spans="1:8" hidden="1" outlineLevel="2">
      <c r="A768" s="32" t="s">
        <v>797</v>
      </c>
      <c r="B768" s="32" t="s">
        <v>86</v>
      </c>
      <c r="C768" s="32" t="s">
        <v>999</v>
      </c>
      <c r="D768" s="32" t="s">
        <v>1057</v>
      </c>
      <c r="E768" s="33">
        <v>24</v>
      </c>
      <c r="F768" s="33">
        <v>495</v>
      </c>
      <c r="G768" s="33">
        <v>17</v>
      </c>
      <c r="H768" s="13">
        <f t="shared" si="11"/>
        <v>20.625</v>
      </c>
    </row>
    <row r="769" spans="1:8" hidden="1" outlineLevel="2">
      <c r="A769" s="32" t="s">
        <v>797</v>
      </c>
      <c r="B769" s="32" t="s">
        <v>1858</v>
      </c>
      <c r="C769" s="32" t="s">
        <v>976</v>
      </c>
      <c r="D769" s="32" t="s">
        <v>861</v>
      </c>
      <c r="E769" s="33">
        <v>30</v>
      </c>
      <c r="F769" s="33">
        <v>614</v>
      </c>
      <c r="G769" s="33">
        <v>27</v>
      </c>
      <c r="H769" s="13">
        <f t="shared" si="11"/>
        <v>20.466666666666665</v>
      </c>
    </row>
    <row r="770" spans="1:8" hidden="1" outlineLevel="2">
      <c r="A770" s="32" t="s">
        <v>797</v>
      </c>
      <c r="B770" s="32" t="s">
        <v>86</v>
      </c>
      <c r="C770" s="32" t="s">
        <v>1033</v>
      </c>
      <c r="D770" s="32" t="s">
        <v>1096</v>
      </c>
      <c r="E770" s="33">
        <v>30</v>
      </c>
      <c r="F770" s="33">
        <v>614</v>
      </c>
      <c r="G770" s="33">
        <v>31</v>
      </c>
      <c r="H770" s="13">
        <f t="shared" ref="H770:H833" si="12">IFERROR(F770/E770,"")</f>
        <v>20.466666666666665</v>
      </c>
    </row>
    <row r="771" spans="1:8" hidden="1" outlineLevel="2">
      <c r="A771" s="32" t="s">
        <v>797</v>
      </c>
      <c r="B771" s="32" t="s">
        <v>1858</v>
      </c>
      <c r="C771" s="32" t="s">
        <v>887</v>
      </c>
      <c r="D771" s="32" t="s">
        <v>991</v>
      </c>
      <c r="E771" s="33">
        <v>35</v>
      </c>
      <c r="F771" s="33">
        <v>716</v>
      </c>
      <c r="G771" s="33">
        <v>34</v>
      </c>
      <c r="H771" s="13">
        <f t="shared" si="12"/>
        <v>20.457142857142856</v>
      </c>
    </row>
    <row r="772" spans="1:8" hidden="1" outlineLevel="2">
      <c r="A772" s="32" t="s">
        <v>797</v>
      </c>
      <c r="B772" s="32" t="s">
        <v>86</v>
      </c>
      <c r="C772" s="32" t="s">
        <v>994</v>
      </c>
      <c r="D772" s="32" t="s">
        <v>995</v>
      </c>
      <c r="E772" s="33">
        <v>24</v>
      </c>
      <c r="F772" s="33">
        <v>488</v>
      </c>
      <c r="G772" s="33">
        <v>24</v>
      </c>
      <c r="H772" s="13">
        <f t="shared" si="12"/>
        <v>20.333333333333332</v>
      </c>
    </row>
    <row r="773" spans="1:8" hidden="1" outlineLevel="2">
      <c r="A773" s="32" t="s">
        <v>797</v>
      </c>
      <c r="B773" s="32" t="s">
        <v>86</v>
      </c>
      <c r="C773" s="32" t="s">
        <v>847</v>
      </c>
      <c r="D773" s="32" t="s">
        <v>849</v>
      </c>
      <c r="E773" s="33">
        <v>70</v>
      </c>
      <c r="F773" s="33">
        <v>1421</v>
      </c>
      <c r="G773" s="33">
        <v>70</v>
      </c>
      <c r="H773" s="13">
        <f t="shared" si="12"/>
        <v>20.3</v>
      </c>
    </row>
    <row r="774" spans="1:8" hidden="1" outlineLevel="2">
      <c r="A774" s="32" t="s">
        <v>797</v>
      </c>
      <c r="B774" s="32" t="s">
        <v>1858</v>
      </c>
      <c r="C774" s="32" t="s">
        <v>890</v>
      </c>
      <c r="D774" s="32" t="s">
        <v>798</v>
      </c>
      <c r="E774" s="33">
        <v>35</v>
      </c>
      <c r="F774" s="33">
        <v>705</v>
      </c>
      <c r="G774" s="33">
        <v>34</v>
      </c>
      <c r="H774" s="13">
        <f t="shared" si="12"/>
        <v>20.142857142857142</v>
      </c>
    </row>
    <row r="775" spans="1:8" hidden="1" outlineLevel="2">
      <c r="A775" s="32" t="s">
        <v>797</v>
      </c>
      <c r="B775" s="32" t="s">
        <v>1862</v>
      </c>
      <c r="C775" s="32" t="s">
        <v>1169</v>
      </c>
      <c r="D775" s="32" t="s">
        <v>822</v>
      </c>
      <c r="E775" s="33">
        <v>35</v>
      </c>
      <c r="F775" s="33">
        <v>699</v>
      </c>
      <c r="G775" s="33">
        <v>32</v>
      </c>
      <c r="H775" s="13">
        <f t="shared" si="12"/>
        <v>19.971428571428572</v>
      </c>
    </row>
    <row r="776" spans="1:8" hidden="1" outlineLevel="2">
      <c r="A776" s="32" t="s">
        <v>797</v>
      </c>
      <c r="B776" s="32" t="s">
        <v>1862</v>
      </c>
      <c r="C776" s="32" t="s">
        <v>946</v>
      </c>
      <c r="D776" s="32" t="s">
        <v>928</v>
      </c>
      <c r="E776" s="33">
        <v>24</v>
      </c>
      <c r="F776" s="33">
        <v>479</v>
      </c>
      <c r="G776" s="33">
        <v>26</v>
      </c>
      <c r="H776" s="13">
        <f t="shared" si="12"/>
        <v>19.958333333333332</v>
      </c>
    </row>
    <row r="777" spans="1:8" hidden="1" outlineLevel="2">
      <c r="A777" s="32" t="s">
        <v>797</v>
      </c>
      <c r="B777" s="32" t="s">
        <v>1858</v>
      </c>
      <c r="C777" s="32" t="s">
        <v>917</v>
      </c>
      <c r="D777" s="32" t="s">
        <v>822</v>
      </c>
      <c r="E777" s="33">
        <v>35</v>
      </c>
      <c r="F777" s="33">
        <v>698</v>
      </c>
      <c r="G777" s="33">
        <v>32</v>
      </c>
      <c r="H777" s="13">
        <f t="shared" si="12"/>
        <v>19.942857142857143</v>
      </c>
    </row>
    <row r="778" spans="1:8" hidden="1" outlineLevel="2">
      <c r="A778" s="32" t="s">
        <v>797</v>
      </c>
      <c r="B778" s="32" t="s">
        <v>1858</v>
      </c>
      <c r="C778" s="32" t="s">
        <v>1107</v>
      </c>
      <c r="D778" s="32" t="s">
        <v>798</v>
      </c>
      <c r="E778" s="33">
        <v>32</v>
      </c>
      <c r="F778" s="33">
        <v>638</v>
      </c>
      <c r="G778" s="33">
        <v>35</v>
      </c>
      <c r="H778" s="13">
        <f t="shared" si="12"/>
        <v>19.9375</v>
      </c>
    </row>
    <row r="779" spans="1:8" hidden="1" outlineLevel="2">
      <c r="A779" s="32" t="s">
        <v>797</v>
      </c>
      <c r="B779" s="32" t="s">
        <v>1862</v>
      </c>
      <c r="C779" s="32" t="s">
        <v>1095</v>
      </c>
      <c r="D779" s="32" t="s">
        <v>822</v>
      </c>
      <c r="E779" s="33">
        <v>35</v>
      </c>
      <c r="F779" s="33">
        <v>697</v>
      </c>
      <c r="G779" s="33">
        <v>35</v>
      </c>
      <c r="H779" s="13">
        <f t="shared" si="12"/>
        <v>19.914285714285715</v>
      </c>
    </row>
    <row r="780" spans="1:8" hidden="1" outlineLevel="2">
      <c r="A780" s="32" t="s">
        <v>797</v>
      </c>
      <c r="B780" s="32" t="s">
        <v>1858</v>
      </c>
      <c r="C780" s="32" t="s">
        <v>913</v>
      </c>
      <c r="D780" s="32" t="s">
        <v>822</v>
      </c>
      <c r="E780" s="33">
        <v>35</v>
      </c>
      <c r="F780" s="33">
        <v>696</v>
      </c>
      <c r="G780" s="33">
        <v>35</v>
      </c>
      <c r="H780" s="13">
        <f t="shared" si="12"/>
        <v>19.885714285714286</v>
      </c>
    </row>
    <row r="781" spans="1:8" hidden="1" outlineLevel="2">
      <c r="A781" s="32" t="s">
        <v>797</v>
      </c>
      <c r="B781" s="32" t="s">
        <v>1862</v>
      </c>
      <c r="C781" s="32" t="s">
        <v>950</v>
      </c>
      <c r="D781" s="32" t="s">
        <v>823</v>
      </c>
      <c r="E781" s="33">
        <v>108</v>
      </c>
      <c r="F781" s="33">
        <v>2147</v>
      </c>
      <c r="G781" s="33">
        <v>107</v>
      </c>
      <c r="H781" s="13">
        <f t="shared" si="12"/>
        <v>19.87962962962963</v>
      </c>
    </row>
    <row r="782" spans="1:8" hidden="1" outlineLevel="2">
      <c r="A782" s="32" t="s">
        <v>797</v>
      </c>
      <c r="B782" s="32" t="s">
        <v>1862</v>
      </c>
      <c r="C782" s="32" t="s">
        <v>1070</v>
      </c>
      <c r="D782" s="32" t="s">
        <v>866</v>
      </c>
      <c r="E782" s="33">
        <v>35</v>
      </c>
      <c r="F782" s="33">
        <v>695</v>
      </c>
      <c r="G782" s="33">
        <v>28</v>
      </c>
      <c r="H782" s="13">
        <f t="shared" si="12"/>
        <v>19.857142857142858</v>
      </c>
    </row>
    <row r="783" spans="1:8" hidden="1" outlineLevel="2">
      <c r="A783" s="32" t="s">
        <v>797</v>
      </c>
      <c r="B783" s="32" t="s">
        <v>1862</v>
      </c>
      <c r="C783" s="32" t="s">
        <v>913</v>
      </c>
      <c r="D783" s="32" t="s">
        <v>861</v>
      </c>
      <c r="E783" s="33">
        <v>24</v>
      </c>
      <c r="F783" s="33">
        <v>476</v>
      </c>
      <c r="G783" s="33">
        <v>25</v>
      </c>
      <c r="H783" s="13">
        <f t="shared" si="12"/>
        <v>19.833333333333332</v>
      </c>
    </row>
    <row r="784" spans="1:8" hidden="1" outlineLevel="2">
      <c r="A784" s="32" t="s">
        <v>797</v>
      </c>
      <c r="B784" s="32" t="s">
        <v>86</v>
      </c>
      <c r="C784" s="32" t="s">
        <v>847</v>
      </c>
      <c r="D784" s="32" t="s">
        <v>848</v>
      </c>
      <c r="E784" s="33">
        <v>30</v>
      </c>
      <c r="F784" s="33">
        <v>592</v>
      </c>
      <c r="G784" s="33">
        <v>29</v>
      </c>
      <c r="H784" s="13">
        <f t="shared" si="12"/>
        <v>19.733333333333334</v>
      </c>
    </row>
    <row r="785" spans="1:8" hidden="1" outlineLevel="2">
      <c r="A785" s="32" t="s">
        <v>797</v>
      </c>
      <c r="B785" s="32" t="s">
        <v>1862</v>
      </c>
      <c r="C785" s="32" t="s">
        <v>941</v>
      </c>
      <c r="D785" s="32" t="s">
        <v>849</v>
      </c>
      <c r="E785" s="33">
        <v>26</v>
      </c>
      <c r="F785" s="33">
        <v>513</v>
      </c>
      <c r="G785" s="33">
        <v>25</v>
      </c>
      <c r="H785" s="13">
        <f t="shared" si="12"/>
        <v>19.73076923076923</v>
      </c>
    </row>
    <row r="786" spans="1:8" hidden="1" outlineLevel="2">
      <c r="A786" s="32" t="s">
        <v>797</v>
      </c>
      <c r="B786" s="32" t="s">
        <v>1862</v>
      </c>
      <c r="C786" s="32" t="s">
        <v>966</v>
      </c>
      <c r="D786" s="32" t="s">
        <v>822</v>
      </c>
      <c r="E786" s="33">
        <v>24</v>
      </c>
      <c r="F786" s="33">
        <v>472</v>
      </c>
      <c r="G786" s="33">
        <v>24</v>
      </c>
      <c r="H786" s="13">
        <f t="shared" si="12"/>
        <v>19.666666666666668</v>
      </c>
    </row>
    <row r="787" spans="1:8" hidden="1" outlineLevel="2">
      <c r="A787" s="32" t="s">
        <v>797</v>
      </c>
      <c r="B787" s="32" t="s">
        <v>86</v>
      </c>
      <c r="C787" s="32" t="s">
        <v>857</v>
      </c>
      <c r="D787" s="32" t="s">
        <v>836</v>
      </c>
      <c r="E787" s="33">
        <v>24</v>
      </c>
      <c r="F787" s="33">
        <v>470</v>
      </c>
      <c r="G787" s="33">
        <v>21</v>
      </c>
      <c r="H787" s="13">
        <f t="shared" si="12"/>
        <v>19.583333333333332</v>
      </c>
    </row>
    <row r="788" spans="1:8" hidden="1" outlineLevel="2">
      <c r="A788" s="32" t="s">
        <v>797</v>
      </c>
      <c r="B788" s="32" t="s">
        <v>1858</v>
      </c>
      <c r="C788" s="32" t="s">
        <v>930</v>
      </c>
      <c r="D788" s="32" t="s">
        <v>822</v>
      </c>
      <c r="E788" s="33">
        <v>40</v>
      </c>
      <c r="F788" s="33">
        <v>783</v>
      </c>
      <c r="G788" s="33">
        <v>39</v>
      </c>
      <c r="H788" s="13">
        <f t="shared" si="12"/>
        <v>19.574999999999999</v>
      </c>
    </row>
    <row r="789" spans="1:8" hidden="1" outlineLevel="2">
      <c r="A789" s="32" t="s">
        <v>797</v>
      </c>
      <c r="B789" s="32" t="s">
        <v>1858</v>
      </c>
      <c r="C789" s="32" t="s">
        <v>815</v>
      </c>
      <c r="D789" s="32" t="s">
        <v>860</v>
      </c>
      <c r="E789" s="33">
        <v>24</v>
      </c>
      <c r="F789" s="33">
        <v>467</v>
      </c>
      <c r="G789" s="33">
        <v>24</v>
      </c>
      <c r="H789" s="13">
        <f t="shared" si="12"/>
        <v>19.458333333333332</v>
      </c>
    </row>
    <row r="790" spans="1:8" hidden="1" outlineLevel="2">
      <c r="A790" s="32" t="s">
        <v>797</v>
      </c>
      <c r="B790" s="32" t="s">
        <v>1862</v>
      </c>
      <c r="C790" s="32" t="s">
        <v>969</v>
      </c>
      <c r="D790" s="32" t="s">
        <v>822</v>
      </c>
      <c r="E790" s="33">
        <v>35</v>
      </c>
      <c r="F790" s="33">
        <v>672</v>
      </c>
      <c r="G790" s="33">
        <v>34</v>
      </c>
      <c r="H790" s="13">
        <f t="shared" si="12"/>
        <v>19.2</v>
      </c>
    </row>
    <row r="791" spans="1:8" hidden="1" outlineLevel="2">
      <c r="A791" s="32" t="s">
        <v>797</v>
      </c>
      <c r="B791" s="32" t="s">
        <v>1862</v>
      </c>
      <c r="C791" s="32" t="s">
        <v>939</v>
      </c>
      <c r="D791" s="32" t="s">
        <v>940</v>
      </c>
      <c r="E791" s="33">
        <v>12</v>
      </c>
      <c r="F791" s="33">
        <v>229</v>
      </c>
      <c r="G791" s="33">
        <v>11</v>
      </c>
      <c r="H791" s="13">
        <f t="shared" si="12"/>
        <v>19.083333333333332</v>
      </c>
    </row>
    <row r="792" spans="1:8" hidden="1" outlineLevel="2">
      <c r="A792" s="32" t="s">
        <v>797</v>
      </c>
      <c r="B792" s="32" t="s">
        <v>1858</v>
      </c>
      <c r="C792" s="32" t="s">
        <v>1009</v>
      </c>
      <c r="D792" s="32" t="s">
        <v>798</v>
      </c>
      <c r="E792" s="33">
        <v>35</v>
      </c>
      <c r="F792" s="33">
        <v>665</v>
      </c>
      <c r="G792" s="33">
        <v>35</v>
      </c>
      <c r="H792" s="13">
        <f t="shared" si="12"/>
        <v>19</v>
      </c>
    </row>
    <row r="793" spans="1:8" hidden="1" outlineLevel="2">
      <c r="A793" s="32" t="s">
        <v>797</v>
      </c>
      <c r="B793" s="32" t="s">
        <v>1862</v>
      </c>
      <c r="C793" s="32" t="s">
        <v>967</v>
      </c>
      <c r="D793" s="32" t="s">
        <v>1150</v>
      </c>
      <c r="E793" s="33">
        <v>24</v>
      </c>
      <c r="F793" s="33">
        <v>456</v>
      </c>
      <c r="G793" s="33">
        <v>27</v>
      </c>
      <c r="H793" s="13">
        <f t="shared" si="12"/>
        <v>19</v>
      </c>
    </row>
    <row r="794" spans="1:8" hidden="1" outlineLevel="2">
      <c r="A794" s="32" t="s">
        <v>797</v>
      </c>
      <c r="B794" s="32" t="s">
        <v>1858</v>
      </c>
      <c r="C794" s="32" t="s">
        <v>815</v>
      </c>
      <c r="D794" s="32" t="s">
        <v>853</v>
      </c>
      <c r="E794" s="33">
        <v>24</v>
      </c>
      <c r="F794" s="33">
        <v>454</v>
      </c>
      <c r="G794" s="33">
        <v>21</v>
      </c>
      <c r="H794" s="13">
        <f t="shared" si="12"/>
        <v>18.916666666666668</v>
      </c>
    </row>
    <row r="795" spans="1:8" hidden="1" outlineLevel="2">
      <c r="A795" s="32" t="s">
        <v>797</v>
      </c>
      <c r="B795" s="32" t="s">
        <v>1862</v>
      </c>
      <c r="C795" s="32" t="s">
        <v>1219</v>
      </c>
      <c r="D795" s="32" t="s">
        <v>825</v>
      </c>
      <c r="E795" s="33">
        <v>32</v>
      </c>
      <c r="F795" s="33">
        <v>605</v>
      </c>
      <c r="G795" s="33">
        <v>31</v>
      </c>
      <c r="H795" s="13">
        <f t="shared" si="12"/>
        <v>18.90625</v>
      </c>
    </row>
    <row r="796" spans="1:8" hidden="1" outlineLevel="2">
      <c r="A796" s="32" t="s">
        <v>797</v>
      </c>
      <c r="B796" s="32" t="s">
        <v>86</v>
      </c>
      <c r="C796" s="32" t="s">
        <v>841</v>
      </c>
      <c r="D796" s="32" t="s">
        <v>843</v>
      </c>
      <c r="E796" s="33">
        <v>24</v>
      </c>
      <c r="F796" s="33">
        <v>452</v>
      </c>
      <c r="G796" s="33">
        <v>27</v>
      </c>
      <c r="H796" s="13">
        <f t="shared" si="12"/>
        <v>18.833333333333332</v>
      </c>
    </row>
    <row r="797" spans="1:8" hidden="1" outlineLevel="2">
      <c r="A797" s="32" t="s">
        <v>797</v>
      </c>
      <c r="B797" s="32" t="s">
        <v>1862</v>
      </c>
      <c r="C797" s="32" t="s">
        <v>1005</v>
      </c>
      <c r="D797" s="32" t="s">
        <v>1006</v>
      </c>
      <c r="E797" s="33">
        <v>20</v>
      </c>
      <c r="F797" s="33">
        <v>375</v>
      </c>
      <c r="G797" s="33">
        <v>21</v>
      </c>
      <c r="H797" s="13">
        <f t="shared" si="12"/>
        <v>18.75</v>
      </c>
    </row>
    <row r="798" spans="1:8" hidden="1" outlineLevel="2">
      <c r="A798" s="32" t="s">
        <v>797</v>
      </c>
      <c r="B798" s="32" t="s">
        <v>1858</v>
      </c>
      <c r="C798" s="32" t="s">
        <v>983</v>
      </c>
      <c r="D798" s="32" t="s">
        <v>832</v>
      </c>
      <c r="E798" s="33">
        <v>35</v>
      </c>
      <c r="F798" s="33">
        <v>646</v>
      </c>
      <c r="G798" s="33">
        <v>35</v>
      </c>
      <c r="H798" s="13">
        <f t="shared" si="12"/>
        <v>18.457142857142856</v>
      </c>
    </row>
    <row r="799" spans="1:8" hidden="1" outlineLevel="2">
      <c r="A799" s="32" t="s">
        <v>797</v>
      </c>
      <c r="B799" s="32" t="s">
        <v>1858</v>
      </c>
      <c r="C799" s="32" t="s">
        <v>1144</v>
      </c>
      <c r="D799" s="32" t="s">
        <v>819</v>
      </c>
      <c r="E799" s="33">
        <v>33</v>
      </c>
      <c r="F799" s="33">
        <v>609</v>
      </c>
      <c r="G799" s="33">
        <v>22</v>
      </c>
      <c r="H799" s="13">
        <f t="shared" si="12"/>
        <v>18.454545454545453</v>
      </c>
    </row>
    <row r="800" spans="1:8" hidden="1" outlineLevel="2">
      <c r="A800" s="32" t="s">
        <v>797</v>
      </c>
      <c r="B800" s="32" t="s">
        <v>86</v>
      </c>
      <c r="C800" s="32" t="s">
        <v>841</v>
      </c>
      <c r="D800" s="32" t="s">
        <v>844</v>
      </c>
      <c r="E800" s="33">
        <v>60</v>
      </c>
      <c r="F800" s="33">
        <v>1107</v>
      </c>
      <c r="G800" s="33">
        <v>62</v>
      </c>
      <c r="H800" s="13">
        <f t="shared" si="12"/>
        <v>18.45</v>
      </c>
    </row>
    <row r="801" spans="1:8" hidden="1" outlineLevel="2">
      <c r="A801" s="32" t="s">
        <v>797</v>
      </c>
      <c r="B801" s="32" t="s">
        <v>86</v>
      </c>
      <c r="C801" s="32" t="s">
        <v>1033</v>
      </c>
      <c r="D801" s="32" t="s">
        <v>853</v>
      </c>
      <c r="E801" s="33">
        <v>35</v>
      </c>
      <c r="F801" s="33">
        <v>643</v>
      </c>
      <c r="G801" s="33">
        <v>34</v>
      </c>
      <c r="H801" s="13">
        <f t="shared" si="12"/>
        <v>18.37142857142857</v>
      </c>
    </row>
    <row r="802" spans="1:8" hidden="1" outlineLevel="2">
      <c r="A802" s="32" t="s">
        <v>797</v>
      </c>
      <c r="B802" s="32" t="s">
        <v>1858</v>
      </c>
      <c r="C802" s="32" t="s">
        <v>1141</v>
      </c>
      <c r="D802" s="32" t="s">
        <v>1113</v>
      </c>
      <c r="E802" s="33">
        <v>14</v>
      </c>
      <c r="F802" s="33">
        <v>257</v>
      </c>
      <c r="G802" s="33">
        <v>11</v>
      </c>
      <c r="H802" s="13">
        <f t="shared" si="12"/>
        <v>18.357142857142858</v>
      </c>
    </row>
    <row r="803" spans="1:8" hidden="1" outlineLevel="2">
      <c r="A803" s="32" t="s">
        <v>797</v>
      </c>
      <c r="B803" s="32" t="s">
        <v>1862</v>
      </c>
      <c r="C803" s="32" t="s">
        <v>1152</v>
      </c>
      <c r="D803" s="32" t="s">
        <v>891</v>
      </c>
      <c r="E803" s="33">
        <v>37</v>
      </c>
      <c r="F803" s="33">
        <v>678</v>
      </c>
      <c r="G803" s="33">
        <v>32</v>
      </c>
      <c r="H803" s="13">
        <f t="shared" si="12"/>
        <v>18.324324324324323</v>
      </c>
    </row>
    <row r="804" spans="1:8" hidden="1" outlineLevel="2">
      <c r="A804" s="32" t="s">
        <v>797</v>
      </c>
      <c r="B804" s="32" t="s">
        <v>1862</v>
      </c>
      <c r="C804" s="32" t="s">
        <v>1074</v>
      </c>
      <c r="D804" s="32" t="s">
        <v>825</v>
      </c>
      <c r="E804" s="33">
        <v>35</v>
      </c>
      <c r="F804" s="33">
        <v>641</v>
      </c>
      <c r="G804" s="33">
        <v>33</v>
      </c>
      <c r="H804" s="13">
        <f t="shared" si="12"/>
        <v>18.314285714285713</v>
      </c>
    </row>
    <row r="805" spans="1:8" hidden="1" outlineLevel="2">
      <c r="A805" s="32" t="s">
        <v>797</v>
      </c>
      <c r="B805" s="32" t="s">
        <v>1862</v>
      </c>
      <c r="C805" s="32" t="s">
        <v>956</v>
      </c>
      <c r="D805" s="32" t="s">
        <v>837</v>
      </c>
      <c r="E805" s="33">
        <v>18</v>
      </c>
      <c r="F805" s="33">
        <v>326</v>
      </c>
      <c r="G805" s="33">
        <v>17</v>
      </c>
      <c r="H805" s="13">
        <f t="shared" si="12"/>
        <v>18.111111111111111</v>
      </c>
    </row>
    <row r="806" spans="1:8" hidden="1" outlineLevel="2">
      <c r="A806" s="32" t="s">
        <v>797</v>
      </c>
      <c r="B806" s="32" t="s">
        <v>1862</v>
      </c>
      <c r="C806" s="32" t="s">
        <v>969</v>
      </c>
      <c r="D806" s="32" t="s">
        <v>853</v>
      </c>
      <c r="E806" s="33">
        <v>24</v>
      </c>
      <c r="F806" s="33">
        <v>433</v>
      </c>
      <c r="G806" s="33">
        <v>19</v>
      </c>
      <c r="H806" s="13">
        <f t="shared" si="12"/>
        <v>18.041666666666668</v>
      </c>
    </row>
    <row r="807" spans="1:8" hidden="1" outlineLevel="2">
      <c r="A807" s="32" t="s">
        <v>797</v>
      </c>
      <c r="B807" s="32" t="s">
        <v>1862</v>
      </c>
      <c r="C807" s="32" t="s">
        <v>963</v>
      </c>
      <c r="D807" s="32" t="s">
        <v>920</v>
      </c>
      <c r="E807" s="33">
        <v>30</v>
      </c>
      <c r="F807" s="33">
        <v>541</v>
      </c>
      <c r="G807" s="33">
        <v>27</v>
      </c>
      <c r="H807" s="13">
        <f t="shared" si="12"/>
        <v>18.033333333333335</v>
      </c>
    </row>
    <row r="808" spans="1:8" hidden="1" outlineLevel="2">
      <c r="A808" s="32" t="s">
        <v>797</v>
      </c>
      <c r="B808" s="32" t="s">
        <v>1858</v>
      </c>
      <c r="C808" s="32" t="s">
        <v>978</v>
      </c>
      <c r="D808" s="32" t="s">
        <v>861</v>
      </c>
      <c r="E808" s="33">
        <v>24</v>
      </c>
      <c r="F808" s="33">
        <v>431</v>
      </c>
      <c r="G808" s="33">
        <v>24</v>
      </c>
      <c r="H808" s="13">
        <f t="shared" si="12"/>
        <v>17.958333333333332</v>
      </c>
    </row>
    <row r="809" spans="1:8" hidden="1" outlineLevel="2">
      <c r="A809" s="32" t="s">
        <v>797</v>
      </c>
      <c r="B809" s="32" t="s">
        <v>1858</v>
      </c>
      <c r="C809" s="32" t="s">
        <v>921</v>
      </c>
      <c r="D809" s="32" t="s">
        <v>852</v>
      </c>
      <c r="E809" s="33">
        <v>30</v>
      </c>
      <c r="F809" s="33">
        <v>536</v>
      </c>
      <c r="G809" s="33">
        <v>26</v>
      </c>
      <c r="H809" s="13">
        <f t="shared" si="12"/>
        <v>17.866666666666667</v>
      </c>
    </row>
    <row r="810" spans="1:8" hidden="1" outlineLevel="2">
      <c r="A810" s="32" t="s">
        <v>797</v>
      </c>
      <c r="B810" s="32" t="s">
        <v>1862</v>
      </c>
      <c r="C810" s="32" t="s">
        <v>946</v>
      </c>
      <c r="D810" s="32" t="s">
        <v>883</v>
      </c>
      <c r="E810" s="33">
        <v>30</v>
      </c>
      <c r="F810" s="33">
        <v>535</v>
      </c>
      <c r="G810" s="33">
        <v>26</v>
      </c>
      <c r="H810" s="13">
        <f t="shared" si="12"/>
        <v>17.833333333333332</v>
      </c>
    </row>
    <row r="811" spans="1:8" hidden="1" outlineLevel="2">
      <c r="A811" s="32" t="s">
        <v>797</v>
      </c>
      <c r="B811" s="32" t="s">
        <v>1858</v>
      </c>
      <c r="C811" s="32" t="s">
        <v>986</v>
      </c>
      <c r="D811" s="32" t="s">
        <v>819</v>
      </c>
      <c r="E811" s="33">
        <v>35</v>
      </c>
      <c r="F811" s="33">
        <v>619</v>
      </c>
      <c r="G811" s="33">
        <v>28</v>
      </c>
      <c r="H811" s="13">
        <f t="shared" si="12"/>
        <v>17.685714285714287</v>
      </c>
    </row>
    <row r="812" spans="1:8" hidden="1" outlineLevel="2">
      <c r="A812" s="32" t="s">
        <v>797</v>
      </c>
      <c r="B812" s="32" t="s">
        <v>1862</v>
      </c>
      <c r="C812" s="32" t="s">
        <v>1169</v>
      </c>
      <c r="D812" s="32" t="s">
        <v>1003</v>
      </c>
      <c r="E812" s="33">
        <v>24</v>
      </c>
      <c r="F812" s="33">
        <v>424</v>
      </c>
      <c r="G812" s="33">
        <v>23</v>
      </c>
      <c r="H812" s="13">
        <f t="shared" si="12"/>
        <v>17.666666666666668</v>
      </c>
    </row>
    <row r="813" spans="1:8" hidden="1" outlineLevel="2">
      <c r="A813" s="32" t="s">
        <v>797</v>
      </c>
      <c r="B813" s="32" t="s">
        <v>1858</v>
      </c>
      <c r="C813" s="32" t="s">
        <v>805</v>
      </c>
      <c r="D813" s="32" t="s">
        <v>832</v>
      </c>
      <c r="E813" s="33">
        <v>36</v>
      </c>
      <c r="F813" s="33">
        <v>635</v>
      </c>
      <c r="G813" s="33">
        <v>36</v>
      </c>
      <c r="H813" s="13">
        <f t="shared" si="12"/>
        <v>17.638888888888889</v>
      </c>
    </row>
    <row r="814" spans="1:8" hidden="1" outlineLevel="2">
      <c r="A814" s="32" t="s">
        <v>797</v>
      </c>
      <c r="B814" s="32" t="s">
        <v>86</v>
      </c>
      <c r="C814" s="32" t="s">
        <v>1029</v>
      </c>
      <c r="D814" s="32" t="s">
        <v>1195</v>
      </c>
      <c r="E814" s="33">
        <v>15</v>
      </c>
      <c r="F814" s="33">
        <v>264</v>
      </c>
      <c r="G814" s="33">
        <v>13</v>
      </c>
      <c r="H814" s="13">
        <f t="shared" si="12"/>
        <v>17.600000000000001</v>
      </c>
    </row>
    <row r="815" spans="1:8" hidden="1" outlineLevel="2">
      <c r="A815" s="32" t="s">
        <v>797</v>
      </c>
      <c r="B815" s="32" t="s">
        <v>1862</v>
      </c>
      <c r="C815" s="32" t="s">
        <v>950</v>
      </c>
      <c r="D815" s="32" t="s">
        <v>861</v>
      </c>
      <c r="E815" s="33">
        <v>24</v>
      </c>
      <c r="F815" s="33">
        <v>419</v>
      </c>
      <c r="G815" s="33">
        <v>18</v>
      </c>
      <c r="H815" s="13">
        <f t="shared" si="12"/>
        <v>17.458333333333332</v>
      </c>
    </row>
    <row r="816" spans="1:8" hidden="1" outlineLevel="2">
      <c r="A816" s="32" t="s">
        <v>797</v>
      </c>
      <c r="B816" s="32" t="s">
        <v>1862</v>
      </c>
      <c r="C816" s="32" t="s">
        <v>938</v>
      </c>
      <c r="D816" s="32" t="s">
        <v>872</v>
      </c>
      <c r="E816" s="33">
        <v>32</v>
      </c>
      <c r="F816" s="33">
        <v>558</v>
      </c>
      <c r="G816" s="33">
        <v>25</v>
      </c>
      <c r="H816" s="13">
        <f t="shared" si="12"/>
        <v>17.4375</v>
      </c>
    </row>
    <row r="817" spans="1:8" hidden="1" outlineLevel="2">
      <c r="A817" s="32" t="s">
        <v>797</v>
      </c>
      <c r="B817" s="32" t="s">
        <v>86</v>
      </c>
      <c r="C817" s="32" t="s">
        <v>857</v>
      </c>
      <c r="D817" s="32" t="s">
        <v>940</v>
      </c>
      <c r="E817" s="33">
        <v>24</v>
      </c>
      <c r="F817" s="33">
        <v>418</v>
      </c>
      <c r="G817" s="33">
        <v>19</v>
      </c>
      <c r="H817" s="13">
        <f t="shared" si="12"/>
        <v>17.416666666666668</v>
      </c>
    </row>
    <row r="818" spans="1:8" hidden="1" outlineLevel="2">
      <c r="A818" s="32" t="s">
        <v>797</v>
      </c>
      <c r="B818" s="32" t="s">
        <v>1858</v>
      </c>
      <c r="C818" s="32" t="s">
        <v>978</v>
      </c>
      <c r="D818" s="32" t="s">
        <v>853</v>
      </c>
      <c r="E818" s="33">
        <v>28</v>
      </c>
      <c r="F818" s="33">
        <v>487</v>
      </c>
      <c r="G818" s="33">
        <v>26</v>
      </c>
      <c r="H818" s="13">
        <f t="shared" si="12"/>
        <v>17.392857142857142</v>
      </c>
    </row>
    <row r="819" spans="1:8" hidden="1" outlineLevel="2">
      <c r="A819" s="32" t="s">
        <v>797</v>
      </c>
      <c r="B819" s="32" t="s">
        <v>86</v>
      </c>
      <c r="C819" s="32" t="s">
        <v>873</v>
      </c>
      <c r="D819" s="32" t="s">
        <v>993</v>
      </c>
      <c r="E819" s="33">
        <v>45</v>
      </c>
      <c r="F819" s="33">
        <v>781</v>
      </c>
      <c r="G819" s="33">
        <v>46</v>
      </c>
      <c r="H819" s="13">
        <f t="shared" si="12"/>
        <v>17.355555555555554</v>
      </c>
    </row>
    <row r="820" spans="1:8" hidden="1" outlineLevel="2">
      <c r="A820" s="32" t="s">
        <v>797</v>
      </c>
      <c r="B820" s="32" t="s">
        <v>1858</v>
      </c>
      <c r="C820" s="32" t="s">
        <v>815</v>
      </c>
      <c r="D820" s="32" t="s">
        <v>832</v>
      </c>
      <c r="E820" s="33">
        <v>35</v>
      </c>
      <c r="F820" s="33">
        <v>607</v>
      </c>
      <c r="G820" s="33">
        <v>34</v>
      </c>
      <c r="H820" s="13">
        <f t="shared" si="12"/>
        <v>17.342857142857142</v>
      </c>
    </row>
    <row r="821" spans="1:8" hidden="1" outlineLevel="2">
      <c r="A821" s="32" t="s">
        <v>797</v>
      </c>
      <c r="B821" s="32" t="s">
        <v>86</v>
      </c>
      <c r="C821" s="32" t="s">
        <v>1033</v>
      </c>
      <c r="D821" s="32" t="s">
        <v>968</v>
      </c>
      <c r="E821" s="33">
        <v>30</v>
      </c>
      <c r="F821" s="33">
        <v>520</v>
      </c>
      <c r="G821" s="33">
        <v>28</v>
      </c>
      <c r="H821" s="13">
        <f t="shared" si="12"/>
        <v>17.333333333333332</v>
      </c>
    </row>
    <row r="822" spans="1:8" hidden="1" outlineLevel="2">
      <c r="A822" s="32" t="s">
        <v>797</v>
      </c>
      <c r="B822" s="32" t="s">
        <v>1858</v>
      </c>
      <c r="C822" s="32" t="s">
        <v>914</v>
      </c>
      <c r="D822" s="32" t="s">
        <v>861</v>
      </c>
      <c r="E822" s="33">
        <v>22</v>
      </c>
      <c r="F822" s="33">
        <v>381</v>
      </c>
      <c r="G822" s="33">
        <v>22</v>
      </c>
      <c r="H822" s="13">
        <f t="shared" si="12"/>
        <v>17.318181818181817</v>
      </c>
    </row>
    <row r="823" spans="1:8" hidden="1" outlineLevel="2">
      <c r="A823" s="32" t="s">
        <v>797</v>
      </c>
      <c r="B823" s="32" t="s">
        <v>1858</v>
      </c>
      <c r="C823" s="32" t="s">
        <v>1179</v>
      </c>
      <c r="D823" s="32" t="s">
        <v>822</v>
      </c>
      <c r="E823" s="33">
        <v>35</v>
      </c>
      <c r="F823" s="33">
        <v>606</v>
      </c>
      <c r="G823" s="33">
        <v>29</v>
      </c>
      <c r="H823" s="13">
        <f t="shared" si="12"/>
        <v>17.314285714285713</v>
      </c>
    </row>
    <row r="824" spans="1:8" hidden="1" outlineLevel="2">
      <c r="A824" s="32" t="s">
        <v>797</v>
      </c>
      <c r="B824" s="32" t="s">
        <v>1862</v>
      </c>
      <c r="C824" s="32" t="s">
        <v>1100</v>
      </c>
      <c r="D824" s="32" t="s">
        <v>861</v>
      </c>
      <c r="E824" s="33">
        <v>24</v>
      </c>
      <c r="F824" s="33">
        <v>414</v>
      </c>
      <c r="G824" s="33">
        <v>20</v>
      </c>
      <c r="H824" s="13">
        <f t="shared" si="12"/>
        <v>17.25</v>
      </c>
    </row>
    <row r="825" spans="1:8" hidden="1" outlineLevel="2">
      <c r="A825" s="32" t="s">
        <v>797</v>
      </c>
      <c r="B825" s="32" t="s">
        <v>1862</v>
      </c>
      <c r="C825" s="32" t="s">
        <v>967</v>
      </c>
      <c r="D825" s="32" t="s">
        <v>1096</v>
      </c>
      <c r="E825" s="33">
        <v>24</v>
      </c>
      <c r="F825" s="33">
        <v>413</v>
      </c>
      <c r="G825" s="33">
        <v>24</v>
      </c>
      <c r="H825" s="13">
        <f t="shared" si="12"/>
        <v>17.208333333333332</v>
      </c>
    </row>
    <row r="826" spans="1:8" hidden="1" outlineLevel="2">
      <c r="A826" s="32" t="s">
        <v>797</v>
      </c>
      <c r="B826" s="32" t="s">
        <v>1858</v>
      </c>
      <c r="C826" s="32" t="s">
        <v>921</v>
      </c>
      <c r="D826" s="32" t="s">
        <v>1148</v>
      </c>
      <c r="E826" s="33">
        <v>15</v>
      </c>
      <c r="F826" s="33">
        <v>258</v>
      </c>
      <c r="G826" s="33">
        <v>14</v>
      </c>
      <c r="H826" s="13">
        <f t="shared" si="12"/>
        <v>17.2</v>
      </c>
    </row>
    <row r="827" spans="1:8" hidden="1" outlineLevel="2">
      <c r="A827" s="32" t="s">
        <v>797</v>
      </c>
      <c r="B827" s="32" t="s">
        <v>1862</v>
      </c>
      <c r="C827" s="32" t="s">
        <v>932</v>
      </c>
      <c r="D827" s="32" t="s">
        <v>883</v>
      </c>
      <c r="E827" s="33">
        <v>30</v>
      </c>
      <c r="F827" s="33">
        <v>515</v>
      </c>
      <c r="G827" s="33">
        <v>21</v>
      </c>
      <c r="H827" s="13">
        <f t="shared" si="12"/>
        <v>17.166666666666668</v>
      </c>
    </row>
    <row r="828" spans="1:8" hidden="1" outlineLevel="2">
      <c r="A828" s="32" t="s">
        <v>797</v>
      </c>
      <c r="B828" s="32" t="s">
        <v>1858</v>
      </c>
      <c r="C828" s="32" t="s">
        <v>1167</v>
      </c>
      <c r="D828" s="32" t="s">
        <v>872</v>
      </c>
      <c r="E828" s="33">
        <v>35</v>
      </c>
      <c r="F828" s="33">
        <v>600</v>
      </c>
      <c r="G828" s="33">
        <v>31</v>
      </c>
      <c r="H828" s="13">
        <f t="shared" si="12"/>
        <v>17.142857142857142</v>
      </c>
    </row>
    <row r="829" spans="1:8" hidden="1" outlineLevel="2">
      <c r="A829" s="32" t="s">
        <v>797</v>
      </c>
      <c r="B829" s="32" t="s">
        <v>1862</v>
      </c>
      <c r="C829" s="32" t="s">
        <v>1170</v>
      </c>
      <c r="D829" s="32" t="s">
        <v>968</v>
      </c>
      <c r="E829" s="33">
        <v>24</v>
      </c>
      <c r="F829" s="33">
        <v>411</v>
      </c>
      <c r="G829" s="33">
        <v>22</v>
      </c>
      <c r="H829" s="13">
        <f t="shared" si="12"/>
        <v>17.125</v>
      </c>
    </row>
    <row r="830" spans="1:8" hidden="1" outlineLevel="2">
      <c r="A830" s="32" t="s">
        <v>797</v>
      </c>
      <c r="B830" s="32" t="s">
        <v>1858</v>
      </c>
      <c r="C830" s="32" t="s">
        <v>980</v>
      </c>
      <c r="D830" s="32" t="s">
        <v>822</v>
      </c>
      <c r="E830" s="33">
        <v>34</v>
      </c>
      <c r="F830" s="33">
        <v>578</v>
      </c>
      <c r="G830" s="33">
        <v>33</v>
      </c>
      <c r="H830" s="13">
        <f t="shared" si="12"/>
        <v>17</v>
      </c>
    </row>
    <row r="831" spans="1:8" hidden="1" outlineLevel="2">
      <c r="A831" s="32" t="s">
        <v>797</v>
      </c>
      <c r="B831" s="32" t="s">
        <v>1858</v>
      </c>
      <c r="C831" s="32" t="s">
        <v>981</v>
      </c>
      <c r="D831" s="32" t="s">
        <v>832</v>
      </c>
      <c r="E831" s="33">
        <v>35</v>
      </c>
      <c r="F831" s="33">
        <v>595</v>
      </c>
      <c r="G831" s="33">
        <v>34</v>
      </c>
      <c r="H831" s="13">
        <f t="shared" si="12"/>
        <v>17</v>
      </c>
    </row>
    <row r="832" spans="1:8" hidden="1" outlineLevel="2">
      <c r="A832" s="32" t="s">
        <v>797</v>
      </c>
      <c r="B832" s="32" t="s">
        <v>86</v>
      </c>
      <c r="C832" s="32" t="s">
        <v>835</v>
      </c>
      <c r="D832" s="32" t="s">
        <v>1028</v>
      </c>
      <c r="E832" s="33">
        <v>24</v>
      </c>
      <c r="F832" s="33">
        <v>406</v>
      </c>
      <c r="G832" s="33">
        <v>21</v>
      </c>
      <c r="H832" s="13">
        <f t="shared" si="12"/>
        <v>16.916666666666668</v>
      </c>
    </row>
    <row r="833" spans="1:8" hidden="1" outlineLevel="2">
      <c r="A833" s="32" t="s">
        <v>797</v>
      </c>
      <c r="B833" s="32" t="s">
        <v>1858</v>
      </c>
      <c r="C833" s="32" t="s">
        <v>930</v>
      </c>
      <c r="D833" s="32" t="s">
        <v>822</v>
      </c>
      <c r="E833" s="33">
        <v>35</v>
      </c>
      <c r="F833" s="33">
        <v>592</v>
      </c>
      <c r="G833" s="33">
        <v>35</v>
      </c>
      <c r="H833" s="13">
        <f t="shared" si="12"/>
        <v>16.914285714285715</v>
      </c>
    </row>
    <row r="834" spans="1:8" hidden="1" outlineLevel="2">
      <c r="A834" s="32" t="s">
        <v>797</v>
      </c>
      <c r="B834" s="32" t="s">
        <v>1858</v>
      </c>
      <c r="C834" s="32" t="s">
        <v>930</v>
      </c>
      <c r="D834" s="32" t="s">
        <v>832</v>
      </c>
      <c r="E834" s="33">
        <v>35</v>
      </c>
      <c r="F834" s="33">
        <v>591</v>
      </c>
      <c r="G834" s="33">
        <v>32</v>
      </c>
      <c r="H834" s="13">
        <f t="shared" ref="H834:H897" si="13">IFERROR(F834/E834,"")</f>
        <v>16.885714285714286</v>
      </c>
    </row>
    <row r="835" spans="1:8" hidden="1" outlineLevel="2">
      <c r="A835" s="32" t="s">
        <v>797</v>
      </c>
      <c r="B835" s="32" t="s">
        <v>1858</v>
      </c>
      <c r="C835" s="32" t="s">
        <v>917</v>
      </c>
      <c r="D835" s="32" t="s">
        <v>832</v>
      </c>
      <c r="E835" s="33">
        <v>35</v>
      </c>
      <c r="F835" s="33">
        <v>590</v>
      </c>
      <c r="G835" s="33">
        <v>30</v>
      </c>
      <c r="H835" s="13">
        <f t="shared" si="13"/>
        <v>16.857142857142858</v>
      </c>
    </row>
    <row r="836" spans="1:8" hidden="1" outlineLevel="2">
      <c r="A836" s="32" t="s">
        <v>797</v>
      </c>
      <c r="B836" s="32" t="s">
        <v>1858</v>
      </c>
      <c r="C836" s="32" t="s">
        <v>1066</v>
      </c>
      <c r="D836" s="32" t="s">
        <v>845</v>
      </c>
      <c r="E836" s="33">
        <v>24</v>
      </c>
      <c r="F836" s="33">
        <v>404</v>
      </c>
      <c r="G836" s="33">
        <v>22</v>
      </c>
      <c r="H836" s="13">
        <f t="shared" si="13"/>
        <v>16.833333333333332</v>
      </c>
    </row>
    <row r="837" spans="1:8" hidden="1" outlineLevel="2">
      <c r="A837" s="32" t="s">
        <v>797</v>
      </c>
      <c r="B837" s="32" t="s">
        <v>86</v>
      </c>
      <c r="C837" s="32" t="s">
        <v>1037</v>
      </c>
      <c r="D837" s="32" t="s">
        <v>1038</v>
      </c>
      <c r="E837" s="33">
        <v>24</v>
      </c>
      <c r="F837" s="33">
        <v>403</v>
      </c>
      <c r="G837" s="33">
        <v>24</v>
      </c>
      <c r="H837" s="13">
        <f t="shared" si="13"/>
        <v>16.791666666666668</v>
      </c>
    </row>
    <row r="838" spans="1:8" hidden="1" outlineLevel="2">
      <c r="A838" s="32" t="s">
        <v>797</v>
      </c>
      <c r="B838" s="32" t="s">
        <v>1862</v>
      </c>
      <c r="C838" s="32" t="s">
        <v>1099</v>
      </c>
      <c r="D838" s="32" t="s">
        <v>883</v>
      </c>
      <c r="E838" s="33">
        <v>48</v>
      </c>
      <c r="F838" s="33">
        <v>805</v>
      </c>
      <c r="G838" s="33">
        <v>39</v>
      </c>
      <c r="H838" s="13">
        <f t="shared" si="13"/>
        <v>16.770833333333332</v>
      </c>
    </row>
    <row r="839" spans="1:8" hidden="1" outlineLevel="2">
      <c r="A839" s="32" t="s">
        <v>797</v>
      </c>
      <c r="B839" s="32" t="s">
        <v>1858</v>
      </c>
      <c r="C839" s="32" t="s">
        <v>880</v>
      </c>
      <c r="D839" s="32" t="s">
        <v>837</v>
      </c>
      <c r="E839" s="33">
        <v>28</v>
      </c>
      <c r="F839" s="33">
        <v>468</v>
      </c>
      <c r="G839" s="33">
        <v>28</v>
      </c>
      <c r="H839" s="13">
        <f t="shared" si="13"/>
        <v>16.714285714285715</v>
      </c>
    </row>
    <row r="840" spans="1:8" hidden="1" outlineLevel="2">
      <c r="A840" s="32" t="s">
        <v>797</v>
      </c>
      <c r="B840" s="32" t="s">
        <v>1858</v>
      </c>
      <c r="C840" s="32" t="s">
        <v>1141</v>
      </c>
      <c r="D840" s="32" t="s">
        <v>864</v>
      </c>
      <c r="E840" s="33">
        <v>10</v>
      </c>
      <c r="F840" s="33">
        <v>167</v>
      </c>
      <c r="G840" s="33">
        <v>8</v>
      </c>
      <c r="H840" s="13">
        <f t="shared" si="13"/>
        <v>16.7</v>
      </c>
    </row>
    <row r="841" spans="1:8" hidden="1" outlineLevel="2">
      <c r="A841" s="32" t="s">
        <v>797</v>
      </c>
      <c r="B841" s="32" t="s">
        <v>1858</v>
      </c>
      <c r="C841" s="32" t="s">
        <v>1122</v>
      </c>
      <c r="D841" s="32" t="s">
        <v>825</v>
      </c>
      <c r="E841" s="33">
        <v>25</v>
      </c>
      <c r="F841" s="33">
        <v>417</v>
      </c>
      <c r="G841" s="33">
        <v>20</v>
      </c>
      <c r="H841" s="13">
        <f t="shared" si="13"/>
        <v>16.68</v>
      </c>
    </row>
    <row r="842" spans="1:8" hidden="1" outlineLevel="2">
      <c r="A842" s="32" t="s">
        <v>797</v>
      </c>
      <c r="B842" s="32" t="s">
        <v>1858</v>
      </c>
      <c r="C842" s="32" t="s">
        <v>1014</v>
      </c>
      <c r="D842" s="32" t="s">
        <v>825</v>
      </c>
      <c r="E842" s="33">
        <v>35</v>
      </c>
      <c r="F842" s="33">
        <v>579</v>
      </c>
      <c r="G842" s="33">
        <v>34</v>
      </c>
      <c r="H842" s="13">
        <f t="shared" si="13"/>
        <v>16.542857142857144</v>
      </c>
    </row>
    <row r="843" spans="1:8" hidden="1" outlineLevel="2">
      <c r="A843" s="32" t="s">
        <v>797</v>
      </c>
      <c r="B843" s="32" t="s">
        <v>1858</v>
      </c>
      <c r="C843" s="32" t="s">
        <v>1171</v>
      </c>
      <c r="D843" s="32" t="s">
        <v>1003</v>
      </c>
      <c r="E843" s="33">
        <v>28</v>
      </c>
      <c r="F843" s="33">
        <v>462</v>
      </c>
      <c r="G843" s="33">
        <v>18</v>
      </c>
      <c r="H843" s="13">
        <f t="shared" si="13"/>
        <v>16.5</v>
      </c>
    </row>
    <row r="844" spans="1:8" hidden="1" outlineLevel="2">
      <c r="A844" s="32" t="s">
        <v>797</v>
      </c>
      <c r="B844" s="32" t="s">
        <v>1862</v>
      </c>
      <c r="C844" s="32" t="s">
        <v>1156</v>
      </c>
      <c r="D844" s="32" t="s">
        <v>928</v>
      </c>
      <c r="E844" s="33">
        <v>20</v>
      </c>
      <c r="F844" s="33">
        <v>327</v>
      </c>
      <c r="G844" s="33">
        <v>23</v>
      </c>
      <c r="H844" s="13">
        <f t="shared" si="13"/>
        <v>16.350000000000001</v>
      </c>
    </row>
    <row r="845" spans="1:8" hidden="1" outlineLevel="2">
      <c r="A845" s="32" t="s">
        <v>797</v>
      </c>
      <c r="B845" s="32" t="s">
        <v>1858</v>
      </c>
      <c r="C845" s="32" t="s">
        <v>815</v>
      </c>
      <c r="D845" s="32" t="s">
        <v>920</v>
      </c>
      <c r="E845" s="33">
        <v>24</v>
      </c>
      <c r="F845" s="33">
        <v>392</v>
      </c>
      <c r="G845" s="33">
        <v>24</v>
      </c>
      <c r="H845" s="13">
        <f t="shared" si="13"/>
        <v>16.333333333333332</v>
      </c>
    </row>
    <row r="846" spans="1:8" hidden="1" outlineLevel="2">
      <c r="A846" s="32" t="s">
        <v>797</v>
      </c>
      <c r="B846" s="32" t="s">
        <v>1858</v>
      </c>
      <c r="C846" s="32" t="s">
        <v>903</v>
      </c>
      <c r="D846" s="32" t="s">
        <v>832</v>
      </c>
      <c r="E846" s="33">
        <v>30</v>
      </c>
      <c r="F846" s="33">
        <v>489</v>
      </c>
      <c r="G846" s="33">
        <v>28</v>
      </c>
      <c r="H846" s="13">
        <f t="shared" si="13"/>
        <v>16.3</v>
      </c>
    </row>
    <row r="847" spans="1:8" hidden="1" outlineLevel="2">
      <c r="A847" s="32" t="s">
        <v>797</v>
      </c>
      <c r="B847" s="32" t="s">
        <v>86</v>
      </c>
      <c r="C847" s="32" t="s">
        <v>1033</v>
      </c>
      <c r="D847" s="32" t="s">
        <v>1150</v>
      </c>
      <c r="E847" s="33">
        <v>30</v>
      </c>
      <c r="F847" s="33">
        <v>488</v>
      </c>
      <c r="G847" s="33">
        <v>29</v>
      </c>
      <c r="H847" s="13">
        <f t="shared" si="13"/>
        <v>16.266666666666666</v>
      </c>
    </row>
    <row r="848" spans="1:8" hidden="1" outlineLevel="2">
      <c r="A848" s="32" t="s">
        <v>797</v>
      </c>
      <c r="B848" s="32" t="s">
        <v>86</v>
      </c>
      <c r="C848" s="32" t="s">
        <v>902</v>
      </c>
      <c r="D848" s="32" t="s">
        <v>798</v>
      </c>
      <c r="E848" s="33">
        <v>60</v>
      </c>
      <c r="F848" s="33">
        <v>961</v>
      </c>
      <c r="G848" s="33">
        <v>34</v>
      </c>
      <c r="H848" s="13">
        <f t="shared" si="13"/>
        <v>16.016666666666666</v>
      </c>
    </row>
    <row r="849" spans="1:8" hidden="1" outlineLevel="2">
      <c r="A849" s="32" t="s">
        <v>797</v>
      </c>
      <c r="B849" s="32" t="s">
        <v>1858</v>
      </c>
      <c r="C849" s="32" t="s">
        <v>914</v>
      </c>
      <c r="D849" s="32" t="s">
        <v>836</v>
      </c>
      <c r="E849" s="33">
        <v>26</v>
      </c>
      <c r="F849" s="33">
        <v>415</v>
      </c>
      <c r="G849" s="33">
        <v>23</v>
      </c>
      <c r="H849" s="13">
        <f t="shared" si="13"/>
        <v>15.961538461538462</v>
      </c>
    </row>
    <row r="850" spans="1:8" hidden="1" outlineLevel="2">
      <c r="A850" s="32" t="s">
        <v>797</v>
      </c>
      <c r="B850" s="32" t="s">
        <v>86</v>
      </c>
      <c r="C850" s="32" t="s">
        <v>876</v>
      </c>
      <c r="D850" s="32" t="s">
        <v>885</v>
      </c>
      <c r="E850" s="33">
        <v>37</v>
      </c>
      <c r="F850" s="33">
        <v>589</v>
      </c>
      <c r="G850" s="33">
        <v>24</v>
      </c>
      <c r="H850" s="13">
        <f t="shared" si="13"/>
        <v>15.918918918918919</v>
      </c>
    </row>
    <row r="851" spans="1:8" hidden="1" outlineLevel="2">
      <c r="A851" s="32" t="s">
        <v>797</v>
      </c>
      <c r="B851" s="32" t="s">
        <v>86</v>
      </c>
      <c r="C851" s="32" t="s">
        <v>1042</v>
      </c>
      <c r="D851" s="32" t="s">
        <v>822</v>
      </c>
      <c r="E851" s="33">
        <v>35</v>
      </c>
      <c r="F851" s="33">
        <v>557</v>
      </c>
      <c r="G851" s="33">
        <v>31</v>
      </c>
      <c r="H851" s="13">
        <f t="shared" si="13"/>
        <v>15.914285714285715</v>
      </c>
    </row>
    <row r="852" spans="1:8" hidden="1" outlineLevel="2">
      <c r="A852" s="32" t="s">
        <v>797</v>
      </c>
      <c r="B852" s="32" t="s">
        <v>1858</v>
      </c>
      <c r="C852" s="32" t="s">
        <v>1236</v>
      </c>
      <c r="D852" s="32" t="s">
        <v>822</v>
      </c>
      <c r="E852" s="33">
        <v>35</v>
      </c>
      <c r="F852" s="33">
        <v>553</v>
      </c>
      <c r="G852" s="33">
        <v>30</v>
      </c>
      <c r="H852" s="13">
        <f t="shared" si="13"/>
        <v>15.8</v>
      </c>
    </row>
    <row r="853" spans="1:8" hidden="1" outlineLevel="2">
      <c r="A853" s="32" t="s">
        <v>797</v>
      </c>
      <c r="B853" s="32" t="s">
        <v>1862</v>
      </c>
      <c r="C853" s="32" t="s">
        <v>1153</v>
      </c>
      <c r="D853" s="32" t="s">
        <v>832</v>
      </c>
      <c r="E853" s="33">
        <v>38</v>
      </c>
      <c r="F853" s="33">
        <v>597</v>
      </c>
      <c r="G853" s="33">
        <v>38</v>
      </c>
      <c r="H853" s="13">
        <f t="shared" si="13"/>
        <v>15.710526315789474</v>
      </c>
    </row>
    <row r="854" spans="1:8" hidden="1" outlineLevel="2">
      <c r="A854" s="32" t="s">
        <v>797</v>
      </c>
      <c r="B854" s="32" t="s">
        <v>1858</v>
      </c>
      <c r="C854" s="32" t="s">
        <v>1107</v>
      </c>
      <c r="D854" s="32" t="s">
        <v>832</v>
      </c>
      <c r="E854" s="33">
        <v>24</v>
      </c>
      <c r="F854" s="33">
        <v>375</v>
      </c>
      <c r="G854" s="33">
        <v>20</v>
      </c>
      <c r="H854" s="13">
        <f t="shared" si="13"/>
        <v>15.625</v>
      </c>
    </row>
    <row r="855" spans="1:8" hidden="1" outlineLevel="2">
      <c r="A855" s="32" t="s">
        <v>797</v>
      </c>
      <c r="B855" s="32" t="s">
        <v>1862</v>
      </c>
      <c r="C855" s="32" t="s">
        <v>967</v>
      </c>
      <c r="D855" s="32" t="s">
        <v>968</v>
      </c>
      <c r="E855" s="33">
        <v>24</v>
      </c>
      <c r="F855" s="33">
        <v>373</v>
      </c>
      <c r="G855" s="33">
        <v>24</v>
      </c>
      <c r="H855" s="13">
        <f t="shared" si="13"/>
        <v>15.541666666666666</v>
      </c>
    </row>
    <row r="856" spans="1:8" hidden="1" outlineLevel="2">
      <c r="A856" s="32" t="s">
        <v>797</v>
      </c>
      <c r="B856" s="32" t="s">
        <v>1858</v>
      </c>
      <c r="C856" s="32" t="s">
        <v>1013</v>
      </c>
      <c r="D856" s="32" t="s">
        <v>832</v>
      </c>
      <c r="E856" s="33">
        <v>30</v>
      </c>
      <c r="F856" s="33">
        <v>465</v>
      </c>
      <c r="G856" s="33">
        <v>28</v>
      </c>
      <c r="H856" s="13">
        <f t="shared" si="13"/>
        <v>15.5</v>
      </c>
    </row>
    <row r="857" spans="1:8" hidden="1" outlineLevel="2">
      <c r="A857" s="32" t="s">
        <v>797</v>
      </c>
      <c r="B857" s="32" t="s">
        <v>1858</v>
      </c>
      <c r="C857" s="32" t="s">
        <v>1213</v>
      </c>
      <c r="D857" s="32" t="s">
        <v>991</v>
      </c>
      <c r="E857" s="33">
        <v>32</v>
      </c>
      <c r="F857" s="33">
        <v>494</v>
      </c>
      <c r="G857" s="33">
        <v>32</v>
      </c>
      <c r="H857" s="13">
        <f t="shared" si="13"/>
        <v>15.4375</v>
      </c>
    </row>
    <row r="858" spans="1:8" hidden="1" outlineLevel="2">
      <c r="A858" s="32" t="s">
        <v>797</v>
      </c>
      <c r="B858" s="32" t="s">
        <v>1862</v>
      </c>
      <c r="C858" s="32" t="s">
        <v>1078</v>
      </c>
      <c r="D858" s="32" t="s">
        <v>844</v>
      </c>
      <c r="E858" s="33">
        <v>30</v>
      </c>
      <c r="F858" s="33">
        <v>462</v>
      </c>
      <c r="G858" s="33">
        <v>28</v>
      </c>
      <c r="H858" s="13">
        <f t="shared" si="13"/>
        <v>15.4</v>
      </c>
    </row>
    <row r="859" spans="1:8" hidden="1" outlineLevel="2">
      <c r="A859" s="32" t="s">
        <v>797</v>
      </c>
      <c r="B859" s="32" t="s">
        <v>86</v>
      </c>
      <c r="C859" s="32" t="s">
        <v>841</v>
      </c>
      <c r="D859" s="32" t="s">
        <v>1031</v>
      </c>
      <c r="E859" s="33">
        <v>30</v>
      </c>
      <c r="F859" s="33">
        <v>458</v>
      </c>
      <c r="G859" s="33">
        <v>40</v>
      </c>
      <c r="H859" s="13">
        <f t="shared" si="13"/>
        <v>15.266666666666667</v>
      </c>
    </row>
    <row r="860" spans="1:8" hidden="1" outlineLevel="2">
      <c r="A860" s="32" t="s">
        <v>797</v>
      </c>
      <c r="B860" s="32" t="s">
        <v>1858</v>
      </c>
      <c r="C860" s="32" t="s">
        <v>800</v>
      </c>
      <c r="D860" s="32" t="s">
        <v>798</v>
      </c>
      <c r="E860" s="33">
        <v>35</v>
      </c>
      <c r="F860" s="33">
        <v>534</v>
      </c>
      <c r="G860" s="33">
        <v>25</v>
      </c>
      <c r="H860" s="13">
        <f t="shared" si="13"/>
        <v>15.257142857142858</v>
      </c>
    </row>
    <row r="861" spans="1:8" hidden="1" outlineLevel="2">
      <c r="A861" s="32" t="s">
        <v>797</v>
      </c>
      <c r="B861" s="32" t="s">
        <v>1858</v>
      </c>
      <c r="C861" s="32" t="s">
        <v>1147</v>
      </c>
      <c r="D861" s="32" t="s">
        <v>891</v>
      </c>
      <c r="E861" s="33">
        <v>36</v>
      </c>
      <c r="F861" s="33">
        <v>549</v>
      </c>
      <c r="G861" s="33">
        <v>0</v>
      </c>
      <c r="H861" s="13">
        <f t="shared" si="13"/>
        <v>15.25</v>
      </c>
    </row>
    <row r="862" spans="1:8" hidden="1" outlineLevel="2">
      <c r="A862" s="32" t="s">
        <v>797</v>
      </c>
      <c r="B862" s="32" t="s">
        <v>86</v>
      </c>
      <c r="C862" s="32" t="s">
        <v>1033</v>
      </c>
      <c r="D862" s="32" t="s">
        <v>1001</v>
      </c>
      <c r="E862" s="33">
        <v>30</v>
      </c>
      <c r="F862" s="33">
        <v>457</v>
      </c>
      <c r="G862" s="33">
        <v>33</v>
      </c>
      <c r="H862" s="13">
        <f t="shared" si="13"/>
        <v>15.233333333333333</v>
      </c>
    </row>
    <row r="863" spans="1:8" hidden="1" outlineLevel="2">
      <c r="A863" s="32" t="s">
        <v>797</v>
      </c>
      <c r="B863" s="32" t="s">
        <v>1858</v>
      </c>
      <c r="C863" s="32" t="s">
        <v>1061</v>
      </c>
      <c r="D863" s="32" t="s">
        <v>798</v>
      </c>
      <c r="E863" s="33">
        <v>35</v>
      </c>
      <c r="F863" s="33">
        <v>533</v>
      </c>
      <c r="G863" s="33">
        <v>32</v>
      </c>
      <c r="H863" s="13">
        <f t="shared" si="13"/>
        <v>15.228571428571428</v>
      </c>
    </row>
    <row r="864" spans="1:8" hidden="1" outlineLevel="2">
      <c r="A864" s="32" t="s">
        <v>797</v>
      </c>
      <c r="B864" s="32" t="s">
        <v>1862</v>
      </c>
      <c r="C864" s="32" t="s">
        <v>1104</v>
      </c>
      <c r="D864" s="32" t="s">
        <v>823</v>
      </c>
      <c r="E864" s="33">
        <v>30</v>
      </c>
      <c r="F864" s="33">
        <v>456</v>
      </c>
      <c r="G864" s="33">
        <v>27</v>
      </c>
      <c r="H864" s="13">
        <f t="shared" si="13"/>
        <v>15.2</v>
      </c>
    </row>
    <row r="865" spans="1:8" hidden="1" outlineLevel="2">
      <c r="A865" s="32" t="s">
        <v>797</v>
      </c>
      <c r="B865" s="32" t="s">
        <v>1858</v>
      </c>
      <c r="C865" s="32" t="s">
        <v>996</v>
      </c>
      <c r="D865" s="32" t="s">
        <v>861</v>
      </c>
      <c r="E865" s="33">
        <v>26</v>
      </c>
      <c r="F865" s="33">
        <v>394</v>
      </c>
      <c r="G865" s="33">
        <v>20</v>
      </c>
      <c r="H865" s="13">
        <f t="shared" si="13"/>
        <v>15.153846153846153</v>
      </c>
    </row>
    <row r="866" spans="1:8" hidden="1" outlineLevel="2">
      <c r="A866" s="32" t="s">
        <v>797</v>
      </c>
      <c r="B866" s="32" t="s">
        <v>1858</v>
      </c>
      <c r="C866" s="32" t="s">
        <v>1225</v>
      </c>
      <c r="D866" s="32" t="s">
        <v>1003</v>
      </c>
      <c r="E866" s="33">
        <v>23</v>
      </c>
      <c r="F866" s="33">
        <v>348</v>
      </c>
      <c r="G866" s="33">
        <v>15</v>
      </c>
      <c r="H866" s="13">
        <f t="shared" si="13"/>
        <v>15.130434782608695</v>
      </c>
    </row>
    <row r="867" spans="1:8" hidden="1" outlineLevel="2">
      <c r="A867" s="32" t="s">
        <v>797</v>
      </c>
      <c r="B867" s="32" t="s">
        <v>1858</v>
      </c>
      <c r="C867" s="32" t="s">
        <v>1190</v>
      </c>
      <c r="D867" s="32" t="s">
        <v>928</v>
      </c>
      <c r="E867" s="33">
        <v>20</v>
      </c>
      <c r="F867" s="33">
        <v>302</v>
      </c>
      <c r="G867" s="33">
        <v>23</v>
      </c>
      <c r="H867" s="13">
        <f t="shared" si="13"/>
        <v>15.1</v>
      </c>
    </row>
    <row r="868" spans="1:8" hidden="1" outlineLevel="2">
      <c r="A868" s="32" t="s">
        <v>797</v>
      </c>
      <c r="B868" s="32" t="s">
        <v>1858</v>
      </c>
      <c r="C868" s="32" t="s">
        <v>939</v>
      </c>
      <c r="D868" s="32" t="s">
        <v>1003</v>
      </c>
      <c r="E868" s="33">
        <v>32</v>
      </c>
      <c r="F868" s="33">
        <v>483</v>
      </c>
      <c r="G868" s="33">
        <v>27</v>
      </c>
      <c r="H868" s="13">
        <f t="shared" si="13"/>
        <v>15.09375</v>
      </c>
    </row>
    <row r="869" spans="1:8" hidden="1" outlineLevel="2">
      <c r="A869" s="32" t="s">
        <v>797</v>
      </c>
      <c r="B869" s="32" t="s">
        <v>1862</v>
      </c>
      <c r="C869" s="32" t="s">
        <v>964</v>
      </c>
      <c r="D869" s="32" t="s">
        <v>861</v>
      </c>
      <c r="E869" s="33">
        <v>24</v>
      </c>
      <c r="F869" s="33">
        <v>362</v>
      </c>
      <c r="G869" s="33">
        <v>21</v>
      </c>
      <c r="H869" s="13">
        <f t="shared" si="13"/>
        <v>15.083333333333334</v>
      </c>
    </row>
    <row r="870" spans="1:8" hidden="1" outlineLevel="2">
      <c r="A870" s="32" t="s">
        <v>797</v>
      </c>
      <c r="B870" s="32" t="s">
        <v>1858</v>
      </c>
      <c r="C870" s="32" t="s">
        <v>927</v>
      </c>
      <c r="D870" s="32" t="s">
        <v>928</v>
      </c>
      <c r="E870" s="33">
        <v>24</v>
      </c>
      <c r="F870" s="33">
        <v>358</v>
      </c>
      <c r="G870" s="33">
        <v>28</v>
      </c>
      <c r="H870" s="13">
        <f t="shared" si="13"/>
        <v>14.916666666666666</v>
      </c>
    </row>
    <row r="871" spans="1:8" hidden="1" outlineLevel="2">
      <c r="A871" s="32" t="s">
        <v>797</v>
      </c>
      <c r="B871" s="32" t="s">
        <v>1858</v>
      </c>
      <c r="C871" s="32" t="s">
        <v>880</v>
      </c>
      <c r="D871" s="32" t="s">
        <v>839</v>
      </c>
      <c r="E871" s="33">
        <v>35</v>
      </c>
      <c r="F871" s="33">
        <v>518</v>
      </c>
      <c r="G871" s="33">
        <v>21</v>
      </c>
      <c r="H871" s="13">
        <f t="shared" si="13"/>
        <v>14.8</v>
      </c>
    </row>
    <row r="872" spans="1:8" hidden="1" outlineLevel="2">
      <c r="A872" s="32" t="s">
        <v>797</v>
      </c>
      <c r="B872" s="32" t="s">
        <v>1862</v>
      </c>
      <c r="C872" s="32" t="s">
        <v>938</v>
      </c>
      <c r="D872" s="32" t="s">
        <v>1003</v>
      </c>
      <c r="E872" s="33">
        <v>32</v>
      </c>
      <c r="F872" s="33">
        <v>472</v>
      </c>
      <c r="G872" s="33">
        <v>29</v>
      </c>
      <c r="H872" s="13">
        <f t="shared" si="13"/>
        <v>14.75</v>
      </c>
    </row>
    <row r="873" spans="1:8" hidden="1" outlineLevel="2">
      <c r="A873" s="32" t="s">
        <v>797</v>
      </c>
      <c r="B873" s="32" t="s">
        <v>1858</v>
      </c>
      <c r="C873" s="32" t="s">
        <v>1053</v>
      </c>
      <c r="D873" s="32" t="s">
        <v>825</v>
      </c>
      <c r="E873" s="33">
        <v>35</v>
      </c>
      <c r="F873" s="33">
        <v>516</v>
      </c>
      <c r="G873" s="33">
        <v>31</v>
      </c>
      <c r="H873" s="13">
        <f t="shared" si="13"/>
        <v>14.742857142857142</v>
      </c>
    </row>
    <row r="874" spans="1:8" hidden="1" outlineLevel="2">
      <c r="A874" s="32" t="s">
        <v>797</v>
      </c>
      <c r="B874" s="32" t="s">
        <v>86</v>
      </c>
      <c r="C874" s="32" t="s">
        <v>876</v>
      </c>
      <c r="D874" s="32" t="s">
        <v>798</v>
      </c>
      <c r="E874" s="33">
        <v>37</v>
      </c>
      <c r="F874" s="33">
        <v>541</v>
      </c>
      <c r="G874" s="33">
        <v>30</v>
      </c>
      <c r="H874" s="13">
        <f t="shared" si="13"/>
        <v>14.621621621621621</v>
      </c>
    </row>
    <row r="875" spans="1:8" hidden="1" outlineLevel="2">
      <c r="A875" s="32" t="s">
        <v>797</v>
      </c>
      <c r="B875" s="32" t="s">
        <v>1858</v>
      </c>
      <c r="C875" s="32" t="s">
        <v>915</v>
      </c>
      <c r="D875" s="32" t="s">
        <v>823</v>
      </c>
      <c r="E875" s="33">
        <v>32</v>
      </c>
      <c r="F875" s="33">
        <v>466</v>
      </c>
      <c r="G875" s="33">
        <v>33</v>
      </c>
      <c r="H875" s="13">
        <f t="shared" si="13"/>
        <v>14.5625</v>
      </c>
    </row>
    <row r="876" spans="1:8" hidden="1" outlineLevel="2">
      <c r="A876" s="32" t="s">
        <v>797</v>
      </c>
      <c r="B876" s="32" t="s">
        <v>86</v>
      </c>
      <c r="C876" s="32" t="s">
        <v>994</v>
      </c>
      <c r="D876" s="32" t="s">
        <v>1229</v>
      </c>
      <c r="E876" s="33">
        <v>24</v>
      </c>
      <c r="F876" s="33">
        <v>349</v>
      </c>
      <c r="G876" s="33">
        <v>23</v>
      </c>
      <c r="H876" s="13">
        <f t="shared" si="13"/>
        <v>14.541666666666666</v>
      </c>
    </row>
    <row r="877" spans="1:8" hidden="1" outlineLevel="2">
      <c r="A877" s="32" t="s">
        <v>797</v>
      </c>
      <c r="B877" s="32" t="s">
        <v>1862</v>
      </c>
      <c r="C877" s="32" t="s">
        <v>1129</v>
      </c>
      <c r="D877" s="32" t="s">
        <v>905</v>
      </c>
      <c r="E877" s="33">
        <v>34</v>
      </c>
      <c r="F877" s="33">
        <v>493</v>
      </c>
      <c r="G877" s="33">
        <v>20</v>
      </c>
      <c r="H877" s="13">
        <f t="shared" si="13"/>
        <v>14.5</v>
      </c>
    </row>
    <row r="878" spans="1:8" hidden="1" outlineLevel="2">
      <c r="A878" s="32" t="s">
        <v>797</v>
      </c>
      <c r="B878" s="32" t="s">
        <v>1858</v>
      </c>
      <c r="C878" s="32" t="s">
        <v>982</v>
      </c>
      <c r="D878" s="32" t="s">
        <v>1003</v>
      </c>
      <c r="E878" s="33">
        <v>35</v>
      </c>
      <c r="F878" s="33">
        <v>507</v>
      </c>
      <c r="G878" s="33">
        <v>30</v>
      </c>
      <c r="H878" s="13">
        <f t="shared" si="13"/>
        <v>14.485714285714286</v>
      </c>
    </row>
    <row r="879" spans="1:8" hidden="1" outlineLevel="2">
      <c r="A879" s="32" t="s">
        <v>797</v>
      </c>
      <c r="B879" s="32" t="s">
        <v>1858</v>
      </c>
      <c r="C879" s="32" t="s">
        <v>926</v>
      </c>
      <c r="D879" s="32" t="s">
        <v>885</v>
      </c>
      <c r="E879" s="33">
        <v>34</v>
      </c>
      <c r="F879" s="33">
        <v>489</v>
      </c>
      <c r="G879" s="33">
        <v>28</v>
      </c>
      <c r="H879" s="13">
        <f t="shared" si="13"/>
        <v>14.382352941176471</v>
      </c>
    </row>
    <row r="880" spans="1:8" hidden="1" outlineLevel="2">
      <c r="A880" s="32" t="s">
        <v>797</v>
      </c>
      <c r="B880" s="32" t="s">
        <v>1862</v>
      </c>
      <c r="C880" s="32" t="s">
        <v>950</v>
      </c>
      <c r="D880" s="32" t="s">
        <v>853</v>
      </c>
      <c r="E880" s="33">
        <v>35</v>
      </c>
      <c r="F880" s="33">
        <v>502</v>
      </c>
      <c r="G880" s="33">
        <v>34</v>
      </c>
      <c r="H880" s="13">
        <f t="shared" si="13"/>
        <v>14.342857142857143</v>
      </c>
    </row>
    <row r="881" spans="1:8" hidden="1" outlineLevel="2">
      <c r="A881" s="32" t="s">
        <v>797</v>
      </c>
      <c r="B881" s="32" t="s">
        <v>1858</v>
      </c>
      <c r="C881" s="32" t="s">
        <v>984</v>
      </c>
      <c r="D881" s="32" t="s">
        <v>832</v>
      </c>
      <c r="E881" s="33">
        <v>30</v>
      </c>
      <c r="F881" s="33">
        <v>429</v>
      </c>
      <c r="G881" s="33">
        <v>23</v>
      </c>
      <c r="H881" s="13">
        <f t="shared" si="13"/>
        <v>14.3</v>
      </c>
    </row>
    <row r="882" spans="1:8" hidden="1" outlineLevel="2">
      <c r="A882" s="32" t="s">
        <v>797</v>
      </c>
      <c r="B882" s="32" t="s">
        <v>1858</v>
      </c>
      <c r="C882" s="32" t="s">
        <v>909</v>
      </c>
      <c r="D882" s="32" t="s">
        <v>839</v>
      </c>
      <c r="E882" s="33">
        <v>29</v>
      </c>
      <c r="F882" s="33">
        <v>413</v>
      </c>
      <c r="G882" s="33">
        <v>29</v>
      </c>
      <c r="H882" s="13">
        <f t="shared" si="13"/>
        <v>14.241379310344827</v>
      </c>
    </row>
    <row r="883" spans="1:8" hidden="1" outlineLevel="2">
      <c r="A883" s="32" t="s">
        <v>797</v>
      </c>
      <c r="B883" s="32" t="s">
        <v>1858</v>
      </c>
      <c r="C883" s="32" t="s">
        <v>908</v>
      </c>
      <c r="D883" s="32" t="s">
        <v>832</v>
      </c>
      <c r="E883" s="33">
        <v>35</v>
      </c>
      <c r="F883" s="33">
        <v>493</v>
      </c>
      <c r="G883" s="33">
        <v>29</v>
      </c>
      <c r="H883" s="13">
        <f t="shared" si="13"/>
        <v>14.085714285714285</v>
      </c>
    </row>
    <row r="884" spans="1:8" hidden="1" outlineLevel="2">
      <c r="A884" s="32" t="s">
        <v>797</v>
      </c>
      <c r="B884" s="32" t="s">
        <v>1862</v>
      </c>
      <c r="C884" s="32" t="s">
        <v>975</v>
      </c>
      <c r="D884" s="32" t="s">
        <v>1019</v>
      </c>
      <c r="E884" s="33">
        <v>35</v>
      </c>
      <c r="F884" s="33">
        <v>491</v>
      </c>
      <c r="G884" s="33">
        <v>31</v>
      </c>
      <c r="H884" s="13">
        <f t="shared" si="13"/>
        <v>14.028571428571428</v>
      </c>
    </row>
    <row r="885" spans="1:8" hidden="1" outlineLevel="2">
      <c r="A885" s="32" t="s">
        <v>797</v>
      </c>
      <c r="B885" s="32" t="s">
        <v>1858</v>
      </c>
      <c r="C885" s="32" t="s">
        <v>930</v>
      </c>
      <c r="D885" s="32" t="s">
        <v>832</v>
      </c>
      <c r="E885" s="33">
        <v>35</v>
      </c>
      <c r="F885" s="33">
        <v>490</v>
      </c>
      <c r="G885" s="33">
        <v>27</v>
      </c>
      <c r="H885" s="13">
        <f t="shared" si="13"/>
        <v>14</v>
      </c>
    </row>
    <row r="886" spans="1:8" hidden="1" outlineLevel="2">
      <c r="A886" s="32" t="s">
        <v>797</v>
      </c>
      <c r="B886" s="32" t="s">
        <v>86</v>
      </c>
      <c r="C886" s="32" t="s">
        <v>871</v>
      </c>
      <c r="D886" s="32" t="s">
        <v>891</v>
      </c>
      <c r="E886" s="33">
        <v>80</v>
      </c>
      <c r="F886" s="33">
        <v>1120</v>
      </c>
      <c r="G886" s="33">
        <v>72</v>
      </c>
      <c r="H886" s="13">
        <f t="shared" si="13"/>
        <v>14</v>
      </c>
    </row>
    <row r="887" spans="1:8" hidden="1" outlineLevel="2">
      <c r="A887" s="32" t="s">
        <v>797</v>
      </c>
      <c r="B887" s="32" t="s">
        <v>1858</v>
      </c>
      <c r="C887" s="32" t="s">
        <v>1119</v>
      </c>
      <c r="D887" s="32" t="s">
        <v>832</v>
      </c>
      <c r="E887" s="33">
        <v>18</v>
      </c>
      <c r="F887" s="33">
        <v>251</v>
      </c>
      <c r="G887" s="33">
        <v>18</v>
      </c>
      <c r="H887" s="13">
        <f t="shared" si="13"/>
        <v>13.944444444444445</v>
      </c>
    </row>
    <row r="888" spans="1:8" hidden="1" outlineLevel="2">
      <c r="A888" s="32" t="s">
        <v>797</v>
      </c>
      <c r="B888" s="32" t="s">
        <v>86</v>
      </c>
      <c r="C888" s="32" t="s">
        <v>1231</v>
      </c>
      <c r="D888" s="32" t="s">
        <v>891</v>
      </c>
      <c r="E888" s="33">
        <v>33</v>
      </c>
      <c r="F888" s="33">
        <v>460</v>
      </c>
      <c r="G888" s="33">
        <v>32</v>
      </c>
      <c r="H888" s="13">
        <f t="shared" si="13"/>
        <v>13.939393939393939</v>
      </c>
    </row>
    <row r="889" spans="1:8" hidden="1" outlineLevel="2">
      <c r="A889" s="32" t="s">
        <v>797</v>
      </c>
      <c r="B889" s="32" t="s">
        <v>86</v>
      </c>
      <c r="C889" s="32" t="s">
        <v>859</v>
      </c>
      <c r="D889" s="32" t="s">
        <v>860</v>
      </c>
      <c r="E889" s="33">
        <v>48</v>
      </c>
      <c r="F889" s="33">
        <v>662</v>
      </c>
      <c r="G889" s="33">
        <v>46</v>
      </c>
      <c r="H889" s="13">
        <f t="shared" si="13"/>
        <v>13.791666666666666</v>
      </c>
    </row>
    <row r="890" spans="1:8" hidden="1" outlineLevel="2">
      <c r="A890" s="32" t="s">
        <v>797</v>
      </c>
      <c r="B890" s="32" t="s">
        <v>1858</v>
      </c>
      <c r="C890" s="32" t="s">
        <v>918</v>
      </c>
      <c r="D890" s="32" t="s">
        <v>958</v>
      </c>
      <c r="E890" s="33">
        <v>24</v>
      </c>
      <c r="F890" s="33">
        <v>331</v>
      </c>
      <c r="G890" s="33">
        <v>16</v>
      </c>
      <c r="H890" s="13">
        <f t="shared" si="13"/>
        <v>13.791666666666666</v>
      </c>
    </row>
    <row r="891" spans="1:8" hidden="1" outlineLevel="2">
      <c r="A891" s="32" t="s">
        <v>797</v>
      </c>
      <c r="B891" s="32" t="s">
        <v>1862</v>
      </c>
      <c r="C891" s="32" t="s">
        <v>967</v>
      </c>
      <c r="D891" s="32" t="s">
        <v>1001</v>
      </c>
      <c r="E891" s="33">
        <v>24</v>
      </c>
      <c r="F891" s="33">
        <v>331</v>
      </c>
      <c r="G891" s="33">
        <v>25</v>
      </c>
      <c r="H891" s="13">
        <f t="shared" si="13"/>
        <v>13.791666666666666</v>
      </c>
    </row>
    <row r="892" spans="1:8" hidden="1" outlineLevel="2">
      <c r="A892" s="32" t="s">
        <v>797</v>
      </c>
      <c r="B892" s="32" t="s">
        <v>1858</v>
      </c>
      <c r="C892" s="32" t="s">
        <v>818</v>
      </c>
      <c r="D892" s="32" t="s">
        <v>845</v>
      </c>
      <c r="E892" s="33">
        <v>24</v>
      </c>
      <c r="F892" s="33">
        <v>328</v>
      </c>
      <c r="G892" s="33">
        <v>24</v>
      </c>
      <c r="H892" s="13">
        <f t="shared" si="13"/>
        <v>13.666666666666666</v>
      </c>
    </row>
    <row r="893" spans="1:8" hidden="1" outlineLevel="2">
      <c r="A893" s="32" t="s">
        <v>797</v>
      </c>
      <c r="B893" s="32" t="s">
        <v>1862</v>
      </c>
      <c r="C893" s="32" t="s">
        <v>1084</v>
      </c>
      <c r="D893" s="32" t="s">
        <v>1031</v>
      </c>
      <c r="E893" s="33">
        <v>30</v>
      </c>
      <c r="F893" s="33">
        <v>406</v>
      </c>
      <c r="G893" s="33">
        <v>29</v>
      </c>
      <c r="H893" s="13">
        <f t="shared" si="13"/>
        <v>13.533333333333333</v>
      </c>
    </row>
    <row r="894" spans="1:8" hidden="1" outlineLevel="2">
      <c r="A894" s="32" t="s">
        <v>797</v>
      </c>
      <c r="B894" s="32" t="s">
        <v>1858</v>
      </c>
      <c r="C894" s="32" t="s">
        <v>988</v>
      </c>
      <c r="D894" s="32" t="s">
        <v>1019</v>
      </c>
      <c r="E894" s="33">
        <v>12</v>
      </c>
      <c r="F894" s="33">
        <v>162</v>
      </c>
      <c r="G894" s="33">
        <v>12</v>
      </c>
      <c r="H894" s="13">
        <f t="shared" si="13"/>
        <v>13.5</v>
      </c>
    </row>
    <row r="895" spans="1:8" hidden="1" outlineLevel="2">
      <c r="A895" s="32" t="s">
        <v>797</v>
      </c>
      <c r="B895" s="32" t="s">
        <v>1862</v>
      </c>
      <c r="C895" s="32" t="s">
        <v>1004</v>
      </c>
      <c r="D895" s="32" t="s">
        <v>867</v>
      </c>
      <c r="E895" s="33">
        <v>18</v>
      </c>
      <c r="F895" s="33">
        <v>243</v>
      </c>
      <c r="G895" s="33">
        <v>22</v>
      </c>
      <c r="H895" s="13">
        <f t="shared" si="13"/>
        <v>13.5</v>
      </c>
    </row>
    <row r="896" spans="1:8" hidden="1" outlineLevel="2">
      <c r="A896" s="32" t="s">
        <v>797</v>
      </c>
      <c r="B896" s="32" t="s">
        <v>1858</v>
      </c>
      <c r="C896" s="32" t="s">
        <v>1167</v>
      </c>
      <c r="D896" s="32" t="s">
        <v>832</v>
      </c>
      <c r="E896" s="33">
        <v>35</v>
      </c>
      <c r="F896" s="33">
        <v>472</v>
      </c>
      <c r="G896" s="33">
        <v>35</v>
      </c>
      <c r="H896" s="13">
        <f t="shared" si="13"/>
        <v>13.485714285714286</v>
      </c>
    </row>
    <row r="897" spans="1:8" hidden="1" outlineLevel="2">
      <c r="A897" s="32" t="s">
        <v>797</v>
      </c>
      <c r="B897" s="32" t="s">
        <v>1858</v>
      </c>
      <c r="C897" s="32" t="s">
        <v>909</v>
      </c>
      <c r="D897" s="32" t="s">
        <v>861</v>
      </c>
      <c r="E897" s="33">
        <v>28</v>
      </c>
      <c r="F897" s="33">
        <v>375</v>
      </c>
      <c r="G897" s="33">
        <v>26</v>
      </c>
      <c r="H897" s="13">
        <f t="shared" si="13"/>
        <v>13.392857142857142</v>
      </c>
    </row>
    <row r="898" spans="1:8" hidden="1" outlineLevel="2">
      <c r="A898" s="32" t="s">
        <v>797</v>
      </c>
      <c r="B898" s="32" t="s">
        <v>86</v>
      </c>
      <c r="C898" s="32" t="s">
        <v>874</v>
      </c>
      <c r="D898" s="32" t="s">
        <v>885</v>
      </c>
      <c r="E898" s="33">
        <v>36</v>
      </c>
      <c r="F898" s="33">
        <v>482</v>
      </c>
      <c r="G898" s="33">
        <v>30</v>
      </c>
      <c r="H898" s="13">
        <f t="shared" ref="H898:H961" si="14">IFERROR(F898/E898,"")</f>
        <v>13.388888888888889</v>
      </c>
    </row>
    <row r="899" spans="1:8" hidden="1" outlineLevel="2">
      <c r="A899" s="32" t="s">
        <v>797</v>
      </c>
      <c r="B899" s="32" t="s">
        <v>1862</v>
      </c>
      <c r="C899" s="32" t="s">
        <v>938</v>
      </c>
      <c r="D899" s="32" t="s">
        <v>920</v>
      </c>
      <c r="E899" s="33">
        <v>26</v>
      </c>
      <c r="F899" s="33">
        <v>348</v>
      </c>
      <c r="G899" s="33">
        <v>20</v>
      </c>
      <c r="H899" s="13">
        <f t="shared" si="14"/>
        <v>13.384615384615385</v>
      </c>
    </row>
    <row r="900" spans="1:8" hidden="1" outlineLevel="2">
      <c r="A900" s="32" t="s">
        <v>797</v>
      </c>
      <c r="B900" s="32" t="s">
        <v>1858</v>
      </c>
      <c r="C900" s="32" t="s">
        <v>1009</v>
      </c>
      <c r="D900" s="32" t="s">
        <v>911</v>
      </c>
      <c r="E900" s="33">
        <v>35</v>
      </c>
      <c r="F900" s="33">
        <v>467</v>
      </c>
      <c r="G900" s="33">
        <v>35</v>
      </c>
      <c r="H900" s="13">
        <f t="shared" si="14"/>
        <v>13.342857142857143</v>
      </c>
    </row>
    <row r="901" spans="1:8" hidden="1" outlineLevel="2">
      <c r="A901" s="32" t="s">
        <v>797</v>
      </c>
      <c r="B901" s="32" t="s">
        <v>1858</v>
      </c>
      <c r="C901" s="32" t="s">
        <v>953</v>
      </c>
      <c r="D901" s="32" t="s">
        <v>825</v>
      </c>
      <c r="E901" s="33">
        <v>35</v>
      </c>
      <c r="F901" s="33">
        <v>467</v>
      </c>
      <c r="G901" s="33">
        <v>25</v>
      </c>
      <c r="H901" s="13">
        <f t="shared" si="14"/>
        <v>13.342857142857143</v>
      </c>
    </row>
    <row r="902" spans="1:8" hidden="1" outlineLevel="2">
      <c r="A902" s="32" t="s">
        <v>797</v>
      </c>
      <c r="B902" s="32" t="s">
        <v>1858</v>
      </c>
      <c r="C902" s="32" t="s">
        <v>918</v>
      </c>
      <c r="D902" s="32" t="s">
        <v>883</v>
      </c>
      <c r="E902" s="33">
        <v>15</v>
      </c>
      <c r="F902" s="33">
        <v>200</v>
      </c>
      <c r="G902" s="33">
        <v>8</v>
      </c>
      <c r="H902" s="13">
        <f t="shared" si="14"/>
        <v>13.333333333333334</v>
      </c>
    </row>
    <row r="903" spans="1:8" hidden="1" outlineLevel="2">
      <c r="A903" s="32" t="s">
        <v>797</v>
      </c>
      <c r="B903" s="32" t="s">
        <v>1858</v>
      </c>
      <c r="C903" s="32" t="s">
        <v>927</v>
      </c>
      <c r="D903" s="32" t="s">
        <v>1068</v>
      </c>
      <c r="E903" s="33">
        <v>20</v>
      </c>
      <c r="F903" s="33">
        <v>264</v>
      </c>
      <c r="G903" s="33">
        <v>16</v>
      </c>
      <c r="H903" s="13">
        <f t="shared" si="14"/>
        <v>13.2</v>
      </c>
    </row>
    <row r="904" spans="1:8" hidden="1" outlineLevel="2">
      <c r="A904" s="32" t="s">
        <v>797</v>
      </c>
      <c r="B904" s="32" t="s">
        <v>1862</v>
      </c>
      <c r="C904" s="32" t="s">
        <v>1076</v>
      </c>
      <c r="D904" s="32" t="s">
        <v>891</v>
      </c>
      <c r="E904" s="33">
        <v>74</v>
      </c>
      <c r="F904" s="33">
        <v>976</v>
      </c>
      <c r="G904" s="33">
        <v>61</v>
      </c>
      <c r="H904" s="13">
        <f t="shared" si="14"/>
        <v>13.189189189189189</v>
      </c>
    </row>
    <row r="905" spans="1:8" hidden="1" outlineLevel="2">
      <c r="A905" s="32" t="s">
        <v>797</v>
      </c>
      <c r="B905" s="32" t="s">
        <v>1858</v>
      </c>
      <c r="C905" s="32" t="s">
        <v>939</v>
      </c>
      <c r="D905" s="32" t="s">
        <v>823</v>
      </c>
      <c r="E905" s="33">
        <v>70</v>
      </c>
      <c r="F905" s="33">
        <v>922</v>
      </c>
      <c r="G905" s="33">
        <v>70</v>
      </c>
      <c r="H905" s="13">
        <f t="shared" si="14"/>
        <v>13.171428571428571</v>
      </c>
    </row>
    <row r="906" spans="1:8" hidden="1" outlineLevel="2">
      <c r="A906" s="32" t="s">
        <v>797</v>
      </c>
      <c r="B906" s="32" t="s">
        <v>1858</v>
      </c>
      <c r="C906" s="32" t="s">
        <v>1045</v>
      </c>
      <c r="D906" s="32" t="s">
        <v>861</v>
      </c>
      <c r="E906" s="33">
        <v>24</v>
      </c>
      <c r="F906" s="33">
        <v>316</v>
      </c>
      <c r="G906" s="33">
        <v>19</v>
      </c>
      <c r="H906" s="13">
        <f t="shared" si="14"/>
        <v>13.166666666666666</v>
      </c>
    </row>
    <row r="907" spans="1:8" hidden="1" outlineLevel="2">
      <c r="A907" s="32" t="s">
        <v>797</v>
      </c>
      <c r="B907" s="32" t="s">
        <v>1862</v>
      </c>
      <c r="C907" s="32" t="s">
        <v>950</v>
      </c>
      <c r="D907" s="32" t="s">
        <v>920</v>
      </c>
      <c r="E907" s="33">
        <v>24</v>
      </c>
      <c r="F907" s="33">
        <v>316</v>
      </c>
      <c r="G907" s="33">
        <v>23</v>
      </c>
      <c r="H907" s="13">
        <f t="shared" si="14"/>
        <v>13.166666666666666</v>
      </c>
    </row>
    <row r="908" spans="1:8" hidden="1" outlineLevel="2">
      <c r="A908" s="32" t="s">
        <v>797</v>
      </c>
      <c r="B908" s="32" t="s">
        <v>1858</v>
      </c>
      <c r="C908" s="32" t="s">
        <v>900</v>
      </c>
      <c r="D908" s="32" t="s">
        <v>901</v>
      </c>
      <c r="E908" s="33">
        <v>24</v>
      </c>
      <c r="F908" s="33">
        <v>314</v>
      </c>
      <c r="G908" s="33">
        <v>14</v>
      </c>
      <c r="H908" s="13">
        <f t="shared" si="14"/>
        <v>13.083333333333334</v>
      </c>
    </row>
    <row r="909" spans="1:8" hidden="1" outlineLevel="2">
      <c r="A909" s="32" t="s">
        <v>797</v>
      </c>
      <c r="B909" s="32" t="s">
        <v>86</v>
      </c>
      <c r="C909" s="32" t="s">
        <v>874</v>
      </c>
      <c r="D909" s="32" t="s">
        <v>823</v>
      </c>
      <c r="E909" s="33">
        <v>36</v>
      </c>
      <c r="F909" s="33">
        <v>470</v>
      </c>
      <c r="G909" s="33">
        <v>32</v>
      </c>
      <c r="H909" s="13">
        <f t="shared" si="14"/>
        <v>13.055555555555555</v>
      </c>
    </row>
    <row r="910" spans="1:8" hidden="1" outlineLevel="2">
      <c r="A910" s="32" t="s">
        <v>797</v>
      </c>
      <c r="B910" s="32" t="s">
        <v>86</v>
      </c>
      <c r="C910" s="32" t="s">
        <v>874</v>
      </c>
      <c r="D910" s="32" t="s">
        <v>822</v>
      </c>
      <c r="E910" s="33">
        <v>36</v>
      </c>
      <c r="F910" s="33">
        <v>469</v>
      </c>
      <c r="G910" s="33">
        <v>32</v>
      </c>
      <c r="H910" s="13">
        <f t="shared" si="14"/>
        <v>13.027777777777779</v>
      </c>
    </row>
    <row r="911" spans="1:8" hidden="1" outlineLevel="2">
      <c r="A911" s="32" t="s">
        <v>797</v>
      </c>
      <c r="B911" s="32" t="s">
        <v>1862</v>
      </c>
      <c r="C911" s="32" t="s">
        <v>1129</v>
      </c>
      <c r="D911" s="32" t="s">
        <v>867</v>
      </c>
      <c r="E911" s="33">
        <v>34</v>
      </c>
      <c r="F911" s="33">
        <v>441</v>
      </c>
      <c r="G911" s="33">
        <v>24</v>
      </c>
      <c r="H911" s="13">
        <f t="shared" si="14"/>
        <v>12.970588235294118</v>
      </c>
    </row>
    <row r="912" spans="1:8" hidden="1" outlineLevel="2">
      <c r="A912" s="32" t="s">
        <v>797</v>
      </c>
      <c r="B912" s="32" t="s">
        <v>1858</v>
      </c>
      <c r="C912" s="32" t="s">
        <v>1058</v>
      </c>
      <c r="D912" s="32" t="s">
        <v>853</v>
      </c>
      <c r="E912" s="33">
        <v>24</v>
      </c>
      <c r="F912" s="33">
        <v>311</v>
      </c>
      <c r="G912" s="33">
        <v>23</v>
      </c>
      <c r="H912" s="13">
        <f t="shared" si="14"/>
        <v>12.958333333333334</v>
      </c>
    </row>
    <row r="913" spans="1:8" hidden="1" outlineLevel="2">
      <c r="A913" s="32" t="s">
        <v>797</v>
      </c>
      <c r="B913" s="32" t="s">
        <v>86</v>
      </c>
      <c r="C913" s="32" t="s">
        <v>1111</v>
      </c>
      <c r="D913" s="32" t="s">
        <v>1032</v>
      </c>
      <c r="E913" s="33">
        <v>39</v>
      </c>
      <c r="F913" s="33">
        <v>504</v>
      </c>
      <c r="G913" s="33">
        <v>39</v>
      </c>
      <c r="H913" s="13">
        <f t="shared" si="14"/>
        <v>12.923076923076923</v>
      </c>
    </row>
    <row r="914" spans="1:8" hidden="1" outlineLevel="2">
      <c r="A914" s="32" t="s">
        <v>797</v>
      </c>
      <c r="B914" s="32" t="s">
        <v>1858</v>
      </c>
      <c r="C914" s="32" t="s">
        <v>915</v>
      </c>
      <c r="D914" s="32" t="s">
        <v>819</v>
      </c>
      <c r="E914" s="33">
        <v>33</v>
      </c>
      <c r="F914" s="33">
        <v>424</v>
      </c>
      <c r="G914" s="33">
        <v>31</v>
      </c>
      <c r="H914" s="13">
        <f t="shared" si="14"/>
        <v>12.848484848484848</v>
      </c>
    </row>
    <row r="915" spans="1:8" hidden="1" outlineLevel="2">
      <c r="A915" s="32" t="s">
        <v>797</v>
      </c>
      <c r="B915" s="32" t="s">
        <v>1862</v>
      </c>
      <c r="C915" s="32" t="s">
        <v>862</v>
      </c>
      <c r="D915" s="32" t="s">
        <v>836</v>
      </c>
      <c r="E915" s="33">
        <v>24</v>
      </c>
      <c r="F915" s="33">
        <v>308</v>
      </c>
      <c r="G915" s="33">
        <v>24</v>
      </c>
      <c r="H915" s="13">
        <f t="shared" si="14"/>
        <v>12.833333333333334</v>
      </c>
    </row>
    <row r="916" spans="1:8" hidden="1" outlineLevel="2">
      <c r="A916" s="32" t="s">
        <v>797</v>
      </c>
      <c r="B916" s="32" t="s">
        <v>1862</v>
      </c>
      <c r="C916" s="32" t="s">
        <v>1104</v>
      </c>
      <c r="D916" s="32" t="s">
        <v>891</v>
      </c>
      <c r="E916" s="33">
        <v>32</v>
      </c>
      <c r="F916" s="33">
        <v>410</v>
      </c>
      <c r="G916" s="33">
        <v>28</v>
      </c>
      <c r="H916" s="13">
        <f t="shared" si="14"/>
        <v>12.8125</v>
      </c>
    </row>
    <row r="917" spans="1:8" hidden="1" outlineLevel="2">
      <c r="A917" s="32" t="s">
        <v>797</v>
      </c>
      <c r="B917" s="32" t="s">
        <v>1858</v>
      </c>
      <c r="C917" s="32" t="s">
        <v>1000</v>
      </c>
      <c r="D917" s="32" t="s">
        <v>1001</v>
      </c>
      <c r="E917" s="33">
        <v>15</v>
      </c>
      <c r="F917" s="33">
        <v>190</v>
      </c>
      <c r="G917" s="33">
        <v>13</v>
      </c>
      <c r="H917" s="13">
        <f t="shared" si="14"/>
        <v>12.666666666666666</v>
      </c>
    </row>
    <row r="918" spans="1:8" hidden="1" outlineLevel="2">
      <c r="A918" s="32" t="s">
        <v>797</v>
      </c>
      <c r="B918" s="32" t="s">
        <v>1858</v>
      </c>
      <c r="C918" s="32" t="s">
        <v>796</v>
      </c>
      <c r="D918" s="32" t="s">
        <v>798</v>
      </c>
      <c r="E918" s="33">
        <v>35</v>
      </c>
      <c r="F918" s="33">
        <v>443</v>
      </c>
      <c r="G918" s="33">
        <v>32</v>
      </c>
      <c r="H918" s="13">
        <f t="shared" si="14"/>
        <v>12.657142857142857</v>
      </c>
    </row>
    <row r="919" spans="1:8" hidden="1" outlineLevel="2">
      <c r="A919" s="32" t="s">
        <v>797</v>
      </c>
      <c r="B919" s="32" t="s">
        <v>1862</v>
      </c>
      <c r="C919" s="32" t="s">
        <v>1158</v>
      </c>
      <c r="D919" s="32" t="s">
        <v>1159</v>
      </c>
      <c r="E919" s="33">
        <v>20</v>
      </c>
      <c r="F919" s="33">
        <v>253</v>
      </c>
      <c r="G919" s="33">
        <v>15</v>
      </c>
      <c r="H919" s="13">
        <f t="shared" si="14"/>
        <v>12.65</v>
      </c>
    </row>
    <row r="920" spans="1:8" hidden="1" outlineLevel="2">
      <c r="A920" s="32" t="s">
        <v>797</v>
      </c>
      <c r="B920" s="32" t="s">
        <v>1858</v>
      </c>
      <c r="C920" s="32" t="s">
        <v>1078</v>
      </c>
      <c r="D920" s="32" t="s">
        <v>968</v>
      </c>
      <c r="E920" s="33">
        <v>30</v>
      </c>
      <c r="F920" s="33">
        <v>378</v>
      </c>
      <c r="G920" s="33">
        <v>25</v>
      </c>
      <c r="H920" s="13">
        <f t="shared" si="14"/>
        <v>12.6</v>
      </c>
    </row>
    <row r="921" spans="1:8" hidden="1" outlineLevel="2">
      <c r="A921" s="32" t="s">
        <v>797</v>
      </c>
      <c r="B921" s="32" t="s">
        <v>1862</v>
      </c>
      <c r="C921" s="32" t="s">
        <v>1187</v>
      </c>
      <c r="D921" s="32" t="s">
        <v>822</v>
      </c>
      <c r="E921" s="33">
        <v>35</v>
      </c>
      <c r="F921" s="33">
        <v>440</v>
      </c>
      <c r="G921" s="33">
        <v>30</v>
      </c>
      <c r="H921" s="13">
        <f t="shared" si="14"/>
        <v>12.571428571428571</v>
      </c>
    </row>
    <row r="922" spans="1:8" hidden="1" outlineLevel="2">
      <c r="A922" s="32" t="s">
        <v>797</v>
      </c>
      <c r="B922" s="32" t="s">
        <v>86</v>
      </c>
      <c r="C922" s="32" t="s">
        <v>1111</v>
      </c>
      <c r="D922" s="32" t="s">
        <v>912</v>
      </c>
      <c r="E922" s="33">
        <v>80</v>
      </c>
      <c r="F922" s="33">
        <v>1001</v>
      </c>
      <c r="G922" s="33">
        <v>82</v>
      </c>
      <c r="H922" s="13">
        <f t="shared" si="14"/>
        <v>12.512499999999999</v>
      </c>
    </row>
    <row r="923" spans="1:8" hidden="1" outlineLevel="2">
      <c r="A923" s="32" t="s">
        <v>797</v>
      </c>
      <c r="B923" s="32" t="s">
        <v>1858</v>
      </c>
      <c r="C923" s="32" t="s">
        <v>1208</v>
      </c>
      <c r="D923" s="32" t="s">
        <v>843</v>
      </c>
      <c r="E923" s="33">
        <v>24</v>
      </c>
      <c r="F923" s="33">
        <v>295</v>
      </c>
      <c r="G923" s="33">
        <v>19</v>
      </c>
      <c r="H923" s="13">
        <f t="shared" si="14"/>
        <v>12.291666666666666</v>
      </c>
    </row>
    <row r="924" spans="1:8" hidden="1" outlineLevel="2">
      <c r="A924" s="32" t="s">
        <v>797</v>
      </c>
      <c r="B924" s="32" t="s">
        <v>1858</v>
      </c>
      <c r="C924" s="32" t="s">
        <v>1013</v>
      </c>
      <c r="D924" s="32" t="s">
        <v>822</v>
      </c>
      <c r="E924" s="33">
        <v>30</v>
      </c>
      <c r="F924" s="33">
        <v>367</v>
      </c>
      <c r="G924" s="33">
        <v>29</v>
      </c>
      <c r="H924" s="13">
        <f t="shared" si="14"/>
        <v>12.233333333333333</v>
      </c>
    </row>
    <row r="925" spans="1:8" hidden="1" outlineLevel="2">
      <c r="A925" s="32" t="s">
        <v>797</v>
      </c>
      <c r="B925" s="32" t="s">
        <v>1862</v>
      </c>
      <c r="C925" s="32" t="s">
        <v>1129</v>
      </c>
      <c r="D925" s="32" t="s">
        <v>998</v>
      </c>
      <c r="E925" s="33">
        <v>28</v>
      </c>
      <c r="F925" s="33">
        <v>341</v>
      </c>
      <c r="G925" s="33">
        <v>21</v>
      </c>
      <c r="H925" s="13">
        <f t="shared" si="14"/>
        <v>12.178571428571429</v>
      </c>
    </row>
    <row r="926" spans="1:8" hidden="1" outlineLevel="2">
      <c r="A926" s="32" t="s">
        <v>797</v>
      </c>
      <c r="B926" s="32" t="s">
        <v>1858</v>
      </c>
      <c r="C926" s="32" t="s">
        <v>1044</v>
      </c>
      <c r="D926" s="32" t="s">
        <v>1003</v>
      </c>
      <c r="E926" s="33">
        <v>24</v>
      </c>
      <c r="F926" s="33">
        <v>291</v>
      </c>
      <c r="G926" s="33">
        <v>16</v>
      </c>
      <c r="H926" s="13">
        <f t="shared" si="14"/>
        <v>12.125</v>
      </c>
    </row>
    <row r="927" spans="1:8" hidden="1" outlineLevel="2">
      <c r="A927" s="32" t="s">
        <v>797</v>
      </c>
      <c r="B927" s="32" t="s">
        <v>1858</v>
      </c>
      <c r="C927" s="32" t="s">
        <v>1189</v>
      </c>
      <c r="D927" s="32" t="s">
        <v>891</v>
      </c>
      <c r="E927" s="33">
        <v>40</v>
      </c>
      <c r="F927" s="33">
        <v>484</v>
      </c>
      <c r="G927" s="33">
        <v>32</v>
      </c>
      <c r="H927" s="13">
        <f t="shared" si="14"/>
        <v>12.1</v>
      </c>
    </row>
    <row r="928" spans="1:8" hidden="1" outlineLevel="2">
      <c r="A928" s="32" t="s">
        <v>797</v>
      </c>
      <c r="B928" s="32" t="s">
        <v>1858</v>
      </c>
      <c r="C928" s="32" t="s">
        <v>1218</v>
      </c>
      <c r="D928" s="32" t="s">
        <v>845</v>
      </c>
      <c r="E928" s="33">
        <v>28</v>
      </c>
      <c r="F928" s="33">
        <v>338</v>
      </c>
      <c r="G928" s="33">
        <v>28</v>
      </c>
      <c r="H928" s="13">
        <f t="shared" si="14"/>
        <v>12.071428571428571</v>
      </c>
    </row>
    <row r="929" spans="1:8" hidden="1" outlineLevel="2">
      <c r="A929" s="32" t="s">
        <v>797</v>
      </c>
      <c r="B929" s="32" t="s">
        <v>1858</v>
      </c>
      <c r="C929" s="32" t="s">
        <v>939</v>
      </c>
      <c r="D929" s="32" t="s">
        <v>861</v>
      </c>
      <c r="E929" s="33">
        <v>26</v>
      </c>
      <c r="F929" s="33">
        <v>312</v>
      </c>
      <c r="G929" s="33">
        <v>22</v>
      </c>
      <c r="H929" s="13">
        <f t="shared" si="14"/>
        <v>12</v>
      </c>
    </row>
    <row r="930" spans="1:8" hidden="1" outlineLevel="2">
      <c r="A930" s="32" t="s">
        <v>797</v>
      </c>
      <c r="B930" s="32" t="s">
        <v>86</v>
      </c>
      <c r="C930" s="32" t="s">
        <v>902</v>
      </c>
      <c r="D930" s="32" t="s">
        <v>825</v>
      </c>
      <c r="E930" s="33">
        <v>30</v>
      </c>
      <c r="F930" s="33">
        <v>359</v>
      </c>
      <c r="G930" s="33">
        <v>20</v>
      </c>
      <c r="H930" s="13">
        <f t="shared" si="14"/>
        <v>11.966666666666667</v>
      </c>
    </row>
    <row r="931" spans="1:8" hidden="1" outlineLevel="2">
      <c r="A931" s="32" t="s">
        <v>797</v>
      </c>
      <c r="B931" s="32" t="s">
        <v>1858</v>
      </c>
      <c r="C931" s="32" t="s">
        <v>909</v>
      </c>
      <c r="D931" s="32" t="s">
        <v>836</v>
      </c>
      <c r="E931" s="33">
        <v>24</v>
      </c>
      <c r="F931" s="33">
        <v>287</v>
      </c>
      <c r="G931" s="33">
        <v>21</v>
      </c>
      <c r="H931" s="13">
        <f t="shared" si="14"/>
        <v>11.958333333333334</v>
      </c>
    </row>
    <row r="932" spans="1:8" hidden="1" outlineLevel="2">
      <c r="A932" s="32" t="s">
        <v>797</v>
      </c>
      <c r="B932" s="32" t="s">
        <v>1858</v>
      </c>
      <c r="C932" s="32" t="s">
        <v>1044</v>
      </c>
      <c r="D932" s="32" t="s">
        <v>822</v>
      </c>
      <c r="E932" s="33">
        <v>35</v>
      </c>
      <c r="F932" s="33">
        <v>417</v>
      </c>
      <c r="G932" s="33">
        <v>32</v>
      </c>
      <c r="H932" s="13">
        <f t="shared" si="14"/>
        <v>11.914285714285715</v>
      </c>
    </row>
    <row r="933" spans="1:8" hidden="1" outlineLevel="2">
      <c r="A933" s="32" t="s">
        <v>797</v>
      </c>
      <c r="B933" s="32" t="s">
        <v>1862</v>
      </c>
      <c r="C933" s="32" t="s">
        <v>1075</v>
      </c>
      <c r="D933" s="32" t="s">
        <v>823</v>
      </c>
      <c r="E933" s="33">
        <v>32</v>
      </c>
      <c r="F933" s="33">
        <v>380</v>
      </c>
      <c r="G933" s="33">
        <v>27</v>
      </c>
      <c r="H933" s="13">
        <f t="shared" si="14"/>
        <v>11.875</v>
      </c>
    </row>
    <row r="934" spans="1:8" hidden="1" outlineLevel="2">
      <c r="A934" s="32" t="s">
        <v>797</v>
      </c>
      <c r="B934" s="32" t="s">
        <v>1862</v>
      </c>
      <c r="C934" s="32" t="s">
        <v>1182</v>
      </c>
      <c r="D934" s="32" t="s">
        <v>853</v>
      </c>
      <c r="E934" s="33">
        <v>30</v>
      </c>
      <c r="F934" s="33">
        <v>349</v>
      </c>
      <c r="G934" s="33">
        <v>21</v>
      </c>
      <c r="H934" s="13">
        <f t="shared" si="14"/>
        <v>11.633333333333333</v>
      </c>
    </row>
    <row r="935" spans="1:8" hidden="1" outlineLevel="2">
      <c r="A935" s="32" t="s">
        <v>797</v>
      </c>
      <c r="B935" s="32" t="s">
        <v>1858</v>
      </c>
      <c r="C935" s="32" t="s">
        <v>1044</v>
      </c>
      <c r="D935" s="32" t="s">
        <v>872</v>
      </c>
      <c r="E935" s="33">
        <v>24</v>
      </c>
      <c r="F935" s="33">
        <v>279</v>
      </c>
      <c r="G935" s="33">
        <v>20</v>
      </c>
      <c r="H935" s="13">
        <f t="shared" si="14"/>
        <v>11.625</v>
      </c>
    </row>
    <row r="936" spans="1:8" hidden="1" outlineLevel="2">
      <c r="A936" s="32" t="s">
        <v>797</v>
      </c>
      <c r="B936" s="32" t="s">
        <v>86</v>
      </c>
      <c r="C936" s="32" t="s">
        <v>871</v>
      </c>
      <c r="D936" s="32" t="s">
        <v>798</v>
      </c>
      <c r="E936" s="33">
        <v>64</v>
      </c>
      <c r="F936" s="33">
        <v>742</v>
      </c>
      <c r="G936" s="33">
        <v>55</v>
      </c>
      <c r="H936" s="13">
        <f t="shared" si="14"/>
        <v>11.59375</v>
      </c>
    </row>
    <row r="937" spans="1:8" hidden="1" outlineLevel="2">
      <c r="A937" s="32" t="s">
        <v>797</v>
      </c>
      <c r="B937" s="32" t="s">
        <v>1862</v>
      </c>
      <c r="C937" s="32" t="s">
        <v>1004</v>
      </c>
      <c r="D937" s="32" t="s">
        <v>823</v>
      </c>
      <c r="E937" s="33">
        <v>36</v>
      </c>
      <c r="F937" s="33">
        <v>417</v>
      </c>
      <c r="G937" s="33">
        <v>33</v>
      </c>
      <c r="H937" s="13">
        <f t="shared" si="14"/>
        <v>11.583333333333334</v>
      </c>
    </row>
    <row r="938" spans="1:8" hidden="1" outlineLevel="2">
      <c r="A938" s="32" t="s">
        <v>797</v>
      </c>
      <c r="B938" s="32" t="s">
        <v>1858</v>
      </c>
      <c r="C938" s="32" t="s">
        <v>996</v>
      </c>
      <c r="D938" s="32" t="s">
        <v>920</v>
      </c>
      <c r="E938" s="33">
        <v>23</v>
      </c>
      <c r="F938" s="33">
        <v>266</v>
      </c>
      <c r="G938" s="33">
        <v>13</v>
      </c>
      <c r="H938" s="13">
        <f t="shared" si="14"/>
        <v>11.565217391304348</v>
      </c>
    </row>
    <row r="939" spans="1:8" hidden="1" outlineLevel="2">
      <c r="A939" s="32" t="s">
        <v>797</v>
      </c>
      <c r="B939" s="32" t="s">
        <v>1858</v>
      </c>
      <c r="C939" s="32" t="s">
        <v>985</v>
      </c>
      <c r="D939" s="32" t="s">
        <v>940</v>
      </c>
      <c r="E939" s="33">
        <v>23</v>
      </c>
      <c r="F939" s="33">
        <v>265</v>
      </c>
      <c r="G939" s="33">
        <v>11</v>
      </c>
      <c r="H939" s="13">
        <f t="shared" si="14"/>
        <v>11.521739130434783</v>
      </c>
    </row>
    <row r="940" spans="1:8" hidden="1" outlineLevel="2">
      <c r="A940" s="32" t="s">
        <v>797</v>
      </c>
      <c r="B940" s="32" t="s">
        <v>1858</v>
      </c>
      <c r="C940" s="32" t="s">
        <v>1197</v>
      </c>
      <c r="D940" s="32" t="s">
        <v>1150</v>
      </c>
      <c r="E940" s="33">
        <v>30</v>
      </c>
      <c r="F940" s="33">
        <v>345</v>
      </c>
      <c r="G940" s="33">
        <v>23</v>
      </c>
      <c r="H940" s="13">
        <f t="shared" si="14"/>
        <v>11.5</v>
      </c>
    </row>
    <row r="941" spans="1:8" hidden="1" outlineLevel="2">
      <c r="A941" s="32" t="s">
        <v>797</v>
      </c>
      <c r="B941" s="32" t="s">
        <v>1858</v>
      </c>
      <c r="C941" s="32" t="s">
        <v>1053</v>
      </c>
      <c r="D941" s="32" t="s">
        <v>798</v>
      </c>
      <c r="E941" s="33">
        <v>35</v>
      </c>
      <c r="F941" s="33">
        <v>402</v>
      </c>
      <c r="G941" s="33">
        <v>31</v>
      </c>
      <c r="H941" s="13">
        <f t="shared" si="14"/>
        <v>11.485714285714286</v>
      </c>
    </row>
    <row r="942" spans="1:8" hidden="1" outlineLevel="2">
      <c r="A942" s="32" t="s">
        <v>797</v>
      </c>
      <c r="B942" s="32" t="s">
        <v>1858</v>
      </c>
      <c r="C942" s="32" t="s">
        <v>1044</v>
      </c>
      <c r="D942" s="32" t="s">
        <v>1032</v>
      </c>
      <c r="E942" s="33">
        <v>30</v>
      </c>
      <c r="F942" s="33">
        <v>344</v>
      </c>
      <c r="G942" s="33">
        <v>25</v>
      </c>
      <c r="H942" s="13">
        <f t="shared" si="14"/>
        <v>11.466666666666667</v>
      </c>
    </row>
    <row r="943" spans="1:8" hidden="1" outlineLevel="2">
      <c r="A943" s="32" t="s">
        <v>797</v>
      </c>
      <c r="B943" s="32" t="s">
        <v>1858</v>
      </c>
      <c r="C943" s="32" t="s">
        <v>1122</v>
      </c>
      <c r="D943" s="32" t="s">
        <v>1003</v>
      </c>
      <c r="E943" s="33">
        <v>30</v>
      </c>
      <c r="F943" s="33">
        <v>344</v>
      </c>
      <c r="G943" s="33">
        <v>18</v>
      </c>
      <c r="H943" s="13">
        <f t="shared" si="14"/>
        <v>11.466666666666667</v>
      </c>
    </row>
    <row r="944" spans="1:8" hidden="1" outlineLevel="2">
      <c r="A944" s="32" t="s">
        <v>797</v>
      </c>
      <c r="B944" s="32" t="s">
        <v>1858</v>
      </c>
      <c r="C944" s="32" t="s">
        <v>957</v>
      </c>
      <c r="D944" s="32" t="s">
        <v>822</v>
      </c>
      <c r="E944" s="33">
        <v>24</v>
      </c>
      <c r="F944" s="33">
        <v>275</v>
      </c>
      <c r="G944" s="33">
        <v>16</v>
      </c>
      <c r="H944" s="13">
        <f t="shared" si="14"/>
        <v>11.458333333333334</v>
      </c>
    </row>
    <row r="945" spans="1:8" hidden="1" outlineLevel="2">
      <c r="A945" s="32" t="s">
        <v>797</v>
      </c>
      <c r="B945" s="32" t="s">
        <v>1858</v>
      </c>
      <c r="C945" s="32" t="s">
        <v>1117</v>
      </c>
      <c r="D945" s="32" t="s">
        <v>920</v>
      </c>
      <c r="E945" s="33">
        <v>28</v>
      </c>
      <c r="F945" s="33">
        <v>320</v>
      </c>
      <c r="G945" s="33">
        <v>21</v>
      </c>
      <c r="H945" s="13">
        <f t="shared" si="14"/>
        <v>11.428571428571429</v>
      </c>
    </row>
    <row r="946" spans="1:8" hidden="1" outlineLevel="2">
      <c r="A946" s="32" t="s">
        <v>797</v>
      </c>
      <c r="B946" s="32" t="s">
        <v>1858</v>
      </c>
      <c r="C946" s="32" t="s">
        <v>1141</v>
      </c>
      <c r="D946" s="32" t="s">
        <v>1142</v>
      </c>
      <c r="E946" s="33">
        <v>8</v>
      </c>
      <c r="F946" s="33">
        <v>91</v>
      </c>
      <c r="G946" s="33">
        <v>5</v>
      </c>
      <c r="H946" s="13">
        <f t="shared" si="14"/>
        <v>11.375</v>
      </c>
    </row>
    <row r="947" spans="1:8" hidden="1" outlineLevel="2">
      <c r="A947" s="32" t="s">
        <v>797</v>
      </c>
      <c r="B947" s="32" t="s">
        <v>1862</v>
      </c>
      <c r="C947" s="32" t="s">
        <v>907</v>
      </c>
      <c r="D947" s="32" t="s">
        <v>853</v>
      </c>
      <c r="E947" s="33">
        <v>35</v>
      </c>
      <c r="F947" s="33">
        <v>398</v>
      </c>
      <c r="G947" s="33">
        <v>34</v>
      </c>
      <c r="H947" s="13">
        <f t="shared" si="14"/>
        <v>11.371428571428572</v>
      </c>
    </row>
    <row r="948" spans="1:8" hidden="1" outlineLevel="2">
      <c r="A948" s="32" t="s">
        <v>797</v>
      </c>
      <c r="B948" s="32" t="s">
        <v>1862</v>
      </c>
      <c r="C948" s="32" t="s">
        <v>951</v>
      </c>
      <c r="D948" s="32" t="s">
        <v>891</v>
      </c>
      <c r="E948" s="33">
        <v>20</v>
      </c>
      <c r="F948" s="33">
        <v>226</v>
      </c>
      <c r="G948" s="33">
        <v>15</v>
      </c>
      <c r="H948" s="13">
        <f t="shared" si="14"/>
        <v>11.3</v>
      </c>
    </row>
    <row r="949" spans="1:8" hidden="1" outlineLevel="2">
      <c r="A949" s="32" t="s">
        <v>797</v>
      </c>
      <c r="B949" s="32" t="s">
        <v>1858</v>
      </c>
      <c r="C949" s="32" t="s">
        <v>976</v>
      </c>
      <c r="D949" s="32" t="s">
        <v>838</v>
      </c>
      <c r="E949" s="33">
        <v>15</v>
      </c>
      <c r="F949" s="33">
        <v>169</v>
      </c>
      <c r="G949" s="33">
        <v>14</v>
      </c>
      <c r="H949" s="13">
        <f t="shared" si="14"/>
        <v>11.266666666666667</v>
      </c>
    </row>
    <row r="950" spans="1:8" hidden="1" outlineLevel="2">
      <c r="A950" s="32" t="s">
        <v>797</v>
      </c>
      <c r="B950" s="32" t="s">
        <v>86</v>
      </c>
      <c r="C950" s="32" t="s">
        <v>841</v>
      </c>
      <c r="D950" s="32" t="s">
        <v>1118</v>
      </c>
      <c r="E950" s="33">
        <v>24</v>
      </c>
      <c r="F950" s="33">
        <v>270</v>
      </c>
      <c r="G950" s="33">
        <v>24</v>
      </c>
      <c r="H950" s="13">
        <f t="shared" si="14"/>
        <v>11.25</v>
      </c>
    </row>
    <row r="951" spans="1:8" hidden="1" outlineLevel="2">
      <c r="A951" s="32" t="s">
        <v>797</v>
      </c>
      <c r="B951" s="32" t="s">
        <v>1862</v>
      </c>
      <c r="C951" s="32" t="s">
        <v>1152</v>
      </c>
      <c r="D951" s="32" t="s">
        <v>798</v>
      </c>
      <c r="E951" s="33">
        <v>37</v>
      </c>
      <c r="F951" s="33">
        <v>415</v>
      </c>
      <c r="G951" s="33">
        <v>26</v>
      </c>
      <c r="H951" s="13">
        <f t="shared" si="14"/>
        <v>11.216216216216216</v>
      </c>
    </row>
    <row r="952" spans="1:8" hidden="1" outlineLevel="2">
      <c r="A952" s="32" t="s">
        <v>797</v>
      </c>
      <c r="B952" s="32" t="s">
        <v>1862</v>
      </c>
      <c r="C952" s="32" t="s">
        <v>1089</v>
      </c>
      <c r="D952" s="32" t="s">
        <v>923</v>
      </c>
      <c r="E952" s="33">
        <v>36</v>
      </c>
      <c r="F952" s="33">
        <v>402</v>
      </c>
      <c r="G952" s="33">
        <v>30</v>
      </c>
      <c r="H952" s="13">
        <f t="shared" si="14"/>
        <v>11.166666666666666</v>
      </c>
    </row>
    <row r="953" spans="1:8" hidden="1" outlineLevel="2">
      <c r="A953" s="32" t="s">
        <v>797</v>
      </c>
      <c r="B953" s="32" t="s">
        <v>1858</v>
      </c>
      <c r="C953" s="32" t="s">
        <v>978</v>
      </c>
      <c r="D953" s="32" t="s">
        <v>920</v>
      </c>
      <c r="E953" s="33">
        <v>24</v>
      </c>
      <c r="F953" s="33">
        <v>268</v>
      </c>
      <c r="G953" s="33">
        <v>25</v>
      </c>
      <c r="H953" s="13">
        <f t="shared" si="14"/>
        <v>11.166666666666666</v>
      </c>
    </row>
    <row r="954" spans="1:8" hidden="1" outlineLevel="2">
      <c r="A954" s="32" t="s">
        <v>797</v>
      </c>
      <c r="B954" s="32" t="s">
        <v>1858</v>
      </c>
      <c r="C954" s="32" t="s">
        <v>1144</v>
      </c>
      <c r="D954" s="32" t="s">
        <v>822</v>
      </c>
      <c r="E954" s="33">
        <v>33</v>
      </c>
      <c r="F954" s="33">
        <v>368</v>
      </c>
      <c r="G954" s="33">
        <v>32</v>
      </c>
      <c r="H954" s="13">
        <f t="shared" si="14"/>
        <v>11.151515151515152</v>
      </c>
    </row>
    <row r="955" spans="1:8" hidden="1" outlineLevel="2">
      <c r="A955" s="32" t="s">
        <v>797</v>
      </c>
      <c r="B955" s="32" t="s">
        <v>1862</v>
      </c>
      <c r="C955" s="32" t="s">
        <v>1116</v>
      </c>
      <c r="D955" s="32" t="s">
        <v>1006</v>
      </c>
      <c r="E955" s="33">
        <v>30</v>
      </c>
      <c r="F955" s="33">
        <v>334</v>
      </c>
      <c r="G955" s="33">
        <v>21</v>
      </c>
      <c r="H955" s="13">
        <f t="shared" si="14"/>
        <v>11.133333333333333</v>
      </c>
    </row>
    <row r="956" spans="1:8" hidden="1" outlineLevel="2">
      <c r="A956" s="32" t="s">
        <v>797</v>
      </c>
      <c r="B956" s="32" t="s">
        <v>86</v>
      </c>
      <c r="C956" s="32" t="s">
        <v>871</v>
      </c>
      <c r="D956" s="32" t="s">
        <v>825</v>
      </c>
      <c r="E956" s="33">
        <v>40</v>
      </c>
      <c r="F956" s="33">
        <v>445</v>
      </c>
      <c r="G956" s="33">
        <v>38</v>
      </c>
      <c r="H956" s="13">
        <f t="shared" si="14"/>
        <v>11.125</v>
      </c>
    </row>
    <row r="957" spans="1:8" hidden="1" outlineLevel="2">
      <c r="A957" s="32" t="s">
        <v>797</v>
      </c>
      <c r="B957" s="32" t="s">
        <v>1862</v>
      </c>
      <c r="C957" s="32" t="s">
        <v>970</v>
      </c>
      <c r="D957" s="32" t="s">
        <v>853</v>
      </c>
      <c r="E957" s="33">
        <v>24</v>
      </c>
      <c r="F957" s="33">
        <v>267</v>
      </c>
      <c r="G957" s="33">
        <v>20</v>
      </c>
      <c r="H957" s="13">
        <f t="shared" si="14"/>
        <v>11.125</v>
      </c>
    </row>
    <row r="958" spans="1:8" hidden="1" outlineLevel="2">
      <c r="A958" s="32" t="s">
        <v>797</v>
      </c>
      <c r="B958" s="32" t="s">
        <v>1858</v>
      </c>
      <c r="C958" s="32" t="s">
        <v>915</v>
      </c>
      <c r="D958" s="32" t="s">
        <v>825</v>
      </c>
      <c r="E958" s="33">
        <v>33</v>
      </c>
      <c r="F958" s="33">
        <v>367</v>
      </c>
      <c r="G958" s="33">
        <v>33</v>
      </c>
      <c r="H958" s="13">
        <f t="shared" si="14"/>
        <v>11.121212121212121</v>
      </c>
    </row>
    <row r="959" spans="1:8" hidden="1" outlineLevel="2">
      <c r="A959" s="32" t="s">
        <v>797</v>
      </c>
      <c r="B959" s="32" t="s">
        <v>1858</v>
      </c>
      <c r="C959" s="32" t="s">
        <v>1049</v>
      </c>
      <c r="D959" s="32" t="s">
        <v>906</v>
      </c>
      <c r="E959" s="33">
        <v>17</v>
      </c>
      <c r="F959" s="33">
        <v>189</v>
      </c>
      <c r="G959" s="33">
        <v>13</v>
      </c>
      <c r="H959" s="13">
        <f t="shared" si="14"/>
        <v>11.117647058823529</v>
      </c>
    </row>
    <row r="960" spans="1:8" hidden="1" outlineLevel="2">
      <c r="A960" s="32" t="s">
        <v>797</v>
      </c>
      <c r="B960" s="32" t="s">
        <v>1858</v>
      </c>
      <c r="C960" s="32" t="s">
        <v>1117</v>
      </c>
      <c r="D960" s="32" t="s">
        <v>861</v>
      </c>
      <c r="E960" s="33">
        <v>28</v>
      </c>
      <c r="F960" s="33">
        <v>311</v>
      </c>
      <c r="G960" s="33">
        <v>26</v>
      </c>
      <c r="H960" s="13">
        <f t="shared" si="14"/>
        <v>11.107142857142858</v>
      </c>
    </row>
    <row r="961" spans="1:8" hidden="1" outlineLevel="2">
      <c r="A961" s="32" t="s">
        <v>797</v>
      </c>
      <c r="B961" s="32" t="s">
        <v>1858</v>
      </c>
      <c r="C961" s="32" t="s">
        <v>939</v>
      </c>
      <c r="D961" s="32" t="s">
        <v>920</v>
      </c>
      <c r="E961" s="33">
        <v>33</v>
      </c>
      <c r="F961" s="33">
        <v>365</v>
      </c>
      <c r="G961" s="33">
        <v>26</v>
      </c>
      <c r="H961" s="13">
        <f t="shared" si="14"/>
        <v>11.060606060606061</v>
      </c>
    </row>
    <row r="962" spans="1:8" hidden="1" outlineLevel="2">
      <c r="A962" s="32" t="s">
        <v>797</v>
      </c>
      <c r="B962" s="32" t="s">
        <v>86</v>
      </c>
      <c r="C962" s="32" t="s">
        <v>876</v>
      </c>
      <c r="D962" s="32" t="s">
        <v>823</v>
      </c>
      <c r="E962" s="33">
        <v>37</v>
      </c>
      <c r="F962" s="33">
        <v>406</v>
      </c>
      <c r="G962" s="33">
        <v>35</v>
      </c>
      <c r="H962" s="13">
        <f t="shared" ref="H962:H1025" si="15">IFERROR(F962/E962,"")</f>
        <v>10.972972972972974</v>
      </c>
    </row>
    <row r="963" spans="1:8" hidden="1" outlineLevel="2">
      <c r="A963" s="32" t="s">
        <v>797</v>
      </c>
      <c r="B963" s="32" t="s">
        <v>1862</v>
      </c>
      <c r="C963" s="32" t="s">
        <v>973</v>
      </c>
      <c r="D963" s="32" t="s">
        <v>991</v>
      </c>
      <c r="E963" s="33">
        <v>36</v>
      </c>
      <c r="F963" s="33">
        <v>392</v>
      </c>
      <c r="G963" s="33">
        <v>19</v>
      </c>
      <c r="H963" s="13">
        <f t="shared" si="15"/>
        <v>10.888888888888889</v>
      </c>
    </row>
    <row r="964" spans="1:8" hidden="1" outlineLevel="2">
      <c r="A964" s="32" t="s">
        <v>797</v>
      </c>
      <c r="B964" s="32" t="s">
        <v>1858</v>
      </c>
      <c r="C964" s="32" t="s">
        <v>899</v>
      </c>
      <c r="D964" s="32" t="s">
        <v>822</v>
      </c>
      <c r="E964" s="33">
        <v>35</v>
      </c>
      <c r="F964" s="33">
        <v>381</v>
      </c>
      <c r="G964" s="33">
        <v>35</v>
      </c>
      <c r="H964" s="13">
        <f t="shared" si="15"/>
        <v>10.885714285714286</v>
      </c>
    </row>
    <row r="965" spans="1:8" hidden="1" outlineLevel="2">
      <c r="A965" s="32" t="s">
        <v>797</v>
      </c>
      <c r="B965" s="32" t="s">
        <v>1862</v>
      </c>
      <c r="C965" s="32" t="s">
        <v>963</v>
      </c>
      <c r="D965" s="32" t="s">
        <v>838</v>
      </c>
      <c r="E965" s="33">
        <v>36</v>
      </c>
      <c r="F965" s="33">
        <v>391</v>
      </c>
      <c r="G965" s="33">
        <v>30</v>
      </c>
      <c r="H965" s="13">
        <f t="shared" si="15"/>
        <v>10.861111111111111</v>
      </c>
    </row>
    <row r="966" spans="1:8" hidden="1" outlineLevel="2">
      <c r="A966" s="32" t="s">
        <v>797</v>
      </c>
      <c r="B966" s="32" t="s">
        <v>1858</v>
      </c>
      <c r="C966" s="32" t="s">
        <v>903</v>
      </c>
      <c r="D966" s="32" t="s">
        <v>822</v>
      </c>
      <c r="E966" s="33">
        <v>35</v>
      </c>
      <c r="F966" s="33">
        <v>379</v>
      </c>
      <c r="G966" s="33">
        <v>35</v>
      </c>
      <c r="H966" s="13">
        <f t="shared" si="15"/>
        <v>10.828571428571429</v>
      </c>
    </row>
    <row r="967" spans="1:8" hidden="1" outlineLevel="2">
      <c r="A967" s="32" t="s">
        <v>797</v>
      </c>
      <c r="B967" s="32" t="s">
        <v>1858</v>
      </c>
      <c r="C967" s="32" t="s">
        <v>1165</v>
      </c>
      <c r="D967" s="32" t="s">
        <v>798</v>
      </c>
      <c r="E967" s="33">
        <v>30</v>
      </c>
      <c r="F967" s="33">
        <v>323</v>
      </c>
      <c r="G967" s="33">
        <v>16</v>
      </c>
      <c r="H967" s="13">
        <f t="shared" si="15"/>
        <v>10.766666666666667</v>
      </c>
    </row>
    <row r="968" spans="1:8" hidden="1" outlineLevel="2">
      <c r="A968" s="32" t="s">
        <v>797</v>
      </c>
      <c r="B968" s="32" t="s">
        <v>1858</v>
      </c>
      <c r="C968" s="32" t="s">
        <v>1222</v>
      </c>
      <c r="D968" s="32" t="s">
        <v>883</v>
      </c>
      <c r="E968" s="33">
        <v>30</v>
      </c>
      <c r="F968" s="33">
        <v>323</v>
      </c>
      <c r="G968" s="33">
        <v>24</v>
      </c>
      <c r="H968" s="13">
        <f t="shared" si="15"/>
        <v>10.766666666666667</v>
      </c>
    </row>
    <row r="969" spans="1:8" hidden="1" outlineLevel="2">
      <c r="A969" s="32" t="s">
        <v>797</v>
      </c>
      <c r="B969" s="32" t="s">
        <v>1858</v>
      </c>
      <c r="C969" s="32" t="s">
        <v>918</v>
      </c>
      <c r="D969" s="32" t="s">
        <v>883</v>
      </c>
      <c r="E969" s="33">
        <v>30</v>
      </c>
      <c r="F969" s="33">
        <v>322</v>
      </c>
      <c r="G969" s="33">
        <v>27</v>
      </c>
      <c r="H969" s="13">
        <f t="shared" si="15"/>
        <v>10.733333333333333</v>
      </c>
    </row>
    <row r="970" spans="1:8" hidden="1" outlineLevel="2">
      <c r="A970" s="32" t="s">
        <v>797</v>
      </c>
      <c r="B970" s="32" t="s">
        <v>1858</v>
      </c>
      <c r="C970" s="32" t="s">
        <v>976</v>
      </c>
      <c r="D970" s="32" t="s">
        <v>836</v>
      </c>
      <c r="E970" s="33">
        <v>30</v>
      </c>
      <c r="F970" s="33">
        <v>322</v>
      </c>
      <c r="G970" s="33">
        <v>25</v>
      </c>
      <c r="H970" s="13">
        <f t="shared" si="15"/>
        <v>10.733333333333333</v>
      </c>
    </row>
    <row r="971" spans="1:8" hidden="1" outlineLevel="2">
      <c r="A971" s="32" t="s">
        <v>797</v>
      </c>
      <c r="B971" s="32" t="s">
        <v>1862</v>
      </c>
      <c r="C971" s="32" t="s">
        <v>969</v>
      </c>
      <c r="D971" s="32" t="s">
        <v>977</v>
      </c>
      <c r="E971" s="33">
        <v>15</v>
      </c>
      <c r="F971" s="33">
        <v>161</v>
      </c>
      <c r="G971" s="33">
        <v>16</v>
      </c>
      <c r="H971" s="13">
        <f t="shared" si="15"/>
        <v>10.733333333333333</v>
      </c>
    </row>
    <row r="972" spans="1:8" hidden="1" outlineLevel="2">
      <c r="A972" s="32" t="s">
        <v>797</v>
      </c>
      <c r="B972" s="32" t="s">
        <v>86</v>
      </c>
      <c r="C972" s="32" t="s">
        <v>857</v>
      </c>
      <c r="D972" s="32" t="s">
        <v>858</v>
      </c>
      <c r="E972" s="33">
        <v>15</v>
      </c>
      <c r="F972" s="33">
        <v>160</v>
      </c>
      <c r="G972" s="33">
        <v>14</v>
      </c>
      <c r="H972" s="13">
        <f t="shared" si="15"/>
        <v>10.666666666666666</v>
      </c>
    </row>
    <row r="973" spans="1:8" hidden="1" outlineLevel="2">
      <c r="A973" s="32" t="s">
        <v>797</v>
      </c>
      <c r="B973" s="32" t="s">
        <v>1858</v>
      </c>
      <c r="C973" s="32" t="s">
        <v>1145</v>
      </c>
      <c r="D973" s="32" t="s">
        <v>798</v>
      </c>
      <c r="E973" s="33">
        <v>35</v>
      </c>
      <c r="F973" s="33">
        <v>373</v>
      </c>
      <c r="G973" s="33">
        <v>21</v>
      </c>
      <c r="H973" s="13">
        <f t="shared" si="15"/>
        <v>10.657142857142857</v>
      </c>
    </row>
    <row r="974" spans="1:8" hidden="1" outlineLevel="2">
      <c r="A974" s="32" t="s">
        <v>797</v>
      </c>
      <c r="B974" s="32" t="s">
        <v>1858</v>
      </c>
      <c r="C974" s="32" t="s">
        <v>987</v>
      </c>
      <c r="D974" s="32" t="s">
        <v>885</v>
      </c>
      <c r="E974" s="33">
        <v>35</v>
      </c>
      <c r="F974" s="33">
        <v>371</v>
      </c>
      <c r="G974" s="33">
        <v>21</v>
      </c>
      <c r="H974" s="13">
        <f t="shared" si="15"/>
        <v>10.6</v>
      </c>
    </row>
    <row r="975" spans="1:8" hidden="1" outlineLevel="2">
      <c r="A975" s="32" t="s">
        <v>797</v>
      </c>
      <c r="B975" s="32" t="s">
        <v>1858</v>
      </c>
      <c r="C975" s="32" t="s">
        <v>897</v>
      </c>
      <c r="D975" s="32" t="s">
        <v>1224</v>
      </c>
      <c r="E975" s="33">
        <v>80</v>
      </c>
      <c r="F975" s="33">
        <v>845</v>
      </c>
      <c r="G975" s="33">
        <v>72</v>
      </c>
      <c r="H975" s="13">
        <f t="shared" si="15"/>
        <v>10.5625</v>
      </c>
    </row>
    <row r="976" spans="1:8" hidden="1" outlineLevel="2">
      <c r="A976" s="32" t="s">
        <v>797</v>
      </c>
      <c r="B976" s="32" t="s">
        <v>1858</v>
      </c>
      <c r="C976" s="32" t="s">
        <v>888</v>
      </c>
      <c r="D976" s="32" t="s">
        <v>1001</v>
      </c>
      <c r="E976" s="33">
        <v>24</v>
      </c>
      <c r="F976" s="33">
        <v>253</v>
      </c>
      <c r="G976" s="33">
        <v>20</v>
      </c>
      <c r="H976" s="13">
        <f t="shared" si="15"/>
        <v>10.541666666666666</v>
      </c>
    </row>
    <row r="977" spans="1:8" hidden="1" outlineLevel="2">
      <c r="A977" s="32" t="s">
        <v>797</v>
      </c>
      <c r="B977" s="32" t="s">
        <v>1858</v>
      </c>
      <c r="C977" s="32" t="s">
        <v>921</v>
      </c>
      <c r="D977" s="32" t="s">
        <v>971</v>
      </c>
      <c r="E977" s="33">
        <v>30</v>
      </c>
      <c r="F977" s="33">
        <v>316</v>
      </c>
      <c r="G977" s="33">
        <v>29</v>
      </c>
      <c r="H977" s="13">
        <f t="shared" si="15"/>
        <v>10.533333333333333</v>
      </c>
    </row>
    <row r="978" spans="1:8" hidden="1" outlineLevel="2">
      <c r="A978" s="32" t="s">
        <v>797</v>
      </c>
      <c r="B978" s="32" t="s">
        <v>1858</v>
      </c>
      <c r="C978" s="32" t="s">
        <v>1058</v>
      </c>
      <c r="D978" s="32" t="s">
        <v>1019</v>
      </c>
      <c r="E978" s="33">
        <v>24</v>
      </c>
      <c r="F978" s="33">
        <v>252</v>
      </c>
      <c r="G978" s="33">
        <v>21</v>
      </c>
      <c r="H978" s="13">
        <f t="shared" si="15"/>
        <v>10.5</v>
      </c>
    </row>
    <row r="979" spans="1:8" hidden="1" outlineLevel="2">
      <c r="A979" s="32" t="s">
        <v>797</v>
      </c>
      <c r="B979" s="32" t="s">
        <v>86</v>
      </c>
      <c r="C979" s="32" t="s">
        <v>996</v>
      </c>
      <c r="D979" s="32" t="s">
        <v>1160</v>
      </c>
      <c r="E979" s="33">
        <v>30</v>
      </c>
      <c r="F979" s="33">
        <v>313</v>
      </c>
      <c r="G979" s="33">
        <v>21</v>
      </c>
      <c r="H979" s="13">
        <f t="shared" si="15"/>
        <v>10.433333333333334</v>
      </c>
    </row>
    <row r="980" spans="1:8" hidden="1" outlineLevel="2">
      <c r="A980" s="32" t="s">
        <v>797</v>
      </c>
      <c r="B980" s="32" t="s">
        <v>86</v>
      </c>
      <c r="C980" s="32" t="s">
        <v>874</v>
      </c>
      <c r="D980" s="32" t="s">
        <v>872</v>
      </c>
      <c r="E980" s="33">
        <v>36</v>
      </c>
      <c r="F980" s="33">
        <v>375</v>
      </c>
      <c r="G980" s="33">
        <v>16</v>
      </c>
      <c r="H980" s="13">
        <f t="shared" si="15"/>
        <v>10.416666666666666</v>
      </c>
    </row>
    <row r="981" spans="1:8" hidden="1" outlineLevel="2">
      <c r="A981" s="32" t="s">
        <v>797</v>
      </c>
      <c r="B981" s="32" t="s">
        <v>86</v>
      </c>
      <c r="C981" s="32" t="s">
        <v>1043</v>
      </c>
      <c r="D981" s="32" t="s">
        <v>911</v>
      </c>
      <c r="E981" s="33">
        <v>35</v>
      </c>
      <c r="F981" s="33">
        <v>364</v>
      </c>
      <c r="G981" s="33">
        <v>27</v>
      </c>
      <c r="H981" s="13">
        <f t="shared" si="15"/>
        <v>10.4</v>
      </c>
    </row>
    <row r="982" spans="1:8" hidden="1" outlineLevel="2">
      <c r="A982" s="32" t="s">
        <v>797</v>
      </c>
      <c r="B982" s="32" t="s">
        <v>1858</v>
      </c>
      <c r="C982" s="32" t="s">
        <v>925</v>
      </c>
      <c r="D982" s="32" t="s">
        <v>883</v>
      </c>
      <c r="E982" s="33">
        <v>15</v>
      </c>
      <c r="F982" s="33">
        <v>156</v>
      </c>
      <c r="G982" s="33">
        <v>15</v>
      </c>
      <c r="H982" s="13">
        <f t="shared" si="15"/>
        <v>10.4</v>
      </c>
    </row>
    <row r="983" spans="1:8" hidden="1" outlineLevel="2">
      <c r="A983" s="32" t="s">
        <v>797</v>
      </c>
      <c r="B983" s="32" t="s">
        <v>1862</v>
      </c>
      <c r="C983" s="32" t="s">
        <v>1129</v>
      </c>
      <c r="D983" s="32" t="s">
        <v>798</v>
      </c>
      <c r="E983" s="33">
        <v>34</v>
      </c>
      <c r="F983" s="33">
        <v>352</v>
      </c>
      <c r="G983" s="33">
        <v>23</v>
      </c>
      <c r="H983" s="13">
        <f t="shared" si="15"/>
        <v>10.352941176470589</v>
      </c>
    </row>
    <row r="984" spans="1:8" hidden="1" outlineLevel="2">
      <c r="A984" s="32" t="s">
        <v>797</v>
      </c>
      <c r="B984" s="32" t="s">
        <v>1858</v>
      </c>
      <c r="C984" s="32" t="s">
        <v>1050</v>
      </c>
      <c r="D984" s="32" t="s">
        <v>1051</v>
      </c>
      <c r="E984" s="33">
        <v>12</v>
      </c>
      <c r="F984" s="33">
        <v>124</v>
      </c>
      <c r="G984" s="33">
        <v>8</v>
      </c>
      <c r="H984" s="13">
        <f t="shared" si="15"/>
        <v>10.333333333333334</v>
      </c>
    </row>
    <row r="985" spans="1:8" hidden="1" outlineLevel="2">
      <c r="A985" s="32" t="s">
        <v>797</v>
      </c>
      <c r="B985" s="32" t="s">
        <v>86</v>
      </c>
      <c r="C985" s="32" t="s">
        <v>879</v>
      </c>
      <c r="D985" s="32" t="s">
        <v>867</v>
      </c>
      <c r="E985" s="33">
        <v>40</v>
      </c>
      <c r="F985" s="33">
        <v>413</v>
      </c>
      <c r="G985" s="33">
        <v>32</v>
      </c>
      <c r="H985" s="13">
        <f t="shared" si="15"/>
        <v>10.324999999999999</v>
      </c>
    </row>
    <row r="986" spans="1:8" hidden="1" outlineLevel="2">
      <c r="A986" s="32" t="s">
        <v>797</v>
      </c>
      <c r="B986" s="32" t="s">
        <v>1858</v>
      </c>
      <c r="C986" s="32" t="s">
        <v>1047</v>
      </c>
      <c r="D986" s="32" t="s">
        <v>798</v>
      </c>
      <c r="E986" s="33">
        <v>27</v>
      </c>
      <c r="F986" s="33">
        <v>273</v>
      </c>
      <c r="G986" s="33">
        <v>24</v>
      </c>
      <c r="H986" s="13">
        <f t="shared" si="15"/>
        <v>10.111111111111111</v>
      </c>
    </row>
    <row r="987" spans="1:8" hidden="1" outlineLevel="2">
      <c r="A987" s="32" t="s">
        <v>797</v>
      </c>
      <c r="B987" s="32" t="s">
        <v>86</v>
      </c>
      <c r="C987" s="32" t="s">
        <v>1111</v>
      </c>
      <c r="D987" s="32" t="s">
        <v>845</v>
      </c>
      <c r="E987" s="33">
        <v>42</v>
      </c>
      <c r="F987" s="33">
        <v>424</v>
      </c>
      <c r="G987" s="33">
        <v>44</v>
      </c>
      <c r="H987" s="13">
        <f t="shared" si="15"/>
        <v>10.095238095238095</v>
      </c>
    </row>
    <row r="988" spans="1:8" hidden="1" outlineLevel="2">
      <c r="A988" s="32" t="s">
        <v>797</v>
      </c>
      <c r="B988" s="32" t="s">
        <v>86</v>
      </c>
      <c r="C988" s="32" t="s">
        <v>1178</v>
      </c>
      <c r="D988" s="32" t="s">
        <v>1006</v>
      </c>
      <c r="E988" s="33">
        <v>15</v>
      </c>
      <c r="F988" s="33">
        <v>151</v>
      </c>
      <c r="G988" s="33">
        <v>14</v>
      </c>
      <c r="H988" s="13">
        <f t="shared" si="15"/>
        <v>10.066666666666666</v>
      </c>
    </row>
    <row r="989" spans="1:8" hidden="1" outlineLevel="2">
      <c r="A989" s="32" t="s">
        <v>797</v>
      </c>
      <c r="B989" s="32" t="s">
        <v>86</v>
      </c>
      <c r="C989" s="32" t="s">
        <v>874</v>
      </c>
      <c r="D989" s="32" t="s">
        <v>798</v>
      </c>
      <c r="E989" s="33">
        <v>36</v>
      </c>
      <c r="F989" s="33">
        <v>362</v>
      </c>
      <c r="G989" s="33">
        <v>28</v>
      </c>
      <c r="H989" s="13">
        <f t="shared" si="15"/>
        <v>10.055555555555555</v>
      </c>
    </row>
    <row r="990" spans="1:8" hidden="1" outlineLevel="2">
      <c r="A990" s="32" t="s">
        <v>797</v>
      </c>
      <c r="B990" s="32" t="s">
        <v>1858</v>
      </c>
      <c r="C990" s="32" t="s">
        <v>1165</v>
      </c>
      <c r="D990" s="32" t="s">
        <v>885</v>
      </c>
      <c r="E990" s="33">
        <v>30</v>
      </c>
      <c r="F990" s="33">
        <v>301</v>
      </c>
      <c r="G990" s="33">
        <v>23</v>
      </c>
      <c r="H990" s="13">
        <f t="shared" si="15"/>
        <v>10.033333333333333</v>
      </c>
    </row>
    <row r="991" spans="1:8" hidden="1" outlineLevel="2">
      <c r="A991" s="32" t="s">
        <v>797</v>
      </c>
      <c r="B991" s="32" t="s">
        <v>86</v>
      </c>
      <c r="C991" s="32" t="s">
        <v>1041</v>
      </c>
      <c r="D991" s="32" t="s">
        <v>798</v>
      </c>
      <c r="E991" s="33">
        <v>30</v>
      </c>
      <c r="F991" s="33">
        <v>300</v>
      </c>
      <c r="G991" s="33">
        <v>18</v>
      </c>
      <c r="H991" s="13">
        <f t="shared" si="15"/>
        <v>10</v>
      </c>
    </row>
    <row r="992" spans="1:8" hidden="1" outlineLevel="2">
      <c r="A992" s="32" t="s">
        <v>797</v>
      </c>
      <c r="B992" s="32" t="s">
        <v>1862</v>
      </c>
      <c r="C992" s="32" t="s">
        <v>970</v>
      </c>
      <c r="D992" s="32" t="s">
        <v>1160</v>
      </c>
      <c r="E992" s="33">
        <v>18</v>
      </c>
      <c r="F992" s="33">
        <v>180</v>
      </c>
      <c r="G992" s="33">
        <v>16</v>
      </c>
      <c r="H992" s="13">
        <f t="shared" si="15"/>
        <v>10</v>
      </c>
    </row>
    <row r="993" spans="1:8" hidden="1" outlineLevel="2">
      <c r="A993" s="32" t="s">
        <v>797</v>
      </c>
      <c r="B993" s="32" t="s">
        <v>1858</v>
      </c>
      <c r="C993" s="32" t="s">
        <v>925</v>
      </c>
      <c r="D993" s="32" t="s">
        <v>861</v>
      </c>
      <c r="E993" s="33">
        <v>28</v>
      </c>
      <c r="F993" s="33">
        <v>279</v>
      </c>
      <c r="G993" s="33">
        <v>24</v>
      </c>
      <c r="H993" s="13">
        <f t="shared" si="15"/>
        <v>9.9642857142857135</v>
      </c>
    </row>
    <row r="994" spans="1:8" hidden="1" outlineLevel="2">
      <c r="A994" s="32" t="s">
        <v>797</v>
      </c>
      <c r="B994" s="32" t="s">
        <v>86</v>
      </c>
      <c r="C994" s="32" t="s">
        <v>1139</v>
      </c>
      <c r="D994" s="32" t="s">
        <v>905</v>
      </c>
      <c r="E994" s="33">
        <v>74</v>
      </c>
      <c r="F994" s="33">
        <v>737</v>
      </c>
      <c r="G994" s="33">
        <v>66</v>
      </c>
      <c r="H994" s="13">
        <f t="shared" si="15"/>
        <v>9.9594594594594597</v>
      </c>
    </row>
    <row r="995" spans="1:8" hidden="1" outlineLevel="2">
      <c r="A995" s="32" t="s">
        <v>797</v>
      </c>
      <c r="B995" s="32" t="s">
        <v>1862</v>
      </c>
      <c r="C995" s="32" t="s">
        <v>938</v>
      </c>
      <c r="D995" s="32" t="s">
        <v>1150</v>
      </c>
      <c r="E995" s="33">
        <v>26</v>
      </c>
      <c r="F995" s="33">
        <v>257</v>
      </c>
      <c r="G995" s="33">
        <v>25</v>
      </c>
      <c r="H995" s="13">
        <f t="shared" si="15"/>
        <v>9.884615384615385</v>
      </c>
    </row>
    <row r="996" spans="1:8" hidden="1" outlineLevel="2">
      <c r="A996" s="32" t="s">
        <v>797</v>
      </c>
      <c r="B996" s="32" t="s">
        <v>1858</v>
      </c>
      <c r="C996" s="32" t="s">
        <v>976</v>
      </c>
      <c r="D996" s="32" t="s">
        <v>977</v>
      </c>
      <c r="E996" s="33">
        <v>15</v>
      </c>
      <c r="F996" s="33">
        <v>148</v>
      </c>
      <c r="G996" s="33">
        <v>11</v>
      </c>
      <c r="H996" s="13">
        <f t="shared" si="15"/>
        <v>9.8666666666666671</v>
      </c>
    </row>
    <row r="997" spans="1:8" hidden="1" outlineLevel="2">
      <c r="A997" s="32" t="s">
        <v>797</v>
      </c>
      <c r="B997" s="32" t="s">
        <v>1858</v>
      </c>
      <c r="C997" s="32" t="s">
        <v>889</v>
      </c>
      <c r="D997" s="32" t="s">
        <v>891</v>
      </c>
      <c r="E997" s="33">
        <v>24</v>
      </c>
      <c r="F997" s="33">
        <v>234</v>
      </c>
      <c r="G997" s="33">
        <v>24</v>
      </c>
      <c r="H997" s="13">
        <f t="shared" si="15"/>
        <v>9.75</v>
      </c>
    </row>
    <row r="998" spans="1:8" hidden="1" outlineLevel="2">
      <c r="A998" s="32" t="s">
        <v>797</v>
      </c>
      <c r="B998" s="32" t="s">
        <v>1858</v>
      </c>
      <c r="C998" s="32" t="s">
        <v>1147</v>
      </c>
      <c r="D998" s="32" t="s">
        <v>905</v>
      </c>
      <c r="E998" s="33">
        <v>36</v>
      </c>
      <c r="F998" s="33">
        <v>350</v>
      </c>
      <c r="G998" s="33">
        <v>29</v>
      </c>
      <c r="H998" s="13">
        <f t="shared" si="15"/>
        <v>9.7222222222222214</v>
      </c>
    </row>
    <row r="999" spans="1:8" hidden="1" outlineLevel="2">
      <c r="A999" s="32" t="s">
        <v>797</v>
      </c>
      <c r="B999" s="32" t="s">
        <v>1858</v>
      </c>
      <c r="C999" s="32" t="s">
        <v>987</v>
      </c>
      <c r="D999" s="32" t="s">
        <v>825</v>
      </c>
      <c r="E999" s="33">
        <v>35</v>
      </c>
      <c r="F999" s="33">
        <v>340</v>
      </c>
      <c r="G999" s="33">
        <v>33</v>
      </c>
      <c r="H999" s="13">
        <f t="shared" si="15"/>
        <v>9.7142857142857135</v>
      </c>
    </row>
    <row r="1000" spans="1:8" hidden="1" outlineLevel="2">
      <c r="A1000" s="32" t="s">
        <v>797</v>
      </c>
      <c r="B1000" s="32" t="s">
        <v>86</v>
      </c>
      <c r="C1000" s="32" t="s">
        <v>877</v>
      </c>
      <c r="D1000" s="32" t="s">
        <v>878</v>
      </c>
      <c r="E1000" s="33">
        <v>72</v>
      </c>
      <c r="F1000" s="33">
        <v>699</v>
      </c>
      <c r="G1000" s="33">
        <v>83</v>
      </c>
      <c r="H1000" s="13">
        <f t="shared" si="15"/>
        <v>9.7083333333333339</v>
      </c>
    </row>
    <row r="1001" spans="1:8" hidden="1" outlineLevel="2">
      <c r="A1001" s="32" t="s">
        <v>797</v>
      </c>
      <c r="B1001" s="32" t="s">
        <v>1862</v>
      </c>
      <c r="C1001" s="32" t="s">
        <v>1089</v>
      </c>
      <c r="D1001" s="32" t="s">
        <v>823</v>
      </c>
      <c r="E1001" s="33">
        <v>72</v>
      </c>
      <c r="F1001" s="33">
        <v>699</v>
      </c>
      <c r="G1001" s="33">
        <v>48</v>
      </c>
      <c r="H1001" s="13">
        <f t="shared" si="15"/>
        <v>9.7083333333333339</v>
      </c>
    </row>
    <row r="1002" spans="1:8" hidden="1" outlineLevel="2">
      <c r="A1002" s="32" t="s">
        <v>797</v>
      </c>
      <c r="B1002" s="32" t="s">
        <v>1858</v>
      </c>
      <c r="C1002" s="32" t="s">
        <v>1146</v>
      </c>
      <c r="D1002" s="32" t="s">
        <v>861</v>
      </c>
      <c r="E1002" s="33">
        <v>22</v>
      </c>
      <c r="F1002" s="33">
        <v>213</v>
      </c>
      <c r="G1002" s="33">
        <v>20</v>
      </c>
      <c r="H1002" s="13">
        <f t="shared" si="15"/>
        <v>9.6818181818181817</v>
      </c>
    </row>
    <row r="1003" spans="1:8" hidden="1" outlineLevel="2">
      <c r="A1003" s="32" t="s">
        <v>797</v>
      </c>
      <c r="B1003" s="32" t="s">
        <v>1862</v>
      </c>
      <c r="C1003" s="32" t="s">
        <v>952</v>
      </c>
      <c r="D1003" s="32" t="s">
        <v>885</v>
      </c>
      <c r="E1003" s="33">
        <v>28</v>
      </c>
      <c r="F1003" s="33">
        <v>271</v>
      </c>
      <c r="G1003" s="33">
        <v>18</v>
      </c>
      <c r="H1003" s="13">
        <f t="shared" si="15"/>
        <v>9.6785714285714288</v>
      </c>
    </row>
    <row r="1004" spans="1:8" hidden="1" outlineLevel="2">
      <c r="A1004" s="32" t="s">
        <v>797</v>
      </c>
      <c r="B1004" s="32" t="s">
        <v>86</v>
      </c>
      <c r="C1004" s="32" t="s">
        <v>1041</v>
      </c>
      <c r="D1004" s="32" t="s">
        <v>825</v>
      </c>
      <c r="E1004" s="33">
        <v>24</v>
      </c>
      <c r="F1004" s="33">
        <v>232</v>
      </c>
      <c r="G1004" s="33">
        <v>22</v>
      </c>
      <c r="H1004" s="13">
        <f t="shared" si="15"/>
        <v>9.6666666666666661</v>
      </c>
    </row>
    <row r="1005" spans="1:8" hidden="1" outlineLevel="2">
      <c r="A1005" s="32" t="s">
        <v>797</v>
      </c>
      <c r="B1005" s="32" t="s">
        <v>1858</v>
      </c>
      <c r="C1005" s="32" t="s">
        <v>1211</v>
      </c>
      <c r="D1005" s="32" t="s">
        <v>1035</v>
      </c>
      <c r="E1005" s="33">
        <v>15</v>
      </c>
      <c r="F1005" s="33">
        <v>145</v>
      </c>
      <c r="G1005" s="33">
        <v>11</v>
      </c>
      <c r="H1005" s="13">
        <f t="shared" si="15"/>
        <v>9.6666666666666661</v>
      </c>
    </row>
    <row r="1006" spans="1:8" hidden="1" outlineLevel="2">
      <c r="A1006" s="32" t="s">
        <v>797</v>
      </c>
      <c r="B1006" s="32" t="s">
        <v>1862</v>
      </c>
      <c r="C1006" s="32" t="s">
        <v>973</v>
      </c>
      <c r="D1006" s="32" t="s">
        <v>872</v>
      </c>
      <c r="E1006" s="33">
        <v>24</v>
      </c>
      <c r="F1006" s="33">
        <v>232</v>
      </c>
      <c r="G1006" s="33">
        <v>15</v>
      </c>
      <c r="H1006" s="13">
        <f t="shared" si="15"/>
        <v>9.6666666666666661</v>
      </c>
    </row>
    <row r="1007" spans="1:8" hidden="1" outlineLevel="2">
      <c r="A1007" s="32" t="s">
        <v>797</v>
      </c>
      <c r="B1007" s="32" t="s">
        <v>1862</v>
      </c>
      <c r="C1007" s="32" t="s">
        <v>1152</v>
      </c>
      <c r="D1007" s="32" t="s">
        <v>823</v>
      </c>
      <c r="E1007" s="33">
        <v>35</v>
      </c>
      <c r="F1007" s="33">
        <v>337</v>
      </c>
      <c r="G1007" s="33">
        <v>32</v>
      </c>
      <c r="H1007" s="13">
        <f t="shared" si="15"/>
        <v>9.6285714285714281</v>
      </c>
    </row>
    <row r="1008" spans="1:8" hidden="1" outlineLevel="2">
      <c r="A1008" s="32" t="s">
        <v>797</v>
      </c>
      <c r="B1008" s="32" t="s">
        <v>1858</v>
      </c>
      <c r="C1008" s="32" t="s">
        <v>1146</v>
      </c>
      <c r="D1008" s="32" t="s">
        <v>928</v>
      </c>
      <c r="E1008" s="33">
        <v>14</v>
      </c>
      <c r="F1008" s="33">
        <v>134</v>
      </c>
      <c r="G1008" s="33">
        <v>16</v>
      </c>
      <c r="H1008" s="13">
        <f t="shared" si="15"/>
        <v>9.5714285714285712</v>
      </c>
    </row>
    <row r="1009" spans="1:8" hidden="1" outlineLevel="2">
      <c r="A1009" s="32" t="s">
        <v>797</v>
      </c>
      <c r="B1009" s="32" t="s">
        <v>1858</v>
      </c>
      <c r="C1009" s="32" t="s">
        <v>1044</v>
      </c>
      <c r="D1009" s="32" t="s">
        <v>832</v>
      </c>
      <c r="E1009" s="33">
        <v>35</v>
      </c>
      <c r="F1009" s="33">
        <v>335</v>
      </c>
      <c r="G1009" s="33">
        <v>31</v>
      </c>
      <c r="H1009" s="13">
        <f t="shared" si="15"/>
        <v>9.5714285714285712</v>
      </c>
    </row>
    <row r="1010" spans="1:8" hidden="1" outlineLevel="2">
      <c r="A1010" s="32" t="s">
        <v>797</v>
      </c>
      <c r="B1010" s="32" t="s">
        <v>1858</v>
      </c>
      <c r="C1010" s="32" t="s">
        <v>1145</v>
      </c>
      <c r="D1010" s="32" t="s">
        <v>991</v>
      </c>
      <c r="E1010" s="33">
        <v>35</v>
      </c>
      <c r="F1010" s="33">
        <v>334</v>
      </c>
      <c r="G1010" s="33">
        <v>30</v>
      </c>
      <c r="H1010" s="13">
        <f t="shared" si="15"/>
        <v>9.5428571428571427</v>
      </c>
    </row>
    <row r="1011" spans="1:8" hidden="1" outlineLevel="2">
      <c r="A1011" s="32" t="s">
        <v>797</v>
      </c>
      <c r="B1011" s="32" t="s">
        <v>1862</v>
      </c>
      <c r="C1011" s="32" t="s">
        <v>1219</v>
      </c>
      <c r="D1011" s="32" t="s">
        <v>832</v>
      </c>
      <c r="E1011" s="33">
        <v>34</v>
      </c>
      <c r="F1011" s="33">
        <v>322</v>
      </c>
      <c r="G1011" s="33">
        <v>26</v>
      </c>
      <c r="H1011" s="13">
        <f t="shared" si="15"/>
        <v>9.4705882352941178</v>
      </c>
    </row>
    <row r="1012" spans="1:8" hidden="1" outlineLevel="2">
      <c r="A1012" s="32" t="s">
        <v>797</v>
      </c>
      <c r="B1012" s="32" t="s">
        <v>1858</v>
      </c>
      <c r="C1012" s="32" t="s">
        <v>1145</v>
      </c>
      <c r="D1012" s="32" t="s">
        <v>867</v>
      </c>
      <c r="E1012" s="33">
        <v>35</v>
      </c>
      <c r="F1012" s="33">
        <v>331</v>
      </c>
      <c r="G1012" s="33">
        <v>34</v>
      </c>
      <c r="H1012" s="13">
        <f t="shared" si="15"/>
        <v>9.4571428571428573</v>
      </c>
    </row>
    <row r="1013" spans="1:8" hidden="1" outlineLevel="2">
      <c r="A1013" s="32" t="s">
        <v>797</v>
      </c>
      <c r="B1013" s="32" t="s">
        <v>86</v>
      </c>
      <c r="C1013" s="32" t="s">
        <v>871</v>
      </c>
      <c r="D1013" s="32" t="s">
        <v>867</v>
      </c>
      <c r="E1013" s="33">
        <v>80</v>
      </c>
      <c r="F1013" s="33">
        <v>754</v>
      </c>
      <c r="G1013" s="33">
        <v>65</v>
      </c>
      <c r="H1013" s="13">
        <f t="shared" si="15"/>
        <v>9.4250000000000007</v>
      </c>
    </row>
    <row r="1014" spans="1:8" hidden="1" outlineLevel="2">
      <c r="A1014" s="32" t="s">
        <v>797</v>
      </c>
      <c r="B1014" s="32" t="s">
        <v>86</v>
      </c>
      <c r="C1014" s="32" t="s">
        <v>1178</v>
      </c>
      <c r="D1014" s="32" t="s">
        <v>1198</v>
      </c>
      <c r="E1014" s="33">
        <v>15</v>
      </c>
      <c r="F1014" s="33">
        <v>140</v>
      </c>
      <c r="G1014" s="33">
        <v>14</v>
      </c>
      <c r="H1014" s="13">
        <f t="shared" si="15"/>
        <v>9.3333333333333339</v>
      </c>
    </row>
    <row r="1015" spans="1:8" hidden="1" outlineLevel="2">
      <c r="A1015" s="32" t="s">
        <v>797</v>
      </c>
      <c r="B1015" s="32" t="s">
        <v>1858</v>
      </c>
      <c r="C1015" s="32" t="s">
        <v>1054</v>
      </c>
      <c r="D1015" s="32" t="s">
        <v>860</v>
      </c>
      <c r="E1015" s="33">
        <v>24</v>
      </c>
      <c r="F1015" s="33">
        <v>223</v>
      </c>
      <c r="G1015" s="33">
        <v>19</v>
      </c>
      <c r="H1015" s="13">
        <f t="shared" si="15"/>
        <v>9.2916666666666661</v>
      </c>
    </row>
    <row r="1016" spans="1:8" hidden="1" outlineLevel="2">
      <c r="A1016" s="32" t="s">
        <v>797</v>
      </c>
      <c r="B1016" s="32" t="s">
        <v>1862</v>
      </c>
      <c r="C1016" s="32" t="s">
        <v>1226</v>
      </c>
      <c r="D1016" s="32" t="s">
        <v>867</v>
      </c>
      <c r="E1016" s="33">
        <v>24</v>
      </c>
      <c r="F1016" s="33">
        <v>223</v>
      </c>
      <c r="G1016" s="33">
        <v>13</v>
      </c>
      <c r="H1016" s="13">
        <f t="shared" si="15"/>
        <v>9.2916666666666661</v>
      </c>
    </row>
    <row r="1017" spans="1:8" hidden="1" outlineLevel="2">
      <c r="A1017" s="32" t="s">
        <v>797</v>
      </c>
      <c r="B1017" s="32" t="s">
        <v>1858</v>
      </c>
      <c r="C1017" s="32" t="s">
        <v>889</v>
      </c>
      <c r="D1017" s="32" t="s">
        <v>798</v>
      </c>
      <c r="E1017" s="33">
        <v>24</v>
      </c>
      <c r="F1017" s="33">
        <v>223</v>
      </c>
      <c r="G1017" s="33">
        <v>20</v>
      </c>
      <c r="H1017" s="13">
        <f t="shared" si="15"/>
        <v>9.2916666666666661</v>
      </c>
    </row>
    <row r="1018" spans="1:8" hidden="1" outlineLevel="2">
      <c r="A1018" s="32" t="s">
        <v>797</v>
      </c>
      <c r="B1018" s="32" t="s">
        <v>1862</v>
      </c>
      <c r="C1018" s="32" t="s">
        <v>1075</v>
      </c>
      <c r="D1018" s="32" t="s">
        <v>822</v>
      </c>
      <c r="E1018" s="33">
        <v>28</v>
      </c>
      <c r="F1018" s="33">
        <v>260</v>
      </c>
      <c r="G1018" s="33">
        <v>19</v>
      </c>
      <c r="H1018" s="13">
        <f t="shared" si="15"/>
        <v>9.2857142857142865</v>
      </c>
    </row>
    <row r="1019" spans="1:8" hidden="1" outlineLevel="2">
      <c r="A1019" s="32" t="s">
        <v>797</v>
      </c>
      <c r="B1019" s="32" t="s">
        <v>1858</v>
      </c>
      <c r="C1019" s="32" t="s">
        <v>921</v>
      </c>
      <c r="D1019" s="32" t="s">
        <v>1028</v>
      </c>
      <c r="E1019" s="33">
        <v>30</v>
      </c>
      <c r="F1019" s="33">
        <v>275</v>
      </c>
      <c r="G1019" s="33">
        <v>25</v>
      </c>
      <c r="H1019" s="13">
        <f t="shared" si="15"/>
        <v>9.1666666666666661</v>
      </c>
    </row>
    <row r="1020" spans="1:8" hidden="1" outlineLevel="2">
      <c r="A1020" s="32" t="s">
        <v>797</v>
      </c>
      <c r="B1020" s="32" t="s">
        <v>86</v>
      </c>
      <c r="C1020" s="32" t="s">
        <v>1036</v>
      </c>
      <c r="D1020" s="32" t="s">
        <v>878</v>
      </c>
      <c r="E1020" s="33">
        <v>72</v>
      </c>
      <c r="F1020" s="33">
        <v>657</v>
      </c>
      <c r="G1020" s="33">
        <v>56</v>
      </c>
      <c r="H1020" s="13">
        <f t="shared" si="15"/>
        <v>9.125</v>
      </c>
    </row>
    <row r="1021" spans="1:8" hidden="1" outlineLevel="2">
      <c r="A1021" s="32" t="s">
        <v>797</v>
      </c>
      <c r="B1021" s="32" t="s">
        <v>86</v>
      </c>
      <c r="C1021" s="32" t="s">
        <v>873</v>
      </c>
      <c r="D1021" s="32" t="s">
        <v>798</v>
      </c>
      <c r="E1021" s="33">
        <v>70</v>
      </c>
      <c r="F1021" s="33">
        <v>638</v>
      </c>
      <c r="G1021" s="33">
        <v>54</v>
      </c>
      <c r="H1021" s="13">
        <f t="shared" si="15"/>
        <v>9.1142857142857139</v>
      </c>
    </row>
    <row r="1022" spans="1:8" hidden="1" outlineLevel="2">
      <c r="A1022" s="32" t="s">
        <v>797</v>
      </c>
      <c r="B1022" s="32" t="s">
        <v>1858</v>
      </c>
      <c r="C1022" s="32" t="s">
        <v>1147</v>
      </c>
      <c r="D1022" s="32" t="s">
        <v>867</v>
      </c>
      <c r="E1022" s="33">
        <v>36</v>
      </c>
      <c r="F1022" s="33">
        <v>328</v>
      </c>
      <c r="G1022" s="33">
        <v>29</v>
      </c>
      <c r="H1022" s="13">
        <f t="shared" si="15"/>
        <v>9.1111111111111107</v>
      </c>
    </row>
    <row r="1023" spans="1:8" hidden="1" outlineLevel="2">
      <c r="A1023" s="32" t="s">
        <v>797</v>
      </c>
      <c r="B1023" s="32" t="s">
        <v>1862</v>
      </c>
      <c r="C1023" s="32" t="s">
        <v>950</v>
      </c>
      <c r="D1023" s="32" t="s">
        <v>836</v>
      </c>
      <c r="E1023" s="33">
        <v>24</v>
      </c>
      <c r="F1023" s="33">
        <v>217</v>
      </c>
      <c r="G1023" s="33">
        <v>23</v>
      </c>
      <c r="H1023" s="13">
        <f t="shared" si="15"/>
        <v>9.0416666666666661</v>
      </c>
    </row>
    <row r="1024" spans="1:8" hidden="1" outlineLevel="2">
      <c r="A1024" s="32" t="s">
        <v>797</v>
      </c>
      <c r="B1024" s="32" t="s">
        <v>1862</v>
      </c>
      <c r="C1024" s="32" t="s">
        <v>946</v>
      </c>
      <c r="D1024" s="32" t="s">
        <v>858</v>
      </c>
      <c r="E1024" s="33">
        <v>24</v>
      </c>
      <c r="F1024" s="33">
        <v>217</v>
      </c>
      <c r="G1024" s="33">
        <v>23</v>
      </c>
      <c r="H1024" s="13">
        <f t="shared" si="15"/>
        <v>9.0416666666666661</v>
      </c>
    </row>
    <row r="1025" spans="1:8" hidden="1" outlineLevel="2">
      <c r="A1025" s="32" t="s">
        <v>797</v>
      </c>
      <c r="B1025" s="32" t="s">
        <v>1858</v>
      </c>
      <c r="C1025" s="32" t="s">
        <v>915</v>
      </c>
      <c r="D1025" s="32" t="s">
        <v>872</v>
      </c>
      <c r="E1025" s="33">
        <v>33</v>
      </c>
      <c r="F1025" s="33">
        <v>297</v>
      </c>
      <c r="G1025" s="33">
        <v>32</v>
      </c>
      <c r="H1025" s="13">
        <f t="shared" si="15"/>
        <v>9</v>
      </c>
    </row>
    <row r="1026" spans="1:8" hidden="1" outlineLevel="2">
      <c r="A1026" s="32" t="s">
        <v>797</v>
      </c>
      <c r="B1026" s="32" t="s">
        <v>1862</v>
      </c>
      <c r="C1026" s="32" t="s">
        <v>1104</v>
      </c>
      <c r="D1026" s="32" t="s">
        <v>885</v>
      </c>
      <c r="E1026" s="33">
        <v>33</v>
      </c>
      <c r="F1026" s="33">
        <v>297</v>
      </c>
      <c r="G1026" s="33">
        <v>19</v>
      </c>
      <c r="H1026" s="13">
        <f t="shared" ref="H1026:H1089" si="16">IFERROR(F1026/E1026,"")</f>
        <v>9</v>
      </c>
    </row>
    <row r="1027" spans="1:8" hidden="1" outlineLevel="2">
      <c r="A1027" s="32" t="s">
        <v>797</v>
      </c>
      <c r="B1027" s="32" t="s">
        <v>1858</v>
      </c>
      <c r="C1027" s="32" t="s">
        <v>1061</v>
      </c>
      <c r="D1027" s="32" t="s">
        <v>861</v>
      </c>
      <c r="E1027" s="33">
        <v>24</v>
      </c>
      <c r="F1027" s="33">
        <v>211</v>
      </c>
      <c r="G1027" s="33">
        <v>17</v>
      </c>
      <c r="H1027" s="13">
        <f t="shared" si="16"/>
        <v>8.7916666666666661</v>
      </c>
    </row>
    <row r="1028" spans="1:8" hidden="1" outlineLevel="2">
      <c r="A1028" s="32" t="s">
        <v>797</v>
      </c>
      <c r="B1028" s="32" t="s">
        <v>86</v>
      </c>
      <c r="C1028" s="32" t="s">
        <v>871</v>
      </c>
      <c r="D1028" s="32" t="s">
        <v>872</v>
      </c>
      <c r="E1028" s="33">
        <v>40</v>
      </c>
      <c r="F1028" s="33">
        <v>350</v>
      </c>
      <c r="G1028" s="33">
        <v>15</v>
      </c>
      <c r="H1028" s="13">
        <f t="shared" si="16"/>
        <v>8.75</v>
      </c>
    </row>
    <row r="1029" spans="1:8" hidden="1" outlineLevel="2">
      <c r="A1029" s="32" t="s">
        <v>797</v>
      </c>
      <c r="B1029" s="32" t="s">
        <v>86</v>
      </c>
      <c r="C1029" s="32" t="s">
        <v>992</v>
      </c>
      <c r="D1029" s="32" t="s">
        <v>844</v>
      </c>
      <c r="E1029" s="33">
        <v>36</v>
      </c>
      <c r="F1029" s="33">
        <v>315</v>
      </c>
      <c r="G1029" s="33">
        <v>26</v>
      </c>
      <c r="H1029" s="13">
        <f t="shared" si="16"/>
        <v>8.75</v>
      </c>
    </row>
    <row r="1030" spans="1:8" hidden="1" outlineLevel="2">
      <c r="A1030" s="32" t="s">
        <v>797</v>
      </c>
      <c r="B1030" s="32" t="s">
        <v>1858</v>
      </c>
      <c r="C1030" s="32" t="s">
        <v>893</v>
      </c>
      <c r="D1030" s="32" t="s">
        <v>1003</v>
      </c>
      <c r="E1030" s="33">
        <v>24</v>
      </c>
      <c r="F1030" s="33">
        <v>210</v>
      </c>
      <c r="G1030" s="33">
        <v>17</v>
      </c>
      <c r="H1030" s="13">
        <f t="shared" si="16"/>
        <v>8.75</v>
      </c>
    </row>
    <row r="1031" spans="1:8" hidden="1" outlineLevel="2">
      <c r="A1031" s="32" t="s">
        <v>797</v>
      </c>
      <c r="B1031" s="32" t="s">
        <v>86</v>
      </c>
      <c r="C1031" s="32" t="s">
        <v>863</v>
      </c>
      <c r="D1031" s="32" t="s">
        <v>864</v>
      </c>
      <c r="E1031" s="33">
        <v>28</v>
      </c>
      <c r="F1031" s="33">
        <v>244</v>
      </c>
      <c r="G1031" s="33">
        <v>28</v>
      </c>
      <c r="H1031" s="13">
        <f t="shared" si="16"/>
        <v>8.7142857142857135</v>
      </c>
    </row>
    <row r="1032" spans="1:8" hidden="1" outlineLevel="2">
      <c r="A1032" s="32" t="s">
        <v>797</v>
      </c>
      <c r="B1032" s="32" t="s">
        <v>1862</v>
      </c>
      <c r="C1032" s="32" t="s">
        <v>907</v>
      </c>
      <c r="D1032" s="32" t="s">
        <v>838</v>
      </c>
      <c r="E1032" s="33">
        <v>24</v>
      </c>
      <c r="F1032" s="33">
        <v>209</v>
      </c>
      <c r="G1032" s="33">
        <v>21</v>
      </c>
      <c r="H1032" s="13">
        <f t="shared" si="16"/>
        <v>8.7083333333333339</v>
      </c>
    </row>
    <row r="1033" spans="1:8" hidden="1" outlineLevel="2">
      <c r="A1033" s="32" t="s">
        <v>797</v>
      </c>
      <c r="B1033" s="32" t="s">
        <v>1862</v>
      </c>
      <c r="C1033" s="32" t="s">
        <v>1104</v>
      </c>
      <c r="D1033" s="32" t="s">
        <v>798</v>
      </c>
      <c r="E1033" s="33">
        <v>32</v>
      </c>
      <c r="F1033" s="33">
        <v>276</v>
      </c>
      <c r="G1033" s="33">
        <v>15</v>
      </c>
      <c r="H1033" s="13">
        <f t="shared" si="16"/>
        <v>8.625</v>
      </c>
    </row>
    <row r="1034" spans="1:8" hidden="1" outlineLevel="2">
      <c r="A1034" s="32" t="s">
        <v>797</v>
      </c>
      <c r="B1034" s="32" t="s">
        <v>1862</v>
      </c>
      <c r="C1034" s="32" t="s">
        <v>1129</v>
      </c>
      <c r="D1034" s="32" t="s">
        <v>845</v>
      </c>
      <c r="E1034" s="33">
        <v>34</v>
      </c>
      <c r="F1034" s="33">
        <v>292</v>
      </c>
      <c r="G1034" s="33">
        <v>18</v>
      </c>
      <c r="H1034" s="13">
        <f t="shared" si="16"/>
        <v>8.5882352941176467</v>
      </c>
    </row>
    <row r="1035" spans="1:8" hidden="1" outlineLevel="2">
      <c r="A1035" s="32" t="s">
        <v>797</v>
      </c>
      <c r="B1035" s="32" t="s">
        <v>1858</v>
      </c>
      <c r="C1035" s="32" t="s">
        <v>1212</v>
      </c>
      <c r="D1035" s="32" t="s">
        <v>883</v>
      </c>
      <c r="E1035" s="33">
        <v>24</v>
      </c>
      <c r="F1035" s="33">
        <v>206</v>
      </c>
      <c r="G1035" s="33">
        <v>19</v>
      </c>
      <c r="H1035" s="13">
        <f t="shared" si="16"/>
        <v>8.5833333333333339</v>
      </c>
    </row>
    <row r="1036" spans="1:8" hidden="1" outlineLevel="2">
      <c r="A1036" s="32" t="s">
        <v>797</v>
      </c>
      <c r="B1036" s="32" t="s">
        <v>86</v>
      </c>
      <c r="C1036" s="32" t="s">
        <v>879</v>
      </c>
      <c r="D1036" s="32" t="s">
        <v>822</v>
      </c>
      <c r="E1036" s="33">
        <v>28</v>
      </c>
      <c r="F1036" s="33">
        <v>240</v>
      </c>
      <c r="G1036" s="33">
        <v>25</v>
      </c>
      <c r="H1036" s="13">
        <f t="shared" si="16"/>
        <v>8.5714285714285712</v>
      </c>
    </row>
    <row r="1037" spans="1:8" hidden="1" outlineLevel="2">
      <c r="A1037" s="32" t="s">
        <v>797</v>
      </c>
      <c r="B1037" s="32" t="s">
        <v>1858</v>
      </c>
      <c r="C1037" s="32" t="s">
        <v>888</v>
      </c>
      <c r="D1037" s="32" t="s">
        <v>838</v>
      </c>
      <c r="E1037" s="33">
        <v>24</v>
      </c>
      <c r="F1037" s="33">
        <v>205</v>
      </c>
      <c r="G1037" s="33">
        <v>24</v>
      </c>
      <c r="H1037" s="13">
        <f t="shared" si="16"/>
        <v>8.5416666666666661</v>
      </c>
    </row>
    <row r="1038" spans="1:8" hidden="1" outlineLevel="2">
      <c r="A1038" s="32" t="s">
        <v>797</v>
      </c>
      <c r="B1038" s="32" t="s">
        <v>1858</v>
      </c>
      <c r="C1038" s="32" t="s">
        <v>1062</v>
      </c>
      <c r="D1038" s="32" t="s">
        <v>968</v>
      </c>
      <c r="E1038" s="33">
        <v>15</v>
      </c>
      <c r="F1038" s="33">
        <v>128</v>
      </c>
      <c r="G1038" s="33">
        <v>16</v>
      </c>
      <c r="H1038" s="13">
        <f t="shared" si="16"/>
        <v>8.5333333333333332</v>
      </c>
    </row>
    <row r="1039" spans="1:8" hidden="1" outlineLevel="2">
      <c r="A1039" s="32" t="s">
        <v>797</v>
      </c>
      <c r="B1039" s="32" t="s">
        <v>1862</v>
      </c>
      <c r="C1039" s="32" t="s">
        <v>973</v>
      </c>
      <c r="D1039" s="32" t="s">
        <v>825</v>
      </c>
      <c r="E1039" s="33">
        <v>36</v>
      </c>
      <c r="F1039" s="33">
        <v>307</v>
      </c>
      <c r="G1039" s="33">
        <v>15</v>
      </c>
      <c r="H1039" s="13">
        <f t="shared" si="16"/>
        <v>8.5277777777777786</v>
      </c>
    </row>
    <row r="1040" spans="1:8" hidden="1" outlineLevel="2">
      <c r="A1040" s="32" t="s">
        <v>797</v>
      </c>
      <c r="B1040" s="32" t="s">
        <v>86</v>
      </c>
      <c r="C1040" s="32" t="s">
        <v>873</v>
      </c>
      <c r="D1040" s="32" t="s">
        <v>822</v>
      </c>
      <c r="E1040" s="33">
        <v>35</v>
      </c>
      <c r="F1040" s="33">
        <v>298</v>
      </c>
      <c r="G1040" s="33">
        <v>24</v>
      </c>
      <c r="H1040" s="13">
        <f t="shared" si="16"/>
        <v>8.5142857142857142</v>
      </c>
    </row>
    <row r="1041" spans="1:8" hidden="1" outlineLevel="2">
      <c r="A1041" s="32" t="s">
        <v>797</v>
      </c>
      <c r="B1041" s="32" t="s">
        <v>86</v>
      </c>
      <c r="C1041" s="32" t="s">
        <v>1042</v>
      </c>
      <c r="D1041" s="32" t="s">
        <v>920</v>
      </c>
      <c r="E1041" s="33">
        <v>30</v>
      </c>
      <c r="F1041" s="33">
        <v>254</v>
      </c>
      <c r="G1041" s="33">
        <v>26</v>
      </c>
      <c r="H1041" s="13">
        <f t="shared" si="16"/>
        <v>8.4666666666666668</v>
      </c>
    </row>
    <row r="1042" spans="1:8" hidden="1" outlineLevel="2">
      <c r="A1042" s="32" t="s">
        <v>797</v>
      </c>
      <c r="B1042" s="32" t="s">
        <v>1858</v>
      </c>
      <c r="C1042" s="32" t="s">
        <v>914</v>
      </c>
      <c r="D1042" s="32" t="s">
        <v>838</v>
      </c>
      <c r="E1042" s="33">
        <v>24</v>
      </c>
      <c r="F1042" s="33">
        <v>203</v>
      </c>
      <c r="G1042" s="33">
        <v>21</v>
      </c>
      <c r="H1042" s="13">
        <f t="shared" si="16"/>
        <v>8.4583333333333339</v>
      </c>
    </row>
    <row r="1043" spans="1:8" hidden="1" outlineLevel="2">
      <c r="A1043" s="32" t="s">
        <v>797</v>
      </c>
      <c r="B1043" s="32" t="s">
        <v>1862</v>
      </c>
      <c r="C1043" s="32" t="s">
        <v>973</v>
      </c>
      <c r="D1043" s="32" t="s">
        <v>822</v>
      </c>
      <c r="E1043" s="33">
        <v>36</v>
      </c>
      <c r="F1043" s="33">
        <v>304</v>
      </c>
      <c r="G1043" s="33">
        <v>28</v>
      </c>
      <c r="H1043" s="13">
        <f t="shared" si="16"/>
        <v>8.4444444444444446</v>
      </c>
    </row>
    <row r="1044" spans="1:8" hidden="1" outlineLevel="2">
      <c r="A1044" s="32" t="s">
        <v>797</v>
      </c>
      <c r="B1044" s="32" t="s">
        <v>1862</v>
      </c>
      <c r="C1044" s="32" t="s">
        <v>1089</v>
      </c>
      <c r="D1044" s="32" t="s">
        <v>822</v>
      </c>
      <c r="E1044" s="33">
        <v>36</v>
      </c>
      <c r="F1044" s="33">
        <v>303</v>
      </c>
      <c r="G1044" s="33">
        <v>23</v>
      </c>
      <c r="H1044" s="13">
        <f t="shared" si="16"/>
        <v>8.4166666666666661</v>
      </c>
    </row>
    <row r="1045" spans="1:8" hidden="1" outlineLevel="2">
      <c r="A1045" s="32" t="s">
        <v>797</v>
      </c>
      <c r="B1045" s="32" t="s">
        <v>1862</v>
      </c>
      <c r="C1045" s="32" t="s">
        <v>1098</v>
      </c>
      <c r="D1045" s="32" t="s">
        <v>1035</v>
      </c>
      <c r="E1045" s="33">
        <v>30</v>
      </c>
      <c r="F1045" s="33">
        <v>251</v>
      </c>
      <c r="G1045" s="33">
        <v>21</v>
      </c>
      <c r="H1045" s="13">
        <f t="shared" si="16"/>
        <v>8.3666666666666671</v>
      </c>
    </row>
    <row r="1046" spans="1:8" hidden="1" outlineLevel="2">
      <c r="A1046" s="32" t="s">
        <v>797</v>
      </c>
      <c r="B1046" s="32" t="s">
        <v>86</v>
      </c>
      <c r="C1046" s="32" t="s">
        <v>1139</v>
      </c>
      <c r="D1046" s="32" t="s">
        <v>832</v>
      </c>
      <c r="E1046" s="33">
        <v>24</v>
      </c>
      <c r="F1046" s="33">
        <v>200</v>
      </c>
      <c r="G1046" s="33">
        <v>18</v>
      </c>
      <c r="H1046" s="13">
        <f t="shared" si="16"/>
        <v>8.3333333333333339</v>
      </c>
    </row>
    <row r="1047" spans="1:8" hidden="1" outlineLevel="2">
      <c r="A1047" s="32" t="s">
        <v>797</v>
      </c>
      <c r="B1047" s="32" t="s">
        <v>1862</v>
      </c>
      <c r="C1047" s="32" t="s">
        <v>1098</v>
      </c>
      <c r="D1047" s="32" t="s">
        <v>1028</v>
      </c>
      <c r="E1047" s="33">
        <v>16</v>
      </c>
      <c r="F1047" s="33">
        <v>132</v>
      </c>
      <c r="G1047" s="33">
        <v>10</v>
      </c>
      <c r="H1047" s="13">
        <f t="shared" si="16"/>
        <v>8.25</v>
      </c>
    </row>
    <row r="1048" spans="1:8" hidden="1" outlineLevel="2">
      <c r="A1048" s="32" t="s">
        <v>797</v>
      </c>
      <c r="B1048" s="32" t="s">
        <v>1862</v>
      </c>
      <c r="C1048" s="32" t="s">
        <v>955</v>
      </c>
      <c r="D1048" s="32" t="s">
        <v>864</v>
      </c>
      <c r="E1048" s="33">
        <v>65</v>
      </c>
      <c r="F1048" s="33">
        <v>536</v>
      </c>
      <c r="G1048" s="33">
        <v>31</v>
      </c>
      <c r="H1048" s="13">
        <f t="shared" si="16"/>
        <v>8.2461538461538453</v>
      </c>
    </row>
    <row r="1049" spans="1:8" hidden="1" outlineLevel="2">
      <c r="A1049" s="32" t="s">
        <v>797</v>
      </c>
      <c r="B1049" s="32" t="s">
        <v>1858</v>
      </c>
      <c r="C1049" s="32" t="s">
        <v>882</v>
      </c>
      <c r="D1049" s="32" t="s">
        <v>849</v>
      </c>
      <c r="E1049" s="33">
        <v>22</v>
      </c>
      <c r="F1049" s="33">
        <v>180</v>
      </c>
      <c r="G1049" s="33">
        <v>20</v>
      </c>
      <c r="H1049" s="13">
        <f t="shared" si="16"/>
        <v>8.1818181818181817</v>
      </c>
    </row>
    <row r="1050" spans="1:8" hidden="1" outlineLevel="2">
      <c r="A1050" s="32" t="s">
        <v>797</v>
      </c>
      <c r="B1050" s="32" t="s">
        <v>1862</v>
      </c>
      <c r="C1050" s="32" t="s">
        <v>937</v>
      </c>
      <c r="D1050" s="32" t="s">
        <v>860</v>
      </c>
      <c r="E1050" s="33">
        <v>18</v>
      </c>
      <c r="F1050" s="33">
        <v>147</v>
      </c>
      <c r="G1050" s="33">
        <v>9</v>
      </c>
      <c r="H1050" s="13">
        <f t="shared" si="16"/>
        <v>8.1666666666666661</v>
      </c>
    </row>
    <row r="1051" spans="1:8" hidden="1" outlineLevel="2">
      <c r="A1051" s="32" t="s">
        <v>797</v>
      </c>
      <c r="B1051" s="32" t="s">
        <v>1858</v>
      </c>
      <c r="C1051" s="32" t="s">
        <v>1062</v>
      </c>
      <c r="D1051" s="32" t="s">
        <v>1096</v>
      </c>
      <c r="E1051" s="33">
        <v>15</v>
      </c>
      <c r="F1051" s="33">
        <v>121</v>
      </c>
      <c r="G1051" s="33">
        <v>12</v>
      </c>
      <c r="H1051" s="13">
        <f t="shared" si="16"/>
        <v>8.0666666666666664</v>
      </c>
    </row>
    <row r="1052" spans="1:8" hidden="1" outlineLevel="2">
      <c r="A1052" s="32" t="s">
        <v>797</v>
      </c>
      <c r="B1052" s="32" t="s">
        <v>1858</v>
      </c>
      <c r="C1052" s="32" t="s">
        <v>984</v>
      </c>
      <c r="D1052" s="32" t="s">
        <v>883</v>
      </c>
      <c r="E1052" s="33">
        <v>24</v>
      </c>
      <c r="F1052" s="33">
        <v>193</v>
      </c>
      <c r="G1052" s="33">
        <v>19</v>
      </c>
      <c r="H1052" s="13">
        <f t="shared" si="16"/>
        <v>8.0416666666666661</v>
      </c>
    </row>
    <row r="1053" spans="1:8" hidden="1" outlineLevel="2">
      <c r="A1053" s="32" t="s">
        <v>797</v>
      </c>
      <c r="B1053" s="32" t="s">
        <v>1858</v>
      </c>
      <c r="C1053" s="32" t="s">
        <v>1064</v>
      </c>
      <c r="D1053" s="32" t="s">
        <v>1065</v>
      </c>
      <c r="E1053" s="33">
        <v>28</v>
      </c>
      <c r="F1053" s="33">
        <v>223</v>
      </c>
      <c r="G1053" s="33">
        <v>18</v>
      </c>
      <c r="H1053" s="13">
        <f t="shared" si="16"/>
        <v>7.9642857142857144</v>
      </c>
    </row>
    <row r="1054" spans="1:8" hidden="1" outlineLevel="2">
      <c r="A1054" s="32" t="s">
        <v>797</v>
      </c>
      <c r="B1054" s="32" t="s">
        <v>1858</v>
      </c>
      <c r="C1054" s="32" t="s">
        <v>815</v>
      </c>
      <c r="D1054" s="32" t="s">
        <v>940</v>
      </c>
      <c r="E1054" s="33">
        <v>24</v>
      </c>
      <c r="F1054" s="33">
        <v>191</v>
      </c>
      <c r="G1054" s="33">
        <v>23</v>
      </c>
      <c r="H1054" s="13">
        <f t="shared" si="16"/>
        <v>7.958333333333333</v>
      </c>
    </row>
    <row r="1055" spans="1:8" hidden="1" outlineLevel="2">
      <c r="A1055" s="32" t="s">
        <v>797</v>
      </c>
      <c r="B1055" s="32" t="s">
        <v>1858</v>
      </c>
      <c r="C1055" s="32" t="s">
        <v>886</v>
      </c>
      <c r="D1055" s="32" t="s">
        <v>852</v>
      </c>
      <c r="E1055" s="33">
        <v>24</v>
      </c>
      <c r="F1055" s="33">
        <v>190</v>
      </c>
      <c r="G1055" s="33">
        <v>20</v>
      </c>
      <c r="H1055" s="13">
        <f t="shared" si="16"/>
        <v>7.916666666666667</v>
      </c>
    </row>
    <row r="1056" spans="1:8" hidden="1" outlineLevel="2">
      <c r="A1056" s="32" t="s">
        <v>797</v>
      </c>
      <c r="B1056" s="32" t="s">
        <v>1858</v>
      </c>
      <c r="C1056" s="32" t="s">
        <v>1063</v>
      </c>
      <c r="D1056" s="32" t="s">
        <v>891</v>
      </c>
      <c r="E1056" s="33">
        <v>28</v>
      </c>
      <c r="F1056" s="33">
        <v>221</v>
      </c>
      <c r="G1056" s="33">
        <v>23</v>
      </c>
      <c r="H1056" s="13">
        <f t="shared" si="16"/>
        <v>7.8928571428571432</v>
      </c>
    </row>
    <row r="1057" spans="1:8" hidden="1" outlineLevel="2">
      <c r="A1057" s="32" t="s">
        <v>797</v>
      </c>
      <c r="B1057" s="32" t="s">
        <v>1858</v>
      </c>
      <c r="C1057" s="32" t="s">
        <v>887</v>
      </c>
      <c r="D1057" s="32" t="s">
        <v>832</v>
      </c>
      <c r="E1057" s="33">
        <v>35</v>
      </c>
      <c r="F1057" s="33">
        <v>276</v>
      </c>
      <c r="G1057" s="33">
        <v>28</v>
      </c>
      <c r="H1057" s="13">
        <f t="shared" si="16"/>
        <v>7.8857142857142861</v>
      </c>
    </row>
    <row r="1058" spans="1:8" hidden="1" outlineLevel="2">
      <c r="A1058" s="32" t="s">
        <v>797</v>
      </c>
      <c r="B1058" s="32" t="s">
        <v>86</v>
      </c>
      <c r="C1058" s="32" t="s">
        <v>874</v>
      </c>
      <c r="D1058" s="32" t="s">
        <v>832</v>
      </c>
      <c r="E1058" s="33">
        <v>36</v>
      </c>
      <c r="F1058" s="33">
        <v>282</v>
      </c>
      <c r="G1058" s="33">
        <v>14</v>
      </c>
      <c r="H1058" s="13">
        <f t="shared" si="16"/>
        <v>7.833333333333333</v>
      </c>
    </row>
    <row r="1059" spans="1:8" hidden="1" outlineLevel="2">
      <c r="A1059" s="32" t="s">
        <v>797</v>
      </c>
      <c r="B1059" s="32" t="s">
        <v>86</v>
      </c>
      <c r="C1059" s="32" t="s">
        <v>992</v>
      </c>
      <c r="D1059" s="32" t="s">
        <v>1032</v>
      </c>
      <c r="E1059" s="33">
        <v>88</v>
      </c>
      <c r="F1059" s="33">
        <v>687</v>
      </c>
      <c r="G1059" s="33">
        <v>42</v>
      </c>
      <c r="H1059" s="13">
        <f t="shared" si="16"/>
        <v>7.8068181818181817</v>
      </c>
    </row>
    <row r="1060" spans="1:8" hidden="1" outlineLevel="2">
      <c r="A1060" s="32" t="s">
        <v>797</v>
      </c>
      <c r="B1060" s="32" t="s">
        <v>1858</v>
      </c>
      <c r="C1060" s="32" t="s">
        <v>893</v>
      </c>
      <c r="D1060" s="32" t="s">
        <v>832</v>
      </c>
      <c r="E1060" s="33">
        <v>24</v>
      </c>
      <c r="F1060" s="33">
        <v>187</v>
      </c>
      <c r="G1060" s="33">
        <v>18</v>
      </c>
      <c r="H1060" s="13">
        <f t="shared" si="16"/>
        <v>7.791666666666667</v>
      </c>
    </row>
    <row r="1061" spans="1:8" hidden="1" outlineLevel="2">
      <c r="A1061" s="32" t="s">
        <v>797</v>
      </c>
      <c r="B1061" s="32" t="s">
        <v>86</v>
      </c>
      <c r="C1061" s="32" t="s">
        <v>879</v>
      </c>
      <c r="D1061" s="32" t="s">
        <v>825</v>
      </c>
      <c r="E1061" s="33">
        <v>32</v>
      </c>
      <c r="F1061" s="33">
        <v>249</v>
      </c>
      <c r="G1061" s="33">
        <v>22</v>
      </c>
      <c r="H1061" s="13">
        <f t="shared" si="16"/>
        <v>7.78125</v>
      </c>
    </row>
    <row r="1062" spans="1:8" hidden="1" outlineLevel="2">
      <c r="A1062" s="32" t="s">
        <v>797</v>
      </c>
      <c r="B1062" s="32" t="s">
        <v>1862</v>
      </c>
      <c r="C1062" s="32" t="s">
        <v>970</v>
      </c>
      <c r="D1062" s="32" t="s">
        <v>972</v>
      </c>
      <c r="E1062" s="33">
        <v>26</v>
      </c>
      <c r="F1062" s="33">
        <v>202</v>
      </c>
      <c r="G1062" s="33">
        <v>25</v>
      </c>
      <c r="H1062" s="13">
        <f t="shared" si="16"/>
        <v>7.7692307692307692</v>
      </c>
    </row>
    <row r="1063" spans="1:8" hidden="1" outlineLevel="2">
      <c r="A1063" s="32" t="s">
        <v>797</v>
      </c>
      <c r="B1063" s="32" t="s">
        <v>1862</v>
      </c>
      <c r="C1063" s="32" t="s">
        <v>952</v>
      </c>
      <c r="D1063" s="32" t="s">
        <v>825</v>
      </c>
      <c r="E1063" s="33">
        <v>28</v>
      </c>
      <c r="F1063" s="33">
        <v>216</v>
      </c>
      <c r="G1063" s="33">
        <v>26</v>
      </c>
      <c r="H1063" s="13">
        <f t="shared" si="16"/>
        <v>7.7142857142857144</v>
      </c>
    </row>
    <row r="1064" spans="1:8" hidden="1" outlineLevel="2">
      <c r="A1064" s="32" t="s">
        <v>797</v>
      </c>
      <c r="B1064" s="32" t="s">
        <v>1858</v>
      </c>
      <c r="C1064" s="32" t="s">
        <v>909</v>
      </c>
      <c r="D1064" s="32" t="s">
        <v>838</v>
      </c>
      <c r="E1064" s="33">
        <v>23</v>
      </c>
      <c r="F1064" s="33">
        <v>177</v>
      </c>
      <c r="G1064" s="33">
        <v>13</v>
      </c>
      <c r="H1064" s="13">
        <f t="shared" si="16"/>
        <v>7.6956521739130439</v>
      </c>
    </row>
    <row r="1065" spans="1:8" hidden="1" outlineLevel="2">
      <c r="A1065" s="32" t="s">
        <v>797</v>
      </c>
      <c r="B1065" s="32" t="s">
        <v>1862</v>
      </c>
      <c r="C1065" s="32" t="s">
        <v>956</v>
      </c>
      <c r="D1065" s="32" t="s">
        <v>861</v>
      </c>
      <c r="E1065" s="33">
        <v>20</v>
      </c>
      <c r="F1065" s="33">
        <v>153</v>
      </c>
      <c r="G1065" s="33">
        <v>8</v>
      </c>
      <c r="H1065" s="13">
        <f t="shared" si="16"/>
        <v>7.65</v>
      </c>
    </row>
    <row r="1066" spans="1:8" hidden="1" outlineLevel="2">
      <c r="A1066" s="32" t="s">
        <v>797</v>
      </c>
      <c r="B1066" s="32" t="s">
        <v>1858</v>
      </c>
      <c r="C1066" s="32" t="s">
        <v>880</v>
      </c>
      <c r="D1066" s="32" t="s">
        <v>861</v>
      </c>
      <c r="E1066" s="33">
        <v>24</v>
      </c>
      <c r="F1066" s="33">
        <v>183</v>
      </c>
      <c r="G1066" s="33">
        <v>21</v>
      </c>
      <c r="H1066" s="13">
        <f t="shared" si="16"/>
        <v>7.625</v>
      </c>
    </row>
    <row r="1067" spans="1:8" hidden="1" outlineLevel="2">
      <c r="A1067" s="32" t="s">
        <v>797</v>
      </c>
      <c r="B1067" s="32" t="s">
        <v>1862</v>
      </c>
      <c r="C1067" s="32" t="s">
        <v>1192</v>
      </c>
      <c r="D1067" s="32" t="s">
        <v>823</v>
      </c>
      <c r="E1067" s="33">
        <v>50</v>
      </c>
      <c r="F1067" s="33">
        <v>372</v>
      </c>
      <c r="G1067" s="33">
        <v>43</v>
      </c>
      <c r="H1067" s="13">
        <f t="shared" si="16"/>
        <v>7.44</v>
      </c>
    </row>
    <row r="1068" spans="1:8" hidden="1" outlineLevel="2">
      <c r="A1068" s="32" t="s">
        <v>797</v>
      </c>
      <c r="B1068" s="32" t="s">
        <v>86</v>
      </c>
      <c r="C1068" s="32" t="s">
        <v>879</v>
      </c>
      <c r="D1068" s="32" t="s">
        <v>998</v>
      </c>
      <c r="E1068" s="33">
        <v>28</v>
      </c>
      <c r="F1068" s="33">
        <v>206</v>
      </c>
      <c r="G1068" s="33">
        <v>18</v>
      </c>
      <c r="H1068" s="13">
        <f t="shared" si="16"/>
        <v>7.3571428571428568</v>
      </c>
    </row>
    <row r="1069" spans="1:8" hidden="1" outlineLevel="2">
      <c r="A1069" s="32" t="s">
        <v>797</v>
      </c>
      <c r="B1069" s="32" t="s">
        <v>1862</v>
      </c>
      <c r="C1069" s="32" t="s">
        <v>1098</v>
      </c>
      <c r="D1069" s="32" t="s">
        <v>852</v>
      </c>
      <c r="E1069" s="33">
        <v>70</v>
      </c>
      <c r="F1069" s="33">
        <v>511</v>
      </c>
      <c r="G1069" s="33">
        <v>56</v>
      </c>
      <c r="H1069" s="13">
        <f t="shared" si="16"/>
        <v>7.3</v>
      </c>
    </row>
    <row r="1070" spans="1:8" hidden="1" outlineLevel="2">
      <c r="A1070" s="32" t="s">
        <v>797</v>
      </c>
      <c r="B1070" s="32" t="s">
        <v>1862</v>
      </c>
      <c r="C1070" s="32" t="s">
        <v>1080</v>
      </c>
      <c r="D1070" s="32" t="s">
        <v>878</v>
      </c>
      <c r="E1070" s="33">
        <v>39</v>
      </c>
      <c r="F1070" s="33">
        <v>284</v>
      </c>
      <c r="G1070" s="33">
        <v>35</v>
      </c>
      <c r="H1070" s="13">
        <f t="shared" si="16"/>
        <v>7.2820512820512819</v>
      </c>
    </row>
    <row r="1071" spans="1:8" hidden="1" outlineLevel="2">
      <c r="A1071" s="32" t="s">
        <v>797</v>
      </c>
      <c r="B1071" s="32" t="s">
        <v>86</v>
      </c>
      <c r="C1071" s="32" t="s">
        <v>873</v>
      </c>
      <c r="D1071" s="32" t="s">
        <v>832</v>
      </c>
      <c r="E1071" s="33">
        <v>35</v>
      </c>
      <c r="F1071" s="33">
        <v>253</v>
      </c>
      <c r="G1071" s="33">
        <v>15</v>
      </c>
      <c r="H1071" s="13">
        <f t="shared" si="16"/>
        <v>7.2285714285714286</v>
      </c>
    </row>
    <row r="1072" spans="1:8" hidden="1" outlineLevel="2">
      <c r="A1072" s="32" t="s">
        <v>797</v>
      </c>
      <c r="B1072" s="32" t="s">
        <v>1858</v>
      </c>
      <c r="C1072" s="32" t="s">
        <v>895</v>
      </c>
      <c r="D1072" s="32" t="s">
        <v>864</v>
      </c>
      <c r="E1072" s="33">
        <v>36</v>
      </c>
      <c r="F1072" s="33">
        <v>260</v>
      </c>
      <c r="G1072" s="33">
        <v>17</v>
      </c>
      <c r="H1072" s="13">
        <f t="shared" si="16"/>
        <v>7.2222222222222223</v>
      </c>
    </row>
    <row r="1073" spans="1:8" hidden="1" outlineLevel="2">
      <c r="A1073" s="32" t="s">
        <v>797</v>
      </c>
      <c r="B1073" s="32" t="s">
        <v>1858</v>
      </c>
      <c r="C1073" s="32" t="s">
        <v>939</v>
      </c>
      <c r="D1073" s="32" t="s">
        <v>836</v>
      </c>
      <c r="E1073" s="33">
        <v>28</v>
      </c>
      <c r="F1073" s="33">
        <v>202</v>
      </c>
      <c r="G1073" s="33">
        <v>27</v>
      </c>
      <c r="H1073" s="13">
        <f t="shared" si="16"/>
        <v>7.2142857142857144</v>
      </c>
    </row>
    <row r="1074" spans="1:8" hidden="1" outlineLevel="2">
      <c r="A1074" s="32" t="s">
        <v>797</v>
      </c>
      <c r="B1074" s="32" t="s">
        <v>86</v>
      </c>
      <c r="C1074" s="32" t="s">
        <v>879</v>
      </c>
      <c r="D1074" s="32" t="s">
        <v>991</v>
      </c>
      <c r="E1074" s="33">
        <v>35</v>
      </c>
      <c r="F1074" s="33">
        <v>251</v>
      </c>
      <c r="G1074" s="33">
        <v>23</v>
      </c>
      <c r="H1074" s="13">
        <f t="shared" si="16"/>
        <v>7.1714285714285717</v>
      </c>
    </row>
    <row r="1075" spans="1:8" hidden="1" outlineLevel="2">
      <c r="A1075" s="32" t="s">
        <v>797</v>
      </c>
      <c r="B1075" s="32" t="s">
        <v>1858</v>
      </c>
      <c r="C1075" s="32" t="s">
        <v>888</v>
      </c>
      <c r="D1075" s="32" t="s">
        <v>940</v>
      </c>
      <c r="E1075" s="33">
        <v>24</v>
      </c>
      <c r="F1075" s="33">
        <v>172</v>
      </c>
      <c r="G1075" s="33">
        <v>25</v>
      </c>
      <c r="H1075" s="13">
        <f t="shared" si="16"/>
        <v>7.166666666666667</v>
      </c>
    </row>
    <row r="1076" spans="1:8" hidden="1" outlineLevel="2">
      <c r="A1076" s="32" t="s">
        <v>797</v>
      </c>
      <c r="B1076" s="32" t="s">
        <v>1858</v>
      </c>
      <c r="C1076" s="32" t="s">
        <v>1173</v>
      </c>
      <c r="D1076" s="32" t="s">
        <v>853</v>
      </c>
      <c r="E1076" s="33">
        <v>25</v>
      </c>
      <c r="F1076" s="33">
        <v>178</v>
      </c>
      <c r="G1076" s="33">
        <v>26</v>
      </c>
      <c r="H1076" s="13">
        <f t="shared" si="16"/>
        <v>7.12</v>
      </c>
    </row>
    <row r="1077" spans="1:8" hidden="1" outlineLevel="2">
      <c r="A1077" s="32" t="s">
        <v>797</v>
      </c>
      <c r="B1077" s="32" t="s">
        <v>86</v>
      </c>
      <c r="C1077" s="32" t="s">
        <v>1041</v>
      </c>
      <c r="D1077" s="32" t="s">
        <v>822</v>
      </c>
      <c r="E1077" s="33">
        <v>30</v>
      </c>
      <c r="F1077" s="33">
        <v>212</v>
      </c>
      <c r="G1077" s="33">
        <v>24</v>
      </c>
      <c r="H1077" s="13">
        <f t="shared" si="16"/>
        <v>7.0666666666666664</v>
      </c>
    </row>
    <row r="1078" spans="1:8" hidden="1" outlineLevel="2">
      <c r="A1078" s="32" t="s">
        <v>797</v>
      </c>
      <c r="B1078" s="32" t="s">
        <v>1862</v>
      </c>
      <c r="C1078" s="32" t="s">
        <v>962</v>
      </c>
      <c r="D1078" s="32" t="s">
        <v>878</v>
      </c>
      <c r="E1078" s="33">
        <v>24</v>
      </c>
      <c r="F1078" s="33">
        <v>169</v>
      </c>
      <c r="G1078" s="33">
        <v>24</v>
      </c>
      <c r="H1078" s="13">
        <f t="shared" si="16"/>
        <v>7.041666666666667</v>
      </c>
    </row>
    <row r="1079" spans="1:8" hidden="1" outlineLevel="2">
      <c r="A1079" s="32" t="s">
        <v>797</v>
      </c>
      <c r="B1079" s="32" t="s">
        <v>1862</v>
      </c>
      <c r="C1079" s="32" t="s">
        <v>1099</v>
      </c>
      <c r="D1079" s="32" t="s">
        <v>940</v>
      </c>
      <c r="E1079" s="33">
        <v>24</v>
      </c>
      <c r="F1079" s="33">
        <v>169</v>
      </c>
      <c r="G1079" s="33">
        <v>24</v>
      </c>
      <c r="H1079" s="13">
        <f t="shared" si="16"/>
        <v>7.041666666666667</v>
      </c>
    </row>
    <row r="1080" spans="1:8" hidden="1" outlineLevel="2">
      <c r="A1080" s="32" t="s">
        <v>797</v>
      </c>
      <c r="B1080" s="32" t="s">
        <v>1858</v>
      </c>
      <c r="C1080" s="32" t="s">
        <v>957</v>
      </c>
      <c r="D1080" s="32" t="s">
        <v>940</v>
      </c>
      <c r="E1080" s="33">
        <v>26</v>
      </c>
      <c r="F1080" s="33">
        <v>180</v>
      </c>
      <c r="G1080" s="33">
        <v>22</v>
      </c>
      <c r="H1080" s="13">
        <f t="shared" si="16"/>
        <v>6.9230769230769234</v>
      </c>
    </row>
    <row r="1081" spans="1:8" hidden="1" outlineLevel="2">
      <c r="A1081" s="32" t="s">
        <v>797</v>
      </c>
      <c r="B1081" s="32" t="s">
        <v>1858</v>
      </c>
      <c r="C1081" s="32" t="s">
        <v>1117</v>
      </c>
      <c r="D1081" s="32" t="s">
        <v>1118</v>
      </c>
      <c r="E1081" s="33">
        <v>15</v>
      </c>
      <c r="F1081" s="33">
        <v>103</v>
      </c>
      <c r="G1081" s="33">
        <v>14</v>
      </c>
      <c r="H1081" s="13">
        <f t="shared" si="16"/>
        <v>6.8666666666666663</v>
      </c>
    </row>
    <row r="1082" spans="1:8" hidden="1" outlineLevel="2">
      <c r="A1082" s="32" t="s">
        <v>797</v>
      </c>
      <c r="B1082" s="32" t="s">
        <v>1858</v>
      </c>
      <c r="C1082" s="32" t="s">
        <v>882</v>
      </c>
      <c r="D1082" s="32" t="s">
        <v>883</v>
      </c>
      <c r="E1082" s="33">
        <v>24</v>
      </c>
      <c r="F1082" s="33">
        <v>164</v>
      </c>
      <c r="G1082" s="33">
        <v>24</v>
      </c>
      <c r="H1082" s="13">
        <f t="shared" si="16"/>
        <v>6.833333333333333</v>
      </c>
    </row>
    <row r="1083" spans="1:8" hidden="1" outlineLevel="2">
      <c r="A1083" s="32" t="s">
        <v>797</v>
      </c>
      <c r="B1083" s="32" t="s">
        <v>1858</v>
      </c>
      <c r="C1083" s="32" t="s">
        <v>889</v>
      </c>
      <c r="D1083" s="32" t="s">
        <v>822</v>
      </c>
      <c r="E1083" s="33">
        <v>24</v>
      </c>
      <c r="F1083" s="33">
        <v>164</v>
      </c>
      <c r="G1083" s="33">
        <v>24</v>
      </c>
      <c r="H1083" s="13">
        <f t="shared" si="16"/>
        <v>6.833333333333333</v>
      </c>
    </row>
    <row r="1084" spans="1:8" hidden="1" outlineLevel="2">
      <c r="A1084" s="32" t="s">
        <v>797</v>
      </c>
      <c r="B1084" s="32" t="s">
        <v>1858</v>
      </c>
      <c r="C1084" s="32" t="s">
        <v>1109</v>
      </c>
      <c r="D1084" s="32" t="s">
        <v>1110</v>
      </c>
      <c r="E1084" s="33">
        <v>18</v>
      </c>
      <c r="F1084" s="33">
        <v>123</v>
      </c>
      <c r="G1084" s="33">
        <v>17</v>
      </c>
      <c r="H1084" s="13">
        <f t="shared" si="16"/>
        <v>6.833333333333333</v>
      </c>
    </row>
    <row r="1085" spans="1:8" hidden="1" outlineLevel="2">
      <c r="A1085" s="32" t="s">
        <v>797</v>
      </c>
      <c r="B1085" s="32" t="s">
        <v>86</v>
      </c>
      <c r="C1085" s="32" t="s">
        <v>873</v>
      </c>
      <c r="D1085" s="32" t="s">
        <v>853</v>
      </c>
      <c r="E1085" s="33">
        <v>17</v>
      </c>
      <c r="F1085" s="33">
        <v>116</v>
      </c>
      <c r="G1085" s="33">
        <v>17</v>
      </c>
      <c r="H1085" s="13">
        <f t="shared" si="16"/>
        <v>6.8235294117647056</v>
      </c>
    </row>
    <row r="1086" spans="1:8" hidden="1" outlineLevel="2">
      <c r="A1086" s="32" t="s">
        <v>797</v>
      </c>
      <c r="B1086" s="32" t="s">
        <v>1858</v>
      </c>
      <c r="C1086" s="32" t="s">
        <v>926</v>
      </c>
      <c r="D1086" s="32" t="s">
        <v>883</v>
      </c>
      <c r="E1086" s="33">
        <v>26</v>
      </c>
      <c r="F1086" s="33">
        <v>176</v>
      </c>
      <c r="G1086" s="33">
        <v>26</v>
      </c>
      <c r="H1086" s="13">
        <f t="shared" si="16"/>
        <v>6.7692307692307692</v>
      </c>
    </row>
    <row r="1087" spans="1:8" hidden="1" outlineLevel="2">
      <c r="A1087" s="32" t="s">
        <v>797</v>
      </c>
      <c r="B1087" s="32" t="s">
        <v>1858</v>
      </c>
      <c r="C1087" s="32" t="s">
        <v>1165</v>
      </c>
      <c r="D1087" s="32" t="s">
        <v>928</v>
      </c>
      <c r="E1087" s="33">
        <v>60</v>
      </c>
      <c r="F1087" s="33">
        <v>406</v>
      </c>
      <c r="G1087" s="33">
        <v>43</v>
      </c>
      <c r="H1087" s="13">
        <f t="shared" si="16"/>
        <v>6.7666666666666666</v>
      </c>
    </row>
    <row r="1088" spans="1:8" hidden="1" outlineLevel="2">
      <c r="A1088" s="32" t="s">
        <v>797</v>
      </c>
      <c r="B1088" s="32" t="s">
        <v>1858</v>
      </c>
      <c r="C1088" s="32" t="s">
        <v>1165</v>
      </c>
      <c r="D1088" s="32" t="s">
        <v>1184</v>
      </c>
      <c r="E1088" s="33">
        <v>25</v>
      </c>
      <c r="F1088" s="33">
        <v>165</v>
      </c>
      <c r="G1088" s="33">
        <v>21</v>
      </c>
      <c r="H1088" s="13">
        <f t="shared" si="16"/>
        <v>6.6</v>
      </c>
    </row>
    <row r="1089" spans="1:8" hidden="1" outlineLevel="2">
      <c r="A1089" s="32" t="s">
        <v>797</v>
      </c>
      <c r="B1089" s="32" t="s">
        <v>1862</v>
      </c>
      <c r="C1089" s="32" t="s">
        <v>1098</v>
      </c>
      <c r="D1089" s="32" t="s">
        <v>971</v>
      </c>
      <c r="E1089" s="33">
        <v>30</v>
      </c>
      <c r="F1089" s="33">
        <v>197</v>
      </c>
      <c r="G1089" s="33">
        <v>17</v>
      </c>
      <c r="H1089" s="13">
        <f t="shared" si="16"/>
        <v>6.5666666666666664</v>
      </c>
    </row>
    <row r="1090" spans="1:8" hidden="1" outlineLevel="2">
      <c r="A1090" s="32" t="s">
        <v>797</v>
      </c>
      <c r="B1090" s="32" t="s">
        <v>1858</v>
      </c>
      <c r="C1090" s="32" t="s">
        <v>1147</v>
      </c>
      <c r="D1090" s="32" t="s">
        <v>822</v>
      </c>
      <c r="E1090" s="33">
        <v>36</v>
      </c>
      <c r="F1090" s="33">
        <v>235</v>
      </c>
      <c r="G1090" s="33">
        <v>32</v>
      </c>
      <c r="H1090" s="13">
        <f t="shared" ref="H1090:H1153" si="17">IFERROR(F1090/E1090,"")</f>
        <v>6.5277777777777777</v>
      </c>
    </row>
    <row r="1091" spans="1:8" hidden="1" outlineLevel="2">
      <c r="A1091" s="32" t="s">
        <v>797</v>
      </c>
      <c r="B1091" s="32" t="s">
        <v>1858</v>
      </c>
      <c r="C1091" s="32" t="s">
        <v>881</v>
      </c>
      <c r="D1091" s="32" t="s">
        <v>861</v>
      </c>
      <c r="E1091" s="33">
        <v>30</v>
      </c>
      <c r="F1091" s="33">
        <v>194</v>
      </c>
      <c r="G1091" s="33">
        <v>28</v>
      </c>
      <c r="H1091" s="13">
        <f t="shared" si="17"/>
        <v>6.4666666666666668</v>
      </c>
    </row>
    <row r="1092" spans="1:8" hidden="1" outlineLevel="2">
      <c r="A1092" s="32" t="s">
        <v>797</v>
      </c>
      <c r="B1092" s="32" t="s">
        <v>1858</v>
      </c>
      <c r="C1092" s="32" t="s">
        <v>915</v>
      </c>
      <c r="D1092" s="32" t="s">
        <v>861</v>
      </c>
      <c r="E1092" s="33">
        <v>29</v>
      </c>
      <c r="F1092" s="33">
        <v>185</v>
      </c>
      <c r="G1092" s="33">
        <v>27</v>
      </c>
      <c r="H1092" s="13">
        <f t="shared" si="17"/>
        <v>6.3793103448275863</v>
      </c>
    </row>
    <row r="1093" spans="1:8" hidden="1" outlineLevel="2">
      <c r="A1093" s="32" t="s">
        <v>797</v>
      </c>
      <c r="B1093" s="32" t="s">
        <v>1862</v>
      </c>
      <c r="C1093" s="32" t="s">
        <v>1102</v>
      </c>
      <c r="D1093" s="32" t="s">
        <v>1038</v>
      </c>
      <c r="E1093" s="33">
        <v>35</v>
      </c>
      <c r="F1093" s="33">
        <v>222</v>
      </c>
      <c r="G1093" s="33">
        <v>34</v>
      </c>
      <c r="H1093" s="13">
        <f t="shared" si="17"/>
        <v>6.3428571428571425</v>
      </c>
    </row>
    <row r="1094" spans="1:8" hidden="1" outlineLevel="2">
      <c r="A1094" s="32" t="s">
        <v>797</v>
      </c>
      <c r="B1094" s="32" t="s">
        <v>1858</v>
      </c>
      <c r="C1094" s="32" t="s">
        <v>1109</v>
      </c>
      <c r="D1094" s="32" t="s">
        <v>1120</v>
      </c>
      <c r="E1094" s="33">
        <v>17</v>
      </c>
      <c r="F1094" s="33">
        <v>107</v>
      </c>
      <c r="G1094" s="33">
        <v>11</v>
      </c>
      <c r="H1094" s="13">
        <f t="shared" si="17"/>
        <v>6.2941176470588234</v>
      </c>
    </row>
    <row r="1095" spans="1:8" hidden="1" outlineLevel="2">
      <c r="A1095" s="32" t="s">
        <v>797</v>
      </c>
      <c r="B1095" s="32" t="s">
        <v>1858</v>
      </c>
      <c r="C1095" s="32" t="s">
        <v>922</v>
      </c>
      <c r="D1095" s="32" t="s">
        <v>885</v>
      </c>
      <c r="E1095" s="33">
        <v>18</v>
      </c>
      <c r="F1095" s="33">
        <v>111</v>
      </c>
      <c r="G1095" s="33">
        <v>17</v>
      </c>
      <c r="H1095" s="13">
        <f t="shared" si="17"/>
        <v>6.166666666666667</v>
      </c>
    </row>
    <row r="1096" spans="1:8" hidden="1" outlineLevel="2">
      <c r="A1096" s="32" t="s">
        <v>797</v>
      </c>
      <c r="B1096" s="32" t="s">
        <v>1858</v>
      </c>
      <c r="C1096" s="32" t="s">
        <v>1215</v>
      </c>
      <c r="D1096" s="32" t="s">
        <v>798</v>
      </c>
      <c r="E1096" s="33">
        <v>30</v>
      </c>
      <c r="F1096" s="33">
        <v>182</v>
      </c>
      <c r="G1096" s="33">
        <v>24</v>
      </c>
      <c r="H1096" s="13">
        <f t="shared" si="17"/>
        <v>6.0666666666666664</v>
      </c>
    </row>
    <row r="1097" spans="1:8" hidden="1" outlineLevel="2">
      <c r="A1097" s="32" t="s">
        <v>797</v>
      </c>
      <c r="B1097" s="32" t="s">
        <v>1858</v>
      </c>
      <c r="C1097" s="32" t="s">
        <v>889</v>
      </c>
      <c r="D1097" s="32" t="s">
        <v>872</v>
      </c>
      <c r="E1097" s="33">
        <v>24</v>
      </c>
      <c r="F1097" s="33">
        <v>145</v>
      </c>
      <c r="G1097" s="33">
        <v>10</v>
      </c>
      <c r="H1097" s="13">
        <f t="shared" si="17"/>
        <v>6.041666666666667</v>
      </c>
    </row>
    <row r="1098" spans="1:8" hidden="1" outlineLevel="2">
      <c r="A1098" s="32" t="s">
        <v>797</v>
      </c>
      <c r="B1098" s="32" t="s">
        <v>1858</v>
      </c>
      <c r="C1098" s="32" t="s">
        <v>1223</v>
      </c>
      <c r="D1098" s="32" t="s">
        <v>878</v>
      </c>
      <c r="E1098" s="33">
        <v>26</v>
      </c>
      <c r="F1098" s="33">
        <v>156</v>
      </c>
      <c r="G1098" s="33">
        <v>23</v>
      </c>
      <c r="H1098" s="13">
        <f t="shared" si="17"/>
        <v>6</v>
      </c>
    </row>
    <row r="1099" spans="1:8" hidden="1" outlineLevel="2">
      <c r="A1099" s="32" t="s">
        <v>797</v>
      </c>
      <c r="B1099" s="32" t="s">
        <v>86</v>
      </c>
      <c r="C1099" s="32" t="s">
        <v>999</v>
      </c>
      <c r="D1099" s="32" t="s">
        <v>977</v>
      </c>
      <c r="E1099" s="33">
        <v>28</v>
      </c>
      <c r="F1099" s="33">
        <v>167</v>
      </c>
      <c r="G1099" s="33">
        <v>20</v>
      </c>
      <c r="H1099" s="13">
        <f t="shared" si="17"/>
        <v>5.9642857142857144</v>
      </c>
    </row>
    <row r="1100" spans="1:8" hidden="1" outlineLevel="2">
      <c r="A1100" s="32" t="s">
        <v>797</v>
      </c>
      <c r="B1100" s="32" t="s">
        <v>86</v>
      </c>
      <c r="C1100" s="32" t="s">
        <v>1232</v>
      </c>
      <c r="D1100" s="32" t="s">
        <v>1003</v>
      </c>
      <c r="E1100" s="33">
        <v>70</v>
      </c>
      <c r="F1100" s="33">
        <v>416</v>
      </c>
      <c r="G1100" s="33">
        <v>29</v>
      </c>
      <c r="H1100" s="13">
        <f t="shared" si="17"/>
        <v>5.9428571428571431</v>
      </c>
    </row>
    <row r="1101" spans="1:8" hidden="1" outlineLevel="2">
      <c r="A1101" s="32" t="s">
        <v>797</v>
      </c>
      <c r="B1101" s="32" t="s">
        <v>1858</v>
      </c>
      <c r="C1101" s="32" t="s">
        <v>1196</v>
      </c>
      <c r="D1101" s="32" t="s">
        <v>991</v>
      </c>
      <c r="E1101" s="33">
        <v>32</v>
      </c>
      <c r="F1101" s="33">
        <v>190</v>
      </c>
      <c r="G1101" s="33">
        <v>12</v>
      </c>
      <c r="H1101" s="13">
        <f t="shared" si="17"/>
        <v>5.9375</v>
      </c>
    </row>
    <row r="1102" spans="1:8" hidden="1" outlineLevel="2">
      <c r="A1102" s="32" t="s">
        <v>797</v>
      </c>
      <c r="B1102" s="32" t="s">
        <v>1858</v>
      </c>
      <c r="C1102" s="32" t="s">
        <v>881</v>
      </c>
      <c r="D1102" s="32" t="s">
        <v>920</v>
      </c>
      <c r="E1102" s="33">
        <v>30</v>
      </c>
      <c r="F1102" s="33">
        <v>177</v>
      </c>
      <c r="G1102" s="33">
        <v>24</v>
      </c>
      <c r="H1102" s="13">
        <f t="shared" si="17"/>
        <v>5.9</v>
      </c>
    </row>
    <row r="1103" spans="1:8" hidden="1" outlineLevel="2">
      <c r="A1103" s="32" t="s">
        <v>797</v>
      </c>
      <c r="B1103" s="32" t="s">
        <v>1858</v>
      </c>
      <c r="C1103" s="32" t="s">
        <v>1056</v>
      </c>
      <c r="D1103" s="32" t="s">
        <v>885</v>
      </c>
      <c r="E1103" s="33">
        <v>30</v>
      </c>
      <c r="F1103" s="33">
        <v>176</v>
      </c>
      <c r="G1103" s="33">
        <v>10</v>
      </c>
      <c r="H1103" s="13">
        <f t="shared" si="17"/>
        <v>5.8666666666666663</v>
      </c>
    </row>
    <row r="1104" spans="1:8" hidden="1" outlineLevel="2">
      <c r="A1104" s="32" t="s">
        <v>797</v>
      </c>
      <c r="B1104" s="32" t="s">
        <v>1858</v>
      </c>
      <c r="C1104" s="32" t="s">
        <v>1206</v>
      </c>
      <c r="D1104" s="32" t="s">
        <v>798</v>
      </c>
      <c r="E1104" s="33">
        <v>33</v>
      </c>
      <c r="F1104" s="33">
        <v>193</v>
      </c>
      <c r="G1104" s="33">
        <v>13</v>
      </c>
      <c r="H1104" s="13">
        <f t="shared" si="17"/>
        <v>5.8484848484848486</v>
      </c>
    </row>
    <row r="1105" spans="1:8" hidden="1" outlineLevel="2">
      <c r="A1105" s="32" t="s">
        <v>797</v>
      </c>
      <c r="B1105" s="32" t="s">
        <v>1858</v>
      </c>
      <c r="C1105" s="32" t="s">
        <v>1063</v>
      </c>
      <c r="D1105" s="32" t="s">
        <v>798</v>
      </c>
      <c r="E1105" s="33">
        <v>40</v>
      </c>
      <c r="F1105" s="33">
        <v>233</v>
      </c>
      <c r="G1105" s="33">
        <v>25</v>
      </c>
      <c r="H1105" s="13">
        <f t="shared" si="17"/>
        <v>5.8250000000000002</v>
      </c>
    </row>
    <row r="1106" spans="1:8" hidden="1" outlineLevel="2">
      <c r="A1106" s="32" t="s">
        <v>797</v>
      </c>
      <c r="B1106" s="32" t="s">
        <v>1862</v>
      </c>
      <c r="C1106" s="32" t="s">
        <v>1146</v>
      </c>
      <c r="D1106" s="32" t="s">
        <v>940</v>
      </c>
      <c r="E1106" s="33">
        <v>26</v>
      </c>
      <c r="F1106" s="33">
        <v>151</v>
      </c>
      <c r="G1106" s="33">
        <v>26</v>
      </c>
      <c r="H1106" s="13">
        <f t="shared" si="17"/>
        <v>5.8076923076923075</v>
      </c>
    </row>
    <row r="1107" spans="1:8" hidden="1" outlineLevel="2">
      <c r="A1107" s="32" t="s">
        <v>797</v>
      </c>
      <c r="B1107" s="32" t="s">
        <v>1858</v>
      </c>
      <c r="C1107" s="32" t="s">
        <v>1056</v>
      </c>
      <c r="D1107" s="32" t="s">
        <v>798</v>
      </c>
      <c r="E1107" s="33">
        <v>30</v>
      </c>
      <c r="F1107" s="33">
        <v>172</v>
      </c>
      <c r="G1107" s="33">
        <v>11</v>
      </c>
      <c r="H1107" s="13">
        <f t="shared" si="17"/>
        <v>5.7333333333333334</v>
      </c>
    </row>
    <row r="1108" spans="1:8" hidden="1" outlineLevel="2">
      <c r="A1108" s="32" t="s">
        <v>797</v>
      </c>
      <c r="B1108" s="32" t="s">
        <v>86</v>
      </c>
      <c r="C1108" s="32" t="s">
        <v>902</v>
      </c>
      <c r="D1108" s="32" t="s">
        <v>853</v>
      </c>
      <c r="E1108" s="33">
        <v>30</v>
      </c>
      <c r="F1108" s="33">
        <v>171</v>
      </c>
      <c r="G1108" s="33">
        <v>8</v>
      </c>
      <c r="H1108" s="13">
        <f t="shared" si="17"/>
        <v>5.7</v>
      </c>
    </row>
    <row r="1109" spans="1:8" hidden="1" outlineLevel="2">
      <c r="A1109" s="32" t="s">
        <v>797</v>
      </c>
      <c r="B1109" s="32" t="s">
        <v>1858</v>
      </c>
      <c r="C1109" s="32" t="s">
        <v>1140</v>
      </c>
      <c r="D1109" s="32" t="s">
        <v>822</v>
      </c>
      <c r="E1109" s="33">
        <v>33</v>
      </c>
      <c r="F1109" s="33">
        <v>187</v>
      </c>
      <c r="G1109" s="33">
        <v>27</v>
      </c>
      <c r="H1109" s="13">
        <f t="shared" si="17"/>
        <v>5.666666666666667</v>
      </c>
    </row>
    <row r="1110" spans="1:8" hidden="1" outlineLevel="2">
      <c r="A1110" s="32" t="s">
        <v>797</v>
      </c>
      <c r="B1110" s="32" t="s">
        <v>1858</v>
      </c>
      <c r="C1110" s="32" t="s">
        <v>886</v>
      </c>
      <c r="D1110" s="32" t="s">
        <v>1035</v>
      </c>
      <c r="E1110" s="33">
        <v>24</v>
      </c>
      <c r="F1110" s="33">
        <v>133</v>
      </c>
      <c r="G1110" s="33">
        <v>23</v>
      </c>
      <c r="H1110" s="13">
        <f t="shared" si="17"/>
        <v>5.541666666666667</v>
      </c>
    </row>
    <row r="1111" spans="1:8" hidden="1" outlineLevel="2">
      <c r="A1111" s="32" t="s">
        <v>797</v>
      </c>
      <c r="B1111" s="32" t="s">
        <v>86</v>
      </c>
      <c r="C1111" s="32" t="s">
        <v>1139</v>
      </c>
      <c r="D1111" s="32" t="s">
        <v>1003</v>
      </c>
      <c r="E1111" s="33">
        <v>74</v>
      </c>
      <c r="F1111" s="33">
        <v>406</v>
      </c>
      <c r="G1111" s="33">
        <v>78</v>
      </c>
      <c r="H1111" s="13">
        <f t="shared" si="17"/>
        <v>5.4864864864864868</v>
      </c>
    </row>
    <row r="1112" spans="1:8" hidden="1" outlineLevel="2">
      <c r="A1112" s="32" t="s">
        <v>797</v>
      </c>
      <c r="B1112" s="32" t="s">
        <v>1858</v>
      </c>
      <c r="C1112" s="32" t="s">
        <v>1140</v>
      </c>
      <c r="D1112" s="32" t="s">
        <v>823</v>
      </c>
      <c r="E1112" s="33">
        <v>35</v>
      </c>
      <c r="F1112" s="33">
        <v>189</v>
      </c>
      <c r="G1112" s="33">
        <v>34</v>
      </c>
      <c r="H1112" s="13">
        <f t="shared" si="17"/>
        <v>5.4</v>
      </c>
    </row>
    <row r="1113" spans="1:8" hidden="1" outlineLevel="2">
      <c r="A1113" s="32" t="s">
        <v>797</v>
      </c>
      <c r="B1113" s="32" t="s">
        <v>1858</v>
      </c>
      <c r="C1113" s="32" t="s">
        <v>893</v>
      </c>
      <c r="D1113" s="32" t="s">
        <v>894</v>
      </c>
      <c r="E1113" s="33">
        <v>15</v>
      </c>
      <c r="F1113" s="33">
        <v>79</v>
      </c>
      <c r="G1113" s="33">
        <v>13</v>
      </c>
      <c r="H1113" s="13">
        <f t="shared" si="17"/>
        <v>5.2666666666666666</v>
      </c>
    </row>
    <row r="1114" spans="1:8" hidden="1" outlineLevel="2">
      <c r="A1114" s="32" t="s">
        <v>797</v>
      </c>
      <c r="B1114" s="32" t="s">
        <v>1858</v>
      </c>
      <c r="C1114" s="32" t="s">
        <v>1165</v>
      </c>
      <c r="D1114" s="32" t="s">
        <v>1159</v>
      </c>
      <c r="E1114" s="33">
        <v>30</v>
      </c>
      <c r="F1114" s="33">
        <v>155</v>
      </c>
      <c r="G1114" s="33">
        <v>15</v>
      </c>
      <c r="H1114" s="13">
        <f t="shared" si="17"/>
        <v>5.166666666666667</v>
      </c>
    </row>
    <row r="1115" spans="1:8" hidden="1" outlineLevel="2">
      <c r="A1115" s="32" t="s">
        <v>797</v>
      </c>
      <c r="B1115" s="32" t="s">
        <v>86</v>
      </c>
      <c r="C1115" s="32" t="s">
        <v>879</v>
      </c>
      <c r="D1115" s="32" t="s">
        <v>832</v>
      </c>
      <c r="E1115" s="33">
        <v>32</v>
      </c>
      <c r="F1115" s="33">
        <v>164</v>
      </c>
      <c r="G1115" s="33">
        <v>21</v>
      </c>
      <c r="H1115" s="13">
        <f t="shared" si="17"/>
        <v>5.125</v>
      </c>
    </row>
    <row r="1116" spans="1:8" hidden="1" outlineLevel="2">
      <c r="A1116" s="32" t="s">
        <v>797</v>
      </c>
      <c r="B1116" s="32" t="s">
        <v>1858</v>
      </c>
      <c r="C1116" s="32" t="s">
        <v>1056</v>
      </c>
      <c r="D1116" s="32" t="s">
        <v>819</v>
      </c>
      <c r="E1116" s="33">
        <v>30</v>
      </c>
      <c r="F1116" s="33">
        <v>153</v>
      </c>
      <c r="G1116" s="33">
        <v>10</v>
      </c>
      <c r="H1116" s="13">
        <f t="shared" si="17"/>
        <v>5.0999999999999996</v>
      </c>
    </row>
    <row r="1117" spans="1:8" hidden="1" outlineLevel="2">
      <c r="A1117" s="32" t="s">
        <v>797</v>
      </c>
      <c r="B1117" s="32" t="s">
        <v>86</v>
      </c>
      <c r="C1117" s="32" t="s">
        <v>1172</v>
      </c>
      <c r="D1117" s="32" t="s">
        <v>823</v>
      </c>
      <c r="E1117" s="33">
        <v>120</v>
      </c>
      <c r="F1117" s="33">
        <v>579</v>
      </c>
      <c r="G1117" s="33">
        <v>77</v>
      </c>
      <c r="H1117" s="13">
        <f t="shared" si="17"/>
        <v>4.8250000000000002</v>
      </c>
    </row>
    <row r="1118" spans="1:8" hidden="1" outlineLevel="2">
      <c r="A1118" s="32" t="s">
        <v>797</v>
      </c>
      <c r="B1118" s="32" t="s">
        <v>1858</v>
      </c>
      <c r="C1118" s="32" t="s">
        <v>1048</v>
      </c>
      <c r="D1118" s="32" t="s">
        <v>825</v>
      </c>
      <c r="E1118" s="33">
        <v>35</v>
      </c>
      <c r="F1118" s="33">
        <v>168</v>
      </c>
      <c r="G1118" s="33">
        <v>31</v>
      </c>
      <c r="H1118" s="13">
        <f t="shared" si="17"/>
        <v>4.8</v>
      </c>
    </row>
    <row r="1119" spans="1:8" hidden="1" outlineLevel="2">
      <c r="A1119" s="32" t="s">
        <v>797</v>
      </c>
      <c r="B1119" s="32" t="s">
        <v>86</v>
      </c>
      <c r="C1119" s="32" t="s">
        <v>1040</v>
      </c>
      <c r="D1119" s="32" t="s">
        <v>940</v>
      </c>
      <c r="E1119" s="33">
        <v>34</v>
      </c>
      <c r="F1119" s="33">
        <v>150</v>
      </c>
      <c r="G1119" s="33">
        <v>26</v>
      </c>
      <c r="H1119" s="13">
        <f t="shared" si="17"/>
        <v>4.4117647058823533</v>
      </c>
    </row>
    <row r="1120" spans="1:8" hidden="1" outlineLevel="2">
      <c r="A1120" s="32" t="s">
        <v>797</v>
      </c>
      <c r="B1120" s="32" t="s">
        <v>86</v>
      </c>
      <c r="C1120" s="32" t="s">
        <v>873</v>
      </c>
      <c r="D1120" s="32" t="s">
        <v>878</v>
      </c>
      <c r="E1120" s="33">
        <v>52</v>
      </c>
      <c r="F1120" s="33">
        <v>220</v>
      </c>
      <c r="G1120" s="33">
        <v>35</v>
      </c>
      <c r="H1120" s="13">
        <f t="shared" si="17"/>
        <v>4.2307692307692308</v>
      </c>
    </row>
    <row r="1121" spans="1:8" hidden="1" outlineLevel="2">
      <c r="A1121" s="32" t="s">
        <v>797</v>
      </c>
      <c r="B1121" s="32" t="s">
        <v>1858</v>
      </c>
      <c r="C1121" s="32" t="s">
        <v>1055</v>
      </c>
      <c r="D1121" s="32" t="s">
        <v>878</v>
      </c>
      <c r="E1121" s="33">
        <v>60</v>
      </c>
      <c r="F1121" s="33">
        <v>241</v>
      </c>
      <c r="G1121" s="33">
        <v>57</v>
      </c>
      <c r="H1121" s="13">
        <f t="shared" si="17"/>
        <v>4.0166666666666666</v>
      </c>
    </row>
    <row r="1122" spans="1:8" hidden="1" outlineLevel="2">
      <c r="A1122" s="32" t="s">
        <v>797</v>
      </c>
      <c r="B1122" s="32" t="s">
        <v>1858</v>
      </c>
      <c r="C1122" s="32" t="s">
        <v>1063</v>
      </c>
      <c r="D1122" s="32" t="s">
        <v>844</v>
      </c>
      <c r="E1122" s="33">
        <v>32</v>
      </c>
      <c r="F1122" s="33">
        <v>128</v>
      </c>
      <c r="G1122" s="33">
        <v>20</v>
      </c>
      <c r="H1122" s="13">
        <f t="shared" si="17"/>
        <v>4</v>
      </c>
    </row>
    <row r="1123" spans="1:8" hidden="1" outlineLevel="2">
      <c r="A1123" s="32" t="s">
        <v>797</v>
      </c>
      <c r="B1123" s="32" t="s">
        <v>1858</v>
      </c>
      <c r="C1123" s="32" t="s">
        <v>1050</v>
      </c>
      <c r="D1123" s="32" t="s">
        <v>878</v>
      </c>
      <c r="E1123" s="33">
        <v>24</v>
      </c>
      <c r="F1123" s="33">
        <v>86</v>
      </c>
      <c r="G1123" s="33">
        <v>19</v>
      </c>
      <c r="H1123" s="13">
        <f t="shared" si="17"/>
        <v>3.5833333333333335</v>
      </c>
    </row>
    <row r="1124" spans="1:8" hidden="1" outlineLevel="2">
      <c r="A1124" s="32" t="s">
        <v>797</v>
      </c>
      <c r="B1124" s="32" t="s">
        <v>1862</v>
      </c>
      <c r="C1124" s="32" t="s">
        <v>1081</v>
      </c>
      <c r="D1124" s="32" t="s">
        <v>1019</v>
      </c>
      <c r="E1124" s="33">
        <v>45</v>
      </c>
      <c r="F1124" s="33">
        <v>151</v>
      </c>
      <c r="G1124" s="33">
        <v>37</v>
      </c>
      <c r="H1124" s="13">
        <f t="shared" si="17"/>
        <v>3.3555555555555556</v>
      </c>
    </row>
    <row r="1125" spans="1:8" hidden="1" outlineLevel="2">
      <c r="A1125" s="32" t="s">
        <v>797</v>
      </c>
      <c r="B1125" s="32" t="s">
        <v>1858</v>
      </c>
      <c r="C1125" s="32" t="s">
        <v>895</v>
      </c>
      <c r="D1125" s="32" t="s">
        <v>896</v>
      </c>
      <c r="E1125" s="33">
        <v>36</v>
      </c>
      <c r="F1125" s="33">
        <v>111</v>
      </c>
      <c r="G1125" s="33">
        <v>6</v>
      </c>
      <c r="H1125" s="13">
        <f t="shared" si="17"/>
        <v>3.0833333333333335</v>
      </c>
    </row>
    <row r="1126" spans="1:8" hidden="1" outlineLevel="2">
      <c r="A1126" s="32" t="s">
        <v>797</v>
      </c>
      <c r="B1126" s="32" t="s">
        <v>1858</v>
      </c>
      <c r="C1126" s="32" t="s">
        <v>922</v>
      </c>
      <c r="D1126" s="32" t="s">
        <v>923</v>
      </c>
      <c r="E1126" s="33">
        <v>96</v>
      </c>
      <c r="F1126" s="33">
        <v>284</v>
      </c>
      <c r="G1126" s="33">
        <v>52</v>
      </c>
      <c r="H1126" s="13">
        <f t="shared" si="17"/>
        <v>2.9583333333333335</v>
      </c>
    </row>
    <row r="1127" spans="1:8" hidden="1" outlineLevel="2">
      <c r="A1127" s="32" t="s">
        <v>797</v>
      </c>
      <c r="B1127" s="32" t="s">
        <v>1858</v>
      </c>
      <c r="C1127" s="32" t="s">
        <v>1112</v>
      </c>
      <c r="D1127" s="32" t="s">
        <v>1113</v>
      </c>
      <c r="E1127" s="33">
        <v>42</v>
      </c>
      <c r="F1127" s="33">
        <v>114</v>
      </c>
      <c r="G1127" s="33">
        <v>23</v>
      </c>
      <c r="H1127" s="13">
        <f t="shared" si="17"/>
        <v>2.7142857142857144</v>
      </c>
    </row>
    <row r="1128" spans="1:8" hidden="1" outlineLevel="2">
      <c r="A1128" s="32" t="s">
        <v>797</v>
      </c>
      <c r="B1128" s="32" t="s">
        <v>1858</v>
      </c>
      <c r="C1128" s="32" t="s">
        <v>880</v>
      </c>
      <c r="D1128" s="32" t="s">
        <v>838</v>
      </c>
      <c r="E1128" s="33">
        <v>24</v>
      </c>
      <c r="F1128" s="33">
        <v>64</v>
      </c>
      <c r="G1128" s="33">
        <v>11</v>
      </c>
      <c r="H1128" s="13">
        <f t="shared" si="17"/>
        <v>2.6666666666666665</v>
      </c>
    </row>
    <row r="1129" spans="1:8" hidden="1" outlineLevel="2">
      <c r="A1129" s="32" t="s">
        <v>797</v>
      </c>
      <c r="B1129" s="32" t="s">
        <v>1862</v>
      </c>
      <c r="C1129" s="32" t="s">
        <v>1081</v>
      </c>
      <c r="D1129" s="32" t="s">
        <v>853</v>
      </c>
      <c r="E1129" s="33">
        <v>45</v>
      </c>
      <c r="F1129" s="33">
        <v>116</v>
      </c>
      <c r="G1129" s="33">
        <v>34</v>
      </c>
      <c r="H1129" s="13">
        <f t="shared" si="17"/>
        <v>2.5777777777777779</v>
      </c>
    </row>
    <row r="1130" spans="1:8" hidden="1" outlineLevel="2">
      <c r="A1130" s="32" t="s">
        <v>797</v>
      </c>
      <c r="B1130" s="32" t="s">
        <v>1858</v>
      </c>
      <c r="C1130" s="32" t="s">
        <v>1147</v>
      </c>
      <c r="D1130" s="32" t="s">
        <v>878</v>
      </c>
      <c r="E1130" s="33">
        <v>36</v>
      </c>
      <c r="F1130" s="33">
        <v>59</v>
      </c>
      <c r="G1130" s="33">
        <v>20</v>
      </c>
      <c r="H1130" s="13">
        <f t="shared" si="17"/>
        <v>1.6388888888888888</v>
      </c>
    </row>
    <row r="1131" spans="1:8" hidden="1" outlineLevel="2">
      <c r="A1131" s="32" t="s">
        <v>797</v>
      </c>
      <c r="B1131" s="32" t="s">
        <v>1858</v>
      </c>
      <c r="C1131" s="32" t="s">
        <v>1112</v>
      </c>
      <c r="D1131" s="32" t="s">
        <v>1210</v>
      </c>
      <c r="E1131" s="33">
        <v>42</v>
      </c>
      <c r="F1131" s="33">
        <v>54</v>
      </c>
      <c r="G1131" s="33">
        <v>15</v>
      </c>
      <c r="H1131" s="13">
        <f t="shared" si="17"/>
        <v>1.2857142857142858</v>
      </c>
    </row>
    <row r="1132" spans="1:8" outlineLevel="1" collapsed="1">
      <c r="A1132" s="37" t="s">
        <v>1877</v>
      </c>
      <c r="B1132" s="37"/>
      <c r="C1132" s="37"/>
      <c r="D1132" s="37"/>
      <c r="E1132" s="38">
        <f>SUBTOTAL(9,E405:E1131)</f>
        <v>23445</v>
      </c>
      <c r="F1132" s="38">
        <f>SUBTOTAL(9,F405:F1131)</f>
        <v>676730</v>
      </c>
      <c r="G1132" s="38">
        <f>SUBTOTAL(9,G405:G1131)</f>
        <v>20665</v>
      </c>
      <c r="H1132" s="39">
        <f t="shared" si="17"/>
        <v>28.864576668799316</v>
      </c>
    </row>
    <row r="1133" spans="1:8" hidden="1" outlineLevel="2">
      <c r="A1133" s="32" t="s">
        <v>95</v>
      </c>
      <c r="B1133" s="32" t="s">
        <v>1862</v>
      </c>
      <c r="C1133" s="32" t="s">
        <v>93</v>
      </c>
      <c r="D1133" s="32" t="s">
        <v>263</v>
      </c>
      <c r="E1133" s="33">
        <v>50</v>
      </c>
      <c r="F1133" s="33">
        <v>6294</v>
      </c>
      <c r="G1133" s="33">
        <v>54</v>
      </c>
      <c r="H1133" s="13">
        <f t="shared" si="17"/>
        <v>125.88</v>
      </c>
    </row>
    <row r="1134" spans="1:8" hidden="1" outlineLevel="2">
      <c r="A1134" s="32" t="s">
        <v>95</v>
      </c>
      <c r="B1134" s="32" t="s">
        <v>1862</v>
      </c>
      <c r="C1134" s="32" t="s">
        <v>278</v>
      </c>
      <c r="D1134" s="32" t="s">
        <v>263</v>
      </c>
      <c r="E1134" s="33">
        <v>90</v>
      </c>
      <c r="F1134" s="33">
        <v>9291</v>
      </c>
      <c r="G1134" s="33">
        <v>102</v>
      </c>
      <c r="H1134" s="13">
        <f t="shared" si="17"/>
        <v>103.23333333333333</v>
      </c>
    </row>
    <row r="1135" spans="1:8" hidden="1" outlineLevel="2">
      <c r="A1135" s="32" t="s">
        <v>95</v>
      </c>
      <c r="B1135" s="32" t="s">
        <v>1862</v>
      </c>
      <c r="C1135" s="32" t="s">
        <v>270</v>
      </c>
      <c r="D1135" s="32" t="s">
        <v>263</v>
      </c>
      <c r="E1135" s="33">
        <v>112</v>
      </c>
      <c r="F1135" s="33">
        <v>11402</v>
      </c>
      <c r="G1135" s="33">
        <v>111</v>
      </c>
      <c r="H1135" s="13">
        <f t="shared" si="17"/>
        <v>101.80357142857143</v>
      </c>
    </row>
    <row r="1136" spans="1:8" hidden="1" outlineLevel="2">
      <c r="A1136" s="32" t="s">
        <v>95</v>
      </c>
      <c r="B1136" s="32" t="s">
        <v>1858</v>
      </c>
      <c r="C1136" s="32" t="s">
        <v>516</v>
      </c>
      <c r="D1136" s="32" t="s">
        <v>194</v>
      </c>
      <c r="E1136" s="33">
        <v>45</v>
      </c>
      <c r="F1136" s="33">
        <v>4558</v>
      </c>
      <c r="G1136" s="33">
        <v>45</v>
      </c>
      <c r="H1136" s="13">
        <f t="shared" si="17"/>
        <v>101.28888888888889</v>
      </c>
    </row>
    <row r="1137" spans="1:8" hidden="1" outlineLevel="2">
      <c r="A1137" s="32" t="s">
        <v>95</v>
      </c>
      <c r="B1137" s="32" t="s">
        <v>86</v>
      </c>
      <c r="C1137" s="32" t="s">
        <v>193</v>
      </c>
      <c r="D1137" s="32" t="s">
        <v>691</v>
      </c>
      <c r="E1137" s="33">
        <v>28</v>
      </c>
      <c r="F1137" s="33">
        <v>2735</v>
      </c>
      <c r="G1137" s="33">
        <v>28</v>
      </c>
      <c r="H1137" s="13">
        <f t="shared" si="17"/>
        <v>97.678571428571431</v>
      </c>
    </row>
    <row r="1138" spans="1:8" hidden="1" outlineLevel="2">
      <c r="A1138" s="32" t="s">
        <v>95</v>
      </c>
      <c r="B1138" s="32" t="s">
        <v>1862</v>
      </c>
      <c r="C1138" s="32" t="s">
        <v>267</v>
      </c>
      <c r="D1138" s="32" t="s">
        <v>263</v>
      </c>
      <c r="E1138" s="33">
        <v>60</v>
      </c>
      <c r="F1138" s="33">
        <v>5702</v>
      </c>
      <c r="G1138" s="33">
        <v>57</v>
      </c>
      <c r="H1138" s="13">
        <f t="shared" si="17"/>
        <v>95.033333333333331</v>
      </c>
    </row>
    <row r="1139" spans="1:8" hidden="1" outlineLevel="2">
      <c r="A1139" s="32" t="s">
        <v>95</v>
      </c>
      <c r="B1139" s="32" t="s">
        <v>1858</v>
      </c>
      <c r="C1139" s="32" t="s">
        <v>541</v>
      </c>
      <c r="D1139" s="32" t="s">
        <v>96</v>
      </c>
      <c r="E1139" s="33">
        <v>39</v>
      </c>
      <c r="F1139" s="33">
        <v>3376</v>
      </c>
      <c r="G1139" s="33">
        <v>38</v>
      </c>
      <c r="H1139" s="13">
        <f t="shared" si="17"/>
        <v>86.564102564102569</v>
      </c>
    </row>
    <row r="1140" spans="1:8" hidden="1" outlineLevel="2">
      <c r="A1140" s="32" t="s">
        <v>95</v>
      </c>
      <c r="B1140" s="32" t="s">
        <v>1862</v>
      </c>
      <c r="C1140" s="32" t="s">
        <v>270</v>
      </c>
      <c r="D1140" s="32" t="s">
        <v>207</v>
      </c>
      <c r="E1140" s="33">
        <v>50</v>
      </c>
      <c r="F1140" s="33">
        <v>4230</v>
      </c>
      <c r="G1140" s="33">
        <v>52</v>
      </c>
      <c r="H1140" s="13">
        <f t="shared" si="17"/>
        <v>84.6</v>
      </c>
    </row>
    <row r="1141" spans="1:8" hidden="1" outlineLevel="2">
      <c r="A1141" s="32" t="s">
        <v>95</v>
      </c>
      <c r="B1141" s="32" t="s">
        <v>1862</v>
      </c>
      <c r="C1141" s="32" t="s">
        <v>93</v>
      </c>
      <c r="D1141" s="32" t="s">
        <v>96</v>
      </c>
      <c r="E1141" s="33">
        <v>84</v>
      </c>
      <c r="F1141" s="33">
        <v>7012</v>
      </c>
      <c r="G1141" s="33">
        <v>85</v>
      </c>
      <c r="H1141" s="13">
        <f t="shared" si="17"/>
        <v>83.476190476190482</v>
      </c>
    </row>
    <row r="1142" spans="1:8" hidden="1" outlineLevel="2">
      <c r="A1142" s="32" t="s">
        <v>95</v>
      </c>
      <c r="B1142" s="32" t="s">
        <v>1862</v>
      </c>
      <c r="C1142" s="32" t="s">
        <v>270</v>
      </c>
      <c r="D1142" s="32" t="s">
        <v>282</v>
      </c>
      <c r="E1142" s="33">
        <v>28</v>
      </c>
      <c r="F1142" s="33">
        <v>2320</v>
      </c>
      <c r="G1142" s="33">
        <v>28</v>
      </c>
      <c r="H1142" s="13">
        <f t="shared" si="17"/>
        <v>82.857142857142861</v>
      </c>
    </row>
    <row r="1143" spans="1:8" hidden="1" outlineLevel="2">
      <c r="A1143" s="32" t="s">
        <v>95</v>
      </c>
      <c r="B1143" s="32" t="s">
        <v>1862</v>
      </c>
      <c r="C1143" s="32" t="s">
        <v>264</v>
      </c>
      <c r="D1143" s="32" t="s">
        <v>263</v>
      </c>
      <c r="E1143" s="33">
        <v>140</v>
      </c>
      <c r="F1143" s="33">
        <v>11529</v>
      </c>
      <c r="G1143" s="33">
        <v>139</v>
      </c>
      <c r="H1143" s="13">
        <f t="shared" si="17"/>
        <v>82.35</v>
      </c>
    </row>
    <row r="1144" spans="1:8" hidden="1" outlineLevel="2">
      <c r="A1144" s="32" t="s">
        <v>95</v>
      </c>
      <c r="B1144" s="32" t="s">
        <v>1862</v>
      </c>
      <c r="C1144" s="32" t="s">
        <v>277</v>
      </c>
      <c r="D1144" s="32" t="s">
        <v>282</v>
      </c>
      <c r="E1144" s="33">
        <v>52</v>
      </c>
      <c r="F1144" s="33">
        <v>3938</v>
      </c>
      <c r="G1144" s="33">
        <v>52</v>
      </c>
      <c r="H1144" s="13">
        <f t="shared" si="17"/>
        <v>75.730769230769226</v>
      </c>
    </row>
    <row r="1145" spans="1:8" hidden="1" outlineLevel="2">
      <c r="A1145" s="32" t="s">
        <v>95</v>
      </c>
      <c r="B1145" s="32" t="s">
        <v>1862</v>
      </c>
      <c r="C1145" s="32" t="s">
        <v>278</v>
      </c>
      <c r="D1145" s="32" t="s">
        <v>194</v>
      </c>
      <c r="E1145" s="33">
        <v>90</v>
      </c>
      <c r="F1145" s="33">
        <v>6804</v>
      </c>
      <c r="G1145" s="33">
        <v>93</v>
      </c>
      <c r="H1145" s="13">
        <f t="shared" si="17"/>
        <v>75.599999999999994</v>
      </c>
    </row>
    <row r="1146" spans="1:8" hidden="1" outlineLevel="2">
      <c r="A1146" s="32" t="s">
        <v>95</v>
      </c>
      <c r="B1146" s="32" t="s">
        <v>86</v>
      </c>
      <c r="C1146" s="32" t="s">
        <v>193</v>
      </c>
      <c r="D1146" s="32" t="s">
        <v>263</v>
      </c>
      <c r="E1146" s="33">
        <v>168</v>
      </c>
      <c r="F1146" s="33">
        <v>11844</v>
      </c>
      <c r="G1146" s="33">
        <v>178</v>
      </c>
      <c r="H1146" s="13">
        <f t="shared" si="17"/>
        <v>70.5</v>
      </c>
    </row>
    <row r="1147" spans="1:8" hidden="1" outlineLevel="2">
      <c r="A1147" s="32" t="s">
        <v>95</v>
      </c>
      <c r="B1147" s="32" t="s">
        <v>86</v>
      </c>
      <c r="C1147" s="32" t="s">
        <v>193</v>
      </c>
      <c r="D1147" s="32" t="s">
        <v>96</v>
      </c>
      <c r="E1147" s="33">
        <v>168</v>
      </c>
      <c r="F1147" s="33">
        <v>11678</v>
      </c>
      <c r="G1147" s="33">
        <v>172</v>
      </c>
      <c r="H1147" s="13">
        <f t="shared" si="17"/>
        <v>69.511904761904759</v>
      </c>
    </row>
    <row r="1148" spans="1:8" hidden="1" outlineLevel="2">
      <c r="A1148" s="32" t="s">
        <v>95</v>
      </c>
      <c r="B1148" s="32" t="s">
        <v>1862</v>
      </c>
      <c r="C1148" s="32" t="s">
        <v>261</v>
      </c>
      <c r="D1148" s="32" t="s">
        <v>263</v>
      </c>
      <c r="E1148" s="33">
        <v>170</v>
      </c>
      <c r="F1148" s="33">
        <v>11627</v>
      </c>
      <c r="G1148" s="33">
        <v>171</v>
      </c>
      <c r="H1148" s="13">
        <f t="shared" si="17"/>
        <v>68.39411764705882</v>
      </c>
    </row>
    <row r="1149" spans="1:8" hidden="1" outlineLevel="2">
      <c r="A1149" s="32" t="s">
        <v>95</v>
      </c>
      <c r="B1149" s="32" t="s">
        <v>1858</v>
      </c>
      <c r="C1149" s="32" t="s">
        <v>287</v>
      </c>
      <c r="D1149" s="32" t="s">
        <v>96</v>
      </c>
      <c r="E1149" s="33">
        <v>90</v>
      </c>
      <c r="F1149" s="33">
        <v>6050</v>
      </c>
      <c r="G1149" s="33">
        <v>83</v>
      </c>
      <c r="H1149" s="13">
        <f t="shared" si="17"/>
        <v>67.222222222222229</v>
      </c>
    </row>
    <row r="1150" spans="1:8" hidden="1" outlineLevel="2">
      <c r="A1150" s="32" t="s">
        <v>95</v>
      </c>
      <c r="B1150" s="32" t="s">
        <v>1862</v>
      </c>
      <c r="C1150" s="32" t="s">
        <v>160</v>
      </c>
      <c r="D1150" s="32" t="s">
        <v>553</v>
      </c>
      <c r="E1150" s="33">
        <v>76</v>
      </c>
      <c r="F1150" s="33">
        <v>4972</v>
      </c>
      <c r="G1150" s="33">
        <v>76</v>
      </c>
      <c r="H1150" s="13">
        <f t="shared" si="17"/>
        <v>65.421052631578945</v>
      </c>
    </row>
    <row r="1151" spans="1:8" hidden="1" outlineLevel="2">
      <c r="A1151" s="32" t="s">
        <v>95</v>
      </c>
      <c r="B1151" s="32" t="s">
        <v>1862</v>
      </c>
      <c r="C1151" s="32" t="s">
        <v>277</v>
      </c>
      <c r="D1151" s="32" t="s">
        <v>96</v>
      </c>
      <c r="E1151" s="33">
        <v>112</v>
      </c>
      <c r="F1151" s="33">
        <v>7101</v>
      </c>
      <c r="G1151" s="33">
        <v>118</v>
      </c>
      <c r="H1151" s="13">
        <f t="shared" si="17"/>
        <v>63.401785714285715</v>
      </c>
    </row>
    <row r="1152" spans="1:8" hidden="1" outlineLevel="2">
      <c r="A1152" s="32" t="s">
        <v>95</v>
      </c>
      <c r="B1152" s="32" t="s">
        <v>1862</v>
      </c>
      <c r="C1152" s="32" t="s">
        <v>261</v>
      </c>
      <c r="D1152" s="32" t="s">
        <v>96</v>
      </c>
      <c r="E1152" s="33">
        <v>186</v>
      </c>
      <c r="F1152" s="33">
        <v>11372</v>
      </c>
      <c r="G1152" s="33">
        <v>186</v>
      </c>
      <c r="H1152" s="13">
        <f t="shared" si="17"/>
        <v>61.13978494623656</v>
      </c>
    </row>
    <row r="1153" spans="1:8" hidden="1" outlineLevel="2">
      <c r="A1153" s="32" t="s">
        <v>95</v>
      </c>
      <c r="B1153" s="32" t="s">
        <v>1862</v>
      </c>
      <c r="C1153" s="32" t="s">
        <v>264</v>
      </c>
      <c r="D1153" s="32" t="s">
        <v>194</v>
      </c>
      <c r="E1153" s="33">
        <v>104</v>
      </c>
      <c r="F1153" s="33">
        <v>6353</v>
      </c>
      <c r="G1153" s="33">
        <v>104</v>
      </c>
      <c r="H1153" s="13">
        <f t="shared" si="17"/>
        <v>61.08653846153846</v>
      </c>
    </row>
    <row r="1154" spans="1:8" hidden="1" outlineLevel="2">
      <c r="A1154" s="32" t="s">
        <v>95</v>
      </c>
      <c r="B1154" s="32" t="s">
        <v>1862</v>
      </c>
      <c r="C1154" s="32" t="s">
        <v>160</v>
      </c>
      <c r="D1154" s="32" t="s">
        <v>194</v>
      </c>
      <c r="E1154" s="33">
        <v>88</v>
      </c>
      <c r="F1154" s="33">
        <v>5019</v>
      </c>
      <c r="G1154" s="33">
        <v>86</v>
      </c>
      <c r="H1154" s="13">
        <f t="shared" ref="H1154:H1217" si="18">IFERROR(F1154/E1154,"")</f>
        <v>57.034090909090907</v>
      </c>
    </row>
    <row r="1155" spans="1:8" hidden="1" outlineLevel="2">
      <c r="A1155" s="32" t="s">
        <v>95</v>
      </c>
      <c r="B1155" s="32" t="s">
        <v>1858</v>
      </c>
      <c r="C1155" s="32" t="s">
        <v>516</v>
      </c>
      <c r="D1155" s="32" t="s">
        <v>207</v>
      </c>
      <c r="E1155" s="33">
        <v>52</v>
      </c>
      <c r="F1155" s="33">
        <v>2891</v>
      </c>
      <c r="G1155" s="33">
        <v>55</v>
      </c>
      <c r="H1155" s="13">
        <f t="shared" si="18"/>
        <v>55.596153846153847</v>
      </c>
    </row>
    <row r="1156" spans="1:8" hidden="1" outlineLevel="2">
      <c r="A1156" s="32" t="s">
        <v>95</v>
      </c>
      <c r="B1156" s="32" t="s">
        <v>86</v>
      </c>
      <c r="C1156" s="32" t="s">
        <v>193</v>
      </c>
      <c r="D1156" s="32" t="s">
        <v>515</v>
      </c>
      <c r="E1156" s="33">
        <v>56</v>
      </c>
      <c r="F1156" s="33">
        <v>3112</v>
      </c>
      <c r="G1156" s="33">
        <v>56</v>
      </c>
      <c r="H1156" s="13">
        <f t="shared" si="18"/>
        <v>55.571428571428569</v>
      </c>
    </row>
    <row r="1157" spans="1:8" hidden="1" outlineLevel="2">
      <c r="A1157" s="32" t="s">
        <v>95</v>
      </c>
      <c r="B1157" s="32" t="s">
        <v>1862</v>
      </c>
      <c r="C1157" s="32" t="s">
        <v>549</v>
      </c>
      <c r="D1157" s="32" t="s">
        <v>96</v>
      </c>
      <c r="E1157" s="33">
        <v>265</v>
      </c>
      <c r="F1157" s="33">
        <v>14574</v>
      </c>
      <c r="G1157" s="33">
        <v>261</v>
      </c>
      <c r="H1157" s="13">
        <f t="shared" si="18"/>
        <v>54.996226415094341</v>
      </c>
    </row>
    <row r="1158" spans="1:8" hidden="1" outlineLevel="2">
      <c r="A1158" s="32" t="s">
        <v>95</v>
      </c>
      <c r="B1158" s="32" t="s">
        <v>1862</v>
      </c>
      <c r="C1158" s="32" t="s">
        <v>277</v>
      </c>
      <c r="D1158" s="32" t="s">
        <v>635</v>
      </c>
      <c r="E1158" s="33">
        <v>26</v>
      </c>
      <c r="F1158" s="33">
        <v>1385</v>
      </c>
      <c r="G1158" s="33">
        <v>24</v>
      </c>
      <c r="H1158" s="13">
        <f t="shared" si="18"/>
        <v>53.269230769230766</v>
      </c>
    </row>
    <row r="1159" spans="1:8" hidden="1" outlineLevel="2">
      <c r="A1159" s="32" t="s">
        <v>95</v>
      </c>
      <c r="B1159" s="32" t="s">
        <v>1858</v>
      </c>
      <c r="C1159" s="32" t="s">
        <v>206</v>
      </c>
      <c r="D1159" s="32" t="s">
        <v>194</v>
      </c>
      <c r="E1159" s="33">
        <v>76</v>
      </c>
      <c r="F1159" s="33">
        <v>4045</v>
      </c>
      <c r="G1159" s="33">
        <v>71</v>
      </c>
      <c r="H1159" s="13">
        <f t="shared" si="18"/>
        <v>53.223684210526315</v>
      </c>
    </row>
    <row r="1160" spans="1:8" hidden="1" outlineLevel="2">
      <c r="A1160" s="32" t="s">
        <v>95</v>
      </c>
      <c r="B1160" s="32" t="s">
        <v>1858</v>
      </c>
      <c r="C1160" s="32" t="s">
        <v>251</v>
      </c>
      <c r="D1160" s="32" t="s">
        <v>96</v>
      </c>
      <c r="E1160" s="33">
        <v>108</v>
      </c>
      <c r="F1160" s="33">
        <v>5599</v>
      </c>
      <c r="G1160" s="33">
        <v>107</v>
      </c>
      <c r="H1160" s="13">
        <f t="shared" si="18"/>
        <v>51.842592592592595</v>
      </c>
    </row>
    <row r="1161" spans="1:8" hidden="1" outlineLevel="2">
      <c r="A1161" s="32" t="s">
        <v>95</v>
      </c>
      <c r="B1161" s="32" t="s">
        <v>1862</v>
      </c>
      <c r="C1161" s="32" t="s">
        <v>264</v>
      </c>
      <c r="D1161" s="32" t="s">
        <v>395</v>
      </c>
      <c r="E1161" s="33">
        <v>74</v>
      </c>
      <c r="F1161" s="33">
        <v>3746</v>
      </c>
      <c r="G1161" s="33">
        <v>73</v>
      </c>
      <c r="H1161" s="13">
        <f t="shared" si="18"/>
        <v>50.621621621621621</v>
      </c>
    </row>
    <row r="1162" spans="1:8" hidden="1" outlineLevel="2">
      <c r="A1162" s="32" t="s">
        <v>95</v>
      </c>
      <c r="B1162" s="32" t="s">
        <v>1858</v>
      </c>
      <c r="C1162" s="32" t="s">
        <v>206</v>
      </c>
      <c r="D1162" s="32" t="s">
        <v>395</v>
      </c>
      <c r="E1162" s="33">
        <v>38</v>
      </c>
      <c r="F1162" s="33">
        <v>1906</v>
      </c>
      <c r="G1162" s="33">
        <v>39</v>
      </c>
      <c r="H1162" s="13">
        <f t="shared" si="18"/>
        <v>50.157894736842103</v>
      </c>
    </row>
    <row r="1163" spans="1:8" hidden="1" outlineLevel="2">
      <c r="A1163" s="32" t="s">
        <v>95</v>
      </c>
      <c r="B1163" s="32" t="s">
        <v>1862</v>
      </c>
      <c r="C1163" s="32" t="s">
        <v>549</v>
      </c>
      <c r="D1163" s="32" t="s">
        <v>263</v>
      </c>
      <c r="E1163" s="33">
        <v>270</v>
      </c>
      <c r="F1163" s="33">
        <v>12989</v>
      </c>
      <c r="G1163" s="33">
        <v>266</v>
      </c>
      <c r="H1163" s="13">
        <f t="shared" si="18"/>
        <v>48.107407407407408</v>
      </c>
    </row>
    <row r="1164" spans="1:8" hidden="1" outlineLevel="2">
      <c r="A1164" s="32" t="s">
        <v>95</v>
      </c>
      <c r="B1164" s="32" t="s">
        <v>1862</v>
      </c>
      <c r="C1164" s="32" t="s">
        <v>264</v>
      </c>
      <c r="D1164" s="32" t="s">
        <v>199</v>
      </c>
      <c r="E1164" s="33">
        <v>100</v>
      </c>
      <c r="F1164" s="33">
        <v>4797</v>
      </c>
      <c r="G1164" s="33">
        <v>98</v>
      </c>
      <c r="H1164" s="13">
        <f t="shared" si="18"/>
        <v>47.97</v>
      </c>
    </row>
    <row r="1165" spans="1:8" hidden="1" outlineLevel="2">
      <c r="A1165" s="32" t="s">
        <v>95</v>
      </c>
      <c r="B1165" s="32" t="s">
        <v>1862</v>
      </c>
      <c r="C1165" s="32" t="s">
        <v>264</v>
      </c>
      <c r="D1165" s="32" t="s">
        <v>550</v>
      </c>
      <c r="E1165" s="33">
        <v>150</v>
      </c>
      <c r="F1165" s="33">
        <v>7131</v>
      </c>
      <c r="G1165" s="33">
        <v>152</v>
      </c>
      <c r="H1165" s="13">
        <f t="shared" si="18"/>
        <v>47.54</v>
      </c>
    </row>
    <row r="1166" spans="1:8" hidden="1" outlineLevel="2">
      <c r="A1166" s="32" t="s">
        <v>95</v>
      </c>
      <c r="B1166" s="32" t="s">
        <v>1858</v>
      </c>
      <c r="C1166" s="32" t="s">
        <v>281</v>
      </c>
      <c r="D1166" s="32" t="s">
        <v>96</v>
      </c>
      <c r="E1166" s="33">
        <v>120</v>
      </c>
      <c r="F1166" s="33">
        <v>5679</v>
      </c>
      <c r="G1166" s="33">
        <v>110</v>
      </c>
      <c r="H1166" s="13">
        <f t="shared" si="18"/>
        <v>47.325000000000003</v>
      </c>
    </row>
    <row r="1167" spans="1:8" hidden="1" outlineLevel="2">
      <c r="A1167" s="32" t="s">
        <v>95</v>
      </c>
      <c r="B1167" s="32" t="s">
        <v>86</v>
      </c>
      <c r="C1167" s="32" t="s">
        <v>193</v>
      </c>
      <c r="D1167" s="32" t="s">
        <v>194</v>
      </c>
      <c r="E1167" s="33">
        <v>168</v>
      </c>
      <c r="F1167" s="33">
        <v>7778</v>
      </c>
      <c r="G1167" s="33">
        <v>166</v>
      </c>
      <c r="H1167" s="13">
        <f t="shared" si="18"/>
        <v>46.297619047619051</v>
      </c>
    </row>
    <row r="1168" spans="1:8" hidden="1" outlineLevel="2">
      <c r="A1168" s="32" t="s">
        <v>95</v>
      </c>
      <c r="B1168" s="32" t="s">
        <v>1858</v>
      </c>
      <c r="C1168" s="32" t="s">
        <v>197</v>
      </c>
      <c r="D1168" s="32" t="s">
        <v>96</v>
      </c>
      <c r="E1168" s="33">
        <v>27</v>
      </c>
      <c r="F1168" s="33">
        <v>1213</v>
      </c>
      <c r="G1168" s="33">
        <v>26</v>
      </c>
      <c r="H1168" s="13">
        <f t="shared" si="18"/>
        <v>44.925925925925924</v>
      </c>
    </row>
    <row r="1169" spans="1:8" hidden="1" outlineLevel="2">
      <c r="A1169" s="32" t="s">
        <v>95</v>
      </c>
      <c r="B1169" s="32" t="s">
        <v>1858</v>
      </c>
      <c r="C1169" s="32" t="s">
        <v>198</v>
      </c>
      <c r="D1169" s="32" t="s">
        <v>263</v>
      </c>
      <c r="E1169" s="33">
        <v>110</v>
      </c>
      <c r="F1169" s="33">
        <v>4901</v>
      </c>
      <c r="G1169" s="33">
        <v>110</v>
      </c>
      <c r="H1169" s="13">
        <f t="shared" si="18"/>
        <v>44.554545454545455</v>
      </c>
    </row>
    <row r="1170" spans="1:8" hidden="1" outlineLevel="2">
      <c r="A1170" s="32" t="s">
        <v>95</v>
      </c>
      <c r="B1170" s="32" t="s">
        <v>1862</v>
      </c>
      <c r="C1170" s="32" t="s">
        <v>278</v>
      </c>
      <c r="D1170" s="32" t="s">
        <v>395</v>
      </c>
      <c r="E1170" s="33">
        <v>78</v>
      </c>
      <c r="F1170" s="33">
        <v>3333</v>
      </c>
      <c r="G1170" s="33">
        <v>79</v>
      </c>
      <c r="H1170" s="13">
        <f t="shared" si="18"/>
        <v>42.730769230769234</v>
      </c>
    </row>
    <row r="1171" spans="1:8" hidden="1" outlineLevel="2">
      <c r="A1171" s="32" t="s">
        <v>95</v>
      </c>
      <c r="B1171" s="32" t="s">
        <v>1858</v>
      </c>
      <c r="C1171" s="32" t="s">
        <v>287</v>
      </c>
      <c r="D1171" s="32" t="s">
        <v>207</v>
      </c>
      <c r="E1171" s="33">
        <v>56</v>
      </c>
      <c r="F1171" s="33">
        <v>2387</v>
      </c>
      <c r="G1171" s="33">
        <v>55</v>
      </c>
      <c r="H1171" s="13">
        <f t="shared" si="18"/>
        <v>42.625</v>
      </c>
    </row>
    <row r="1172" spans="1:8" hidden="1" outlineLevel="2">
      <c r="A1172" s="32" t="s">
        <v>95</v>
      </c>
      <c r="B1172" s="32" t="s">
        <v>1862</v>
      </c>
      <c r="C1172" s="32" t="s">
        <v>272</v>
      </c>
      <c r="D1172" s="32" t="s">
        <v>424</v>
      </c>
      <c r="E1172" s="33">
        <v>110</v>
      </c>
      <c r="F1172" s="33">
        <v>4656</v>
      </c>
      <c r="G1172" s="33">
        <v>117</v>
      </c>
      <c r="H1172" s="13">
        <f t="shared" si="18"/>
        <v>42.327272727272728</v>
      </c>
    </row>
    <row r="1173" spans="1:8" hidden="1" outlineLevel="2">
      <c r="A1173" s="32" t="s">
        <v>95</v>
      </c>
      <c r="B1173" s="32" t="s">
        <v>1858</v>
      </c>
      <c r="C1173" s="32" t="s">
        <v>198</v>
      </c>
      <c r="D1173" s="32" t="s">
        <v>280</v>
      </c>
      <c r="E1173" s="33">
        <v>56</v>
      </c>
      <c r="F1173" s="33">
        <v>2293</v>
      </c>
      <c r="G1173" s="33">
        <v>55</v>
      </c>
      <c r="H1173" s="13">
        <f t="shared" si="18"/>
        <v>40.946428571428569</v>
      </c>
    </row>
    <row r="1174" spans="1:8" hidden="1" outlineLevel="2">
      <c r="A1174" s="32" t="s">
        <v>95</v>
      </c>
      <c r="B1174" s="32" t="s">
        <v>1862</v>
      </c>
      <c r="C1174" s="32" t="s">
        <v>264</v>
      </c>
      <c r="D1174" s="32" t="s">
        <v>663</v>
      </c>
      <c r="E1174" s="33">
        <v>56</v>
      </c>
      <c r="F1174" s="33">
        <v>2218</v>
      </c>
      <c r="G1174" s="33">
        <v>63</v>
      </c>
      <c r="H1174" s="13">
        <f t="shared" si="18"/>
        <v>39.607142857142854</v>
      </c>
    </row>
    <row r="1175" spans="1:8" hidden="1" outlineLevel="2">
      <c r="A1175" s="32" t="s">
        <v>95</v>
      </c>
      <c r="B1175" s="32" t="s">
        <v>1858</v>
      </c>
      <c r="C1175" s="32" t="s">
        <v>516</v>
      </c>
      <c r="D1175" s="32" t="s">
        <v>280</v>
      </c>
      <c r="E1175" s="33">
        <v>96</v>
      </c>
      <c r="F1175" s="33">
        <v>3711</v>
      </c>
      <c r="G1175" s="33">
        <v>95</v>
      </c>
      <c r="H1175" s="13">
        <f t="shared" si="18"/>
        <v>38.65625</v>
      </c>
    </row>
    <row r="1176" spans="1:8" hidden="1" outlineLevel="2">
      <c r="A1176" s="32" t="s">
        <v>95</v>
      </c>
      <c r="B1176" s="32" t="s">
        <v>1862</v>
      </c>
      <c r="C1176" s="32" t="s">
        <v>277</v>
      </c>
      <c r="D1176" s="32" t="s">
        <v>558</v>
      </c>
      <c r="E1176" s="33">
        <v>26</v>
      </c>
      <c r="F1176" s="33">
        <v>1001</v>
      </c>
      <c r="G1176" s="33">
        <v>24</v>
      </c>
      <c r="H1176" s="13">
        <f t="shared" si="18"/>
        <v>38.5</v>
      </c>
    </row>
    <row r="1177" spans="1:8" hidden="1" outlineLevel="2">
      <c r="A1177" s="32" t="s">
        <v>95</v>
      </c>
      <c r="B1177" s="32" t="s">
        <v>1858</v>
      </c>
      <c r="C1177" s="32" t="s">
        <v>281</v>
      </c>
      <c r="D1177" s="32" t="s">
        <v>282</v>
      </c>
      <c r="E1177" s="33">
        <v>54</v>
      </c>
      <c r="F1177" s="33">
        <v>2039</v>
      </c>
      <c r="G1177" s="33">
        <v>56</v>
      </c>
      <c r="H1177" s="13">
        <f t="shared" si="18"/>
        <v>37.75925925925926</v>
      </c>
    </row>
    <row r="1178" spans="1:8" hidden="1" outlineLevel="2">
      <c r="A1178" s="32" t="s">
        <v>95</v>
      </c>
      <c r="B1178" s="32" t="s">
        <v>1862</v>
      </c>
      <c r="C1178" s="32" t="s">
        <v>160</v>
      </c>
      <c r="D1178" s="32" t="s">
        <v>515</v>
      </c>
      <c r="E1178" s="33">
        <v>45</v>
      </c>
      <c r="F1178" s="33">
        <v>1683</v>
      </c>
      <c r="G1178" s="33">
        <v>45</v>
      </c>
      <c r="H1178" s="13">
        <f t="shared" si="18"/>
        <v>37.4</v>
      </c>
    </row>
    <row r="1179" spans="1:8" hidden="1" outlineLevel="2">
      <c r="A1179" s="32" t="s">
        <v>95</v>
      </c>
      <c r="B1179" s="32" t="s">
        <v>1858</v>
      </c>
      <c r="C1179" s="32" t="s">
        <v>628</v>
      </c>
      <c r="D1179" s="32" t="s">
        <v>263</v>
      </c>
      <c r="E1179" s="33">
        <v>96</v>
      </c>
      <c r="F1179" s="33">
        <v>3583</v>
      </c>
      <c r="G1179" s="33">
        <v>103</v>
      </c>
      <c r="H1179" s="13">
        <f t="shared" si="18"/>
        <v>37.322916666666664</v>
      </c>
    </row>
    <row r="1180" spans="1:8" hidden="1" outlineLevel="2">
      <c r="A1180" s="32" t="s">
        <v>95</v>
      </c>
      <c r="B1180" s="32" t="s">
        <v>1862</v>
      </c>
      <c r="C1180" s="32" t="s">
        <v>267</v>
      </c>
      <c r="D1180" s="32" t="s">
        <v>268</v>
      </c>
      <c r="E1180" s="33">
        <v>56</v>
      </c>
      <c r="F1180" s="33">
        <v>2066</v>
      </c>
      <c r="G1180" s="33">
        <v>56</v>
      </c>
      <c r="H1180" s="13">
        <f t="shared" si="18"/>
        <v>36.892857142857146</v>
      </c>
    </row>
    <row r="1181" spans="1:8" hidden="1" outlineLevel="2">
      <c r="A1181" s="32" t="s">
        <v>95</v>
      </c>
      <c r="B1181" s="32" t="s">
        <v>1858</v>
      </c>
      <c r="C1181" s="32" t="s">
        <v>198</v>
      </c>
      <c r="D1181" s="32" t="s">
        <v>635</v>
      </c>
      <c r="E1181" s="33">
        <v>26</v>
      </c>
      <c r="F1181" s="33">
        <v>959</v>
      </c>
      <c r="G1181" s="33">
        <v>26</v>
      </c>
      <c r="H1181" s="13">
        <f t="shared" si="18"/>
        <v>36.884615384615387</v>
      </c>
    </row>
    <row r="1182" spans="1:8" hidden="1" outlineLevel="2">
      <c r="A1182" s="32" t="s">
        <v>95</v>
      </c>
      <c r="B1182" s="32" t="s">
        <v>1858</v>
      </c>
      <c r="C1182" s="32" t="s">
        <v>206</v>
      </c>
      <c r="D1182" s="32" t="s">
        <v>207</v>
      </c>
      <c r="E1182" s="33">
        <v>54</v>
      </c>
      <c r="F1182" s="33">
        <v>1945</v>
      </c>
      <c r="G1182" s="33">
        <v>54</v>
      </c>
      <c r="H1182" s="13">
        <f t="shared" si="18"/>
        <v>36.018518518518519</v>
      </c>
    </row>
    <row r="1183" spans="1:8" hidden="1" outlineLevel="2">
      <c r="A1183" s="32" t="s">
        <v>95</v>
      </c>
      <c r="B1183" s="32" t="s">
        <v>86</v>
      </c>
      <c r="C1183" s="32" t="s">
        <v>193</v>
      </c>
      <c r="D1183" s="32" t="s">
        <v>429</v>
      </c>
      <c r="E1183" s="33">
        <v>28</v>
      </c>
      <c r="F1183" s="33">
        <v>971</v>
      </c>
      <c r="G1183" s="33">
        <v>28</v>
      </c>
      <c r="H1183" s="13">
        <f t="shared" si="18"/>
        <v>34.678571428571431</v>
      </c>
    </row>
    <row r="1184" spans="1:8" hidden="1" outlineLevel="2">
      <c r="A1184" s="32" t="s">
        <v>95</v>
      </c>
      <c r="B1184" s="32" t="s">
        <v>1858</v>
      </c>
      <c r="C1184" s="32" t="s">
        <v>198</v>
      </c>
      <c r="D1184" s="32" t="s">
        <v>96</v>
      </c>
      <c r="E1184" s="33">
        <v>105</v>
      </c>
      <c r="F1184" s="33">
        <v>3560</v>
      </c>
      <c r="G1184" s="33">
        <v>104</v>
      </c>
      <c r="H1184" s="13">
        <f t="shared" si="18"/>
        <v>33.904761904761905</v>
      </c>
    </row>
    <row r="1185" spans="1:8" hidden="1" outlineLevel="2">
      <c r="A1185" s="32" t="s">
        <v>95</v>
      </c>
      <c r="B1185" s="32" t="s">
        <v>1858</v>
      </c>
      <c r="C1185" s="32" t="s">
        <v>279</v>
      </c>
      <c r="D1185" s="32" t="s">
        <v>280</v>
      </c>
      <c r="E1185" s="33">
        <v>105</v>
      </c>
      <c r="F1185" s="33">
        <v>3537</v>
      </c>
      <c r="G1185" s="33">
        <v>108</v>
      </c>
      <c r="H1185" s="13">
        <f t="shared" si="18"/>
        <v>33.685714285714283</v>
      </c>
    </row>
    <row r="1186" spans="1:8" hidden="1" outlineLevel="2">
      <c r="A1186" s="32" t="s">
        <v>95</v>
      </c>
      <c r="B1186" s="32" t="s">
        <v>1862</v>
      </c>
      <c r="C1186" s="32" t="s">
        <v>261</v>
      </c>
      <c r="D1186" s="32" t="s">
        <v>424</v>
      </c>
      <c r="E1186" s="33">
        <v>96</v>
      </c>
      <c r="F1186" s="33">
        <v>3161</v>
      </c>
      <c r="G1186" s="33">
        <v>87</v>
      </c>
      <c r="H1186" s="13">
        <f t="shared" si="18"/>
        <v>32.927083333333336</v>
      </c>
    </row>
    <row r="1187" spans="1:8" hidden="1" outlineLevel="2">
      <c r="A1187" s="32" t="s">
        <v>95</v>
      </c>
      <c r="B1187" s="32" t="s">
        <v>1858</v>
      </c>
      <c r="C1187" s="32" t="s">
        <v>251</v>
      </c>
      <c r="D1187" s="32" t="s">
        <v>424</v>
      </c>
      <c r="E1187" s="33">
        <v>66</v>
      </c>
      <c r="F1187" s="33">
        <v>2117</v>
      </c>
      <c r="G1187" s="33">
        <v>61</v>
      </c>
      <c r="H1187" s="13">
        <f t="shared" si="18"/>
        <v>32.075757575757578</v>
      </c>
    </row>
    <row r="1188" spans="1:8" hidden="1" outlineLevel="2">
      <c r="A1188" s="32" t="s">
        <v>95</v>
      </c>
      <c r="B1188" s="32" t="s">
        <v>1858</v>
      </c>
      <c r="C1188" s="32" t="s">
        <v>287</v>
      </c>
      <c r="D1188" s="32" t="s">
        <v>199</v>
      </c>
      <c r="E1188" s="33">
        <v>72</v>
      </c>
      <c r="F1188" s="33">
        <v>2291</v>
      </c>
      <c r="G1188" s="33">
        <v>70</v>
      </c>
      <c r="H1188" s="13">
        <f t="shared" si="18"/>
        <v>31.819444444444443</v>
      </c>
    </row>
    <row r="1189" spans="1:8" hidden="1" outlineLevel="2">
      <c r="A1189" s="32" t="s">
        <v>95</v>
      </c>
      <c r="B1189" s="32" t="s">
        <v>1862</v>
      </c>
      <c r="C1189" s="32" t="s">
        <v>542</v>
      </c>
      <c r="D1189" s="32" t="s">
        <v>424</v>
      </c>
      <c r="E1189" s="33">
        <v>80</v>
      </c>
      <c r="F1189" s="33">
        <v>2535</v>
      </c>
      <c r="G1189" s="33">
        <v>80</v>
      </c>
      <c r="H1189" s="13">
        <f t="shared" si="18"/>
        <v>31.6875</v>
      </c>
    </row>
    <row r="1190" spans="1:8" hidden="1" outlineLevel="2">
      <c r="A1190" s="32" t="s">
        <v>95</v>
      </c>
      <c r="B1190" s="32" t="s">
        <v>86</v>
      </c>
      <c r="C1190" s="32" t="s">
        <v>193</v>
      </c>
      <c r="D1190" s="32" t="s">
        <v>663</v>
      </c>
      <c r="E1190" s="33">
        <v>92</v>
      </c>
      <c r="F1190" s="33">
        <v>2881</v>
      </c>
      <c r="G1190" s="33">
        <v>91</v>
      </c>
      <c r="H1190" s="13">
        <f t="shared" si="18"/>
        <v>31.315217391304348</v>
      </c>
    </row>
    <row r="1191" spans="1:8" hidden="1" outlineLevel="2">
      <c r="A1191" s="32" t="s">
        <v>95</v>
      </c>
      <c r="B1191" s="32" t="s">
        <v>1858</v>
      </c>
      <c r="C1191" s="32" t="s">
        <v>251</v>
      </c>
      <c r="D1191" s="32" t="s">
        <v>268</v>
      </c>
      <c r="E1191" s="33">
        <v>40</v>
      </c>
      <c r="F1191" s="33">
        <v>1246</v>
      </c>
      <c r="G1191" s="33">
        <v>44</v>
      </c>
      <c r="H1191" s="13">
        <f t="shared" si="18"/>
        <v>31.15</v>
      </c>
    </row>
    <row r="1192" spans="1:8" hidden="1" outlineLevel="2">
      <c r="A1192" s="32" t="s">
        <v>95</v>
      </c>
      <c r="B1192" s="32" t="s">
        <v>86</v>
      </c>
      <c r="C1192" s="32" t="s">
        <v>193</v>
      </c>
      <c r="D1192" s="32" t="s">
        <v>196</v>
      </c>
      <c r="E1192" s="33">
        <v>56</v>
      </c>
      <c r="F1192" s="33">
        <v>1660</v>
      </c>
      <c r="G1192" s="33">
        <v>54</v>
      </c>
      <c r="H1192" s="13">
        <f t="shared" si="18"/>
        <v>29.642857142857142</v>
      </c>
    </row>
    <row r="1193" spans="1:8" hidden="1" outlineLevel="2">
      <c r="A1193" s="32" t="s">
        <v>95</v>
      </c>
      <c r="B1193" s="32" t="s">
        <v>1862</v>
      </c>
      <c r="C1193" s="32" t="s">
        <v>261</v>
      </c>
      <c r="D1193" s="32" t="s">
        <v>248</v>
      </c>
      <c r="E1193" s="33">
        <v>52</v>
      </c>
      <c r="F1193" s="33">
        <v>1503</v>
      </c>
      <c r="G1193" s="33">
        <v>51</v>
      </c>
      <c r="H1193" s="13">
        <f t="shared" si="18"/>
        <v>28.903846153846153</v>
      </c>
    </row>
    <row r="1194" spans="1:8" hidden="1" outlineLevel="2">
      <c r="A1194" s="32" t="s">
        <v>95</v>
      </c>
      <c r="B1194" s="32" t="s">
        <v>1858</v>
      </c>
      <c r="C1194" s="32" t="s">
        <v>287</v>
      </c>
      <c r="D1194" s="32" t="s">
        <v>589</v>
      </c>
      <c r="E1194" s="33">
        <v>14</v>
      </c>
      <c r="F1194" s="33">
        <v>402</v>
      </c>
      <c r="G1194" s="33">
        <v>15</v>
      </c>
      <c r="H1194" s="13">
        <f t="shared" si="18"/>
        <v>28.714285714285715</v>
      </c>
    </row>
    <row r="1195" spans="1:8" hidden="1" outlineLevel="2">
      <c r="A1195" s="32" t="s">
        <v>95</v>
      </c>
      <c r="B1195" s="32" t="s">
        <v>1858</v>
      </c>
      <c r="C1195" s="32" t="s">
        <v>249</v>
      </c>
      <c r="D1195" s="32" t="s">
        <v>194</v>
      </c>
      <c r="E1195" s="33">
        <v>176</v>
      </c>
      <c r="F1195" s="33">
        <v>5029</v>
      </c>
      <c r="G1195" s="33">
        <v>171</v>
      </c>
      <c r="H1195" s="13">
        <f t="shared" si="18"/>
        <v>28.573863636363637</v>
      </c>
    </row>
    <row r="1196" spans="1:8" hidden="1" outlineLevel="2">
      <c r="A1196" s="32" t="s">
        <v>95</v>
      </c>
      <c r="B1196" s="32" t="s">
        <v>1858</v>
      </c>
      <c r="C1196" s="32" t="s">
        <v>391</v>
      </c>
      <c r="D1196" s="32" t="s">
        <v>96</v>
      </c>
      <c r="E1196" s="33">
        <v>84</v>
      </c>
      <c r="F1196" s="33">
        <v>2367</v>
      </c>
      <c r="G1196" s="33">
        <v>78</v>
      </c>
      <c r="H1196" s="13">
        <f t="shared" si="18"/>
        <v>28.178571428571427</v>
      </c>
    </row>
    <row r="1197" spans="1:8" hidden="1" outlineLevel="2">
      <c r="A1197" s="32" t="s">
        <v>95</v>
      </c>
      <c r="B1197" s="32" t="s">
        <v>1862</v>
      </c>
      <c r="C1197" s="32" t="s">
        <v>278</v>
      </c>
      <c r="D1197" s="32" t="s">
        <v>250</v>
      </c>
      <c r="E1197" s="33">
        <v>78</v>
      </c>
      <c r="F1197" s="33">
        <v>2179</v>
      </c>
      <c r="G1197" s="33">
        <v>73</v>
      </c>
      <c r="H1197" s="13">
        <f t="shared" si="18"/>
        <v>27.935897435897434</v>
      </c>
    </row>
    <row r="1198" spans="1:8" hidden="1" outlineLevel="2">
      <c r="A1198" s="32" t="s">
        <v>95</v>
      </c>
      <c r="B1198" s="32" t="s">
        <v>1862</v>
      </c>
      <c r="C1198" s="32" t="s">
        <v>542</v>
      </c>
      <c r="D1198" s="32" t="s">
        <v>199</v>
      </c>
      <c r="E1198" s="33">
        <v>83</v>
      </c>
      <c r="F1198" s="33">
        <v>2281</v>
      </c>
      <c r="G1198" s="33">
        <v>81</v>
      </c>
      <c r="H1198" s="13">
        <f t="shared" si="18"/>
        <v>27.481927710843372</v>
      </c>
    </row>
    <row r="1199" spans="1:8" hidden="1" outlineLevel="2">
      <c r="A1199" s="32" t="s">
        <v>95</v>
      </c>
      <c r="B1199" s="32" t="s">
        <v>1862</v>
      </c>
      <c r="C1199" s="32" t="s">
        <v>277</v>
      </c>
      <c r="D1199" s="32" t="s">
        <v>199</v>
      </c>
      <c r="E1199" s="33">
        <v>78</v>
      </c>
      <c r="F1199" s="33">
        <v>2131</v>
      </c>
      <c r="G1199" s="33">
        <v>77</v>
      </c>
      <c r="H1199" s="13">
        <f t="shared" si="18"/>
        <v>27.320512820512821</v>
      </c>
    </row>
    <row r="1200" spans="1:8" hidden="1" outlineLevel="2">
      <c r="A1200" s="32" t="s">
        <v>95</v>
      </c>
      <c r="B1200" s="32" t="s">
        <v>1862</v>
      </c>
      <c r="C1200" s="32" t="s">
        <v>270</v>
      </c>
      <c r="D1200" s="32" t="s">
        <v>196</v>
      </c>
      <c r="E1200" s="33">
        <v>30</v>
      </c>
      <c r="F1200" s="33">
        <v>799</v>
      </c>
      <c r="G1200" s="33">
        <v>29</v>
      </c>
      <c r="H1200" s="13">
        <f t="shared" si="18"/>
        <v>26.633333333333333</v>
      </c>
    </row>
    <row r="1201" spans="1:8" hidden="1" outlineLevel="2">
      <c r="A1201" s="32" t="s">
        <v>95</v>
      </c>
      <c r="B1201" s="32" t="s">
        <v>1858</v>
      </c>
      <c r="C1201" s="32" t="s">
        <v>206</v>
      </c>
      <c r="D1201" s="32" t="s">
        <v>199</v>
      </c>
      <c r="E1201" s="33">
        <v>58</v>
      </c>
      <c r="F1201" s="33">
        <v>1541</v>
      </c>
      <c r="G1201" s="33">
        <v>51</v>
      </c>
      <c r="H1201" s="13">
        <f t="shared" si="18"/>
        <v>26.568965517241381</v>
      </c>
    </row>
    <row r="1202" spans="1:8" hidden="1" outlineLevel="2">
      <c r="A1202" s="32" t="s">
        <v>95</v>
      </c>
      <c r="B1202" s="32" t="s">
        <v>1862</v>
      </c>
      <c r="C1202" s="32" t="s">
        <v>160</v>
      </c>
      <c r="D1202" s="32" t="s">
        <v>161</v>
      </c>
      <c r="E1202" s="33">
        <v>14</v>
      </c>
      <c r="F1202" s="33">
        <v>353</v>
      </c>
      <c r="G1202" s="33">
        <v>9</v>
      </c>
      <c r="H1202" s="13">
        <f t="shared" si="18"/>
        <v>25.214285714285715</v>
      </c>
    </row>
    <row r="1203" spans="1:8" hidden="1" outlineLevel="2">
      <c r="A1203" s="32" t="s">
        <v>95</v>
      </c>
      <c r="B1203" s="32" t="s">
        <v>1862</v>
      </c>
      <c r="C1203" s="32" t="s">
        <v>267</v>
      </c>
      <c r="D1203" s="32" t="s">
        <v>248</v>
      </c>
      <c r="E1203" s="33">
        <v>45</v>
      </c>
      <c r="F1203" s="33">
        <v>1110</v>
      </c>
      <c r="G1203" s="33">
        <v>44</v>
      </c>
      <c r="H1203" s="13">
        <f t="shared" si="18"/>
        <v>24.666666666666668</v>
      </c>
    </row>
    <row r="1204" spans="1:8" hidden="1" outlineLevel="2">
      <c r="A1204" s="32" t="s">
        <v>95</v>
      </c>
      <c r="B1204" s="32" t="s">
        <v>1858</v>
      </c>
      <c r="C1204" s="32" t="s">
        <v>420</v>
      </c>
      <c r="D1204" s="32" t="s">
        <v>553</v>
      </c>
      <c r="E1204" s="33">
        <v>56</v>
      </c>
      <c r="F1204" s="33">
        <v>1361</v>
      </c>
      <c r="G1204" s="33">
        <v>55</v>
      </c>
      <c r="H1204" s="13">
        <f t="shared" si="18"/>
        <v>24.303571428571427</v>
      </c>
    </row>
    <row r="1205" spans="1:8" hidden="1" outlineLevel="2">
      <c r="A1205" s="32" t="s">
        <v>95</v>
      </c>
      <c r="B1205" s="32" t="s">
        <v>1858</v>
      </c>
      <c r="C1205" s="32" t="s">
        <v>198</v>
      </c>
      <c r="D1205" s="32" t="s">
        <v>207</v>
      </c>
      <c r="E1205" s="33">
        <v>104</v>
      </c>
      <c r="F1205" s="33">
        <v>2512</v>
      </c>
      <c r="G1205" s="33">
        <v>102</v>
      </c>
      <c r="H1205" s="13">
        <f t="shared" si="18"/>
        <v>24.153846153846153</v>
      </c>
    </row>
    <row r="1206" spans="1:8" hidden="1" outlineLevel="2">
      <c r="A1206" s="32" t="s">
        <v>95</v>
      </c>
      <c r="B1206" s="32" t="s">
        <v>1858</v>
      </c>
      <c r="C1206" s="32" t="s">
        <v>247</v>
      </c>
      <c r="D1206" s="32" t="s">
        <v>263</v>
      </c>
      <c r="E1206" s="33">
        <v>40</v>
      </c>
      <c r="F1206" s="33">
        <v>962</v>
      </c>
      <c r="G1206" s="33">
        <v>39</v>
      </c>
      <c r="H1206" s="13">
        <f t="shared" si="18"/>
        <v>24.05</v>
      </c>
    </row>
    <row r="1207" spans="1:8" hidden="1" outlineLevel="2">
      <c r="A1207" s="32" t="s">
        <v>95</v>
      </c>
      <c r="B1207" s="32" t="s">
        <v>1862</v>
      </c>
      <c r="C1207" s="32" t="s">
        <v>270</v>
      </c>
      <c r="D1207" s="32" t="s">
        <v>195</v>
      </c>
      <c r="E1207" s="33">
        <v>30</v>
      </c>
      <c r="F1207" s="33">
        <v>718</v>
      </c>
      <c r="G1207" s="33">
        <v>30</v>
      </c>
      <c r="H1207" s="13">
        <f t="shared" si="18"/>
        <v>23.933333333333334</v>
      </c>
    </row>
    <row r="1208" spans="1:8" hidden="1" outlineLevel="2">
      <c r="A1208" s="32" t="s">
        <v>95</v>
      </c>
      <c r="B1208" s="32" t="s">
        <v>1862</v>
      </c>
      <c r="C1208" s="32" t="s">
        <v>261</v>
      </c>
      <c r="D1208" s="32" t="s">
        <v>262</v>
      </c>
      <c r="E1208" s="33">
        <v>48</v>
      </c>
      <c r="F1208" s="33">
        <v>1118</v>
      </c>
      <c r="G1208" s="33">
        <v>48</v>
      </c>
      <c r="H1208" s="13">
        <f t="shared" si="18"/>
        <v>23.291666666666668</v>
      </c>
    </row>
    <row r="1209" spans="1:8" hidden="1" outlineLevel="2">
      <c r="A1209" s="32" t="s">
        <v>95</v>
      </c>
      <c r="B1209" s="32" t="s">
        <v>1858</v>
      </c>
      <c r="C1209" s="32" t="s">
        <v>391</v>
      </c>
      <c r="D1209" s="32" t="s">
        <v>263</v>
      </c>
      <c r="E1209" s="33">
        <v>135</v>
      </c>
      <c r="F1209" s="33">
        <v>2998</v>
      </c>
      <c r="G1209" s="33">
        <v>137</v>
      </c>
      <c r="H1209" s="13">
        <f t="shared" si="18"/>
        <v>22.207407407407409</v>
      </c>
    </row>
    <row r="1210" spans="1:8" hidden="1" outlineLevel="2">
      <c r="A1210" s="32" t="s">
        <v>95</v>
      </c>
      <c r="B1210" s="32" t="s">
        <v>1858</v>
      </c>
      <c r="C1210" s="32" t="s">
        <v>281</v>
      </c>
      <c r="D1210" s="32" t="s">
        <v>702</v>
      </c>
      <c r="E1210" s="33">
        <v>27</v>
      </c>
      <c r="F1210" s="33">
        <v>584</v>
      </c>
      <c r="G1210" s="33">
        <v>25</v>
      </c>
      <c r="H1210" s="13">
        <f t="shared" si="18"/>
        <v>21.62962962962963</v>
      </c>
    </row>
    <row r="1211" spans="1:8" hidden="1" outlineLevel="2">
      <c r="A1211" s="32" t="s">
        <v>95</v>
      </c>
      <c r="B1211" s="32" t="s">
        <v>1862</v>
      </c>
      <c r="C1211" s="32" t="s">
        <v>160</v>
      </c>
      <c r="D1211" s="32" t="s">
        <v>269</v>
      </c>
      <c r="E1211" s="33">
        <v>52</v>
      </c>
      <c r="F1211" s="33">
        <v>1118</v>
      </c>
      <c r="G1211" s="33">
        <v>66</v>
      </c>
      <c r="H1211" s="13">
        <f t="shared" si="18"/>
        <v>21.5</v>
      </c>
    </row>
    <row r="1212" spans="1:8" hidden="1" outlineLevel="2">
      <c r="A1212" s="32" t="s">
        <v>95</v>
      </c>
      <c r="B1212" s="32" t="s">
        <v>1858</v>
      </c>
      <c r="C1212" s="32" t="s">
        <v>279</v>
      </c>
      <c r="D1212" s="32" t="s">
        <v>199</v>
      </c>
      <c r="E1212" s="33">
        <v>100</v>
      </c>
      <c r="F1212" s="33">
        <v>2139</v>
      </c>
      <c r="G1212" s="33">
        <v>96</v>
      </c>
      <c r="H1212" s="13">
        <f t="shared" si="18"/>
        <v>21.39</v>
      </c>
    </row>
    <row r="1213" spans="1:8" hidden="1" outlineLevel="2">
      <c r="A1213" s="32" t="s">
        <v>95</v>
      </c>
      <c r="B1213" s="32" t="s">
        <v>1858</v>
      </c>
      <c r="C1213" s="32" t="s">
        <v>560</v>
      </c>
      <c r="D1213" s="32" t="s">
        <v>268</v>
      </c>
      <c r="E1213" s="33">
        <v>56</v>
      </c>
      <c r="F1213" s="33">
        <v>1171</v>
      </c>
      <c r="G1213" s="33">
        <v>64</v>
      </c>
      <c r="H1213" s="13">
        <f t="shared" si="18"/>
        <v>20.910714285714285</v>
      </c>
    </row>
    <row r="1214" spans="1:8" hidden="1" outlineLevel="2">
      <c r="A1214" s="32" t="s">
        <v>95</v>
      </c>
      <c r="B1214" s="32" t="s">
        <v>1858</v>
      </c>
      <c r="C1214" s="32" t="s">
        <v>287</v>
      </c>
      <c r="D1214" s="32" t="s">
        <v>493</v>
      </c>
      <c r="E1214" s="33">
        <v>30</v>
      </c>
      <c r="F1214" s="33">
        <v>618</v>
      </c>
      <c r="G1214" s="33">
        <v>32</v>
      </c>
      <c r="H1214" s="13">
        <f t="shared" si="18"/>
        <v>20.6</v>
      </c>
    </row>
    <row r="1215" spans="1:8" hidden="1" outlineLevel="2">
      <c r="A1215" s="32" t="s">
        <v>95</v>
      </c>
      <c r="B1215" s="32" t="s">
        <v>1858</v>
      </c>
      <c r="C1215" s="32" t="s">
        <v>420</v>
      </c>
      <c r="D1215" s="32" t="s">
        <v>96</v>
      </c>
      <c r="E1215" s="33">
        <v>84</v>
      </c>
      <c r="F1215" s="33">
        <v>1685</v>
      </c>
      <c r="G1215" s="33">
        <v>84</v>
      </c>
      <c r="H1215" s="13">
        <f t="shared" si="18"/>
        <v>20.05952380952381</v>
      </c>
    </row>
    <row r="1216" spans="1:8" hidden="1" outlineLevel="2">
      <c r="A1216" s="32" t="s">
        <v>95</v>
      </c>
      <c r="B1216" s="32" t="s">
        <v>86</v>
      </c>
      <c r="C1216" s="32" t="s">
        <v>792</v>
      </c>
      <c r="D1216" s="32" t="s">
        <v>262</v>
      </c>
      <c r="E1216" s="33">
        <v>94</v>
      </c>
      <c r="F1216" s="33">
        <v>1823</v>
      </c>
      <c r="G1216" s="33">
        <v>92</v>
      </c>
      <c r="H1216" s="13">
        <f t="shared" si="18"/>
        <v>19.393617021276597</v>
      </c>
    </row>
    <row r="1217" spans="1:8" hidden="1" outlineLevel="2">
      <c r="A1217" s="32" t="s">
        <v>95</v>
      </c>
      <c r="B1217" s="32" t="s">
        <v>1858</v>
      </c>
      <c r="C1217" s="32" t="s">
        <v>247</v>
      </c>
      <c r="D1217" s="32" t="s">
        <v>96</v>
      </c>
      <c r="E1217" s="33">
        <v>54</v>
      </c>
      <c r="F1217" s="33">
        <v>1045</v>
      </c>
      <c r="G1217" s="33">
        <v>53</v>
      </c>
      <c r="H1217" s="13">
        <f t="shared" si="18"/>
        <v>19.351851851851851</v>
      </c>
    </row>
    <row r="1218" spans="1:8" hidden="1" outlineLevel="2">
      <c r="A1218" s="32" t="s">
        <v>95</v>
      </c>
      <c r="B1218" s="32" t="s">
        <v>1862</v>
      </c>
      <c r="C1218" s="32" t="s">
        <v>272</v>
      </c>
      <c r="D1218" s="32" t="s">
        <v>199</v>
      </c>
      <c r="E1218" s="33">
        <v>190</v>
      </c>
      <c r="F1218" s="33">
        <v>3297</v>
      </c>
      <c r="G1218" s="33">
        <v>195</v>
      </c>
      <c r="H1218" s="13">
        <f t="shared" ref="H1218:H1281" si="19">IFERROR(F1218/E1218,"")</f>
        <v>17.352631578947367</v>
      </c>
    </row>
    <row r="1219" spans="1:8" hidden="1" outlineLevel="2">
      <c r="A1219" s="32" t="s">
        <v>95</v>
      </c>
      <c r="B1219" s="32" t="s">
        <v>1858</v>
      </c>
      <c r="C1219" s="32" t="s">
        <v>198</v>
      </c>
      <c r="D1219" s="32" t="s">
        <v>702</v>
      </c>
      <c r="E1219" s="33">
        <v>54</v>
      </c>
      <c r="F1219" s="33">
        <v>919</v>
      </c>
      <c r="G1219" s="33">
        <v>52</v>
      </c>
      <c r="H1219" s="13">
        <f t="shared" si="19"/>
        <v>17.018518518518519</v>
      </c>
    </row>
    <row r="1220" spans="1:8" hidden="1" outlineLevel="2">
      <c r="A1220" s="32" t="s">
        <v>95</v>
      </c>
      <c r="B1220" s="32" t="s">
        <v>1858</v>
      </c>
      <c r="C1220" s="32" t="s">
        <v>197</v>
      </c>
      <c r="D1220" s="32" t="s">
        <v>263</v>
      </c>
      <c r="E1220" s="33">
        <v>115</v>
      </c>
      <c r="F1220" s="33">
        <v>1940</v>
      </c>
      <c r="G1220" s="33">
        <v>113</v>
      </c>
      <c r="H1220" s="13">
        <f t="shared" si="19"/>
        <v>16.869565217391305</v>
      </c>
    </row>
    <row r="1221" spans="1:8" hidden="1" outlineLevel="2">
      <c r="A1221" s="32" t="s">
        <v>95</v>
      </c>
      <c r="B1221" s="32" t="s">
        <v>1858</v>
      </c>
      <c r="C1221" s="32" t="s">
        <v>391</v>
      </c>
      <c r="D1221" s="32" t="s">
        <v>207</v>
      </c>
      <c r="E1221" s="33">
        <v>80</v>
      </c>
      <c r="F1221" s="33">
        <v>1345</v>
      </c>
      <c r="G1221" s="33">
        <v>68</v>
      </c>
      <c r="H1221" s="13">
        <f t="shared" si="19"/>
        <v>16.8125</v>
      </c>
    </row>
    <row r="1222" spans="1:8" hidden="1" outlineLevel="2">
      <c r="A1222" s="32" t="s">
        <v>95</v>
      </c>
      <c r="B1222" s="32" t="s">
        <v>1858</v>
      </c>
      <c r="C1222" s="32" t="s">
        <v>251</v>
      </c>
      <c r="D1222" s="32" t="s">
        <v>199</v>
      </c>
      <c r="E1222" s="33">
        <v>72</v>
      </c>
      <c r="F1222" s="33">
        <v>1185</v>
      </c>
      <c r="G1222" s="33">
        <v>77</v>
      </c>
      <c r="H1222" s="13">
        <f t="shared" si="19"/>
        <v>16.458333333333332</v>
      </c>
    </row>
    <row r="1223" spans="1:8" hidden="1" outlineLevel="2">
      <c r="A1223" s="32" t="s">
        <v>95</v>
      </c>
      <c r="B1223" s="32" t="s">
        <v>1858</v>
      </c>
      <c r="C1223" s="32" t="s">
        <v>251</v>
      </c>
      <c r="D1223" s="32" t="s">
        <v>252</v>
      </c>
      <c r="E1223" s="33">
        <v>42</v>
      </c>
      <c r="F1223" s="33">
        <v>688</v>
      </c>
      <c r="G1223" s="33">
        <v>38</v>
      </c>
      <c r="H1223" s="13">
        <f t="shared" si="19"/>
        <v>16.38095238095238</v>
      </c>
    </row>
    <row r="1224" spans="1:8" hidden="1" outlineLevel="2">
      <c r="A1224" s="32" t="s">
        <v>95</v>
      </c>
      <c r="B1224" s="32" t="s">
        <v>1858</v>
      </c>
      <c r="C1224" s="32" t="s">
        <v>197</v>
      </c>
      <c r="D1224" s="32" t="s">
        <v>194</v>
      </c>
      <c r="E1224" s="33">
        <v>108</v>
      </c>
      <c r="F1224" s="33">
        <v>1763</v>
      </c>
      <c r="G1224" s="33">
        <v>106</v>
      </c>
      <c r="H1224" s="13">
        <f t="shared" si="19"/>
        <v>16.324074074074073</v>
      </c>
    </row>
    <row r="1225" spans="1:8" hidden="1" outlineLevel="2">
      <c r="A1225" s="32" t="s">
        <v>95</v>
      </c>
      <c r="B1225" s="32" t="s">
        <v>86</v>
      </c>
      <c r="C1225" s="32" t="s">
        <v>193</v>
      </c>
      <c r="D1225" s="32" t="s">
        <v>195</v>
      </c>
      <c r="E1225" s="33">
        <v>56</v>
      </c>
      <c r="F1225" s="33">
        <v>893</v>
      </c>
      <c r="G1225" s="33">
        <v>54</v>
      </c>
      <c r="H1225" s="13">
        <f t="shared" si="19"/>
        <v>15.946428571428571</v>
      </c>
    </row>
    <row r="1226" spans="1:8" hidden="1" outlineLevel="2">
      <c r="A1226" s="32" t="s">
        <v>95</v>
      </c>
      <c r="B1226" s="32" t="s">
        <v>1862</v>
      </c>
      <c r="C1226" s="32" t="s">
        <v>277</v>
      </c>
      <c r="D1226" s="32" t="s">
        <v>262</v>
      </c>
      <c r="E1226" s="33">
        <v>78</v>
      </c>
      <c r="F1226" s="33">
        <v>1236</v>
      </c>
      <c r="G1226" s="33">
        <v>88</v>
      </c>
      <c r="H1226" s="13">
        <f t="shared" si="19"/>
        <v>15.846153846153847</v>
      </c>
    </row>
    <row r="1227" spans="1:8" hidden="1" outlineLevel="2">
      <c r="A1227" s="32" t="s">
        <v>95</v>
      </c>
      <c r="B1227" s="32" t="s">
        <v>1862</v>
      </c>
      <c r="C1227" s="32" t="s">
        <v>428</v>
      </c>
      <c r="D1227" s="32" t="s">
        <v>429</v>
      </c>
      <c r="E1227" s="33">
        <v>51</v>
      </c>
      <c r="F1227" s="33">
        <v>771</v>
      </c>
      <c r="G1227" s="33">
        <v>53</v>
      </c>
      <c r="H1227" s="13">
        <f t="shared" si="19"/>
        <v>15.117647058823529</v>
      </c>
    </row>
    <row r="1228" spans="1:8" hidden="1" outlineLevel="2">
      <c r="A1228" s="32" t="s">
        <v>95</v>
      </c>
      <c r="B1228" s="32" t="s">
        <v>1862</v>
      </c>
      <c r="C1228" s="32" t="s">
        <v>270</v>
      </c>
      <c r="D1228" s="32" t="s">
        <v>431</v>
      </c>
      <c r="E1228" s="33">
        <v>30</v>
      </c>
      <c r="F1228" s="33">
        <v>439</v>
      </c>
      <c r="G1228" s="33">
        <v>30</v>
      </c>
      <c r="H1228" s="13">
        <f t="shared" si="19"/>
        <v>14.633333333333333</v>
      </c>
    </row>
    <row r="1229" spans="1:8" hidden="1" outlineLevel="2">
      <c r="A1229" s="32" t="s">
        <v>95</v>
      </c>
      <c r="B1229" s="32" t="s">
        <v>1862</v>
      </c>
      <c r="C1229" s="32" t="s">
        <v>261</v>
      </c>
      <c r="D1229" s="32" t="s">
        <v>633</v>
      </c>
      <c r="E1229" s="33">
        <v>75</v>
      </c>
      <c r="F1229" s="33">
        <v>1093</v>
      </c>
      <c r="G1229" s="33">
        <v>83</v>
      </c>
      <c r="H1229" s="13">
        <f t="shared" si="19"/>
        <v>14.573333333333334</v>
      </c>
    </row>
    <row r="1230" spans="1:8" hidden="1" outlineLevel="2">
      <c r="A1230" s="32" t="s">
        <v>95</v>
      </c>
      <c r="B1230" s="32" t="s">
        <v>1858</v>
      </c>
      <c r="C1230" s="32" t="s">
        <v>251</v>
      </c>
      <c r="D1230" s="32" t="s">
        <v>269</v>
      </c>
      <c r="E1230" s="33">
        <v>48</v>
      </c>
      <c r="F1230" s="33">
        <v>674</v>
      </c>
      <c r="G1230" s="33">
        <v>52</v>
      </c>
      <c r="H1230" s="13">
        <f t="shared" si="19"/>
        <v>14.041666666666666</v>
      </c>
    </row>
    <row r="1231" spans="1:8" hidden="1" outlineLevel="2">
      <c r="A1231" s="32" t="s">
        <v>95</v>
      </c>
      <c r="B1231" s="32" t="s">
        <v>1858</v>
      </c>
      <c r="C1231" s="32" t="s">
        <v>420</v>
      </c>
      <c r="D1231" s="32" t="s">
        <v>538</v>
      </c>
      <c r="E1231" s="33">
        <v>26</v>
      </c>
      <c r="F1231" s="33">
        <v>363</v>
      </c>
      <c r="G1231" s="33">
        <v>26</v>
      </c>
      <c r="H1231" s="13">
        <f t="shared" si="19"/>
        <v>13.961538461538462</v>
      </c>
    </row>
    <row r="1232" spans="1:8" hidden="1" outlineLevel="2">
      <c r="A1232" s="32" t="s">
        <v>95</v>
      </c>
      <c r="B1232" s="32" t="s">
        <v>1858</v>
      </c>
      <c r="C1232" s="32" t="s">
        <v>198</v>
      </c>
      <c r="D1232" s="32" t="s">
        <v>248</v>
      </c>
      <c r="E1232" s="33">
        <v>84</v>
      </c>
      <c r="F1232" s="33">
        <v>1150</v>
      </c>
      <c r="G1232" s="33">
        <v>72</v>
      </c>
      <c r="H1232" s="13">
        <f t="shared" si="19"/>
        <v>13.69047619047619</v>
      </c>
    </row>
    <row r="1233" spans="1:8" hidden="1" outlineLevel="2">
      <c r="A1233" s="32" t="s">
        <v>95</v>
      </c>
      <c r="B1233" s="32" t="s">
        <v>1858</v>
      </c>
      <c r="C1233" s="32" t="s">
        <v>560</v>
      </c>
      <c r="D1233" s="32" t="s">
        <v>269</v>
      </c>
      <c r="E1233" s="33">
        <v>52</v>
      </c>
      <c r="F1233" s="33">
        <v>687</v>
      </c>
      <c r="G1233" s="33">
        <v>56</v>
      </c>
      <c r="H1233" s="13">
        <f t="shared" si="19"/>
        <v>13.211538461538462</v>
      </c>
    </row>
    <row r="1234" spans="1:8" hidden="1" outlineLevel="2">
      <c r="A1234" s="32" t="s">
        <v>95</v>
      </c>
      <c r="B1234" s="32" t="s">
        <v>1862</v>
      </c>
      <c r="C1234" s="32" t="s">
        <v>542</v>
      </c>
      <c r="D1234" s="32" t="s">
        <v>493</v>
      </c>
      <c r="E1234" s="33">
        <v>86</v>
      </c>
      <c r="F1234" s="33">
        <v>1126</v>
      </c>
      <c r="G1234" s="33">
        <v>82</v>
      </c>
      <c r="H1234" s="13">
        <f t="shared" si="19"/>
        <v>13.093023255813954</v>
      </c>
    </row>
    <row r="1235" spans="1:8" hidden="1" outlineLevel="2">
      <c r="A1235" s="32" t="s">
        <v>95</v>
      </c>
      <c r="B1235" s="32" t="s">
        <v>1858</v>
      </c>
      <c r="C1235" s="32" t="s">
        <v>516</v>
      </c>
      <c r="D1235" s="32" t="s">
        <v>493</v>
      </c>
      <c r="E1235" s="33">
        <v>78</v>
      </c>
      <c r="F1235" s="33">
        <v>984</v>
      </c>
      <c r="G1235" s="33">
        <v>88</v>
      </c>
      <c r="H1235" s="13">
        <f t="shared" si="19"/>
        <v>12.615384615384615</v>
      </c>
    </row>
    <row r="1236" spans="1:8" hidden="1" outlineLevel="2">
      <c r="A1236" s="32" t="s">
        <v>95</v>
      </c>
      <c r="B1236" s="32" t="s">
        <v>1858</v>
      </c>
      <c r="C1236" s="32" t="s">
        <v>249</v>
      </c>
      <c r="D1236" s="32" t="s">
        <v>250</v>
      </c>
      <c r="E1236" s="33">
        <v>125</v>
      </c>
      <c r="F1236" s="33">
        <v>1566</v>
      </c>
      <c r="G1236" s="33">
        <v>120</v>
      </c>
      <c r="H1236" s="13">
        <f t="shared" si="19"/>
        <v>12.528</v>
      </c>
    </row>
    <row r="1237" spans="1:8" hidden="1" outlineLevel="2">
      <c r="A1237" s="32" t="s">
        <v>95</v>
      </c>
      <c r="B1237" s="32" t="s">
        <v>1858</v>
      </c>
      <c r="C1237" s="32" t="s">
        <v>249</v>
      </c>
      <c r="D1237" s="32" t="s">
        <v>262</v>
      </c>
      <c r="E1237" s="33">
        <v>150</v>
      </c>
      <c r="F1237" s="33">
        <v>1812</v>
      </c>
      <c r="G1237" s="33">
        <v>138</v>
      </c>
      <c r="H1237" s="13">
        <f t="shared" si="19"/>
        <v>12.08</v>
      </c>
    </row>
    <row r="1238" spans="1:8" hidden="1" outlineLevel="2">
      <c r="A1238" s="32" t="s">
        <v>95</v>
      </c>
      <c r="B1238" s="32" t="s">
        <v>1858</v>
      </c>
      <c r="C1238" s="32" t="s">
        <v>247</v>
      </c>
      <c r="D1238" s="32" t="s">
        <v>424</v>
      </c>
      <c r="E1238" s="33">
        <v>52</v>
      </c>
      <c r="F1238" s="33">
        <v>620</v>
      </c>
      <c r="G1238" s="33">
        <v>53</v>
      </c>
      <c r="H1238" s="13">
        <f t="shared" si="19"/>
        <v>11.923076923076923</v>
      </c>
    </row>
    <row r="1239" spans="1:8" hidden="1" outlineLevel="2">
      <c r="A1239" s="32" t="s">
        <v>95</v>
      </c>
      <c r="B1239" s="32" t="s">
        <v>1858</v>
      </c>
      <c r="C1239" s="32" t="s">
        <v>198</v>
      </c>
      <c r="D1239" s="32" t="s">
        <v>195</v>
      </c>
      <c r="E1239" s="33">
        <v>50</v>
      </c>
      <c r="F1239" s="33">
        <v>588</v>
      </c>
      <c r="G1239" s="33">
        <v>50</v>
      </c>
      <c r="H1239" s="13">
        <f t="shared" si="19"/>
        <v>11.76</v>
      </c>
    </row>
    <row r="1240" spans="1:8" hidden="1" outlineLevel="2">
      <c r="A1240" s="32" t="s">
        <v>95</v>
      </c>
      <c r="B1240" s="32" t="s">
        <v>1858</v>
      </c>
      <c r="C1240" s="32" t="s">
        <v>628</v>
      </c>
      <c r="D1240" s="32" t="s">
        <v>493</v>
      </c>
      <c r="E1240" s="33">
        <v>54</v>
      </c>
      <c r="F1240" s="33">
        <v>629</v>
      </c>
      <c r="G1240" s="33">
        <v>50</v>
      </c>
      <c r="H1240" s="13">
        <f t="shared" si="19"/>
        <v>11.648148148148149</v>
      </c>
    </row>
    <row r="1241" spans="1:8" hidden="1" outlineLevel="2">
      <c r="A1241" s="32" t="s">
        <v>95</v>
      </c>
      <c r="B1241" s="32" t="s">
        <v>1858</v>
      </c>
      <c r="C1241" s="32" t="s">
        <v>198</v>
      </c>
      <c r="D1241" s="32" t="s">
        <v>199</v>
      </c>
      <c r="E1241" s="33">
        <v>84</v>
      </c>
      <c r="F1241" s="33">
        <v>977</v>
      </c>
      <c r="G1241" s="33">
        <v>83</v>
      </c>
      <c r="H1241" s="13">
        <f t="shared" si="19"/>
        <v>11.630952380952381</v>
      </c>
    </row>
    <row r="1242" spans="1:8" hidden="1" outlineLevel="2">
      <c r="A1242" s="32" t="s">
        <v>95</v>
      </c>
      <c r="B1242" s="32" t="s">
        <v>1862</v>
      </c>
      <c r="C1242" s="32" t="s">
        <v>271</v>
      </c>
      <c r="D1242" s="32" t="s">
        <v>252</v>
      </c>
      <c r="E1242" s="33">
        <v>42</v>
      </c>
      <c r="F1242" s="33">
        <v>480</v>
      </c>
      <c r="G1242" s="33">
        <v>43</v>
      </c>
      <c r="H1242" s="13">
        <f t="shared" si="19"/>
        <v>11.428571428571429</v>
      </c>
    </row>
    <row r="1243" spans="1:8" hidden="1" outlineLevel="2">
      <c r="A1243" s="32" t="s">
        <v>95</v>
      </c>
      <c r="B1243" s="32" t="s">
        <v>1858</v>
      </c>
      <c r="C1243" s="32" t="s">
        <v>560</v>
      </c>
      <c r="D1243" s="32" t="s">
        <v>655</v>
      </c>
      <c r="E1243" s="33">
        <v>15</v>
      </c>
      <c r="F1243" s="33">
        <v>154</v>
      </c>
      <c r="G1243" s="33">
        <v>18</v>
      </c>
      <c r="H1243" s="13">
        <f t="shared" si="19"/>
        <v>10.266666666666667</v>
      </c>
    </row>
    <row r="1244" spans="1:8" hidden="1" outlineLevel="2">
      <c r="A1244" s="32" t="s">
        <v>95</v>
      </c>
      <c r="B1244" s="32" t="s">
        <v>1858</v>
      </c>
      <c r="C1244" s="32" t="s">
        <v>198</v>
      </c>
      <c r="D1244" s="32" t="s">
        <v>431</v>
      </c>
      <c r="E1244" s="33">
        <v>24</v>
      </c>
      <c r="F1244" s="33">
        <v>207</v>
      </c>
      <c r="G1244" s="33">
        <v>25</v>
      </c>
      <c r="H1244" s="13">
        <f t="shared" si="19"/>
        <v>8.625</v>
      </c>
    </row>
    <row r="1245" spans="1:8" hidden="1" outlineLevel="2">
      <c r="A1245" s="32" t="s">
        <v>95</v>
      </c>
      <c r="B1245" s="32" t="s">
        <v>1858</v>
      </c>
      <c r="C1245" s="32" t="s">
        <v>247</v>
      </c>
      <c r="D1245" s="32" t="s">
        <v>248</v>
      </c>
      <c r="E1245" s="33">
        <v>40</v>
      </c>
      <c r="F1245" s="33">
        <v>334</v>
      </c>
      <c r="G1245" s="33">
        <v>38</v>
      </c>
      <c r="H1245" s="13">
        <f t="shared" si="19"/>
        <v>8.35</v>
      </c>
    </row>
    <row r="1246" spans="1:8" outlineLevel="1" collapsed="1">
      <c r="A1246" s="37" t="s">
        <v>1878</v>
      </c>
      <c r="B1246" s="37"/>
      <c r="C1246" s="37"/>
      <c r="D1246" s="37"/>
      <c r="E1246" s="38">
        <f>SUBTOTAL(9,E1133:E1245)</f>
        <v>8802</v>
      </c>
      <c r="F1246" s="38">
        <f>SUBTOTAL(9,F1133:F1245)</f>
        <v>360253</v>
      </c>
      <c r="G1246" s="38">
        <f>SUBTOTAL(9,G1133:G1245)</f>
        <v>8780</v>
      </c>
      <c r="H1246" s="39">
        <f t="shared" si="19"/>
        <v>40.928538968416269</v>
      </c>
    </row>
    <row r="1247" spans="1:8" hidden="1" outlineLevel="2">
      <c r="A1247" s="32" t="s">
        <v>801</v>
      </c>
      <c r="B1247" s="32" t="s">
        <v>86</v>
      </c>
      <c r="C1247" s="32" t="s">
        <v>1127</v>
      </c>
      <c r="D1247" s="32" t="s">
        <v>802</v>
      </c>
      <c r="E1247" s="33">
        <v>24</v>
      </c>
      <c r="F1247" s="33">
        <v>3889</v>
      </c>
      <c r="G1247" s="33">
        <v>25</v>
      </c>
      <c r="H1247" s="13">
        <f t="shared" si="19"/>
        <v>162.04166666666666</v>
      </c>
    </row>
    <row r="1248" spans="1:8" hidden="1" outlineLevel="2">
      <c r="A1248" s="32" t="s">
        <v>801</v>
      </c>
      <c r="B1248" s="32" t="s">
        <v>86</v>
      </c>
      <c r="C1248" s="32" t="s">
        <v>794</v>
      </c>
      <c r="D1248" s="32" t="s">
        <v>802</v>
      </c>
      <c r="E1248" s="33">
        <v>21</v>
      </c>
      <c r="F1248" s="33">
        <v>3158</v>
      </c>
      <c r="G1248" s="33">
        <v>21</v>
      </c>
      <c r="H1248" s="13">
        <f t="shared" si="19"/>
        <v>150.38095238095238</v>
      </c>
    </row>
    <row r="1249" spans="1:8" hidden="1" outlineLevel="2">
      <c r="A1249" s="32" t="s">
        <v>801</v>
      </c>
      <c r="B1249" s="32" t="s">
        <v>86</v>
      </c>
      <c r="C1249" s="32" t="s">
        <v>794</v>
      </c>
      <c r="D1249" s="32" t="s">
        <v>802</v>
      </c>
      <c r="E1249" s="33">
        <v>27</v>
      </c>
      <c r="F1249" s="33">
        <v>3990</v>
      </c>
      <c r="G1249" s="33">
        <v>28</v>
      </c>
      <c r="H1249" s="13">
        <f t="shared" si="19"/>
        <v>147.77777777777777</v>
      </c>
    </row>
    <row r="1250" spans="1:8" hidden="1" outlineLevel="2">
      <c r="A1250" s="32" t="s">
        <v>801</v>
      </c>
      <c r="B1250" s="32" t="s">
        <v>86</v>
      </c>
      <c r="C1250" s="32" t="s">
        <v>794</v>
      </c>
      <c r="D1250" s="32" t="s">
        <v>802</v>
      </c>
      <c r="E1250" s="33">
        <v>21</v>
      </c>
      <c r="F1250" s="33">
        <v>3074</v>
      </c>
      <c r="G1250" s="33">
        <v>20</v>
      </c>
      <c r="H1250" s="13">
        <f t="shared" si="19"/>
        <v>146.38095238095238</v>
      </c>
    </row>
    <row r="1251" spans="1:8" hidden="1" outlineLevel="2">
      <c r="A1251" s="32" t="s">
        <v>801</v>
      </c>
      <c r="B1251" s="32" t="s">
        <v>1858</v>
      </c>
      <c r="C1251" s="32" t="s">
        <v>811</v>
      </c>
      <c r="D1251" s="32" t="s">
        <v>802</v>
      </c>
      <c r="E1251" s="33">
        <v>24</v>
      </c>
      <c r="F1251" s="33">
        <v>3358</v>
      </c>
      <c r="G1251" s="33">
        <v>24</v>
      </c>
      <c r="H1251" s="13">
        <f t="shared" si="19"/>
        <v>139.91666666666666</v>
      </c>
    </row>
    <row r="1252" spans="1:8" hidden="1" outlineLevel="2">
      <c r="A1252" s="32" t="s">
        <v>801</v>
      </c>
      <c r="B1252" s="32" t="s">
        <v>86</v>
      </c>
      <c r="C1252" s="32" t="s">
        <v>1127</v>
      </c>
      <c r="D1252" s="32" t="s">
        <v>802</v>
      </c>
      <c r="E1252" s="33">
        <v>24</v>
      </c>
      <c r="F1252" s="33">
        <v>2927</v>
      </c>
      <c r="G1252" s="33">
        <v>26</v>
      </c>
      <c r="H1252" s="13">
        <f t="shared" si="19"/>
        <v>121.95833333333333</v>
      </c>
    </row>
    <row r="1253" spans="1:8" hidden="1" outlineLevel="2">
      <c r="A1253" s="32" t="s">
        <v>801</v>
      </c>
      <c r="B1253" s="32" t="s">
        <v>86</v>
      </c>
      <c r="C1253" s="32" t="s">
        <v>804</v>
      </c>
      <c r="D1253" s="32" t="s">
        <v>802</v>
      </c>
      <c r="E1253" s="33">
        <v>48</v>
      </c>
      <c r="F1253" s="33">
        <v>5794</v>
      </c>
      <c r="G1253" s="33">
        <v>47</v>
      </c>
      <c r="H1253" s="13">
        <f t="shared" si="19"/>
        <v>120.70833333333333</v>
      </c>
    </row>
    <row r="1254" spans="1:8" hidden="1" outlineLevel="2">
      <c r="A1254" s="32" t="s">
        <v>801</v>
      </c>
      <c r="B1254" s="32" t="s">
        <v>86</v>
      </c>
      <c r="C1254" s="32" t="s">
        <v>794</v>
      </c>
      <c r="D1254" s="32" t="s">
        <v>834</v>
      </c>
      <c r="E1254" s="33">
        <v>48</v>
      </c>
      <c r="F1254" s="33">
        <v>5501</v>
      </c>
      <c r="G1254" s="33">
        <v>47</v>
      </c>
      <c r="H1254" s="13">
        <f t="shared" si="19"/>
        <v>114.60416666666667</v>
      </c>
    </row>
    <row r="1255" spans="1:8" hidden="1" outlineLevel="2">
      <c r="A1255" s="32" t="s">
        <v>801</v>
      </c>
      <c r="B1255" s="32" t="s">
        <v>1858</v>
      </c>
      <c r="C1255" s="32" t="s">
        <v>811</v>
      </c>
      <c r="D1255" s="32" t="s">
        <v>802</v>
      </c>
      <c r="E1255" s="33">
        <v>24</v>
      </c>
      <c r="F1255" s="33">
        <v>2744</v>
      </c>
      <c r="G1255" s="33">
        <v>24</v>
      </c>
      <c r="H1255" s="13">
        <f t="shared" si="19"/>
        <v>114.33333333333333</v>
      </c>
    </row>
    <row r="1256" spans="1:8" hidden="1" outlineLevel="2">
      <c r="A1256" s="32" t="s">
        <v>801</v>
      </c>
      <c r="B1256" s="32" t="s">
        <v>86</v>
      </c>
      <c r="C1256" s="32" t="s">
        <v>1127</v>
      </c>
      <c r="D1256" s="32" t="s">
        <v>802</v>
      </c>
      <c r="E1256" s="33">
        <v>24</v>
      </c>
      <c r="F1256" s="33">
        <v>2684</v>
      </c>
      <c r="G1256" s="33">
        <v>25</v>
      </c>
      <c r="H1256" s="13">
        <f t="shared" si="19"/>
        <v>111.83333333333333</v>
      </c>
    </row>
    <row r="1257" spans="1:8" hidden="1" outlineLevel="2">
      <c r="A1257" s="32" t="s">
        <v>801</v>
      </c>
      <c r="B1257" s="32" t="s">
        <v>1858</v>
      </c>
      <c r="C1257" s="32" t="s">
        <v>811</v>
      </c>
      <c r="D1257" s="32" t="s">
        <v>802</v>
      </c>
      <c r="E1257" s="33">
        <v>24</v>
      </c>
      <c r="F1257" s="33">
        <v>2667</v>
      </c>
      <c r="G1257" s="33">
        <v>24</v>
      </c>
      <c r="H1257" s="13">
        <f t="shared" si="19"/>
        <v>111.125</v>
      </c>
    </row>
    <row r="1258" spans="1:8" hidden="1" outlineLevel="2">
      <c r="A1258" s="32" t="s">
        <v>801</v>
      </c>
      <c r="B1258" s="32" t="s">
        <v>1858</v>
      </c>
      <c r="C1258" s="32" t="s">
        <v>800</v>
      </c>
      <c r="D1258" s="32" t="s">
        <v>802</v>
      </c>
      <c r="E1258" s="33">
        <v>19</v>
      </c>
      <c r="F1258" s="33">
        <v>2067</v>
      </c>
      <c r="G1258" s="33">
        <v>15</v>
      </c>
      <c r="H1258" s="13">
        <f t="shared" si="19"/>
        <v>108.78947368421052</v>
      </c>
    </row>
    <row r="1259" spans="1:8" hidden="1" outlineLevel="2">
      <c r="A1259" s="32" t="s">
        <v>801</v>
      </c>
      <c r="B1259" s="32" t="s">
        <v>86</v>
      </c>
      <c r="C1259" s="32" t="s">
        <v>812</v>
      </c>
      <c r="D1259" s="32" t="s">
        <v>802</v>
      </c>
      <c r="E1259" s="33">
        <v>23</v>
      </c>
      <c r="F1259" s="33">
        <v>2462</v>
      </c>
      <c r="G1259" s="33">
        <v>23</v>
      </c>
      <c r="H1259" s="13">
        <f t="shared" si="19"/>
        <v>107.04347826086956</v>
      </c>
    </row>
    <row r="1260" spans="1:8" hidden="1" outlineLevel="2">
      <c r="A1260" s="32" t="s">
        <v>801</v>
      </c>
      <c r="B1260" s="32" t="s">
        <v>1858</v>
      </c>
      <c r="C1260" s="32" t="s">
        <v>800</v>
      </c>
      <c r="D1260" s="32" t="s">
        <v>802</v>
      </c>
      <c r="E1260" s="33">
        <v>22</v>
      </c>
      <c r="F1260" s="33">
        <v>2341</v>
      </c>
      <c r="G1260" s="33">
        <v>23</v>
      </c>
      <c r="H1260" s="13">
        <f t="shared" si="19"/>
        <v>106.40909090909091</v>
      </c>
    </row>
    <row r="1261" spans="1:8" hidden="1" outlineLevel="2">
      <c r="A1261" s="32" t="s">
        <v>801</v>
      </c>
      <c r="B1261" s="32" t="s">
        <v>86</v>
      </c>
      <c r="C1261" s="32" t="s">
        <v>812</v>
      </c>
      <c r="D1261" s="32" t="s">
        <v>802</v>
      </c>
      <c r="E1261" s="33">
        <v>16</v>
      </c>
      <c r="F1261" s="33">
        <v>1686</v>
      </c>
      <c r="G1261" s="33">
        <v>16</v>
      </c>
      <c r="H1261" s="13">
        <f t="shared" si="19"/>
        <v>105.375</v>
      </c>
    </row>
    <row r="1262" spans="1:8" hidden="1" outlineLevel="2">
      <c r="A1262" s="32" t="s">
        <v>801</v>
      </c>
      <c r="B1262" s="32" t="s">
        <v>86</v>
      </c>
      <c r="C1262" s="32" t="s">
        <v>810</v>
      </c>
      <c r="D1262" s="32" t="s">
        <v>802</v>
      </c>
      <c r="E1262" s="33">
        <v>48</v>
      </c>
      <c r="F1262" s="33">
        <v>5030</v>
      </c>
      <c r="G1262" s="33">
        <v>47</v>
      </c>
      <c r="H1262" s="13">
        <f t="shared" si="19"/>
        <v>104.79166666666667</v>
      </c>
    </row>
    <row r="1263" spans="1:8" hidden="1" outlineLevel="2">
      <c r="A1263" s="32" t="s">
        <v>801</v>
      </c>
      <c r="B1263" s="32" t="s">
        <v>86</v>
      </c>
      <c r="C1263" s="32" t="s">
        <v>850</v>
      </c>
      <c r="D1263" s="32" t="s">
        <v>827</v>
      </c>
      <c r="E1263" s="33">
        <v>48</v>
      </c>
      <c r="F1263" s="33">
        <v>4879</v>
      </c>
      <c r="G1263" s="33">
        <v>47</v>
      </c>
      <c r="H1263" s="13">
        <f t="shared" si="19"/>
        <v>101.64583333333333</v>
      </c>
    </row>
    <row r="1264" spans="1:8" hidden="1" outlineLevel="2">
      <c r="A1264" s="32" t="s">
        <v>801</v>
      </c>
      <c r="B1264" s="32" t="s">
        <v>1862</v>
      </c>
      <c r="C1264" s="32" t="s">
        <v>813</v>
      </c>
      <c r="D1264" s="32" t="s">
        <v>802</v>
      </c>
      <c r="E1264" s="33">
        <v>23</v>
      </c>
      <c r="F1264" s="33">
        <v>2283</v>
      </c>
      <c r="G1264" s="33">
        <v>23</v>
      </c>
      <c r="H1264" s="13">
        <f t="shared" si="19"/>
        <v>99.260869565217391</v>
      </c>
    </row>
    <row r="1265" spans="1:8" hidden="1" outlineLevel="2">
      <c r="A1265" s="32" t="s">
        <v>801</v>
      </c>
      <c r="B1265" s="32" t="s">
        <v>86</v>
      </c>
      <c r="C1265" s="32" t="s">
        <v>794</v>
      </c>
      <c r="D1265" s="32" t="s">
        <v>802</v>
      </c>
      <c r="E1265" s="33">
        <v>27</v>
      </c>
      <c r="F1265" s="33">
        <v>2635</v>
      </c>
      <c r="G1265" s="33">
        <v>27</v>
      </c>
      <c r="H1265" s="13">
        <f t="shared" si="19"/>
        <v>97.592592592592595</v>
      </c>
    </row>
    <row r="1266" spans="1:8" hidden="1" outlineLevel="2">
      <c r="A1266" s="32" t="s">
        <v>801</v>
      </c>
      <c r="B1266" s="32" t="s">
        <v>1858</v>
      </c>
      <c r="C1266" s="32" t="s">
        <v>811</v>
      </c>
      <c r="D1266" s="32" t="s">
        <v>802</v>
      </c>
      <c r="E1266" s="33">
        <v>24</v>
      </c>
      <c r="F1266" s="33">
        <v>2335</v>
      </c>
      <c r="G1266" s="33">
        <v>24</v>
      </c>
      <c r="H1266" s="13">
        <f t="shared" si="19"/>
        <v>97.291666666666671</v>
      </c>
    </row>
    <row r="1267" spans="1:8" hidden="1" outlineLevel="2">
      <c r="A1267" s="32" t="s">
        <v>801</v>
      </c>
      <c r="B1267" s="32" t="s">
        <v>1858</v>
      </c>
      <c r="C1267" s="32" t="s">
        <v>811</v>
      </c>
      <c r="D1267" s="32" t="s">
        <v>827</v>
      </c>
      <c r="E1267" s="33">
        <v>48</v>
      </c>
      <c r="F1267" s="33">
        <v>4458</v>
      </c>
      <c r="G1267" s="33">
        <v>48</v>
      </c>
      <c r="H1267" s="13">
        <f t="shared" si="19"/>
        <v>92.875</v>
      </c>
    </row>
    <row r="1268" spans="1:8" hidden="1" outlineLevel="2">
      <c r="A1268" s="32" t="s">
        <v>801</v>
      </c>
      <c r="B1268" s="32" t="s">
        <v>86</v>
      </c>
      <c r="C1268" s="32" t="s">
        <v>804</v>
      </c>
      <c r="D1268" s="32" t="s">
        <v>802</v>
      </c>
      <c r="E1268" s="33">
        <v>48</v>
      </c>
      <c r="F1268" s="33">
        <v>4452</v>
      </c>
      <c r="G1268" s="33">
        <v>47</v>
      </c>
      <c r="H1268" s="13">
        <f t="shared" si="19"/>
        <v>92.75</v>
      </c>
    </row>
    <row r="1269" spans="1:8" hidden="1" outlineLevel="2">
      <c r="A1269" s="32" t="s">
        <v>801</v>
      </c>
      <c r="B1269" s="32" t="s">
        <v>86</v>
      </c>
      <c r="C1269" s="32" t="s">
        <v>1094</v>
      </c>
      <c r="D1269" s="32" t="s">
        <v>834</v>
      </c>
      <c r="E1269" s="33">
        <v>48</v>
      </c>
      <c r="F1269" s="33">
        <v>4370</v>
      </c>
      <c r="G1269" s="33">
        <v>47</v>
      </c>
      <c r="H1269" s="13">
        <f t="shared" si="19"/>
        <v>91.041666666666671</v>
      </c>
    </row>
    <row r="1270" spans="1:8" hidden="1" outlineLevel="2">
      <c r="A1270" s="32" t="s">
        <v>801</v>
      </c>
      <c r="B1270" s="32" t="s">
        <v>86</v>
      </c>
      <c r="C1270" s="32" t="s">
        <v>812</v>
      </c>
      <c r="D1270" s="32" t="s">
        <v>802</v>
      </c>
      <c r="E1270" s="33">
        <v>23</v>
      </c>
      <c r="F1270" s="33">
        <v>2073</v>
      </c>
      <c r="G1270" s="33">
        <v>23</v>
      </c>
      <c r="H1270" s="13">
        <f t="shared" si="19"/>
        <v>90.130434782608702</v>
      </c>
    </row>
    <row r="1271" spans="1:8" hidden="1" outlineLevel="2">
      <c r="A1271" s="32" t="s">
        <v>801</v>
      </c>
      <c r="B1271" s="32" t="s">
        <v>86</v>
      </c>
      <c r="C1271" s="32" t="s">
        <v>1127</v>
      </c>
      <c r="D1271" s="32" t="s">
        <v>802</v>
      </c>
      <c r="E1271" s="33">
        <v>24</v>
      </c>
      <c r="F1271" s="33">
        <v>2103</v>
      </c>
      <c r="G1271" s="33">
        <v>26</v>
      </c>
      <c r="H1271" s="13">
        <f t="shared" si="19"/>
        <v>87.625</v>
      </c>
    </row>
    <row r="1272" spans="1:8" hidden="1" outlineLevel="2">
      <c r="A1272" s="32" t="s">
        <v>801</v>
      </c>
      <c r="B1272" s="32" t="s">
        <v>86</v>
      </c>
      <c r="C1272" s="32" t="s">
        <v>1025</v>
      </c>
      <c r="D1272" s="32" t="s">
        <v>834</v>
      </c>
      <c r="E1272" s="33">
        <v>48</v>
      </c>
      <c r="F1272" s="33">
        <v>4110</v>
      </c>
      <c r="G1272" s="33">
        <v>44</v>
      </c>
      <c r="H1272" s="13">
        <f t="shared" si="19"/>
        <v>85.625</v>
      </c>
    </row>
    <row r="1273" spans="1:8" hidden="1" outlineLevel="2">
      <c r="A1273" s="32" t="s">
        <v>801</v>
      </c>
      <c r="B1273" s="32" t="s">
        <v>1858</v>
      </c>
      <c r="C1273" s="32" t="s">
        <v>800</v>
      </c>
      <c r="D1273" s="32" t="s">
        <v>802</v>
      </c>
      <c r="E1273" s="33">
        <v>23</v>
      </c>
      <c r="F1273" s="33">
        <v>1957</v>
      </c>
      <c r="G1273" s="33">
        <v>23</v>
      </c>
      <c r="H1273" s="13">
        <f t="shared" si="19"/>
        <v>85.086956521739125</v>
      </c>
    </row>
    <row r="1274" spans="1:8" hidden="1" outlineLevel="2">
      <c r="A1274" s="32" t="s">
        <v>801</v>
      </c>
      <c r="B1274" s="32" t="s">
        <v>86</v>
      </c>
      <c r="C1274" s="32" t="s">
        <v>794</v>
      </c>
      <c r="D1274" s="32" t="s">
        <v>827</v>
      </c>
      <c r="E1274" s="33">
        <v>96</v>
      </c>
      <c r="F1274" s="33">
        <v>8117</v>
      </c>
      <c r="G1274" s="33">
        <v>96</v>
      </c>
      <c r="H1274" s="13">
        <f t="shared" si="19"/>
        <v>84.552083333333329</v>
      </c>
    </row>
    <row r="1275" spans="1:8" hidden="1" outlineLevel="2">
      <c r="A1275" s="32" t="s">
        <v>801</v>
      </c>
      <c r="B1275" s="32" t="s">
        <v>1862</v>
      </c>
      <c r="C1275" s="32" t="s">
        <v>803</v>
      </c>
      <c r="D1275" s="32" t="s">
        <v>802</v>
      </c>
      <c r="E1275" s="33">
        <v>24</v>
      </c>
      <c r="F1275" s="33">
        <v>1921</v>
      </c>
      <c r="G1275" s="33">
        <v>22</v>
      </c>
      <c r="H1275" s="13">
        <f t="shared" si="19"/>
        <v>80.041666666666671</v>
      </c>
    </row>
    <row r="1276" spans="1:8" hidden="1" outlineLevel="2">
      <c r="A1276" s="32" t="s">
        <v>801</v>
      </c>
      <c r="B1276" s="32" t="s">
        <v>86</v>
      </c>
      <c r="C1276" s="32" t="s">
        <v>1023</v>
      </c>
      <c r="D1276" s="32" t="s">
        <v>834</v>
      </c>
      <c r="E1276" s="33">
        <v>48</v>
      </c>
      <c r="F1276" s="33">
        <v>3837</v>
      </c>
      <c r="G1276" s="33">
        <v>48</v>
      </c>
      <c r="H1276" s="13">
        <f t="shared" si="19"/>
        <v>79.9375</v>
      </c>
    </row>
    <row r="1277" spans="1:8" hidden="1" outlineLevel="2">
      <c r="A1277" s="32" t="s">
        <v>801</v>
      </c>
      <c r="B1277" s="32" t="s">
        <v>86</v>
      </c>
      <c r="C1277" s="32" t="s">
        <v>804</v>
      </c>
      <c r="D1277" s="32" t="s">
        <v>802</v>
      </c>
      <c r="E1277" s="33">
        <v>48</v>
      </c>
      <c r="F1277" s="33">
        <v>3807</v>
      </c>
      <c r="G1277" s="33">
        <v>48</v>
      </c>
      <c r="H1277" s="13">
        <f t="shared" si="19"/>
        <v>79.3125</v>
      </c>
    </row>
    <row r="1278" spans="1:8" hidden="1" outlineLevel="2">
      <c r="A1278" s="32" t="s">
        <v>801</v>
      </c>
      <c r="B1278" s="32" t="s">
        <v>86</v>
      </c>
      <c r="C1278" s="32" t="s">
        <v>1094</v>
      </c>
      <c r="D1278" s="32" t="s">
        <v>827</v>
      </c>
      <c r="E1278" s="33">
        <v>96</v>
      </c>
      <c r="F1278" s="33">
        <v>7581</v>
      </c>
      <c r="G1278" s="33">
        <v>94</v>
      </c>
      <c r="H1278" s="13">
        <f t="shared" si="19"/>
        <v>78.96875</v>
      </c>
    </row>
    <row r="1279" spans="1:8" hidden="1" outlineLevel="2">
      <c r="A1279" s="32" t="s">
        <v>801</v>
      </c>
      <c r="B1279" s="32" t="s">
        <v>86</v>
      </c>
      <c r="C1279" s="32" t="s">
        <v>850</v>
      </c>
      <c r="D1279" s="32" t="s">
        <v>834</v>
      </c>
      <c r="E1279" s="33">
        <v>48</v>
      </c>
      <c r="F1279" s="33">
        <v>3754</v>
      </c>
      <c r="G1279" s="33">
        <v>47</v>
      </c>
      <c r="H1279" s="13">
        <f t="shared" si="19"/>
        <v>78.208333333333329</v>
      </c>
    </row>
    <row r="1280" spans="1:8" hidden="1" outlineLevel="2">
      <c r="A1280" s="32" t="s">
        <v>801</v>
      </c>
      <c r="B1280" s="32" t="s">
        <v>1862</v>
      </c>
      <c r="C1280" s="32" t="s">
        <v>1072</v>
      </c>
      <c r="D1280" s="32" t="s">
        <v>827</v>
      </c>
      <c r="E1280" s="33">
        <v>48</v>
      </c>
      <c r="F1280" s="33">
        <v>3736</v>
      </c>
      <c r="G1280" s="33">
        <v>46</v>
      </c>
      <c r="H1280" s="13">
        <f t="shared" si="19"/>
        <v>77.833333333333329</v>
      </c>
    </row>
    <row r="1281" spans="1:8" hidden="1" outlineLevel="2">
      <c r="A1281" s="32" t="s">
        <v>801</v>
      </c>
      <c r="B1281" s="32" t="s">
        <v>1862</v>
      </c>
      <c r="C1281" s="32" t="s">
        <v>813</v>
      </c>
      <c r="D1281" s="32" t="s">
        <v>802</v>
      </c>
      <c r="E1281" s="33">
        <v>25</v>
      </c>
      <c r="F1281" s="33">
        <v>1935</v>
      </c>
      <c r="G1281" s="33">
        <v>27</v>
      </c>
      <c r="H1281" s="13">
        <f t="shared" si="19"/>
        <v>77.400000000000006</v>
      </c>
    </row>
    <row r="1282" spans="1:8" hidden="1" outlineLevel="2">
      <c r="A1282" s="32" t="s">
        <v>801</v>
      </c>
      <c r="B1282" s="32" t="s">
        <v>86</v>
      </c>
      <c r="C1282" s="32" t="s">
        <v>810</v>
      </c>
      <c r="D1282" s="32" t="s">
        <v>802</v>
      </c>
      <c r="E1282" s="33">
        <v>48</v>
      </c>
      <c r="F1282" s="33">
        <v>3712</v>
      </c>
      <c r="G1282" s="33">
        <v>49</v>
      </c>
      <c r="H1282" s="13">
        <f t="shared" ref="H1282:H1345" si="20">IFERROR(F1282/E1282,"")</f>
        <v>77.333333333333329</v>
      </c>
    </row>
    <row r="1283" spans="1:8" hidden="1" outlineLevel="2">
      <c r="A1283" s="32" t="s">
        <v>801</v>
      </c>
      <c r="B1283" s="32" t="s">
        <v>86</v>
      </c>
      <c r="C1283" s="32" t="s">
        <v>826</v>
      </c>
      <c r="D1283" s="32" t="s">
        <v>1017</v>
      </c>
      <c r="E1283" s="33">
        <v>48</v>
      </c>
      <c r="F1283" s="33">
        <v>3584</v>
      </c>
      <c r="G1283" s="33">
        <v>48</v>
      </c>
      <c r="H1283" s="13">
        <f t="shared" si="20"/>
        <v>74.666666666666671</v>
      </c>
    </row>
    <row r="1284" spans="1:8" hidden="1" outlineLevel="2">
      <c r="A1284" s="32" t="s">
        <v>801</v>
      </c>
      <c r="B1284" s="32" t="s">
        <v>86</v>
      </c>
      <c r="C1284" s="32" t="s">
        <v>833</v>
      </c>
      <c r="D1284" s="32" t="s">
        <v>827</v>
      </c>
      <c r="E1284" s="33">
        <v>48</v>
      </c>
      <c r="F1284" s="33">
        <v>3563</v>
      </c>
      <c r="G1284" s="33">
        <v>46</v>
      </c>
      <c r="H1284" s="13">
        <f t="shared" si="20"/>
        <v>74.229166666666671</v>
      </c>
    </row>
    <row r="1285" spans="1:8" hidden="1" outlineLevel="2">
      <c r="A1285" s="32" t="s">
        <v>801</v>
      </c>
      <c r="B1285" s="32" t="s">
        <v>86</v>
      </c>
      <c r="C1285" s="32" t="s">
        <v>804</v>
      </c>
      <c r="D1285" s="32" t="s">
        <v>1017</v>
      </c>
      <c r="E1285" s="33">
        <v>48</v>
      </c>
      <c r="F1285" s="33">
        <v>3389</v>
      </c>
      <c r="G1285" s="33">
        <v>48</v>
      </c>
      <c r="H1285" s="13">
        <f t="shared" si="20"/>
        <v>70.604166666666671</v>
      </c>
    </row>
    <row r="1286" spans="1:8" hidden="1" outlineLevel="2">
      <c r="A1286" s="32" t="s">
        <v>801</v>
      </c>
      <c r="B1286" s="32" t="s">
        <v>86</v>
      </c>
      <c r="C1286" s="32" t="s">
        <v>810</v>
      </c>
      <c r="D1286" s="32" t="s">
        <v>802</v>
      </c>
      <c r="E1286" s="33">
        <v>48</v>
      </c>
      <c r="F1286" s="33">
        <v>3352</v>
      </c>
      <c r="G1286" s="33">
        <v>48</v>
      </c>
      <c r="H1286" s="13">
        <f t="shared" si="20"/>
        <v>69.833333333333329</v>
      </c>
    </row>
    <row r="1287" spans="1:8" hidden="1" outlineLevel="2">
      <c r="A1287" s="32" t="s">
        <v>801</v>
      </c>
      <c r="B1287" s="32" t="s">
        <v>86</v>
      </c>
      <c r="C1287" s="32" t="s">
        <v>840</v>
      </c>
      <c r="D1287" s="32" t="s">
        <v>827</v>
      </c>
      <c r="E1287" s="33">
        <v>48</v>
      </c>
      <c r="F1287" s="33">
        <v>3274</v>
      </c>
      <c r="G1287" s="33">
        <v>43</v>
      </c>
      <c r="H1287" s="13">
        <f t="shared" si="20"/>
        <v>68.208333333333329</v>
      </c>
    </row>
    <row r="1288" spans="1:8" hidden="1" outlineLevel="2">
      <c r="A1288" s="32" t="s">
        <v>801</v>
      </c>
      <c r="B1288" s="32" t="s">
        <v>86</v>
      </c>
      <c r="C1288" s="32" t="s">
        <v>1203</v>
      </c>
      <c r="D1288" s="32" t="s">
        <v>1011</v>
      </c>
      <c r="E1288" s="33">
        <v>48</v>
      </c>
      <c r="F1288" s="33">
        <v>3247</v>
      </c>
      <c r="G1288" s="33">
        <v>47</v>
      </c>
      <c r="H1288" s="13">
        <f t="shared" si="20"/>
        <v>67.645833333333329</v>
      </c>
    </row>
    <row r="1289" spans="1:8" hidden="1" outlineLevel="2">
      <c r="A1289" s="32" t="s">
        <v>801</v>
      </c>
      <c r="B1289" s="32" t="s">
        <v>86</v>
      </c>
      <c r="C1289" s="32" t="s">
        <v>1024</v>
      </c>
      <c r="D1289" s="32" t="s">
        <v>1017</v>
      </c>
      <c r="E1289" s="33">
        <v>48</v>
      </c>
      <c r="F1289" s="33">
        <v>3189</v>
      </c>
      <c r="G1289" s="33">
        <v>48</v>
      </c>
      <c r="H1289" s="13">
        <f t="shared" si="20"/>
        <v>66.4375</v>
      </c>
    </row>
    <row r="1290" spans="1:8" hidden="1" outlineLevel="2">
      <c r="A1290" s="32" t="s">
        <v>801</v>
      </c>
      <c r="B1290" s="32" t="s">
        <v>86</v>
      </c>
      <c r="C1290" s="32" t="s">
        <v>804</v>
      </c>
      <c r="D1290" s="32" t="s">
        <v>827</v>
      </c>
      <c r="E1290" s="33">
        <v>142</v>
      </c>
      <c r="F1290" s="33">
        <v>9367</v>
      </c>
      <c r="G1290" s="33">
        <v>140</v>
      </c>
      <c r="H1290" s="13">
        <f t="shared" si="20"/>
        <v>65.964788732394368</v>
      </c>
    </row>
    <row r="1291" spans="1:8" hidden="1" outlineLevel="2">
      <c r="A1291" s="32" t="s">
        <v>801</v>
      </c>
      <c r="B1291" s="32" t="s">
        <v>1862</v>
      </c>
      <c r="C1291" s="32" t="s">
        <v>813</v>
      </c>
      <c r="D1291" s="32" t="s">
        <v>802</v>
      </c>
      <c r="E1291" s="33">
        <v>25</v>
      </c>
      <c r="F1291" s="33">
        <v>1638</v>
      </c>
      <c r="G1291" s="33">
        <v>25</v>
      </c>
      <c r="H1291" s="13">
        <f t="shared" si="20"/>
        <v>65.52</v>
      </c>
    </row>
    <row r="1292" spans="1:8" hidden="1" outlineLevel="2">
      <c r="A1292" s="32" t="s">
        <v>801</v>
      </c>
      <c r="B1292" s="32" t="s">
        <v>86</v>
      </c>
      <c r="C1292" s="32" t="s">
        <v>804</v>
      </c>
      <c r="D1292" s="32" t="s">
        <v>869</v>
      </c>
      <c r="E1292" s="33">
        <v>48</v>
      </c>
      <c r="F1292" s="33">
        <v>3095</v>
      </c>
      <c r="G1292" s="33">
        <v>48</v>
      </c>
      <c r="H1292" s="13">
        <f t="shared" si="20"/>
        <v>64.479166666666671</v>
      </c>
    </row>
    <row r="1293" spans="1:8" hidden="1" outlineLevel="2">
      <c r="A1293" s="32" t="s">
        <v>801</v>
      </c>
      <c r="B1293" s="32" t="s">
        <v>1862</v>
      </c>
      <c r="C1293" s="32" t="s">
        <v>813</v>
      </c>
      <c r="D1293" s="32" t="s">
        <v>802</v>
      </c>
      <c r="E1293" s="33">
        <v>23</v>
      </c>
      <c r="F1293" s="33">
        <v>1459</v>
      </c>
      <c r="G1293" s="33">
        <v>21</v>
      </c>
      <c r="H1293" s="13">
        <f t="shared" si="20"/>
        <v>63.434782608695649</v>
      </c>
    </row>
    <row r="1294" spans="1:8" hidden="1" outlineLevel="2">
      <c r="A1294" s="32" t="s">
        <v>801</v>
      </c>
      <c r="B1294" s="32" t="s">
        <v>86</v>
      </c>
      <c r="C1294" s="32" t="s">
        <v>820</v>
      </c>
      <c r="D1294" s="32" t="s">
        <v>1021</v>
      </c>
      <c r="E1294" s="33">
        <v>48</v>
      </c>
      <c r="F1294" s="33">
        <v>3027</v>
      </c>
      <c r="G1294" s="33">
        <v>47</v>
      </c>
      <c r="H1294" s="13">
        <f t="shared" si="20"/>
        <v>63.0625</v>
      </c>
    </row>
    <row r="1295" spans="1:8" hidden="1" outlineLevel="2">
      <c r="A1295" s="32" t="s">
        <v>801</v>
      </c>
      <c r="B1295" s="32" t="s">
        <v>86</v>
      </c>
      <c r="C1295" s="32" t="s">
        <v>826</v>
      </c>
      <c r="D1295" s="32" t="s">
        <v>834</v>
      </c>
      <c r="E1295" s="33">
        <v>96</v>
      </c>
      <c r="F1295" s="33">
        <v>6033</v>
      </c>
      <c r="G1295" s="33">
        <v>95</v>
      </c>
      <c r="H1295" s="13">
        <f t="shared" si="20"/>
        <v>62.84375</v>
      </c>
    </row>
    <row r="1296" spans="1:8" hidden="1" outlineLevel="2">
      <c r="A1296" s="32" t="s">
        <v>801</v>
      </c>
      <c r="B1296" s="32" t="s">
        <v>86</v>
      </c>
      <c r="C1296" s="32" t="s">
        <v>794</v>
      </c>
      <c r="D1296" s="32" t="s">
        <v>869</v>
      </c>
      <c r="E1296" s="33">
        <v>48</v>
      </c>
      <c r="F1296" s="33">
        <v>2957</v>
      </c>
      <c r="G1296" s="33">
        <v>47</v>
      </c>
      <c r="H1296" s="13">
        <f t="shared" si="20"/>
        <v>61.604166666666664</v>
      </c>
    </row>
    <row r="1297" spans="1:8" hidden="1" outlineLevel="2">
      <c r="A1297" s="32" t="s">
        <v>801</v>
      </c>
      <c r="B1297" s="32" t="s">
        <v>86</v>
      </c>
      <c r="C1297" s="32" t="s">
        <v>828</v>
      </c>
      <c r="D1297" s="32" t="s">
        <v>834</v>
      </c>
      <c r="E1297" s="33">
        <v>96</v>
      </c>
      <c r="F1297" s="33">
        <v>5783</v>
      </c>
      <c r="G1297" s="33">
        <v>95</v>
      </c>
      <c r="H1297" s="13">
        <f t="shared" si="20"/>
        <v>60.239583333333336</v>
      </c>
    </row>
    <row r="1298" spans="1:8" hidden="1" outlineLevel="2">
      <c r="A1298" s="32" t="s">
        <v>801</v>
      </c>
      <c r="B1298" s="32" t="s">
        <v>86</v>
      </c>
      <c r="C1298" s="32" t="s">
        <v>841</v>
      </c>
      <c r="D1298" s="32" t="s">
        <v>827</v>
      </c>
      <c r="E1298" s="33">
        <v>48</v>
      </c>
      <c r="F1298" s="33">
        <v>2864</v>
      </c>
      <c r="G1298" s="33">
        <v>48</v>
      </c>
      <c r="H1298" s="13">
        <f t="shared" si="20"/>
        <v>59.666666666666664</v>
      </c>
    </row>
    <row r="1299" spans="1:8" hidden="1" outlineLevel="2">
      <c r="A1299" s="32" t="s">
        <v>801</v>
      </c>
      <c r="B1299" s="32" t="s">
        <v>86</v>
      </c>
      <c r="C1299" s="32" t="s">
        <v>856</v>
      </c>
      <c r="D1299" s="32" t="s">
        <v>1021</v>
      </c>
      <c r="E1299" s="33">
        <v>48</v>
      </c>
      <c r="F1299" s="33">
        <v>2856</v>
      </c>
      <c r="G1299" s="33">
        <v>50</v>
      </c>
      <c r="H1299" s="13">
        <f t="shared" si="20"/>
        <v>59.5</v>
      </c>
    </row>
    <row r="1300" spans="1:8" hidden="1" outlineLevel="2">
      <c r="A1300" s="32" t="s">
        <v>801</v>
      </c>
      <c r="B1300" s="32" t="s">
        <v>86</v>
      </c>
      <c r="C1300" s="32" t="s">
        <v>1128</v>
      </c>
      <c r="D1300" s="32" t="s">
        <v>802</v>
      </c>
      <c r="E1300" s="33">
        <v>40</v>
      </c>
      <c r="F1300" s="33">
        <v>2365</v>
      </c>
      <c r="G1300" s="33">
        <v>40</v>
      </c>
      <c r="H1300" s="13">
        <f t="shared" si="20"/>
        <v>59.125</v>
      </c>
    </row>
    <row r="1301" spans="1:8" hidden="1" outlineLevel="2">
      <c r="A1301" s="32" t="s">
        <v>801</v>
      </c>
      <c r="B1301" s="32" t="s">
        <v>86</v>
      </c>
      <c r="C1301" s="32" t="s">
        <v>1025</v>
      </c>
      <c r="D1301" s="32" t="s">
        <v>830</v>
      </c>
      <c r="E1301" s="33">
        <v>48</v>
      </c>
      <c r="F1301" s="33">
        <v>2815</v>
      </c>
      <c r="G1301" s="33">
        <v>47</v>
      </c>
      <c r="H1301" s="13">
        <f t="shared" si="20"/>
        <v>58.645833333333336</v>
      </c>
    </row>
    <row r="1302" spans="1:8" hidden="1" outlineLevel="2">
      <c r="A1302" s="32" t="s">
        <v>801</v>
      </c>
      <c r="B1302" s="32" t="s">
        <v>86</v>
      </c>
      <c r="C1302" s="32" t="s">
        <v>1023</v>
      </c>
      <c r="D1302" s="32" t="s">
        <v>827</v>
      </c>
      <c r="E1302" s="33">
        <v>96</v>
      </c>
      <c r="F1302" s="33">
        <v>5603</v>
      </c>
      <c r="G1302" s="33">
        <v>94</v>
      </c>
      <c r="H1302" s="13">
        <f t="shared" si="20"/>
        <v>58.364583333333336</v>
      </c>
    </row>
    <row r="1303" spans="1:8" hidden="1" outlineLevel="2">
      <c r="A1303" s="32" t="s">
        <v>801</v>
      </c>
      <c r="B1303" s="32" t="s">
        <v>86</v>
      </c>
      <c r="C1303" s="32" t="s">
        <v>1027</v>
      </c>
      <c r="D1303" s="32" t="s">
        <v>869</v>
      </c>
      <c r="E1303" s="33">
        <v>48</v>
      </c>
      <c r="F1303" s="33">
        <v>2800</v>
      </c>
      <c r="G1303" s="33">
        <v>50</v>
      </c>
      <c r="H1303" s="13">
        <f t="shared" si="20"/>
        <v>58.333333333333336</v>
      </c>
    </row>
    <row r="1304" spans="1:8" hidden="1" outlineLevel="2">
      <c r="A1304" s="32" t="s">
        <v>801</v>
      </c>
      <c r="B1304" s="32" t="s">
        <v>1862</v>
      </c>
      <c r="C1304" s="32" t="s">
        <v>1015</v>
      </c>
      <c r="D1304" s="32" t="s">
        <v>802</v>
      </c>
      <c r="E1304" s="33">
        <v>24</v>
      </c>
      <c r="F1304" s="33">
        <v>1399</v>
      </c>
      <c r="G1304" s="33">
        <v>17</v>
      </c>
      <c r="H1304" s="13">
        <f t="shared" si="20"/>
        <v>58.291666666666664</v>
      </c>
    </row>
    <row r="1305" spans="1:8" hidden="1" outlineLevel="2">
      <c r="A1305" s="32" t="s">
        <v>801</v>
      </c>
      <c r="B1305" s="32" t="s">
        <v>1862</v>
      </c>
      <c r="C1305" s="32" t="s">
        <v>1072</v>
      </c>
      <c r="D1305" s="32" t="s">
        <v>869</v>
      </c>
      <c r="E1305" s="33">
        <v>48</v>
      </c>
      <c r="F1305" s="33">
        <v>2785</v>
      </c>
      <c r="G1305" s="33">
        <v>48</v>
      </c>
      <c r="H1305" s="13">
        <f t="shared" si="20"/>
        <v>58.020833333333336</v>
      </c>
    </row>
    <row r="1306" spans="1:8" hidden="1" outlineLevel="2">
      <c r="A1306" s="32" t="s">
        <v>801</v>
      </c>
      <c r="B1306" s="32" t="s">
        <v>86</v>
      </c>
      <c r="C1306" s="32" t="s">
        <v>1025</v>
      </c>
      <c r="D1306" s="32" t="s">
        <v>827</v>
      </c>
      <c r="E1306" s="33">
        <v>96</v>
      </c>
      <c r="F1306" s="33">
        <v>5539</v>
      </c>
      <c r="G1306" s="33">
        <v>94</v>
      </c>
      <c r="H1306" s="13">
        <f t="shared" si="20"/>
        <v>57.697916666666664</v>
      </c>
    </row>
    <row r="1307" spans="1:8" hidden="1" outlineLevel="2">
      <c r="A1307" s="32" t="s">
        <v>801</v>
      </c>
      <c r="B1307" s="32" t="s">
        <v>86</v>
      </c>
      <c r="C1307" s="32" t="s">
        <v>826</v>
      </c>
      <c r="D1307" s="32" t="s">
        <v>827</v>
      </c>
      <c r="E1307" s="33">
        <v>144</v>
      </c>
      <c r="F1307" s="33">
        <v>8275</v>
      </c>
      <c r="G1307" s="33">
        <v>144</v>
      </c>
      <c r="H1307" s="13">
        <f t="shared" si="20"/>
        <v>57.465277777777779</v>
      </c>
    </row>
    <row r="1308" spans="1:8" hidden="1" outlineLevel="2">
      <c r="A1308" s="32" t="s">
        <v>801</v>
      </c>
      <c r="B1308" s="32" t="s">
        <v>1862</v>
      </c>
      <c r="C1308" s="32" t="s">
        <v>803</v>
      </c>
      <c r="D1308" s="32" t="s">
        <v>802</v>
      </c>
      <c r="E1308" s="33">
        <v>24</v>
      </c>
      <c r="F1308" s="33">
        <v>1367</v>
      </c>
      <c r="G1308" s="33">
        <v>24</v>
      </c>
      <c r="H1308" s="13">
        <f t="shared" si="20"/>
        <v>56.958333333333336</v>
      </c>
    </row>
    <row r="1309" spans="1:8" hidden="1" outlineLevel="2">
      <c r="A1309" s="32" t="s">
        <v>801</v>
      </c>
      <c r="B1309" s="32" t="s">
        <v>86</v>
      </c>
      <c r="C1309" s="32" t="s">
        <v>794</v>
      </c>
      <c r="D1309" s="32" t="s">
        <v>830</v>
      </c>
      <c r="E1309" s="33">
        <v>48</v>
      </c>
      <c r="F1309" s="33">
        <v>2717</v>
      </c>
      <c r="G1309" s="33">
        <v>45</v>
      </c>
      <c r="H1309" s="13">
        <f t="shared" si="20"/>
        <v>56.604166666666664</v>
      </c>
    </row>
    <row r="1310" spans="1:8" hidden="1" outlineLevel="2">
      <c r="A1310" s="32" t="s">
        <v>801</v>
      </c>
      <c r="B1310" s="32" t="s">
        <v>86</v>
      </c>
      <c r="C1310" s="32" t="s">
        <v>810</v>
      </c>
      <c r="D1310" s="32" t="s">
        <v>802</v>
      </c>
      <c r="E1310" s="33">
        <v>48</v>
      </c>
      <c r="F1310" s="33">
        <v>2651</v>
      </c>
      <c r="G1310" s="33">
        <v>47</v>
      </c>
      <c r="H1310" s="13">
        <f t="shared" si="20"/>
        <v>55.229166666666664</v>
      </c>
    </row>
    <row r="1311" spans="1:8" hidden="1" outlineLevel="2">
      <c r="A1311" s="32" t="s">
        <v>801</v>
      </c>
      <c r="B1311" s="32" t="s">
        <v>86</v>
      </c>
      <c r="C1311" s="32" t="s">
        <v>828</v>
      </c>
      <c r="D1311" s="32" t="s">
        <v>827</v>
      </c>
      <c r="E1311" s="33">
        <v>144</v>
      </c>
      <c r="F1311" s="33">
        <v>7840</v>
      </c>
      <c r="G1311" s="33">
        <v>141</v>
      </c>
      <c r="H1311" s="13">
        <f t="shared" si="20"/>
        <v>54.444444444444443</v>
      </c>
    </row>
    <row r="1312" spans="1:8" hidden="1" outlineLevel="2">
      <c r="A1312" s="32" t="s">
        <v>801</v>
      </c>
      <c r="B1312" s="32" t="s">
        <v>1862</v>
      </c>
      <c r="C1312" s="32" t="s">
        <v>803</v>
      </c>
      <c r="D1312" s="32" t="s">
        <v>802</v>
      </c>
      <c r="E1312" s="33">
        <v>24</v>
      </c>
      <c r="F1312" s="33">
        <v>1281</v>
      </c>
      <c r="G1312" s="33">
        <v>24</v>
      </c>
      <c r="H1312" s="13">
        <f t="shared" si="20"/>
        <v>53.375</v>
      </c>
    </row>
    <row r="1313" spans="1:8" hidden="1" outlineLevel="2">
      <c r="A1313" s="32" t="s">
        <v>801</v>
      </c>
      <c r="B1313" s="32" t="s">
        <v>86</v>
      </c>
      <c r="C1313" s="32" t="s">
        <v>1137</v>
      </c>
      <c r="D1313" s="32" t="s">
        <v>830</v>
      </c>
      <c r="E1313" s="33">
        <v>48</v>
      </c>
      <c r="F1313" s="33">
        <v>2561</v>
      </c>
      <c r="G1313" s="33">
        <v>45</v>
      </c>
      <c r="H1313" s="13">
        <f t="shared" si="20"/>
        <v>53.354166666666664</v>
      </c>
    </row>
    <row r="1314" spans="1:8" hidden="1" outlineLevel="2">
      <c r="A1314" s="32" t="s">
        <v>801</v>
      </c>
      <c r="B1314" s="32" t="s">
        <v>1862</v>
      </c>
      <c r="C1314" s="32" t="s">
        <v>1073</v>
      </c>
      <c r="D1314" s="32" t="s">
        <v>827</v>
      </c>
      <c r="E1314" s="33">
        <v>48</v>
      </c>
      <c r="F1314" s="33">
        <v>2558</v>
      </c>
      <c r="G1314" s="33">
        <v>47</v>
      </c>
      <c r="H1314" s="13">
        <f t="shared" si="20"/>
        <v>53.291666666666664</v>
      </c>
    </row>
    <row r="1315" spans="1:8" hidden="1" outlineLevel="2">
      <c r="A1315" s="32" t="s">
        <v>801</v>
      </c>
      <c r="B1315" s="32" t="s">
        <v>86</v>
      </c>
      <c r="C1315" s="32" t="s">
        <v>1029</v>
      </c>
      <c r="D1315" s="32" t="s">
        <v>1216</v>
      </c>
      <c r="E1315" s="33">
        <v>10</v>
      </c>
      <c r="F1315" s="33">
        <v>528</v>
      </c>
      <c r="G1315" s="33">
        <v>12</v>
      </c>
      <c r="H1315" s="13">
        <f t="shared" si="20"/>
        <v>52.8</v>
      </c>
    </row>
    <row r="1316" spans="1:8" hidden="1" outlineLevel="2">
      <c r="A1316" s="32" t="s">
        <v>801</v>
      </c>
      <c r="B1316" s="32" t="s">
        <v>86</v>
      </c>
      <c r="C1316" s="32" t="s">
        <v>804</v>
      </c>
      <c r="D1316" s="32" t="s">
        <v>834</v>
      </c>
      <c r="E1316" s="33">
        <v>144</v>
      </c>
      <c r="F1316" s="33">
        <v>7585</v>
      </c>
      <c r="G1316" s="33">
        <v>143</v>
      </c>
      <c r="H1316" s="13">
        <f t="shared" si="20"/>
        <v>52.673611111111114</v>
      </c>
    </row>
    <row r="1317" spans="1:8" hidden="1" outlineLevel="2">
      <c r="A1317" s="32" t="s">
        <v>801</v>
      </c>
      <c r="B1317" s="32" t="s">
        <v>86</v>
      </c>
      <c r="C1317" s="32" t="s">
        <v>1201</v>
      </c>
      <c r="D1317" s="32" t="s">
        <v>834</v>
      </c>
      <c r="E1317" s="33">
        <v>48</v>
      </c>
      <c r="F1317" s="33">
        <v>2515</v>
      </c>
      <c r="G1317" s="33">
        <v>47</v>
      </c>
      <c r="H1317" s="13">
        <f t="shared" si="20"/>
        <v>52.395833333333336</v>
      </c>
    </row>
    <row r="1318" spans="1:8" hidden="1" outlineLevel="2">
      <c r="A1318" s="32" t="s">
        <v>801</v>
      </c>
      <c r="B1318" s="32" t="s">
        <v>86</v>
      </c>
      <c r="C1318" s="32" t="s">
        <v>1024</v>
      </c>
      <c r="D1318" s="32" t="s">
        <v>827</v>
      </c>
      <c r="E1318" s="33">
        <v>192</v>
      </c>
      <c r="F1318" s="33">
        <v>10025</v>
      </c>
      <c r="G1318" s="33">
        <v>189</v>
      </c>
      <c r="H1318" s="13">
        <f t="shared" si="20"/>
        <v>52.213541666666664</v>
      </c>
    </row>
    <row r="1319" spans="1:8" hidden="1" outlineLevel="2">
      <c r="A1319" s="32" t="s">
        <v>801</v>
      </c>
      <c r="B1319" s="32" t="s">
        <v>86</v>
      </c>
      <c r="C1319" s="32" t="s">
        <v>1012</v>
      </c>
      <c r="D1319" s="32" t="s">
        <v>802</v>
      </c>
      <c r="E1319" s="33">
        <v>40</v>
      </c>
      <c r="F1319" s="33">
        <v>2068</v>
      </c>
      <c r="G1319" s="33">
        <v>39</v>
      </c>
      <c r="H1319" s="13">
        <f t="shared" si="20"/>
        <v>51.7</v>
      </c>
    </row>
    <row r="1320" spans="1:8" hidden="1" outlineLevel="2">
      <c r="A1320" s="32" t="s">
        <v>801</v>
      </c>
      <c r="B1320" s="32" t="s">
        <v>86</v>
      </c>
      <c r="C1320" s="32" t="s">
        <v>840</v>
      </c>
      <c r="D1320" s="32" t="s">
        <v>1017</v>
      </c>
      <c r="E1320" s="33">
        <v>48</v>
      </c>
      <c r="F1320" s="33">
        <v>2442</v>
      </c>
      <c r="G1320" s="33">
        <v>48</v>
      </c>
      <c r="H1320" s="13">
        <f t="shared" si="20"/>
        <v>50.875</v>
      </c>
    </row>
    <row r="1321" spans="1:8" hidden="1" outlineLevel="2">
      <c r="A1321" s="32" t="s">
        <v>801</v>
      </c>
      <c r="B1321" s="32" t="s">
        <v>1858</v>
      </c>
      <c r="C1321" s="32" t="s">
        <v>811</v>
      </c>
      <c r="D1321" s="32" t="s">
        <v>1017</v>
      </c>
      <c r="E1321" s="33">
        <v>48</v>
      </c>
      <c r="F1321" s="33">
        <v>2375</v>
      </c>
      <c r="G1321" s="33">
        <v>48</v>
      </c>
      <c r="H1321" s="13">
        <f t="shared" si="20"/>
        <v>49.479166666666664</v>
      </c>
    </row>
    <row r="1322" spans="1:8" hidden="1" outlineLevel="2">
      <c r="A1322" s="32" t="s">
        <v>801</v>
      </c>
      <c r="B1322" s="32" t="s">
        <v>86</v>
      </c>
      <c r="C1322" s="32" t="s">
        <v>812</v>
      </c>
      <c r="D1322" s="32" t="s">
        <v>802</v>
      </c>
      <c r="E1322" s="33">
        <v>65</v>
      </c>
      <c r="F1322" s="33">
        <v>3173</v>
      </c>
      <c r="G1322" s="33">
        <v>66</v>
      </c>
      <c r="H1322" s="13">
        <f t="shared" si="20"/>
        <v>48.815384615384616</v>
      </c>
    </row>
    <row r="1323" spans="1:8" hidden="1" outlineLevel="2">
      <c r="A1323" s="32" t="s">
        <v>801</v>
      </c>
      <c r="B1323" s="32" t="s">
        <v>86</v>
      </c>
      <c r="C1323" s="32" t="s">
        <v>810</v>
      </c>
      <c r="D1323" s="32" t="s">
        <v>834</v>
      </c>
      <c r="E1323" s="33">
        <v>48</v>
      </c>
      <c r="F1323" s="33">
        <v>2342</v>
      </c>
      <c r="G1323" s="33">
        <v>46</v>
      </c>
      <c r="H1323" s="13">
        <f t="shared" si="20"/>
        <v>48.791666666666664</v>
      </c>
    </row>
    <row r="1324" spans="1:8" hidden="1" outlineLevel="2">
      <c r="A1324" s="32" t="s">
        <v>801</v>
      </c>
      <c r="B1324" s="32" t="s">
        <v>86</v>
      </c>
      <c r="C1324" s="32" t="s">
        <v>828</v>
      </c>
      <c r="D1324" s="32" t="s">
        <v>829</v>
      </c>
      <c r="E1324" s="33">
        <v>45</v>
      </c>
      <c r="F1324" s="33">
        <v>2167</v>
      </c>
      <c r="G1324" s="33">
        <v>44</v>
      </c>
      <c r="H1324" s="13">
        <f t="shared" si="20"/>
        <v>48.155555555555559</v>
      </c>
    </row>
    <row r="1325" spans="1:8" hidden="1" outlineLevel="2">
      <c r="A1325" s="32" t="s">
        <v>801</v>
      </c>
      <c r="B1325" s="32" t="s">
        <v>86</v>
      </c>
      <c r="C1325" s="32" t="s">
        <v>841</v>
      </c>
      <c r="D1325" s="32" t="s">
        <v>830</v>
      </c>
      <c r="E1325" s="33">
        <v>48</v>
      </c>
      <c r="F1325" s="33">
        <v>2296</v>
      </c>
      <c r="G1325" s="33">
        <v>47</v>
      </c>
      <c r="H1325" s="13">
        <f t="shared" si="20"/>
        <v>47.833333333333336</v>
      </c>
    </row>
    <row r="1326" spans="1:8" hidden="1" outlineLevel="2">
      <c r="A1326" s="32" t="s">
        <v>801</v>
      </c>
      <c r="B1326" s="32" t="s">
        <v>86</v>
      </c>
      <c r="C1326" s="32" t="s">
        <v>1136</v>
      </c>
      <c r="D1326" s="32" t="s">
        <v>1017</v>
      </c>
      <c r="E1326" s="33">
        <v>48</v>
      </c>
      <c r="F1326" s="33">
        <v>2291</v>
      </c>
      <c r="G1326" s="33">
        <v>47</v>
      </c>
      <c r="H1326" s="13">
        <f t="shared" si="20"/>
        <v>47.729166666666664</v>
      </c>
    </row>
    <row r="1327" spans="1:8" hidden="1" outlineLevel="2">
      <c r="A1327" s="32" t="s">
        <v>801</v>
      </c>
      <c r="B1327" s="32" t="s">
        <v>86</v>
      </c>
      <c r="C1327" s="32" t="s">
        <v>804</v>
      </c>
      <c r="D1327" s="32" t="s">
        <v>855</v>
      </c>
      <c r="E1327" s="33">
        <v>48</v>
      </c>
      <c r="F1327" s="33">
        <v>2287</v>
      </c>
      <c r="G1327" s="33">
        <v>48</v>
      </c>
      <c r="H1327" s="13">
        <f t="shared" si="20"/>
        <v>47.645833333333336</v>
      </c>
    </row>
    <row r="1328" spans="1:8" hidden="1" outlineLevel="2">
      <c r="A1328" s="32" t="s">
        <v>801</v>
      </c>
      <c r="B1328" s="32" t="s">
        <v>86</v>
      </c>
      <c r="C1328" s="32" t="s">
        <v>1024</v>
      </c>
      <c r="D1328" s="32" t="s">
        <v>817</v>
      </c>
      <c r="E1328" s="33">
        <v>48</v>
      </c>
      <c r="F1328" s="33">
        <v>2240</v>
      </c>
      <c r="G1328" s="33">
        <v>49</v>
      </c>
      <c r="H1328" s="13">
        <f t="shared" si="20"/>
        <v>46.666666666666664</v>
      </c>
    </row>
    <row r="1329" spans="1:8" hidden="1" outlineLevel="2">
      <c r="A1329" s="32" t="s">
        <v>801</v>
      </c>
      <c r="B1329" s="32" t="s">
        <v>1858</v>
      </c>
      <c r="C1329" s="32" t="s">
        <v>892</v>
      </c>
      <c r="D1329" s="32" t="s">
        <v>834</v>
      </c>
      <c r="E1329" s="33">
        <v>48</v>
      </c>
      <c r="F1329" s="33">
        <v>2226</v>
      </c>
      <c r="G1329" s="33">
        <v>48</v>
      </c>
      <c r="H1329" s="13">
        <f t="shared" si="20"/>
        <v>46.375</v>
      </c>
    </row>
    <row r="1330" spans="1:8" hidden="1" outlineLevel="2">
      <c r="A1330" s="32" t="s">
        <v>801</v>
      </c>
      <c r="B1330" s="32" t="s">
        <v>86</v>
      </c>
      <c r="C1330" s="32" t="s">
        <v>1128</v>
      </c>
      <c r="D1330" s="32" t="s">
        <v>802</v>
      </c>
      <c r="E1330" s="33">
        <v>40</v>
      </c>
      <c r="F1330" s="33">
        <v>1855</v>
      </c>
      <c r="G1330" s="33">
        <v>39</v>
      </c>
      <c r="H1330" s="13">
        <f t="shared" si="20"/>
        <v>46.375</v>
      </c>
    </row>
    <row r="1331" spans="1:8" hidden="1" outlineLevel="2">
      <c r="A1331" s="32" t="s">
        <v>801</v>
      </c>
      <c r="B1331" s="32" t="s">
        <v>1862</v>
      </c>
      <c r="C1331" s="32" t="s">
        <v>1077</v>
      </c>
      <c r="D1331" s="32" t="s">
        <v>827</v>
      </c>
      <c r="E1331" s="33">
        <v>46</v>
      </c>
      <c r="F1331" s="33">
        <v>2115</v>
      </c>
      <c r="G1331" s="33">
        <v>46</v>
      </c>
      <c r="H1331" s="13">
        <f t="shared" si="20"/>
        <v>45.978260869565219</v>
      </c>
    </row>
    <row r="1332" spans="1:8" hidden="1" outlineLevel="2">
      <c r="A1332" s="32" t="s">
        <v>801</v>
      </c>
      <c r="B1332" s="32" t="s">
        <v>86</v>
      </c>
      <c r="C1332" s="32" t="s">
        <v>870</v>
      </c>
      <c r="D1332" s="32" t="s">
        <v>827</v>
      </c>
      <c r="E1332" s="33">
        <v>48</v>
      </c>
      <c r="F1332" s="33">
        <v>2206</v>
      </c>
      <c r="G1332" s="33">
        <v>49</v>
      </c>
      <c r="H1332" s="13">
        <f t="shared" si="20"/>
        <v>45.958333333333336</v>
      </c>
    </row>
    <row r="1333" spans="1:8" hidden="1" outlineLevel="2">
      <c r="A1333" s="32" t="s">
        <v>801</v>
      </c>
      <c r="B1333" s="32" t="s">
        <v>86</v>
      </c>
      <c r="C1333" s="32" t="s">
        <v>820</v>
      </c>
      <c r="D1333" s="32" t="s">
        <v>821</v>
      </c>
      <c r="E1333" s="33">
        <v>48</v>
      </c>
      <c r="F1333" s="33">
        <v>2154</v>
      </c>
      <c r="G1333" s="33">
        <v>55</v>
      </c>
      <c r="H1333" s="13">
        <f t="shared" si="20"/>
        <v>44.875</v>
      </c>
    </row>
    <row r="1334" spans="1:8" hidden="1" outlineLevel="2">
      <c r="A1334" s="32" t="s">
        <v>801</v>
      </c>
      <c r="B1334" s="32" t="s">
        <v>86</v>
      </c>
      <c r="C1334" s="32" t="s">
        <v>1137</v>
      </c>
      <c r="D1334" s="32" t="s">
        <v>829</v>
      </c>
      <c r="E1334" s="33">
        <v>45</v>
      </c>
      <c r="F1334" s="33">
        <v>2001</v>
      </c>
      <c r="G1334" s="33">
        <v>44</v>
      </c>
      <c r="H1334" s="13">
        <f t="shared" si="20"/>
        <v>44.466666666666669</v>
      </c>
    </row>
    <row r="1335" spans="1:8" hidden="1" outlineLevel="2">
      <c r="A1335" s="32" t="s">
        <v>801</v>
      </c>
      <c r="B1335" s="32" t="s">
        <v>86</v>
      </c>
      <c r="C1335" s="32" t="s">
        <v>826</v>
      </c>
      <c r="D1335" s="32" t="s">
        <v>817</v>
      </c>
      <c r="E1335" s="33">
        <v>48</v>
      </c>
      <c r="F1335" s="33">
        <v>2131</v>
      </c>
      <c r="G1335" s="33">
        <v>48</v>
      </c>
      <c r="H1335" s="13">
        <f t="shared" si="20"/>
        <v>44.395833333333336</v>
      </c>
    </row>
    <row r="1336" spans="1:8" hidden="1" outlineLevel="2">
      <c r="A1336" s="32" t="s">
        <v>801</v>
      </c>
      <c r="B1336" s="32" t="s">
        <v>1862</v>
      </c>
      <c r="C1336" s="32" t="s">
        <v>930</v>
      </c>
      <c r="D1336" s="32" t="s">
        <v>830</v>
      </c>
      <c r="E1336" s="33">
        <v>38</v>
      </c>
      <c r="F1336" s="33">
        <v>1683</v>
      </c>
      <c r="G1336" s="33">
        <v>30</v>
      </c>
      <c r="H1336" s="13">
        <f t="shared" si="20"/>
        <v>44.289473684210527</v>
      </c>
    </row>
    <row r="1337" spans="1:8" hidden="1" outlineLevel="2">
      <c r="A1337" s="32" t="s">
        <v>801</v>
      </c>
      <c r="B1337" s="32" t="s">
        <v>86</v>
      </c>
      <c r="C1337" s="32" t="s">
        <v>840</v>
      </c>
      <c r="D1337" s="32" t="s">
        <v>834</v>
      </c>
      <c r="E1337" s="33">
        <v>48</v>
      </c>
      <c r="F1337" s="33">
        <v>2118</v>
      </c>
      <c r="G1337" s="33">
        <v>47</v>
      </c>
      <c r="H1337" s="13">
        <f t="shared" si="20"/>
        <v>44.125</v>
      </c>
    </row>
    <row r="1338" spans="1:8" hidden="1" outlineLevel="2">
      <c r="A1338" s="32" t="s">
        <v>801</v>
      </c>
      <c r="B1338" s="32" t="s">
        <v>86</v>
      </c>
      <c r="C1338" s="32" t="s">
        <v>856</v>
      </c>
      <c r="D1338" s="32" t="s">
        <v>821</v>
      </c>
      <c r="E1338" s="33">
        <v>48</v>
      </c>
      <c r="F1338" s="33">
        <v>2117</v>
      </c>
      <c r="G1338" s="33">
        <v>59</v>
      </c>
      <c r="H1338" s="13">
        <f t="shared" si="20"/>
        <v>44.104166666666664</v>
      </c>
    </row>
    <row r="1339" spans="1:8" hidden="1" outlineLevel="2">
      <c r="A1339" s="32" t="s">
        <v>801</v>
      </c>
      <c r="B1339" s="32" t="s">
        <v>1862</v>
      </c>
      <c r="C1339" s="32" t="s">
        <v>910</v>
      </c>
      <c r="D1339" s="32" t="s">
        <v>1021</v>
      </c>
      <c r="E1339" s="33">
        <v>48</v>
      </c>
      <c r="F1339" s="33">
        <v>2114</v>
      </c>
      <c r="G1339" s="33">
        <v>50</v>
      </c>
      <c r="H1339" s="13">
        <f t="shared" si="20"/>
        <v>44.041666666666664</v>
      </c>
    </row>
    <row r="1340" spans="1:8" hidden="1" outlineLevel="2">
      <c r="A1340" s="32" t="s">
        <v>801</v>
      </c>
      <c r="B1340" s="32" t="s">
        <v>86</v>
      </c>
      <c r="C1340" s="32" t="s">
        <v>870</v>
      </c>
      <c r="D1340" s="32" t="s">
        <v>834</v>
      </c>
      <c r="E1340" s="33">
        <v>48</v>
      </c>
      <c r="F1340" s="33">
        <v>2109</v>
      </c>
      <c r="G1340" s="33">
        <v>51</v>
      </c>
      <c r="H1340" s="13">
        <f t="shared" si="20"/>
        <v>43.9375</v>
      </c>
    </row>
    <row r="1341" spans="1:8" hidden="1" outlineLevel="2">
      <c r="A1341" s="32" t="s">
        <v>801</v>
      </c>
      <c r="B1341" s="32" t="s">
        <v>1862</v>
      </c>
      <c r="C1341" s="32" t="s">
        <v>1084</v>
      </c>
      <c r="D1341" s="32" t="s">
        <v>827</v>
      </c>
      <c r="E1341" s="33">
        <v>24</v>
      </c>
      <c r="F1341" s="33">
        <v>1053</v>
      </c>
      <c r="G1341" s="33">
        <v>24</v>
      </c>
      <c r="H1341" s="13">
        <f t="shared" si="20"/>
        <v>43.875</v>
      </c>
    </row>
    <row r="1342" spans="1:8" hidden="1" outlineLevel="2">
      <c r="A1342" s="32" t="s">
        <v>801</v>
      </c>
      <c r="B1342" s="32" t="s">
        <v>1862</v>
      </c>
      <c r="C1342" s="32" t="s">
        <v>1077</v>
      </c>
      <c r="D1342" s="32" t="s">
        <v>834</v>
      </c>
      <c r="E1342" s="33">
        <v>46</v>
      </c>
      <c r="F1342" s="33">
        <v>1997</v>
      </c>
      <c r="G1342" s="33">
        <v>48</v>
      </c>
      <c r="H1342" s="13">
        <f t="shared" si="20"/>
        <v>43.413043478260867</v>
      </c>
    </row>
    <row r="1343" spans="1:8" hidden="1" outlineLevel="2">
      <c r="A1343" s="32" t="s">
        <v>801</v>
      </c>
      <c r="B1343" s="32" t="s">
        <v>86</v>
      </c>
      <c r="C1343" s="32" t="s">
        <v>856</v>
      </c>
      <c r="D1343" s="32" t="s">
        <v>1011</v>
      </c>
      <c r="E1343" s="33">
        <v>48</v>
      </c>
      <c r="F1343" s="33">
        <v>2065</v>
      </c>
      <c r="G1343" s="33">
        <v>47</v>
      </c>
      <c r="H1343" s="13">
        <f t="shared" si="20"/>
        <v>43.020833333333336</v>
      </c>
    </row>
    <row r="1344" spans="1:8" hidden="1" outlineLevel="2">
      <c r="A1344" s="32" t="s">
        <v>801</v>
      </c>
      <c r="B1344" s="32" t="s">
        <v>86</v>
      </c>
      <c r="C1344" s="32" t="s">
        <v>1033</v>
      </c>
      <c r="D1344" s="32" t="s">
        <v>834</v>
      </c>
      <c r="E1344" s="33">
        <v>48</v>
      </c>
      <c r="F1344" s="33">
        <v>2037</v>
      </c>
      <c r="G1344" s="33">
        <v>46</v>
      </c>
      <c r="H1344" s="13">
        <f t="shared" si="20"/>
        <v>42.4375</v>
      </c>
    </row>
    <row r="1345" spans="1:8" hidden="1" outlineLevel="2">
      <c r="A1345" s="32" t="s">
        <v>801</v>
      </c>
      <c r="B1345" s="32" t="s">
        <v>1862</v>
      </c>
      <c r="C1345" s="32" t="s">
        <v>1072</v>
      </c>
      <c r="D1345" s="32" t="s">
        <v>834</v>
      </c>
      <c r="E1345" s="33">
        <v>96</v>
      </c>
      <c r="F1345" s="33">
        <v>4053</v>
      </c>
      <c r="G1345" s="33">
        <v>95</v>
      </c>
      <c r="H1345" s="13">
        <f t="shared" si="20"/>
        <v>42.21875</v>
      </c>
    </row>
    <row r="1346" spans="1:8" hidden="1" outlineLevel="2">
      <c r="A1346" s="32" t="s">
        <v>801</v>
      </c>
      <c r="B1346" s="32" t="s">
        <v>1862</v>
      </c>
      <c r="C1346" s="32" t="s">
        <v>1015</v>
      </c>
      <c r="D1346" s="32" t="s">
        <v>802</v>
      </c>
      <c r="E1346" s="33">
        <v>24</v>
      </c>
      <c r="F1346" s="33">
        <v>1005</v>
      </c>
      <c r="G1346" s="33">
        <v>23</v>
      </c>
      <c r="H1346" s="13">
        <f t="shared" ref="H1346:H1409" si="21">IFERROR(F1346/E1346,"")</f>
        <v>41.875</v>
      </c>
    </row>
    <row r="1347" spans="1:8" hidden="1" outlineLevel="2">
      <c r="A1347" s="32" t="s">
        <v>801</v>
      </c>
      <c r="B1347" s="32" t="s">
        <v>1862</v>
      </c>
      <c r="C1347" s="32" t="s">
        <v>1220</v>
      </c>
      <c r="D1347" s="32" t="s">
        <v>827</v>
      </c>
      <c r="E1347" s="33">
        <v>90</v>
      </c>
      <c r="F1347" s="33">
        <v>3750</v>
      </c>
      <c r="G1347" s="33">
        <v>86</v>
      </c>
      <c r="H1347" s="13">
        <f t="shared" si="21"/>
        <v>41.666666666666664</v>
      </c>
    </row>
    <row r="1348" spans="1:8" hidden="1" outlineLevel="2">
      <c r="A1348" s="32" t="s">
        <v>801</v>
      </c>
      <c r="B1348" s="32" t="s">
        <v>1862</v>
      </c>
      <c r="C1348" s="32" t="s">
        <v>803</v>
      </c>
      <c r="D1348" s="32" t="s">
        <v>802</v>
      </c>
      <c r="E1348" s="33">
        <v>24</v>
      </c>
      <c r="F1348" s="33">
        <v>996</v>
      </c>
      <c r="G1348" s="33">
        <v>22</v>
      </c>
      <c r="H1348" s="13">
        <f t="shared" si="21"/>
        <v>41.5</v>
      </c>
    </row>
    <row r="1349" spans="1:8" hidden="1" outlineLevel="2">
      <c r="A1349" s="32" t="s">
        <v>801</v>
      </c>
      <c r="B1349" s="32" t="s">
        <v>86</v>
      </c>
      <c r="C1349" s="32" t="s">
        <v>868</v>
      </c>
      <c r="D1349" s="32" t="s">
        <v>802</v>
      </c>
      <c r="E1349" s="33">
        <v>45</v>
      </c>
      <c r="F1349" s="33">
        <v>1856</v>
      </c>
      <c r="G1349" s="33">
        <v>47</v>
      </c>
      <c r="H1349" s="13">
        <f t="shared" si="21"/>
        <v>41.244444444444447</v>
      </c>
    </row>
    <row r="1350" spans="1:8" hidden="1" outlineLevel="2">
      <c r="A1350" s="32" t="s">
        <v>801</v>
      </c>
      <c r="B1350" s="32" t="s">
        <v>86</v>
      </c>
      <c r="C1350" s="32" t="s">
        <v>804</v>
      </c>
      <c r="D1350" s="32" t="s">
        <v>830</v>
      </c>
      <c r="E1350" s="33">
        <v>96</v>
      </c>
      <c r="F1350" s="33">
        <v>3853</v>
      </c>
      <c r="G1350" s="33">
        <v>91</v>
      </c>
      <c r="H1350" s="13">
        <f t="shared" si="21"/>
        <v>40.135416666666664</v>
      </c>
    </row>
    <row r="1351" spans="1:8" hidden="1" outlineLevel="2">
      <c r="A1351" s="32" t="s">
        <v>801</v>
      </c>
      <c r="B1351" s="32" t="s">
        <v>86</v>
      </c>
      <c r="C1351" s="32" t="s">
        <v>828</v>
      </c>
      <c r="D1351" s="32" t="s">
        <v>1174</v>
      </c>
      <c r="E1351" s="33">
        <v>48</v>
      </c>
      <c r="F1351" s="33">
        <v>1925</v>
      </c>
      <c r="G1351" s="33">
        <v>46</v>
      </c>
      <c r="H1351" s="13">
        <f t="shared" si="21"/>
        <v>40.104166666666664</v>
      </c>
    </row>
    <row r="1352" spans="1:8" hidden="1" outlineLevel="2">
      <c r="A1352" s="32" t="s">
        <v>801</v>
      </c>
      <c r="B1352" s="32" t="s">
        <v>86</v>
      </c>
      <c r="C1352" s="32" t="s">
        <v>820</v>
      </c>
      <c r="D1352" s="32" t="s">
        <v>834</v>
      </c>
      <c r="E1352" s="33">
        <v>48</v>
      </c>
      <c r="F1352" s="33">
        <v>1898</v>
      </c>
      <c r="G1352" s="33">
        <v>45</v>
      </c>
      <c r="H1352" s="13">
        <f t="shared" si="21"/>
        <v>39.541666666666664</v>
      </c>
    </row>
    <row r="1353" spans="1:8" hidden="1" outlineLevel="2">
      <c r="A1353" s="32" t="s">
        <v>801</v>
      </c>
      <c r="B1353" s="32" t="s">
        <v>86</v>
      </c>
      <c r="C1353" s="32" t="s">
        <v>1136</v>
      </c>
      <c r="D1353" s="32" t="s">
        <v>834</v>
      </c>
      <c r="E1353" s="33">
        <v>48</v>
      </c>
      <c r="F1353" s="33">
        <v>1894</v>
      </c>
      <c r="G1353" s="33">
        <v>47</v>
      </c>
      <c r="H1353" s="13">
        <f t="shared" si="21"/>
        <v>39.458333333333336</v>
      </c>
    </row>
    <row r="1354" spans="1:8" hidden="1" outlineLevel="2">
      <c r="A1354" s="32" t="s">
        <v>801</v>
      </c>
      <c r="B1354" s="32" t="s">
        <v>1858</v>
      </c>
      <c r="C1354" s="32" t="s">
        <v>811</v>
      </c>
      <c r="D1354" s="32" t="s">
        <v>834</v>
      </c>
      <c r="E1354" s="33">
        <v>96</v>
      </c>
      <c r="F1354" s="33">
        <v>3770</v>
      </c>
      <c r="G1354" s="33">
        <v>95</v>
      </c>
      <c r="H1354" s="13">
        <f t="shared" si="21"/>
        <v>39.270833333333336</v>
      </c>
    </row>
    <row r="1355" spans="1:8" hidden="1" outlineLevel="2">
      <c r="A1355" s="32" t="s">
        <v>801</v>
      </c>
      <c r="B1355" s="32" t="s">
        <v>86</v>
      </c>
      <c r="C1355" s="32" t="s">
        <v>828</v>
      </c>
      <c r="D1355" s="32" t="s">
        <v>830</v>
      </c>
      <c r="E1355" s="33">
        <v>96</v>
      </c>
      <c r="F1355" s="33">
        <v>3741</v>
      </c>
      <c r="G1355" s="33">
        <v>89</v>
      </c>
      <c r="H1355" s="13">
        <f t="shared" si="21"/>
        <v>38.96875</v>
      </c>
    </row>
    <row r="1356" spans="1:8" hidden="1" outlineLevel="2">
      <c r="A1356" s="32" t="s">
        <v>801</v>
      </c>
      <c r="B1356" s="32" t="s">
        <v>86</v>
      </c>
      <c r="C1356" s="32" t="s">
        <v>868</v>
      </c>
      <c r="D1356" s="32" t="s">
        <v>827</v>
      </c>
      <c r="E1356" s="33">
        <v>96</v>
      </c>
      <c r="F1356" s="33">
        <v>3704</v>
      </c>
      <c r="G1356" s="33">
        <v>95</v>
      </c>
      <c r="H1356" s="13">
        <f t="shared" si="21"/>
        <v>38.583333333333336</v>
      </c>
    </row>
    <row r="1357" spans="1:8" hidden="1" outlineLevel="2">
      <c r="A1357" s="32" t="s">
        <v>801</v>
      </c>
      <c r="B1357" s="32" t="s">
        <v>86</v>
      </c>
      <c r="C1357" s="32" t="s">
        <v>1133</v>
      </c>
      <c r="D1357" s="32" t="s">
        <v>1134</v>
      </c>
      <c r="E1357" s="33">
        <v>24</v>
      </c>
      <c r="F1357" s="33">
        <v>922</v>
      </c>
      <c r="G1357" s="33">
        <v>24</v>
      </c>
      <c r="H1357" s="13">
        <f t="shared" si="21"/>
        <v>38.416666666666664</v>
      </c>
    </row>
    <row r="1358" spans="1:8" hidden="1" outlineLevel="2">
      <c r="A1358" s="32" t="s">
        <v>801</v>
      </c>
      <c r="B1358" s="32" t="s">
        <v>86</v>
      </c>
      <c r="C1358" s="32" t="s">
        <v>868</v>
      </c>
      <c r="D1358" s="32" t="s">
        <v>869</v>
      </c>
      <c r="E1358" s="33">
        <v>40</v>
      </c>
      <c r="F1358" s="33">
        <v>1532</v>
      </c>
      <c r="G1358" s="33">
        <v>42</v>
      </c>
      <c r="H1358" s="13">
        <f t="shared" si="21"/>
        <v>38.299999999999997</v>
      </c>
    </row>
    <row r="1359" spans="1:8" hidden="1" outlineLevel="2">
      <c r="A1359" s="32" t="s">
        <v>801</v>
      </c>
      <c r="B1359" s="32" t="s">
        <v>1858</v>
      </c>
      <c r="C1359" s="32" t="s">
        <v>807</v>
      </c>
      <c r="D1359" s="32" t="s">
        <v>827</v>
      </c>
      <c r="E1359" s="33">
        <v>48</v>
      </c>
      <c r="F1359" s="33">
        <v>1833</v>
      </c>
      <c r="G1359" s="33">
        <v>47</v>
      </c>
      <c r="H1359" s="13">
        <f t="shared" si="21"/>
        <v>38.1875</v>
      </c>
    </row>
    <row r="1360" spans="1:8" hidden="1" outlineLevel="2">
      <c r="A1360" s="32" t="s">
        <v>801</v>
      </c>
      <c r="B1360" s="32" t="s">
        <v>1862</v>
      </c>
      <c r="C1360" s="32" t="s">
        <v>963</v>
      </c>
      <c r="D1360" s="32" t="s">
        <v>1021</v>
      </c>
      <c r="E1360" s="33">
        <v>39</v>
      </c>
      <c r="F1360" s="33">
        <v>1466</v>
      </c>
      <c r="G1360" s="33">
        <v>37</v>
      </c>
      <c r="H1360" s="13">
        <f t="shared" si="21"/>
        <v>37.589743589743591</v>
      </c>
    </row>
    <row r="1361" spans="1:8" hidden="1" outlineLevel="2">
      <c r="A1361" s="32" t="s">
        <v>801</v>
      </c>
      <c r="B1361" s="32" t="s">
        <v>86</v>
      </c>
      <c r="C1361" s="32" t="s">
        <v>828</v>
      </c>
      <c r="D1361" s="32" t="s">
        <v>855</v>
      </c>
      <c r="E1361" s="33">
        <v>48</v>
      </c>
      <c r="F1361" s="33">
        <v>1803</v>
      </c>
      <c r="G1361" s="33">
        <v>50</v>
      </c>
      <c r="H1361" s="13">
        <f t="shared" si="21"/>
        <v>37.5625</v>
      </c>
    </row>
    <row r="1362" spans="1:8" hidden="1" outlineLevel="2">
      <c r="A1362" s="32" t="s">
        <v>801</v>
      </c>
      <c r="B1362" s="32" t="s">
        <v>1858</v>
      </c>
      <c r="C1362" s="32" t="s">
        <v>892</v>
      </c>
      <c r="D1362" s="32" t="s">
        <v>827</v>
      </c>
      <c r="E1362" s="33">
        <v>84</v>
      </c>
      <c r="F1362" s="33">
        <v>3145</v>
      </c>
      <c r="G1362" s="33">
        <v>79</v>
      </c>
      <c r="H1362" s="13">
        <f t="shared" si="21"/>
        <v>37.44047619047619</v>
      </c>
    </row>
    <row r="1363" spans="1:8" hidden="1" outlineLevel="2">
      <c r="A1363" s="32" t="s">
        <v>801</v>
      </c>
      <c r="B1363" s="32" t="s">
        <v>86</v>
      </c>
      <c r="C1363" s="32" t="s">
        <v>1136</v>
      </c>
      <c r="D1363" s="32" t="s">
        <v>808</v>
      </c>
      <c r="E1363" s="33">
        <v>48</v>
      </c>
      <c r="F1363" s="33">
        <v>1783</v>
      </c>
      <c r="G1363" s="33">
        <v>42</v>
      </c>
      <c r="H1363" s="13">
        <f t="shared" si="21"/>
        <v>37.145833333333336</v>
      </c>
    </row>
    <row r="1364" spans="1:8" hidden="1" outlineLevel="2">
      <c r="A1364" s="32" t="s">
        <v>801</v>
      </c>
      <c r="B1364" s="32" t="s">
        <v>1862</v>
      </c>
      <c r="C1364" s="32" t="s">
        <v>1015</v>
      </c>
      <c r="D1364" s="32" t="s">
        <v>802</v>
      </c>
      <c r="E1364" s="33">
        <v>24</v>
      </c>
      <c r="F1364" s="33">
        <v>879</v>
      </c>
      <c r="G1364" s="33">
        <v>19</v>
      </c>
      <c r="H1364" s="13">
        <f t="shared" si="21"/>
        <v>36.625</v>
      </c>
    </row>
    <row r="1365" spans="1:8" hidden="1" outlineLevel="2">
      <c r="A1365" s="32" t="s">
        <v>801</v>
      </c>
      <c r="B1365" s="32" t="s">
        <v>1862</v>
      </c>
      <c r="C1365" s="32" t="s">
        <v>803</v>
      </c>
      <c r="D1365" s="32" t="s">
        <v>827</v>
      </c>
      <c r="E1365" s="33">
        <v>96</v>
      </c>
      <c r="F1365" s="33">
        <v>3505</v>
      </c>
      <c r="G1365" s="33">
        <v>93</v>
      </c>
      <c r="H1365" s="13">
        <f t="shared" si="21"/>
        <v>36.510416666666664</v>
      </c>
    </row>
    <row r="1366" spans="1:8" hidden="1" outlineLevel="2">
      <c r="A1366" s="32" t="s">
        <v>801</v>
      </c>
      <c r="B1366" s="32" t="s">
        <v>86</v>
      </c>
      <c r="C1366" s="32" t="s">
        <v>1012</v>
      </c>
      <c r="D1366" s="32" t="s">
        <v>802</v>
      </c>
      <c r="E1366" s="33">
        <v>45</v>
      </c>
      <c r="F1366" s="33">
        <v>1614</v>
      </c>
      <c r="G1366" s="33">
        <v>46</v>
      </c>
      <c r="H1366" s="13">
        <f t="shared" si="21"/>
        <v>35.866666666666667</v>
      </c>
    </row>
    <row r="1367" spans="1:8" hidden="1" outlineLevel="2">
      <c r="A1367" s="32" t="s">
        <v>801</v>
      </c>
      <c r="B1367" s="32" t="s">
        <v>86</v>
      </c>
      <c r="C1367" s="32" t="s">
        <v>868</v>
      </c>
      <c r="D1367" s="32" t="s">
        <v>802</v>
      </c>
      <c r="E1367" s="33">
        <v>45</v>
      </c>
      <c r="F1367" s="33">
        <v>1613</v>
      </c>
      <c r="G1367" s="33">
        <v>44</v>
      </c>
      <c r="H1367" s="13">
        <f t="shared" si="21"/>
        <v>35.844444444444441</v>
      </c>
    </row>
    <row r="1368" spans="1:8" hidden="1" outlineLevel="2">
      <c r="A1368" s="32" t="s">
        <v>801</v>
      </c>
      <c r="B1368" s="32" t="s">
        <v>86</v>
      </c>
      <c r="C1368" s="32" t="s">
        <v>1027</v>
      </c>
      <c r="D1368" s="32" t="s">
        <v>829</v>
      </c>
      <c r="E1368" s="33">
        <v>45</v>
      </c>
      <c r="F1368" s="33">
        <v>1587</v>
      </c>
      <c r="G1368" s="33">
        <v>42</v>
      </c>
      <c r="H1368" s="13">
        <f t="shared" si="21"/>
        <v>35.266666666666666</v>
      </c>
    </row>
    <row r="1369" spans="1:8" hidden="1" outlineLevel="2">
      <c r="A1369" s="32" t="s">
        <v>801</v>
      </c>
      <c r="B1369" s="32" t="s">
        <v>86</v>
      </c>
      <c r="C1369" s="32" t="s">
        <v>1137</v>
      </c>
      <c r="D1369" s="32" t="s">
        <v>834</v>
      </c>
      <c r="E1369" s="33">
        <v>48</v>
      </c>
      <c r="F1369" s="33">
        <v>1685</v>
      </c>
      <c r="G1369" s="33">
        <v>42</v>
      </c>
      <c r="H1369" s="13">
        <f t="shared" si="21"/>
        <v>35.104166666666664</v>
      </c>
    </row>
    <row r="1370" spans="1:8" hidden="1" outlineLevel="2">
      <c r="A1370" s="32" t="s">
        <v>801</v>
      </c>
      <c r="B1370" s="32" t="s">
        <v>1862</v>
      </c>
      <c r="C1370" s="32" t="s">
        <v>907</v>
      </c>
      <c r="D1370" s="32" t="s">
        <v>829</v>
      </c>
      <c r="E1370" s="33">
        <v>15</v>
      </c>
      <c r="F1370" s="33">
        <v>516</v>
      </c>
      <c r="G1370" s="33">
        <v>16</v>
      </c>
      <c r="H1370" s="13">
        <f t="shared" si="21"/>
        <v>34.4</v>
      </c>
    </row>
    <row r="1371" spans="1:8" hidden="1" outlineLevel="2">
      <c r="A1371" s="32" t="s">
        <v>801</v>
      </c>
      <c r="B1371" s="32" t="s">
        <v>86</v>
      </c>
      <c r="C1371" s="32" t="s">
        <v>1024</v>
      </c>
      <c r="D1371" s="32" t="s">
        <v>834</v>
      </c>
      <c r="E1371" s="33">
        <v>240</v>
      </c>
      <c r="F1371" s="33">
        <v>8214</v>
      </c>
      <c r="G1371" s="33">
        <v>239</v>
      </c>
      <c r="H1371" s="13">
        <f t="shared" si="21"/>
        <v>34.225000000000001</v>
      </c>
    </row>
    <row r="1372" spans="1:8" hidden="1" outlineLevel="2">
      <c r="A1372" s="32" t="s">
        <v>801</v>
      </c>
      <c r="B1372" s="32" t="s">
        <v>1862</v>
      </c>
      <c r="C1372" s="32" t="s">
        <v>1175</v>
      </c>
      <c r="D1372" s="32" t="s">
        <v>806</v>
      </c>
      <c r="E1372" s="33">
        <v>38</v>
      </c>
      <c r="F1372" s="33">
        <v>1284</v>
      </c>
      <c r="G1372" s="33">
        <v>35</v>
      </c>
      <c r="H1372" s="13">
        <f t="shared" si="21"/>
        <v>33.789473684210527</v>
      </c>
    </row>
    <row r="1373" spans="1:8" hidden="1" outlineLevel="2">
      <c r="A1373" s="32" t="s">
        <v>801</v>
      </c>
      <c r="B1373" s="32" t="s">
        <v>86</v>
      </c>
      <c r="C1373" s="32" t="s">
        <v>1115</v>
      </c>
      <c r="D1373" s="32" t="s">
        <v>834</v>
      </c>
      <c r="E1373" s="33">
        <v>48</v>
      </c>
      <c r="F1373" s="33">
        <v>1614</v>
      </c>
      <c r="G1373" s="33">
        <v>53</v>
      </c>
      <c r="H1373" s="13">
        <f t="shared" si="21"/>
        <v>33.625</v>
      </c>
    </row>
    <row r="1374" spans="1:8" hidden="1" outlineLevel="2">
      <c r="A1374" s="32" t="s">
        <v>801</v>
      </c>
      <c r="B1374" s="32" t="s">
        <v>1862</v>
      </c>
      <c r="C1374" s="32" t="s">
        <v>1072</v>
      </c>
      <c r="D1374" s="32" t="s">
        <v>817</v>
      </c>
      <c r="E1374" s="33">
        <v>48</v>
      </c>
      <c r="F1374" s="33">
        <v>1598</v>
      </c>
      <c r="G1374" s="33">
        <v>44</v>
      </c>
      <c r="H1374" s="13">
        <f t="shared" si="21"/>
        <v>33.291666666666664</v>
      </c>
    </row>
    <row r="1375" spans="1:8" hidden="1" outlineLevel="2">
      <c r="A1375" s="32" t="s">
        <v>801</v>
      </c>
      <c r="B1375" s="32" t="s">
        <v>86</v>
      </c>
      <c r="C1375" s="32" t="s">
        <v>826</v>
      </c>
      <c r="D1375" s="32" t="s">
        <v>855</v>
      </c>
      <c r="E1375" s="33">
        <v>96</v>
      </c>
      <c r="F1375" s="33">
        <v>3176</v>
      </c>
      <c r="G1375" s="33">
        <v>93</v>
      </c>
      <c r="H1375" s="13">
        <f t="shared" si="21"/>
        <v>33.083333333333336</v>
      </c>
    </row>
    <row r="1376" spans="1:8" hidden="1" outlineLevel="2">
      <c r="A1376" s="32" t="s">
        <v>801</v>
      </c>
      <c r="B1376" s="32" t="s">
        <v>1862</v>
      </c>
      <c r="C1376" s="32" t="s">
        <v>1220</v>
      </c>
      <c r="D1376" s="32" t="s">
        <v>834</v>
      </c>
      <c r="E1376" s="33">
        <v>92</v>
      </c>
      <c r="F1376" s="33">
        <v>3032</v>
      </c>
      <c r="G1376" s="33">
        <v>91</v>
      </c>
      <c r="H1376" s="13">
        <f t="shared" si="21"/>
        <v>32.956521739130437</v>
      </c>
    </row>
    <row r="1377" spans="1:8" hidden="1" outlineLevel="2">
      <c r="A1377" s="32" t="s">
        <v>801</v>
      </c>
      <c r="B1377" s="32" t="s">
        <v>1862</v>
      </c>
      <c r="C1377" s="32" t="s">
        <v>1073</v>
      </c>
      <c r="D1377" s="32" t="s">
        <v>834</v>
      </c>
      <c r="E1377" s="33">
        <v>88</v>
      </c>
      <c r="F1377" s="33">
        <v>2900</v>
      </c>
      <c r="G1377" s="33">
        <v>87</v>
      </c>
      <c r="H1377" s="13">
        <f t="shared" si="21"/>
        <v>32.954545454545453</v>
      </c>
    </row>
    <row r="1378" spans="1:8" hidden="1" outlineLevel="2">
      <c r="A1378" s="32" t="s">
        <v>801</v>
      </c>
      <c r="B1378" s="32" t="s">
        <v>1858</v>
      </c>
      <c r="C1378" s="32" t="s">
        <v>1046</v>
      </c>
      <c r="D1378" s="32" t="s">
        <v>827</v>
      </c>
      <c r="E1378" s="33">
        <v>47</v>
      </c>
      <c r="F1378" s="33">
        <v>1542</v>
      </c>
      <c r="G1378" s="33">
        <v>47</v>
      </c>
      <c r="H1378" s="13">
        <f t="shared" si="21"/>
        <v>32.808510638297875</v>
      </c>
    </row>
    <row r="1379" spans="1:8" hidden="1" outlineLevel="2">
      <c r="A1379" s="32" t="s">
        <v>801</v>
      </c>
      <c r="B1379" s="32" t="s">
        <v>86</v>
      </c>
      <c r="C1379" s="32" t="s">
        <v>835</v>
      </c>
      <c r="D1379" s="32" t="s">
        <v>829</v>
      </c>
      <c r="E1379" s="33">
        <v>42</v>
      </c>
      <c r="F1379" s="33">
        <v>1342</v>
      </c>
      <c r="G1379" s="33">
        <v>42</v>
      </c>
      <c r="H1379" s="13">
        <f t="shared" si="21"/>
        <v>31.952380952380953</v>
      </c>
    </row>
    <row r="1380" spans="1:8" hidden="1" outlineLevel="2">
      <c r="A1380" s="32" t="s">
        <v>801</v>
      </c>
      <c r="B1380" s="32" t="s">
        <v>1858</v>
      </c>
      <c r="C1380" s="32" t="s">
        <v>814</v>
      </c>
      <c r="D1380" s="32" t="s">
        <v>802</v>
      </c>
      <c r="E1380" s="33">
        <v>21</v>
      </c>
      <c r="F1380" s="33">
        <v>666</v>
      </c>
      <c r="G1380" s="33">
        <v>19</v>
      </c>
      <c r="H1380" s="13">
        <f t="shared" si="21"/>
        <v>31.714285714285715</v>
      </c>
    </row>
    <row r="1381" spans="1:8" hidden="1" outlineLevel="2">
      <c r="A1381" s="32" t="s">
        <v>801</v>
      </c>
      <c r="B1381" s="32" t="s">
        <v>86</v>
      </c>
      <c r="C1381" s="32" t="s">
        <v>870</v>
      </c>
      <c r="D1381" s="32" t="s">
        <v>1017</v>
      </c>
      <c r="E1381" s="33">
        <v>45</v>
      </c>
      <c r="F1381" s="33">
        <v>1417</v>
      </c>
      <c r="G1381" s="33">
        <v>50</v>
      </c>
      <c r="H1381" s="13">
        <f t="shared" si="21"/>
        <v>31.488888888888887</v>
      </c>
    </row>
    <row r="1382" spans="1:8" hidden="1" outlineLevel="2">
      <c r="A1382" s="32" t="s">
        <v>801</v>
      </c>
      <c r="B1382" s="32" t="s">
        <v>1862</v>
      </c>
      <c r="C1382" s="32" t="s">
        <v>809</v>
      </c>
      <c r="D1382" s="32" t="s">
        <v>806</v>
      </c>
      <c r="E1382" s="33">
        <v>42</v>
      </c>
      <c r="F1382" s="33">
        <v>1319</v>
      </c>
      <c r="G1382" s="33">
        <v>42</v>
      </c>
      <c r="H1382" s="13">
        <f t="shared" si="21"/>
        <v>31.404761904761905</v>
      </c>
    </row>
    <row r="1383" spans="1:8" hidden="1" outlineLevel="2">
      <c r="A1383" s="32" t="s">
        <v>801</v>
      </c>
      <c r="B1383" s="32" t="s">
        <v>1862</v>
      </c>
      <c r="C1383" s="32" t="s">
        <v>947</v>
      </c>
      <c r="D1383" s="32" t="s">
        <v>806</v>
      </c>
      <c r="E1383" s="33">
        <v>30</v>
      </c>
      <c r="F1383" s="33">
        <v>936</v>
      </c>
      <c r="G1383" s="33">
        <v>15</v>
      </c>
      <c r="H1383" s="13">
        <f t="shared" si="21"/>
        <v>31.2</v>
      </c>
    </row>
    <row r="1384" spans="1:8" hidden="1" outlineLevel="2">
      <c r="A1384" s="32" t="s">
        <v>801</v>
      </c>
      <c r="B1384" s="32" t="s">
        <v>86</v>
      </c>
      <c r="C1384" s="32" t="s">
        <v>840</v>
      </c>
      <c r="D1384" s="32" t="s">
        <v>855</v>
      </c>
      <c r="E1384" s="33">
        <v>48</v>
      </c>
      <c r="F1384" s="33">
        <v>1493</v>
      </c>
      <c r="G1384" s="33">
        <v>43</v>
      </c>
      <c r="H1384" s="13">
        <f t="shared" si="21"/>
        <v>31.104166666666668</v>
      </c>
    </row>
    <row r="1385" spans="1:8" hidden="1" outlineLevel="2">
      <c r="A1385" s="32" t="s">
        <v>801</v>
      </c>
      <c r="B1385" s="32" t="s">
        <v>86</v>
      </c>
      <c r="C1385" s="32" t="s">
        <v>1094</v>
      </c>
      <c r="D1385" s="32" t="s">
        <v>855</v>
      </c>
      <c r="E1385" s="33">
        <v>96</v>
      </c>
      <c r="F1385" s="33">
        <v>2979</v>
      </c>
      <c r="G1385" s="33">
        <v>93</v>
      </c>
      <c r="H1385" s="13">
        <f t="shared" si="21"/>
        <v>31.03125</v>
      </c>
    </row>
    <row r="1386" spans="1:8" hidden="1" outlineLevel="2">
      <c r="A1386" s="32" t="s">
        <v>801</v>
      </c>
      <c r="B1386" s="32" t="s">
        <v>1862</v>
      </c>
      <c r="C1386" s="32" t="s">
        <v>963</v>
      </c>
      <c r="D1386" s="32" t="s">
        <v>829</v>
      </c>
      <c r="E1386" s="33">
        <v>45</v>
      </c>
      <c r="F1386" s="33">
        <v>1389</v>
      </c>
      <c r="G1386" s="33">
        <v>44</v>
      </c>
      <c r="H1386" s="13">
        <f t="shared" si="21"/>
        <v>30.866666666666667</v>
      </c>
    </row>
    <row r="1387" spans="1:8" hidden="1" outlineLevel="2">
      <c r="A1387" s="32" t="s">
        <v>801</v>
      </c>
      <c r="B1387" s="32" t="s">
        <v>86</v>
      </c>
      <c r="C1387" s="32" t="s">
        <v>833</v>
      </c>
      <c r="D1387" s="32" t="s">
        <v>802</v>
      </c>
      <c r="E1387" s="33">
        <v>48</v>
      </c>
      <c r="F1387" s="33">
        <v>1475</v>
      </c>
      <c r="G1387" s="33">
        <v>46</v>
      </c>
      <c r="H1387" s="13">
        <f t="shared" si="21"/>
        <v>30.729166666666668</v>
      </c>
    </row>
    <row r="1388" spans="1:8" hidden="1" outlineLevel="2">
      <c r="A1388" s="32" t="s">
        <v>801</v>
      </c>
      <c r="B1388" s="32" t="s">
        <v>1862</v>
      </c>
      <c r="C1388" s="32" t="s">
        <v>949</v>
      </c>
      <c r="D1388" s="32" t="s">
        <v>830</v>
      </c>
      <c r="E1388" s="33">
        <v>35</v>
      </c>
      <c r="F1388" s="33">
        <v>1068</v>
      </c>
      <c r="G1388" s="33">
        <v>35</v>
      </c>
      <c r="H1388" s="13">
        <f t="shared" si="21"/>
        <v>30.514285714285716</v>
      </c>
    </row>
    <row r="1389" spans="1:8" hidden="1" outlineLevel="2">
      <c r="A1389" s="32" t="s">
        <v>801</v>
      </c>
      <c r="B1389" s="32" t="s">
        <v>86</v>
      </c>
      <c r="C1389" s="32" t="s">
        <v>1201</v>
      </c>
      <c r="D1389" s="32" t="s">
        <v>1174</v>
      </c>
      <c r="E1389" s="33">
        <v>48</v>
      </c>
      <c r="F1389" s="33">
        <v>1464</v>
      </c>
      <c r="G1389" s="33">
        <v>45</v>
      </c>
      <c r="H1389" s="13">
        <f t="shared" si="21"/>
        <v>30.5</v>
      </c>
    </row>
    <row r="1390" spans="1:8" hidden="1" outlineLevel="2">
      <c r="A1390" s="32" t="s">
        <v>801</v>
      </c>
      <c r="B1390" s="32" t="s">
        <v>1858</v>
      </c>
      <c r="C1390" s="32" t="s">
        <v>910</v>
      </c>
      <c r="D1390" s="32" t="s">
        <v>821</v>
      </c>
      <c r="E1390" s="33">
        <v>48</v>
      </c>
      <c r="F1390" s="33">
        <v>1455</v>
      </c>
      <c r="G1390" s="33">
        <v>41</v>
      </c>
      <c r="H1390" s="13">
        <f t="shared" si="21"/>
        <v>30.3125</v>
      </c>
    </row>
    <row r="1391" spans="1:8" hidden="1" outlineLevel="2">
      <c r="A1391" s="32" t="s">
        <v>801</v>
      </c>
      <c r="B1391" s="32" t="s">
        <v>1858</v>
      </c>
      <c r="C1391" s="32" t="s">
        <v>1008</v>
      </c>
      <c r="D1391" s="32" t="s">
        <v>869</v>
      </c>
      <c r="E1391" s="33">
        <v>48</v>
      </c>
      <c r="F1391" s="33">
        <v>1445</v>
      </c>
      <c r="G1391" s="33">
        <v>32</v>
      </c>
      <c r="H1391" s="13">
        <f t="shared" si="21"/>
        <v>30.104166666666668</v>
      </c>
    </row>
    <row r="1392" spans="1:8" hidden="1" outlineLevel="2">
      <c r="A1392" s="32" t="s">
        <v>801</v>
      </c>
      <c r="B1392" s="32" t="s">
        <v>1858</v>
      </c>
      <c r="C1392" s="32" t="s">
        <v>982</v>
      </c>
      <c r="D1392" s="32" t="s">
        <v>827</v>
      </c>
      <c r="E1392" s="33">
        <v>42</v>
      </c>
      <c r="F1392" s="33">
        <v>1260</v>
      </c>
      <c r="G1392" s="33">
        <v>40</v>
      </c>
      <c r="H1392" s="13">
        <f t="shared" si="21"/>
        <v>30</v>
      </c>
    </row>
    <row r="1393" spans="1:8" hidden="1" outlineLevel="2">
      <c r="A1393" s="32" t="s">
        <v>801</v>
      </c>
      <c r="B1393" s="32" t="s">
        <v>1862</v>
      </c>
      <c r="C1393" s="32" t="s">
        <v>910</v>
      </c>
      <c r="D1393" s="32" t="s">
        <v>821</v>
      </c>
      <c r="E1393" s="33">
        <v>48</v>
      </c>
      <c r="F1393" s="33">
        <v>1435</v>
      </c>
      <c r="G1393" s="33">
        <v>51</v>
      </c>
      <c r="H1393" s="13">
        <f t="shared" si="21"/>
        <v>29.895833333333332</v>
      </c>
    </row>
    <row r="1394" spans="1:8" hidden="1" outlineLevel="2">
      <c r="A1394" s="32" t="s">
        <v>801</v>
      </c>
      <c r="B1394" s="32" t="s">
        <v>1862</v>
      </c>
      <c r="C1394" s="32" t="s">
        <v>1015</v>
      </c>
      <c r="D1394" s="32" t="s">
        <v>802</v>
      </c>
      <c r="E1394" s="33">
        <v>24</v>
      </c>
      <c r="F1394" s="33">
        <v>711</v>
      </c>
      <c r="G1394" s="33">
        <v>7</v>
      </c>
      <c r="H1394" s="13">
        <f t="shared" si="21"/>
        <v>29.625</v>
      </c>
    </row>
    <row r="1395" spans="1:8" hidden="1" outlineLevel="2">
      <c r="A1395" s="32" t="s">
        <v>801</v>
      </c>
      <c r="B1395" s="32" t="s">
        <v>1862</v>
      </c>
      <c r="C1395" s="32" t="s">
        <v>936</v>
      </c>
      <c r="D1395" s="32" t="s">
        <v>869</v>
      </c>
      <c r="E1395" s="33">
        <v>38</v>
      </c>
      <c r="F1395" s="33">
        <v>1116</v>
      </c>
      <c r="G1395" s="33">
        <v>40</v>
      </c>
      <c r="H1395" s="13">
        <f t="shared" si="21"/>
        <v>29.368421052631579</v>
      </c>
    </row>
    <row r="1396" spans="1:8" hidden="1" outlineLevel="2">
      <c r="A1396" s="32" t="s">
        <v>801</v>
      </c>
      <c r="B1396" s="32" t="s">
        <v>1862</v>
      </c>
      <c r="C1396" s="32" t="s">
        <v>1084</v>
      </c>
      <c r="D1396" s="32" t="s">
        <v>834</v>
      </c>
      <c r="E1396" s="33">
        <v>24</v>
      </c>
      <c r="F1396" s="33">
        <v>697</v>
      </c>
      <c r="G1396" s="33">
        <v>23</v>
      </c>
      <c r="H1396" s="13">
        <f t="shared" si="21"/>
        <v>29.041666666666668</v>
      </c>
    </row>
    <row r="1397" spans="1:8" hidden="1" outlineLevel="2">
      <c r="A1397" s="32" t="s">
        <v>801</v>
      </c>
      <c r="B1397" s="32" t="s">
        <v>1858</v>
      </c>
      <c r="C1397" s="32" t="s">
        <v>800</v>
      </c>
      <c r="D1397" s="32" t="s">
        <v>802</v>
      </c>
      <c r="E1397" s="33">
        <v>67</v>
      </c>
      <c r="F1397" s="33">
        <v>1923</v>
      </c>
      <c r="G1397" s="33">
        <v>58</v>
      </c>
      <c r="H1397" s="13">
        <f t="shared" si="21"/>
        <v>28.701492537313431</v>
      </c>
    </row>
    <row r="1398" spans="1:8" hidden="1" outlineLevel="2">
      <c r="A1398" s="32" t="s">
        <v>801</v>
      </c>
      <c r="B1398" s="32" t="s">
        <v>86</v>
      </c>
      <c r="C1398" s="32" t="s">
        <v>841</v>
      </c>
      <c r="D1398" s="32" t="s">
        <v>834</v>
      </c>
      <c r="E1398" s="33">
        <v>96</v>
      </c>
      <c r="F1398" s="33">
        <v>2717</v>
      </c>
      <c r="G1398" s="33">
        <v>97</v>
      </c>
      <c r="H1398" s="13">
        <f t="shared" si="21"/>
        <v>28.302083333333332</v>
      </c>
    </row>
    <row r="1399" spans="1:8" hidden="1" outlineLevel="2">
      <c r="A1399" s="32" t="s">
        <v>801</v>
      </c>
      <c r="B1399" s="32" t="s">
        <v>86</v>
      </c>
      <c r="C1399" s="32" t="s">
        <v>820</v>
      </c>
      <c r="D1399" s="32" t="s">
        <v>875</v>
      </c>
      <c r="E1399" s="33">
        <v>48</v>
      </c>
      <c r="F1399" s="33">
        <v>1353</v>
      </c>
      <c r="G1399" s="33">
        <v>45</v>
      </c>
      <c r="H1399" s="13">
        <f t="shared" si="21"/>
        <v>28.1875</v>
      </c>
    </row>
    <row r="1400" spans="1:8" hidden="1" outlineLevel="2">
      <c r="A1400" s="32" t="s">
        <v>801</v>
      </c>
      <c r="B1400" s="32" t="s">
        <v>1858</v>
      </c>
      <c r="C1400" s="32" t="s">
        <v>807</v>
      </c>
      <c r="D1400" s="32" t="s">
        <v>834</v>
      </c>
      <c r="E1400" s="33">
        <v>48</v>
      </c>
      <c r="F1400" s="33">
        <v>1352</v>
      </c>
      <c r="G1400" s="33">
        <v>47</v>
      </c>
      <c r="H1400" s="13">
        <f t="shared" si="21"/>
        <v>28.166666666666668</v>
      </c>
    </row>
    <row r="1401" spans="1:8" hidden="1" outlineLevel="2">
      <c r="A1401" s="32" t="s">
        <v>801</v>
      </c>
      <c r="B1401" s="32" t="s">
        <v>1858</v>
      </c>
      <c r="C1401" s="32" t="s">
        <v>976</v>
      </c>
      <c r="D1401" s="32" t="s">
        <v>834</v>
      </c>
      <c r="E1401" s="33">
        <v>48</v>
      </c>
      <c r="F1401" s="33">
        <v>1351</v>
      </c>
      <c r="G1401" s="33">
        <v>38</v>
      </c>
      <c r="H1401" s="13">
        <f t="shared" si="21"/>
        <v>28.145833333333332</v>
      </c>
    </row>
    <row r="1402" spans="1:8" hidden="1" outlineLevel="2">
      <c r="A1402" s="32" t="s">
        <v>801</v>
      </c>
      <c r="B1402" s="32" t="s">
        <v>86</v>
      </c>
      <c r="C1402" s="32" t="s">
        <v>1024</v>
      </c>
      <c r="D1402" s="32" t="s">
        <v>830</v>
      </c>
      <c r="E1402" s="33">
        <v>144</v>
      </c>
      <c r="F1402" s="33">
        <v>3964</v>
      </c>
      <c r="G1402" s="33">
        <v>138</v>
      </c>
      <c r="H1402" s="13">
        <f t="shared" si="21"/>
        <v>27.527777777777779</v>
      </c>
    </row>
    <row r="1403" spans="1:8" hidden="1" outlineLevel="2">
      <c r="A1403" s="32" t="s">
        <v>801</v>
      </c>
      <c r="B1403" s="32" t="s">
        <v>1862</v>
      </c>
      <c r="C1403" s="32" t="s">
        <v>1010</v>
      </c>
      <c r="D1403" s="32" t="s">
        <v>1011</v>
      </c>
      <c r="E1403" s="33">
        <v>48</v>
      </c>
      <c r="F1403" s="33">
        <v>1319</v>
      </c>
      <c r="G1403" s="33">
        <v>47</v>
      </c>
      <c r="H1403" s="13">
        <f t="shared" si="21"/>
        <v>27.479166666666668</v>
      </c>
    </row>
    <row r="1404" spans="1:8" hidden="1" outlineLevel="2">
      <c r="A1404" s="32" t="s">
        <v>801</v>
      </c>
      <c r="B1404" s="32" t="s">
        <v>86</v>
      </c>
      <c r="C1404" s="32" t="s">
        <v>833</v>
      </c>
      <c r="D1404" s="32" t="s">
        <v>834</v>
      </c>
      <c r="E1404" s="33">
        <v>96</v>
      </c>
      <c r="F1404" s="33">
        <v>2623</v>
      </c>
      <c r="G1404" s="33">
        <v>90</v>
      </c>
      <c r="H1404" s="13">
        <f t="shared" si="21"/>
        <v>27.322916666666668</v>
      </c>
    </row>
    <row r="1405" spans="1:8" hidden="1" outlineLevel="2">
      <c r="A1405" s="32" t="s">
        <v>801</v>
      </c>
      <c r="B1405" s="32" t="s">
        <v>1862</v>
      </c>
      <c r="C1405" s="32" t="s">
        <v>1072</v>
      </c>
      <c r="D1405" s="32" t="s">
        <v>830</v>
      </c>
      <c r="E1405" s="33">
        <v>96</v>
      </c>
      <c r="F1405" s="33">
        <v>2589</v>
      </c>
      <c r="G1405" s="33">
        <v>88</v>
      </c>
      <c r="H1405" s="13">
        <f t="shared" si="21"/>
        <v>26.96875</v>
      </c>
    </row>
    <row r="1406" spans="1:8" hidden="1" outlineLevel="2">
      <c r="A1406" s="32" t="s">
        <v>801</v>
      </c>
      <c r="B1406" s="32" t="s">
        <v>1858</v>
      </c>
      <c r="C1406" s="32" t="s">
        <v>978</v>
      </c>
      <c r="D1406" s="32" t="s">
        <v>827</v>
      </c>
      <c r="E1406" s="33">
        <v>40</v>
      </c>
      <c r="F1406" s="33">
        <v>1078</v>
      </c>
      <c r="G1406" s="33">
        <v>44</v>
      </c>
      <c r="H1406" s="13">
        <f t="shared" si="21"/>
        <v>26.95</v>
      </c>
    </row>
    <row r="1407" spans="1:8" hidden="1" outlineLevel="2">
      <c r="A1407" s="32" t="s">
        <v>801</v>
      </c>
      <c r="B1407" s="32" t="s">
        <v>86</v>
      </c>
      <c r="C1407" s="32" t="s">
        <v>1060</v>
      </c>
      <c r="D1407" s="32" t="s">
        <v>855</v>
      </c>
      <c r="E1407" s="33">
        <v>48</v>
      </c>
      <c r="F1407" s="33">
        <v>1266</v>
      </c>
      <c r="G1407" s="33">
        <v>41</v>
      </c>
      <c r="H1407" s="13">
        <f t="shared" si="21"/>
        <v>26.375</v>
      </c>
    </row>
    <row r="1408" spans="1:8" hidden="1" outlineLevel="2">
      <c r="A1408" s="32" t="s">
        <v>801</v>
      </c>
      <c r="B1408" s="32" t="s">
        <v>1858</v>
      </c>
      <c r="C1408" s="32" t="s">
        <v>1008</v>
      </c>
      <c r="D1408" s="32" t="s">
        <v>827</v>
      </c>
      <c r="E1408" s="33">
        <v>35</v>
      </c>
      <c r="F1408" s="33">
        <v>915</v>
      </c>
      <c r="G1408" s="33">
        <v>42</v>
      </c>
      <c r="H1408" s="13">
        <f t="shared" si="21"/>
        <v>26.142857142857142</v>
      </c>
    </row>
    <row r="1409" spans="1:8" hidden="1" outlineLevel="2">
      <c r="A1409" s="32" t="s">
        <v>801</v>
      </c>
      <c r="B1409" s="32" t="s">
        <v>1858</v>
      </c>
      <c r="C1409" s="32" t="s">
        <v>1066</v>
      </c>
      <c r="D1409" s="32" t="s">
        <v>827</v>
      </c>
      <c r="E1409" s="33">
        <v>38</v>
      </c>
      <c r="F1409" s="33">
        <v>970</v>
      </c>
      <c r="G1409" s="33">
        <v>41</v>
      </c>
      <c r="H1409" s="13">
        <f t="shared" si="21"/>
        <v>25.526315789473685</v>
      </c>
    </row>
    <row r="1410" spans="1:8" hidden="1" outlineLevel="2">
      <c r="A1410" s="32" t="s">
        <v>801</v>
      </c>
      <c r="B1410" s="32" t="s">
        <v>1858</v>
      </c>
      <c r="C1410" s="32" t="s">
        <v>897</v>
      </c>
      <c r="D1410" s="32" t="s">
        <v>827</v>
      </c>
      <c r="E1410" s="33">
        <v>66</v>
      </c>
      <c r="F1410" s="33">
        <v>1684</v>
      </c>
      <c r="G1410" s="33">
        <v>65</v>
      </c>
      <c r="H1410" s="13">
        <f t="shared" ref="H1410:H1473" si="22">IFERROR(F1410/E1410,"")</f>
        <v>25.515151515151516</v>
      </c>
    </row>
    <row r="1411" spans="1:8" hidden="1" outlineLevel="2">
      <c r="A1411" s="32" t="s">
        <v>801</v>
      </c>
      <c r="B1411" s="32" t="s">
        <v>86</v>
      </c>
      <c r="C1411" s="32" t="s">
        <v>1033</v>
      </c>
      <c r="D1411" s="32" t="s">
        <v>829</v>
      </c>
      <c r="E1411" s="33">
        <v>90</v>
      </c>
      <c r="F1411" s="33">
        <v>2291</v>
      </c>
      <c r="G1411" s="33">
        <v>86</v>
      </c>
      <c r="H1411" s="13">
        <f t="shared" si="22"/>
        <v>25.455555555555556</v>
      </c>
    </row>
    <row r="1412" spans="1:8" hidden="1" outlineLevel="2">
      <c r="A1412" s="32" t="s">
        <v>801</v>
      </c>
      <c r="B1412" s="32" t="s">
        <v>1862</v>
      </c>
      <c r="C1412" s="32" t="s">
        <v>949</v>
      </c>
      <c r="D1412" s="32" t="s">
        <v>827</v>
      </c>
      <c r="E1412" s="33">
        <v>70</v>
      </c>
      <c r="F1412" s="33">
        <v>1757</v>
      </c>
      <c r="G1412" s="33">
        <v>68</v>
      </c>
      <c r="H1412" s="13">
        <f t="shared" si="22"/>
        <v>25.1</v>
      </c>
    </row>
    <row r="1413" spans="1:8" hidden="1" outlineLevel="2">
      <c r="A1413" s="32" t="s">
        <v>801</v>
      </c>
      <c r="B1413" s="32" t="s">
        <v>1858</v>
      </c>
      <c r="C1413" s="32" t="s">
        <v>811</v>
      </c>
      <c r="D1413" s="32" t="s">
        <v>830</v>
      </c>
      <c r="E1413" s="33">
        <v>96</v>
      </c>
      <c r="F1413" s="33">
        <v>2381</v>
      </c>
      <c r="G1413" s="33">
        <v>83</v>
      </c>
      <c r="H1413" s="13">
        <f t="shared" si="22"/>
        <v>24.802083333333332</v>
      </c>
    </row>
    <row r="1414" spans="1:8" hidden="1" outlineLevel="2">
      <c r="A1414" s="32" t="s">
        <v>801</v>
      </c>
      <c r="B1414" s="32" t="s">
        <v>1858</v>
      </c>
      <c r="C1414" s="32" t="s">
        <v>815</v>
      </c>
      <c r="D1414" s="32" t="s">
        <v>829</v>
      </c>
      <c r="E1414" s="33">
        <v>32</v>
      </c>
      <c r="F1414" s="33">
        <v>785</v>
      </c>
      <c r="G1414" s="33">
        <v>32</v>
      </c>
      <c r="H1414" s="13">
        <f t="shared" si="22"/>
        <v>24.53125</v>
      </c>
    </row>
    <row r="1415" spans="1:8" hidden="1" outlineLevel="2">
      <c r="A1415" s="32" t="s">
        <v>801</v>
      </c>
      <c r="B1415" s="32" t="s">
        <v>1858</v>
      </c>
      <c r="C1415" s="32" t="s">
        <v>814</v>
      </c>
      <c r="D1415" s="32" t="s">
        <v>802</v>
      </c>
      <c r="E1415" s="33">
        <v>21</v>
      </c>
      <c r="F1415" s="33">
        <v>515</v>
      </c>
      <c r="G1415" s="33">
        <v>17</v>
      </c>
      <c r="H1415" s="13">
        <f t="shared" si="22"/>
        <v>24.523809523809526</v>
      </c>
    </row>
    <row r="1416" spans="1:8" hidden="1" outlineLevel="2">
      <c r="A1416" s="32" t="s">
        <v>801</v>
      </c>
      <c r="B1416" s="32" t="s">
        <v>1862</v>
      </c>
      <c r="C1416" s="32" t="s">
        <v>1073</v>
      </c>
      <c r="D1416" s="32" t="s">
        <v>817</v>
      </c>
      <c r="E1416" s="33">
        <v>48</v>
      </c>
      <c r="F1416" s="33">
        <v>1176</v>
      </c>
      <c r="G1416" s="33">
        <v>47</v>
      </c>
      <c r="H1416" s="13">
        <f t="shared" si="22"/>
        <v>24.5</v>
      </c>
    </row>
    <row r="1417" spans="1:8" hidden="1" outlineLevel="2">
      <c r="A1417" s="32" t="s">
        <v>801</v>
      </c>
      <c r="B1417" s="32" t="s">
        <v>86</v>
      </c>
      <c r="C1417" s="32" t="s">
        <v>1025</v>
      </c>
      <c r="D1417" s="32" t="s">
        <v>855</v>
      </c>
      <c r="E1417" s="33">
        <v>144</v>
      </c>
      <c r="F1417" s="33">
        <v>3478</v>
      </c>
      <c r="G1417" s="33">
        <v>140</v>
      </c>
      <c r="H1417" s="13">
        <f t="shared" si="22"/>
        <v>24.152777777777779</v>
      </c>
    </row>
    <row r="1418" spans="1:8" hidden="1" outlineLevel="2">
      <c r="A1418" s="32" t="s">
        <v>801</v>
      </c>
      <c r="B1418" s="32" t="s">
        <v>1862</v>
      </c>
      <c r="C1418" s="32" t="s">
        <v>1073</v>
      </c>
      <c r="D1418" s="32" t="s">
        <v>875</v>
      </c>
      <c r="E1418" s="33">
        <v>38</v>
      </c>
      <c r="F1418" s="33">
        <v>917</v>
      </c>
      <c r="G1418" s="33">
        <v>40</v>
      </c>
      <c r="H1418" s="13">
        <f t="shared" si="22"/>
        <v>24.131578947368421</v>
      </c>
    </row>
    <row r="1419" spans="1:8" hidden="1" outlineLevel="2">
      <c r="A1419" s="32" t="s">
        <v>801</v>
      </c>
      <c r="B1419" s="32" t="s">
        <v>86</v>
      </c>
      <c r="C1419" s="32" t="s">
        <v>1124</v>
      </c>
      <c r="D1419" s="32" t="s">
        <v>1125</v>
      </c>
      <c r="E1419" s="33">
        <v>48</v>
      </c>
      <c r="F1419" s="33">
        <v>1157</v>
      </c>
      <c r="G1419" s="33">
        <v>38</v>
      </c>
      <c r="H1419" s="13">
        <f t="shared" si="22"/>
        <v>24.104166666666668</v>
      </c>
    </row>
    <row r="1420" spans="1:8" hidden="1" outlineLevel="2">
      <c r="A1420" s="32" t="s">
        <v>801</v>
      </c>
      <c r="B1420" s="32" t="s">
        <v>1858</v>
      </c>
      <c r="C1420" s="32" t="s">
        <v>814</v>
      </c>
      <c r="D1420" s="32" t="s">
        <v>802</v>
      </c>
      <c r="E1420" s="33">
        <v>21</v>
      </c>
      <c r="F1420" s="33">
        <v>501</v>
      </c>
      <c r="G1420" s="33">
        <v>11</v>
      </c>
      <c r="H1420" s="13">
        <f t="shared" si="22"/>
        <v>23.857142857142858</v>
      </c>
    </row>
    <row r="1421" spans="1:8" hidden="1" outlineLevel="2">
      <c r="A1421" s="32" t="s">
        <v>801</v>
      </c>
      <c r="B1421" s="32" t="s">
        <v>1862</v>
      </c>
      <c r="C1421" s="32" t="s">
        <v>937</v>
      </c>
      <c r="D1421" s="32" t="s">
        <v>829</v>
      </c>
      <c r="E1421" s="33">
        <v>42</v>
      </c>
      <c r="F1421" s="33">
        <v>981</v>
      </c>
      <c r="G1421" s="33">
        <v>42</v>
      </c>
      <c r="H1421" s="13">
        <f t="shared" si="22"/>
        <v>23.357142857142858</v>
      </c>
    </row>
    <row r="1422" spans="1:8" hidden="1" outlineLevel="2">
      <c r="A1422" s="32" t="s">
        <v>801</v>
      </c>
      <c r="B1422" s="32" t="s">
        <v>1862</v>
      </c>
      <c r="C1422" s="32" t="s">
        <v>932</v>
      </c>
      <c r="D1422" s="32" t="s">
        <v>829</v>
      </c>
      <c r="E1422" s="33">
        <v>45</v>
      </c>
      <c r="F1422" s="33">
        <v>1043</v>
      </c>
      <c r="G1422" s="33">
        <v>44</v>
      </c>
      <c r="H1422" s="13">
        <f t="shared" si="22"/>
        <v>23.177777777777777</v>
      </c>
    </row>
    <row r="1423" spans="1:8" hidden="1" outlineLevel="2">
      <c r="A1423" s="32" t="s">
        <v>801</v>
      </c>
      <c r="B1423" s="32" t="s">
        <v>1862</v>
      </c>
      <c r="C1423" s="32" t="s">
        <v>954</v>
      </c>
      <c r="D1423" s="32" t="s">
        <v>1021</v>
      </c>
      <c r="E1423" s="33">
        <v>35</v>
      </c>
      <c r="F1423" s="33">
        <v>809</v>
      </c>
      <c r="G1423" s="33">
        <v>30</v>
      </c>
      <c r="H1423" s="13">
        <f t="shared" si="22"/>
        <v>23.114285714285714</v>
      </c>
    </row>
    <row r="1424" spans="1:8" hidden="1" outlineLevel="2">
      <c r="A1424" s="32" t="s">
        <v>801</v>
      </c>
      <c r="B1424" s="32" t="s">
        <v>86</v>
      </c>
      <c r="C1424" s="32" t="s">
        <v>1124</v>
      </c>
      <c r="D1424" s="32" t="s">
        <v>855</v>
      </c>
      <c r="E1424" s="33">
        <v>48</v>
      </c>
      <c r="F1424" s="33">
        <v>1099</v>
      </c>
      <c r="G1424" s="33">
        <v>39</v>
      </c>
      <c r="H1424" s="13">
        <f t="shared" si="22"/>
        <v>22.895833333333332</v>
      </c>
    </row>
    <row r="1425" spans="1:8" hidden="1" outlineLevel="2">
      <c r="A1425" s="32" t="s">
        <v>801</v>
      </c>
      <c r="B1425" s="32" t="s">
        <v>1858</v>
      </c>
      <c r="C1425" s="32" t="s">
        <v>805</v>
      </c>
      <c r="D1425" s="32" t="s">
        <v>834</v>
      </c>
      <c r="E1425" s="33">
        <v>44</v>
      </c>
      <c r="F1425" s="33">
        <v>985</v>
      </c>
      <c r="G1425" s="33">
        <v>44</v>
      </c>
      <c r="H1425" s="13">
        <f t="shared" si="22"/>
        <v>22.386363636363637</v>
      </c>
    </row>
    <row r="1426" spans="1:8" hidden="1" outlineLevel="2">
      <c r="A1426" s="32" t="s">
        <v>801</v>
      </c>
      <c r="B1426" s="32" t="s">
        <v>1862</v>
      </c>
      <c r="C1426" s="32" t="s">
        <v>1092</v>
      </c>
      <c r="D1426" s="32" t="s">
        <v>834</v>
      </c>
      <c r="E1426" s="33">
        <v>35</v>
      </c>
      <c r="F1426" s="33">
        <v>780</v>
      </c>
      <c r="G1426" s="33">
        <v>33</v>
      </c>
      <c r="H1426" s="13">
        <f t="shared" si="22"/>
        <v>22.285714285714285</v>
      </c>
    </row>
    <row r="1427" spans="1:8" hidden="1" outlineLevel="2">
      <c r="A1427" s="32" t="s">
        <v>801</v>
      </c>
      <c r="B1427" s="32" t="s">
        <v>1858</v>
      </c>
      <c r="C1427" s="32" t="s">
        <v>1014</v>
      </c>
      <c r="D1427" s="32" t="s">
        <v>834</v>
      </c>
      <c r="E1427" s="33">
        <v>34</v>
      </c>
      <c r="F1427" s="33">
        <v>756</v>
      </c>
      <c r="G1427" s="33">
        <v>35</v>
      </c>
      <c r="H1427" s="13">
        <f t="shared" si="22"/>
        <v>22.235294117647058</v>
      </c>
    </row>
    <row r="1428" spans="1:8" hidden="1" outlineLevel="2">
      <c r="A1428" s="32" t="s">
        <v>801</v>
      </c>
      <c r="B1428" s="32" t="s">
        <v>86</v>
      </c>
      <c r="C1428" s="32" t="s">
        <v>856</v>
      </c>
      <c r="D1428" s="32" t="s">
        <v>875</v>
      </c>
      <c r="E1428" s="33">
        <v>48</v>
      </c>
      <c r="F1428" s="33">
        <v>1059</v>
      </c>
      <c r="G1428" s="33">
        <v>49</v>
      </c>
      <c r="H1428" s="13">
        <f t="shared" si="22"/>
        <v>22.0625</v>
      </c>
    </row>
    <row r="1429" spans="1:8" hidden="1" outlineLevel="2">
      <c r="A1429" s="32" t="s">
        <v>801</v>
      </c>
      <c r="B1429" s="32" t="s">
        <v>1858</v>
      </c>
      <c r="C1429" s="32" t="s">
        <v>805</v>
      </c>
      <c r="D1429" s="32" t="s">
        <v>827</v>
      </c>
      <c r="E1429" s="33">
        <v>44</v>
      </c>
      <c r="F1429" s="33">
        <v>970</v>
      </c>
      <c r="G1429" s="33">
        <v>44</v>
      </c>
      <c r="H1429" s="13">
        <f t="shared" si="22"/>
        <v>22.045454545454547</v>
      </c>
    </row>
    <row r="1430" spans="1:8" hidden="1" outlineLevel="2">
      <c r="A1430" s="32" t="s">
        <v>801</v>
      </c>
      <c r="B1430" s="32" t="s">
        <v>1858</v>
      </c>
      <c r="C1430" s="32" t="s">
        <v>1013</v>
      </c>
      <c r="D1430" s="32" t="s">
        <v>827</v>
      </c>
      <c r="E1430" s="33">
        <v>36</v>
      </c>
      <c r="F1430" s="33">
        <v>792</v>
      </c>
      <c r="G1430" s="33">
        <v>32</v>
      </c>
      <c r="H1430" s="13">
        <f t="shared" si="22"/>
        <v>22</v>
      </c>
    </row>
    <row r="1431" spans="1:8" hidden="1" outlineLevel="2">
      <c r="A1431" s="32" t="s">
        <v>801</v>
      </c>
      <c r="B1431" s="32" t="s">
        <v>86</v>
      </c>
      <c r="C1431" s="32" t="s">
        <v>868</v>
      </c>
      <c r="D1431" s="32" t="s">
        <v>834</v>
      </c>
      <c r="E1431" s="33">
        <v>142</v>
      </c>
      <c r="F1431" s="33">
        <v>3105</v>
      </c>
      <c r="G1431" s="33">
        <v>142</v>
      </c>
      <c r="H1431" s="13">
        <f t="shared" si="22"/>
        <v>21.866197183098592</v>
      </c>
    </row>
    <row r="1432" spans="1:8" hidden="1" outlineLevel="2">
      <c r="A1432" s="32" t="s">
        <v>801</v>
      </c>
      <c r="B1432" s="32" t="s">
        <v>1858</v>
      </c>
      <c r="C1432" s="32" t="s">
        <v>897</v>
      </c>
      <c r="D1432" s="32" t="s">
        <v>806</v>
      </c>
      <c r="E1432" s="33">
        <v>32</v>
      </c>
      <c r="F1432" s="33">
        <v>692</v>
      </c>
      <c r="G1432" s="33">
        <v>31</v>
      </c>
      <c r="H1432" s="13">
        <f t="shared" si="22"/>
        <v>21.625</v>
      </c>
    </row>
    <row r="1433" spans="1:8" hidden="1" outlineLevel="2">
      <c r="A1433" s="32" t="s">
        <v>801</v>
      </c>
      <c r="B1433" s="32" t="s">
        <v>1862</v>
      </c>
      <c r="C1433" s="32" t="s">
        <v>1154</v>
      </c>
      <c r="D1433" s="32" t="s">
        <v>821</v>
      </c>
      <c r="E1433" s="33">
        <v>27</v>
      </c>
      <c r="F1433" s="33">
        <v>579</v>
      </c>
      <c r="G1433" s="33">
        <v>27</v>
      </c>
      <c r="H1433" s="13">
        <f t="shared" si="22"/>
        <v>21.444444444444443</v>
      </c>
    </row>
    <row r="1434" spans="1:8" hidden="1" outlineLevel="2">
      <c r="A1434" s="32" t="s">
        <v>801</v>
      </c>
      <c r="B1434" s="32" t="s">
        <v>1858</v>
      </c>
      <c r="C1434" s="32" t="s">
        <v>1046</v>
      </c>
      <c r="D1434" s="32" t="s">
        <v>830</v>
      </c>
      <c r="E1434" s="33">
        <v>48</v>
      </c>
      <c r="F1434" s="33">
        <v>1026</v>
      </c>
      <c r="G1434" s="33">
        <v>43</v>
      </c>
      <c r="H1434" s="13">
        <f t="shared" si="22"/>
        <v>21.375</v>
      </c>
    </row>
    <row r="1435" spans="1:8" hidden="1" outlineLevel="2">
      <c r="A1435" s="32" t="s">
        <v>801</v>
      </c>
      <c r="B1435" s="32" t="s">
        <v>86</v>
      </c>
      <c r="C1435" s="32" t="s">
        <v>1203</v>
      </c>
      <c r="D1435" s="32" t="s">
        <v>855</v>
      </c>
      <c r="E1435" s="33">
        <v>96</v>
      </c>
      <c r="F1435" s="33">
        <v>2033</v>
      </c>
      <c r="G1435" s="33">
        <v>64</v>
      </c>
      <c r="H1435" s="13">
        <f t="shared" si="22"/>
        <v>21.177083333333332</v>
      </c>
    </row>
    <row r="1436" spans="1:8" hidden="1" outlineLevel="2">
      <c r="A1436" s="32" t="s">
        <v>801</v>
      </c>
      <c r="B1436" s="32" t="s">
        <v>1862</v>
      </c>
      <c r="C1436" s="32" t="s">
        <v>945</v>
      </c>
      <c r="D1436" s="32" t="s">
        <v>834</v>
      </c>
      <c r="E1436" s="33">
        <v>35</v>
      </c>
      <c r="F1436" s="33">
        <v>740</v>
      </c>
      <c r="G1436" s="33">
        <v>38</v>
      </c>
      <c r="H1436" s="13">
        <f t="shared" si="22"/>
        <v>21.142857142857142</v>
      </c>
    </row>
    <row r="1437" spans="1:8" hidden="1" outlineLevel="2">
      <c r="A1437" s="32" t="s">
        <v>801</v>
      </c>
      <c r="B1437" s="32" t="s">
        <v>1862</v>
      </c>
      <c r="C1437" s="32" t="s">
        <v>936</v>
      </c>
      <c r="D1437" s="32" t="s">
        <v>855</v>
      </c>
      <c r="E1437" s="33">
        <v>38</v>
      </c>
      <c r="F1437" s="33">
        <v>798</v>
      </c>
      <c r="G1437" s="33">
        <v>42</v>
      </c>
      <c r="H1437" s="13">
        <f t="shared" si="22"/>
        <v>21</v>
      </c>
    </row>
    <row r="1438" spans="1:8" hidden="1" outlineLevel="2">
      <c r="A1438" s="32" t="s">
        <v>801</v>
      </c>
      <c r="B1438" s="32" t="s">
        <v>1862</v>
      </c>
      <c r="C1438" s="32" t="s">
        <v>803</v>
      </c>
      <c r="D1438" s="32" t="s">
        <v>834</v>
      </c>
      <c r="E1438" s="33">
        <v>144</v>
      </c>
      <c r="F1438" s="33">
        <v>3002</v>
      </c>
      <c r="G1438" s="33">
        <v>144</v>
      </c>
      <c r="H1438" s="13">
        <f t="shared" si="22"/>
        <v>20.847222222222221</v>
      </c>
    </row>
    <row r="1439" spans="1:8" hidden="1" outlineLevel="2">
      <c r="A1439" s="32" t="s">
        <v>801</v>
      </c>
      <c r="B1439" s="32" t="s">
        <v>86</v>
      </c>
      <c r="C1439" s="32" t="s">
        <v>794</v>
      </c>
      <c r="D1439" s="32" t="s">
        <v>855</v>
      </c>
      <c r="E1439" s="33">
        <v>192</v>
      </c>
      <c r="F1439" s="33">
        <v>3966</v>
      </c>
      <c r="G1439" s="33">
        <v>190</v>
      </c>
      <c r="H1439" s="13">
        <f t="shared" si="22"/>
        <v>20.65625</v>
      </c>
    </row>
    <row r="1440" spans="1:8" hidden="1" outlineLevel="2">
      <c r="A1440" s="32" t="s">
        <v>801</v>
      </c>
      <c r="B1440" s="32" t="s">
        <v>1858</v>
      </c>
      <c r="C1440" s="32" t="s">
        <v>1066</v>
      </c>
      <c r="D1440" s="32" t="s">
        <v>834</v>
      </c>
      <c r="E1440" s="33">
        <v>36</v>
      </c>
      <c r="F1440" s="33">
        <v>740</v>
      </c>
      <c r="G1440" s="33">
        <v>35</v>
      </c>
      <c r="H1440" s="13">
        <f t="shared" si="22"/>
        <v>20.555555555555557</v>
      </c>
    </row>
    <row r="1441" spans="1:8" hidden="1" outlineLevel="2">
      <c r="A1441" s="32" t="s">
        <v>801</v>
      </c>
      <c r="B1441" s="32" t="s">
        <v>1862</v>
      </c>
      <c r="C1441" s="32" t="s">
        <v>964</v>
      </c>
      <c r="D1441" s="32" t="s">
        <v>829</v>
      </c>
      <c r="E1441" s="33">
        <v>35</v>
      </c>
      <c r="F1441" s="33">
        <v>719</v>
      </c>
      <c r="G1441" s="33">
        <v>32</v>
      </c>
      <c r="H1441" s="13">
        <f t="shared" si="22"/>
        <v>20.542857142857144</v>
      </c>
    </row>
    <row r="1442" spans="1:8" hidden="1" outlineLevel="2">
      <c r="A1442" s="32" t="s">
        <v>801</v>
      </c>
      <c r="B1442" s="32" t="s">
        <v>1858</v>
      </c>
      <c r="C1442" s="32" t="s">
        <v>881</v>
      </c>
      <c r="D1442" s="32" t="s">
        <v>829</v>
      </c>
      <c r="E1442" s="33">
        <v>24</v>
      </c>
      <c r="F1442" s="33">
        <v>486</v>
      </c>
      <c r="G1442" s="33">
        <v>16</v>
      </c>
      <c r="H1442" s="13">
        <f t="shared" si="22"/>
        <v>20.25</v>
      </c>
    </row>
    <row r="1443" spans="1:8" hidden="1" outlineLevel="2">
      <c r="A1443" s="32" t="s">
        <v>801</v>
      </c>
      <c r="B1443" s="32" t="s">
        <v>1862</v>
      </c>
      <c r="C1443" s="32" t="s">
        <v>1186</v>
      </c>
      <c r="D1443" s="32" t="s">
        <v>855</v>
      </c>
      <c r="E1443" s="33">
        <v>45</v>
      </c>
      <c r="F1443" s="33">
        <v>905</v>
      </c>
      <c r="G1443" s="33">
        <v>38</v>
      </c>
      <c r="H1443" s="13">
        <f t="shared" si="22"/>
        <v>20.111111111111111</v>
      </c>
    </row>
    <row r="1444" spans="1:8" hidden="1" outlineLevel="2">
      <c r="A1444" s="32" t="s">
        <v>801</v>
      </c>
      <c r="B1444" s="32" t="s">
        <v>1858</v>
      </c>
      <c r="C1444" s="32" t="s">
        <v>800</v>
      </c>
      <c r="D1444" s="32" t="s">
        <v>875</v>
      </c>
      <c r="E1444" s="33">
        <v>32</v>
      </c>
      <c r="F1444" s="33">
        <v>637</v>
      </c>
      <c r="G1444" s="33">
        <v>30</v>
      </c>
      <c r="H1444" s="13">
        <f t="shared" si="22"/>
        <v>19.90625</v>
      </c>
    </row>
    <row r="1445" spans="1:8" hidden="1" outlineLevel="2">
      <c r="A1445" s="32" t="s">
        <v>801</v>
      </c>
      <c r="B1445" s="32" t="s">
        <v>1858</v>
      </c>
      <c r="C1445" s="32" t="s">
        <v>981</v>
      </c>
      <c r="D1445" s="32" t="s">
        <v>806</v>
      </c>
      <c r="E1445" s="33">
        <v>35</v>
      </c>
      <c r="F1445" s="33">
        <v>695</v>
      </c>
      <c r="G1445" s="33">
        <v>28</v>
      </c>
      <c r="H1445" s="13">
        <f t="shared" si="22"/>
        <v>19.857142857142858</v>
      </c>
    </row>
    <row r="1446" spans="1:8" hidden="1" outlineLevel="2">
      <c r="A1446" s="32" t="s">
        <v>801</v>
      </c>
      <c r="B1446" s="32" t="s">
        <v>1858</v>
      </c>
      <c r="C1446" s="32" t="s">
        <v>978</v>
      </c>
      <c r="D1446" s="32" t="s">
        <v>834</v>
      </c>
      <c r="E1446" s="33">
        <v>40</v>
      </c>
      <c r="F1446" s="33">
        <v>788</v>
      </c>
      <c r="G1446" s="33">
        <v>39</v>
      </c>
      <c r="H1446" s="13">
        <f t="shared" si="22"/>
        <v>19.7</v>
      </c>
    </row>
    <row r="1447" spans="1:8" hidden="1" outlineLevel="2">
      <c r="A1447" s="32" t="s">
        <v>801</v>
      </c>
      <c r="B1447" s="32" t="s">
        <v>86</v>
      </c>
      <c r="C1447" s="32" t="s">
        <v>1115</v>
      </c>
      <c r="D1447" s="32" t="s">
        <v>855</v>
      </c>
      <c r="E1447" s="33">
        <v>48</v>
      </c>
      <c r="F1447" s="33">
        <v>943</v>
      </c>
      <c r="G1447" s="33">
        <v>46</v>
      </c>
      <c r="H1447" s="13">
        <f t="shared" si="22"/>
        <v>19.645833333333332</v>
      </c>
    </row>
    <row r="1448" spans="1:8" hidden="1" outlineLevel="2">
      <c r="A1448" s="32" t="s">
        <v>801</v>
      </c>
      <c r="B1448" s="32" t="s">
        <v>1858</v>
      </c>
      <c r="C1448" s="32" t="s">
        <v>816</v>
      </c>
      <c r="D1448" s="32" t="s">
        <v>827</v>
      </c>
      <c r="E1448" s="33">
        <v>140</v>
      </c>
      <c r="F1448" s="33">
        <v>2729</v>
      </c>
      <c r="G1448" s="33">
        <v>140</v>
      </c>
      <c r="H1448" s="13">
        <f t="shared" si="22"/>
        <v>19.492857142857144</v>
      </c>
    </row>
    <row r="1449" spans="1:8" hidden="1" outlineLevel="2">
      <c r="A1449" s="32" t="s">
        <v>801</v>
      </c>
      <c r="B1449" s="32" t="s">
        <v>1862</v>
      </c>
      <c r="C1449" s="32" t="s">
        <v>963</v>
      </c>
      <c r="D1449" s="32" t="s">
        <v>942</v>
      </c>
      <c r="E1449" s="33">
        <v>42</v>
      </c>
      <c r="F1449" s="33">
        <v>818</v>
      </c>
      <c r="G1449" s="33">
        <v>41</v>
      </c>
      <c r="H1449" s="13">
        <f t="shared" si="22"/>
        <v>19.476190476190474</v>
      </c>
    </row>
    <row r="1450" spans="1:8" hidden="1" outlineLevel="2">
      <c r="A1450" s="32" t="s">
        <v>801</v>
      </c>
      <c r="B1450" s="32" t="s">
        <v>1858</v>
      </c>
      <c r="C1450" s="32" t="s">
        <v>897</v>
      </c>
      <c r="D1450" s="32" t="s">
        <v>898</v>
      </c>
      <c r="E1450" s="33">
        <v>32</v>
      </c>
      <c r="F1450" s="33">
        <v>619</v>
      </c>
      <c r="G1450" s="33">
        <v>31</v>
      </c>
      <c r="H1450" s="13">
        <f t="shared" si="22"/>
        <v>19.34375</v>
      </c>
    </row>
    <row r="1451" spans="1:8" hidden="1" outlineLevel="2">
      <c r="A1451" s="32" t="s">
        <v>801</v>
      </c>
      <c r="B1451" s="32" t="s">
        <v>1862</v>
      </c>
      <c r="C1451" s="32" t="s">
        <v>954</v>
      </c>
      <c r="D1451" s="32" t="s">
        <v>821</v>
      </c>
      <c r="E1451" s="33">
        <v>35</v>
      </c>
      <c r="F1451" s="33">
        <v>670</v>
      </c>
      <c r="G1451" s="33">
        <v>22</v>
      </c>
      <c r="H1451" s="13">
        <f t="shared" si="22"/>
        <v>19.142857142857142</v>
      </c>
    </row>
    <row r="1452" spans="1:8" hidden="1" outlineLevel="2">
      <c r="A1452" s="32" t="s">
        <v>801</v>
      </c>
      <c r="B1452" s="32" t="s">
        <v>1858</v>
      </c>
      <c r="C1452" s="32" t="s">
        <v>816</v>
      </c>
      <c r="D1452" s="32" t="s">
        <v>834</v>
      </c>
      <c r="E1452" s="33">
        <v>126</v>
      </c>
      <c r="F1452" s="33">
        <v>2399</v>
      </c>
      <c r="G1452" s="33">
        <v>126</v>
      </c>
      <c r="H1452" s="13">
        <f t="shared" si="22"/>
        <v>19.039682539682541</v>
      </c>
    </row>
    <row r="1453" spans="1:8" hidden="1" outlineLevel="2">
      <c r="A1453" s="32" t="s">
        <v>801</v>
      </c>
      <c r="B1453" s="32" t="s">
        <v>86</v>
      </c>
      <c r="C1453" s="32" t="s">
        <v>1230</v>
      </c>
      <c r="D1453" s="32" t="s">
        <v>855</v>
      </c>
      <c r="E1453" s="33">
        <v>96</v>
      </c>
      <c r="F1453" s="33">
        <v>1798</v>
      </c>
      <c r="G1453" s="33">
        <v>93</v>
      </c>
      <c r="H1453" s="13">
        <f t="shared" si="22"/>
        <v>18.729166666666668</v>
      </c>
    </row>
    <row r="1454" spans="1:8" hidden="1" outlineLevel="2">
      <c r="A1454" s="32" t="s">
        <v>801</v>
      </c>
      <c r="B1454" s="32" t="s">
        <v>1858</v>
      </c>
      <c r="C1454" s="32" t="s">
        <v>1046</v>
      </c>
      <c r="D1454" s="32" t="s">
        <v>834</v>
      </c>
      <c r="E1454" s="33">
        <v>48</v>
      </c>
      <c r="F1454" s="33">
        <v>898</v>
      </c>
      <c r="G1454" s="33">
        <v>47</v>
      </c>
      <c r="H1454" s="13">
        <f t="shared" si="22"/>
        <v>18.708333333333332</v>
      </c>
    </row>
    <row r="1455" spans="1:8" hidden="1" outlineLevel="2">
      <c r="A1455" s="32" t="s">
        <v>801</v>
      </c>
      <c r="B1455" s="32" t="s">
        <v>1858</v>
      </c>
      <c r="C1455" s="32" t="s">
        <v>1008</v>
      </c>
      <c r="D1455" s="32" t="s">
        <v>834</v>
      </c>
      <c r="E1455" s="33">
        <v>35</v>
      </c>
      <c r="F1455" s="33">
        <v>649</v>
      </c>
      <c r="G1455" s="33">
        <v>43</v>
      </c>
      <c r="H1455" s="13">
        <f t="shared" si="22"/>
        <v>18.542857142857144</v>
      </c>
    </row>
    <row r="1456" spans="1:8" hidden="1" outlineLevel="2">
      <c r="A1456" s="32" t="s">
        <v>801</v>
      </c>
      <c r="B1456" s="32" t="s">
        <v>1862</v>
      </c>
      <c r="C1456" s="32" t="s">
        <v>1072</v>
      </c>
      <c r="D1456" s="32" t="s">
        <v>855</v>
      </c>
      <c r="E1456" s="33">
        <v>96</v>
      </c>
      <c r="F1456" s="33">
        <v>1770</v>
      </c>
      <c r="G1456" s="33">
        <v>95</v>
      </c>
      <c r="H1456" s="13">
        <f t="shared" si="22"/>
        <v>18.4375</v>
      </c>
    </row>
    <row r="1457" spans="1:8" hidden="1" outlineLevel="2">
      <c r="A1457" s="32" t="s">
        <v>801</v>
      </c>
      <c r="B1457" s="32" t="s">
        <v>1858</v>
      </c>
      <c r="C1457" s="32" t="s">
        <v>807</v>
      </c>
      <c r="D1457" s="32" t="s">
        <v>808</v>
      </c>
      <c r="E1457" s="33">
        <v>48</v>
      </c>
      <c r="F1457" s="33">
        <v>884</v>
      </c>
      <c r="G1457" s="33">
        <v>31</v>
      </c>
      <c r="H1457" s="13">
        <f t="shared" si="22"/>
        <v>18.416666666666668</v>
      </c>
    </row>
    <row r="1458" spans="1:8" hidden="1" outlineLevel="2">
      <c r="A1458" s="32" t="s">
        <v>801</v>
      </c>
      <c r="B1458" s="32" t="s">
        <v>86</v>
      </c>
      <c r="C1458" s="32" t="s">
        <v>909</v>
      </c>
      <c r="D1458" s="32" t="s">
        <v>855</v>
      </c>
      <c r="E1458" s="33">
        <v>96</v>
      </c>
      <c r="F1458" s="33">
        <v>1766</v>
      </c>
      <c r="G1458" s="33">
        <v>94</v>
      </c>
      <c r="H1458" s="13">
        <f t="shared" si="22"/>
        <v>18.395833333333332</v>
      </c>
    </row>
    <row r="1459" spans="1:8" hidden="1" outlineLevel="2">
      <c r="A1459" s="32" t="s">
        <v>801</v>
      </c>
      <c r="B1459" s="32" t="s">
        <v>1858</v>
      </c>
      <c r="C1459" s="32" t="s">
        <v>814</v>
      </c>
      <c r="D1459" s="32" t="s">
        <v>802</v>
      </c>
      <c r="E1459" s="33">
        <v>21</v>
      </c>
      <c r="F1459" s="33">
        <v>385</v>
      </c>
      <c r="G1459" s="33">
        <v>10</v>
      </c>
      <c r="H1459" s="13">
        <f t="shared" si="22"/>
        <v>18.333333333333332</v>
      </c>
    </row>
    <row r="1460" spans="1:8" hidden="1" outlineLevel="2">
      <c r="A1460" s="32" t="s">
        <v>801</v>
      </c>
      <c r="B1460" s="32" t="s">
        <v>86</v>
      </c>
      <c r="C1460" s="32" t="s">
        <v>854</v>
      </c>
      <c r="D1460" s="32" t="s">
        <v>855</v>
      </c>
      <c r="E1460" s="33">
        <v>96</v>
      </c>
      <c r="F1460" s="33">
        <v>1736</v>
      </c>
      <c r="G1460" s="33">
        <v>78</v>
      </c>
      <c r="H1460" s="13">
        <f t="shared" si="22"/>
        <v>18.083333333333332</v>
      </c>
    </row>
    <row r="1461" spans="1:8" hidden="1" outlineLevel="2">
      <c r="A1461" s="32" t="s">
        <v>801</v>
      </c>
      <c r="B1461" s="32" t="s">
        <v>1862</v>
      </c>
      <c r="C1461" s="32" t="s">
        <v>945</v>
      </c>
      <c r="D1461" s="32" t="s">
        <v>855</v>
      </c>
      <c r="E1461" s="33">
        <v>36</v>
      </c>
      <c r="F1461" s="33">
        <v>635</v>
      </c>
      <c r="G1461" s="33">
        <v>39</v>
      </c>
      <c r="H1461" s="13">
        <f t="shared" si="22"/>
        <v>17.638888888888889</v>
      </c>
    </row>
    <row r="1462" spans="1:8" hidden="1" outlineLevel="2">
      <c r="A1462" s="32" t="s">
        <v>801</v>
      </c>
      <c r="B1462" s="32" t="s">
        <v>1862</v>
      </c>
      <c r="C1462" s="32" t="s">
        <v>949</v>
      </c>
      <c r="D1462" s="32" t="s">
        <v>834</v>
      </c>
      <c r="E1462" s="33">
        <v>60</v>
      </c>
      <c r="F1462" s="33">
        <v>1053</v>
      </c>
      <c r="G1462" s="33">
        <v>67</v>
      </c>
      <c r="H1462" s="13">
        <f t="shared" si="22"/>
        <v>17.55</v>
      </c>
    </row>
    <row r="1463" spans="1:8" hidden="1" outlineLevel="2">
      <c r="A1463" s="32" t="s">
        <v>801</v>
      </c>
      <c r="B1463" s="32" t="s">
        <v>1858</v>
      </c>
      <c r="C1463" s="32" t="s">
        <v>909</v>
      </c>
      <c r="D1463" s="32" t="s">
        <v>942</v>
      </c>
      <c r="E1463" s="33">
        <v>36</v>
      </c>
      <c r="F1463" s="33">
        <v>619</v>
      </c>
      <c r="G1463" s="33">
        <v>39</v>
      </c>
      <c r="H1463" s="13">
        <f t="shared" si="22"/>
        <v>17.194444444444443</v>
      </c>
    </row>
    <row r="1464" spans="1:8" hidden="1" outlineLevel="2">
      <c r="A1464" s="32" t="s">
        <v>801</v>
      </c>
      <c r="B1464" s="32" t="s">
        <v>1858</v>
      </c>
      <c r="C1464" s="32" t="s">
        <v>909</v>
      </c>
      <c r="D1464" s="32" t="s">
        <v>829</v>
      </c>
      <c r="E1464" s="33">
        <v>96</v>
      </c>
      <c r="F1464" s="33">
        <v>1650</v>
      </c>
      <c r="G1464" s="33">
        <v>96</v>
      </c>
      <c r="H1464" s="13">
        <f t="shared" si="22"/>
        <v>17.1875</v>
      </c>
    </row>
    <row r="1465" spans="1:8" hidden="1" outlineLevel="2">
      <c r="A1465" s="32" t="s">
        <v>801</v>
      </c>
      <c r="B1465" s="32" t="s">
        <v>86</v>
      </c>
      <c r="C1465" s="32" t="s">
        <v>1033</v>
      </c>
      <c r="D1465" s="32" t="s">
        <v>942</v>
      </c>
      <c r="E1465" s="33">
        <v>45</v>
      </c>
      <c r="F1465" s="33">
        <v>773</v>
      </c>
      <c r="G1465" s="33">
        <v>42</v>
      </c>
      <c r="H1465" s="13">
        <f t="shared" si="22"/>
        <v>17.177777777777777</v>
      </c>
    </row>
    <row r="1466" spans="1:8" hidden="1" outlineLevel="2">
      <c r="A1466" s="32" t="s">
        <v>801</v>
      </c>
      <c r="B1466" s="32" t="s">
        <v>1858</v>
      </c>
      <c r="C1466" s="32" t="s">
        <v>1009</v>
      </c>
      <c r="D1466" s="32" t="s">
        <v>806</v>
      </c>
      <c r="E1466" s="33">
        <v>40</v>
      </c>
      <c r="F1466" s="33">
        <v>686</v>
      </c>
      <c r="G1466" s="33">
        <v>31</v>
      </c>
      <c r="H1466" s="13">
        <f t="shared" si="22"/>
        <v>17.149999999999999</v>
      </c>
    </row>
    <row r="1467" spans="1:8" hidden="1" outlineLevel="2">
      <c r="A1467" s="32" t="s">
        <v>801</v>
      </c>
      <c r="B1467" s="32" t="s">
        <v>1862</v>
      </c>
      <c r="C1467" s="32" t="s">
        <v>803</v>
      </c>
      <c r="D1467" s="32" t="s">
        <v>830</v>
      </c>
      <c r="E1467" s="33">
        <v>144</v>
      </c>
      <c r="F1467" s="33">
        <v>2446</v>
      </c>
      <c r="G1467" s="33">
        <v>127</v>
      </c>
      <c r="H1467" s="13">
        <f t="shared" si="22"/>
        <v>16.986111111111111</v>
      </c>
    </row>
    <row r="1468" spans="1:8" hidden="1" outlineLevel="2">
      <c r="A1468" s="32" t="s">
        <v>801</v>
      </c>
      <c r="B1468" s="32" t="s">
        <v>1858</v>
      </c>
      <c r="C1468" s="32" t="s">
        <v>816</v>
      </c>
      <c r="D1468" s="32" t="s">
        <v>829</v>
      </c>
      <c r="E1468" s="33">
        <v>36</v>
      </c>
      <c r="F1468" s="33">
        <v>605</v>
      </c>
      <c r="G1468" s="33">
        <v>36</v>
      </c>
      <c r="H1468" s="13">
        <f t="shared" si="22"/>
        <v>16.805555555555557</v>
      </c>
    </row>
    <row r="1469" spans="1:8" hidden="1" outlineLevel="2">
      <c r="A1469" s="32" t="s">
        <v>801</v>
      </c>
      <c r="B1469" s="32" t="s">
        <v>1862</v>
      </c>
      <c r="C1469" s="32" t="s">
        <v>907</v>
      </c>
      <c r="D1469" s="32" t="s">
        <v>942</v>
      </c>
      <c r="E1469" s="33">
        <v>24</v>
      </c>
      <c r="F1469" s="33">
        <v>394</v>
      </c>
      <c r="G1469" s="33">
        <v>23</v>
      </c>
      <c r="H1469" s="13">
        <f t="shared" si="22"/>
        <v>16.416666666666668</v>
      </c>
    </row>
    <row r="1470" spans="1:8" hidden="1" outlineLevel="2">
      <c r="A1470" s="32" t="s">
        <v>801</v>
      </c>
      <c r="B1470" s="32" t="s">
        <v>1858</v>
      </c>
      <c r="C1470" s="32" t="s">
        <v>925</v>
      </c>
      <c r="D1470" s="32" t="s">
        <v>834</v>
      </c>
      <c r="E1470" s="33">
        <v>35</v>
      </c>
      <c r="F1470" s="33">
        <v>573</v>
      </c>
      <c r="G1470" s="33">
        <v>34</v>
      </c>
      <c r="H1470" s="13">
        <f t="shared" si="22"/>
        <v>16.37142857142857</v>
      </c>
    </row>
    <row r="1471" spans="1:8" hidden="1" outlineLevel="2">
      <c r="A1471" s="32" t="s">
        <v>801</v>
      </c>
      <c r="B1471" s="32" t="s">
        <v>1862</v>
      </c>
      <c r="C1471" s="32" t="s">
        <v>948</v>
      </c>
      <c r="D1471" s="32" t="s">
        <v>855</v>
      </c>
      <c r="E1471" s="33">
        <v>40</v>
      </c>
      <c r="F1471" s="33">
        <v>647</v>
      </c>
      <c r="G1471" s="33">
        <v>21</v>
      </c>
      <c r="H1471" s="13">
        <f t="shared" si="22"/>
        <v>16.175000000000001</v>
      </c>
    </row>
    <row r="1472" spans="1:8" hidden="1" outlineLevel="2">
      <c r="A1472" s="32" t="s">
        <v>801</v>
      </c>
      <c r="B1472" s="32" t="s">
        <v>1858</v>
      </c>
      <c r="C1472" s="32" t="s">
        <v>816</v>
      </c>
      <c r="D1472" s="32" t="s">
        <v>830</v>
      </c>
      <c r="E1472" s="33">
        <v>40</v>
      </c>
      <c r="F1472" s="33">
        <v>646</v>
      </c>
      <c r="G1472" s="33">
        <v>40</v>
      </c>
      <c r="H1472" s="13">
        <f t="shared" si="22"/>
        <v>16.149999999999999</v>
      </c>
    </row>
    <row r="1473" spans="1:8" hidden="1" outlineLevel="2">
      <c r="A1473" s="32" t="s">
        <v>801</v>
      </c>
      <c r="B1473" s="32" t="s">
        <v>1862</v>
      </c>
      <c r="C1473" s="32" t="s">
        <v>809</v>
      </c>
      <c r="D1473" s="32" t="s">
        <v>855</v>
      </c>
      <c r="E1473" s="33">
        <v>42</v>
      </c>
      <c r="F1473" s="33">
        <v>646</v>
      </c>
      <c r="G1473" s="33">
        <v>41</v>
      </c>
      <c r="H1473" s="13">
        <f t="shared" si="22"/>
        <v>15.380952380952381</v>
      </c>
    </row>
    <row r="1474" spans="1:8" hidden="1" outlineLevel="2">
      <c r="A1474" s="32" t="s">
        <v>801</v>
      </c>
      <c r="B1474" s="32" t="s">
        <v>1858</v>
      </c>
      <c r="C1474" s="32" t="s">
        <v>805</v>
      </c>
      <c r="D1474" s="32" t="s">
        <v>806</v>
      </c>
      <c r="E1474" s="33">
        <v>40</v>
      </c>
      <c r="F1474" s="33">
        <v>607</v>
      </c>
      <c r="G1474" s="33">
        <v>37</v>
      </c>
      <c r="H1474" s="13">
        <f t="shared" ref="H1474:H1537" si="23">IFERROR(F1474/E1474,"")</f>
        <v>15.175000000000001</v>
      </c>
    </row>
    <row r="1475" spans="1:8" hidden="1" outlineLevel="2">
      <c r="A1475" s="32" t="s">
        <v>801</v>
      </c>
      <c r="B1475" s="32" t="s">
        <v>1862</v>
      </c>
      <c r="C1475" s="32" t="s">
        <v>1185</v>
      </c>
      <c r="D1475" s="32" t="s">
        <v>875</v>
      </c>
      <c r="E1475" s="33">
        <v>35</v>
      </c>
      <c r="F1475" s="33">
        <v>524</v>
      </c>
      <c r="G1475" s="33">
        <v>33</v>
      </c>
      <c r="H1475" s="13">
        <f t="shared" si="23"/>
        <v>14.971428571428572</v>
      </c>
    </row>
    <row r="1476" spans="1:8" hidden="1" outlineLevel="2">
      <c r="A1476" s="32" t="s">
        <v>801</v>
      </c>
      <c r="B1476" s="32" t="s">
        <v>1858</v>
      </c>
      <c r="C1476" s="32" t="s">
        <v>978</v>
      </c>
      <c r="D1476" s="32" t="s">
        <v>855</v>
      </c>
      <c r="E1476" s="33">
        <v>45</v>
      </c>
      <c r="F1476" s="33">
        <v>669</v>
      </c>
      <c r="G1476" s="33">
        <v>35</v>
      </c>
      <c r="H1476" s="13">
        <f t="shared" si="23"/>
        <v>14.866666666666667</v>
      </c>
    </row>
    <row r="1477" spans="1:8" hidden="1" outlineLevel="2">
      <c r="A1477" s="32" t="s">
        <v>801</v>
      </c>
      <c r="B1477" s="32" t="s">
        <v>1858</v>
      </c>
      <c r="C1477" s="32" t="s">
        <v>880</v>
      </c>
      <c r="D1477" s="32" t="s">
        <v>829</v>
      </c>
      <c r="E1477" s="33">
        <v>32</v>
      </c>
      <c r="F1477" s="33">
        <v>471</v>
      </c>
      <c r="G1477" s="33">
        <v>27</v>
      </c>
      <c r="H1477" s="13">
        <f t="shared" si="23"/>
        <v>14.71875</v>
      </c>
    </row>
    <row r="1478" spans="1:8" hidden="1" outlineLevel="2">
      <c r="A1478" s="32" t="s">
        <v>801</v>
      </c>
      <c r="B1478" s="32" t="s">
        <v>1858</v>
      </c>
      <c r="C1478" s="32" t="s">
        <v>1108</v>
      </c>
      <c r="D1478" s="32" t="s">
        <v>806</v>
      </c>
      <c r="E1478" s="33">
        <v>35</v>
      </c>
      <c r="F1478" s="33">
        <v>512</v>
      </c>
      <c r="G1478" s="33">
        <v>23</v>
      </c>
      <c r="H1478" s="13">
        <f t="shared" si="23"/>
        <v>14.628571428571428</v>
      </c>
    </row>
    <row r="1479" spans="1:8" hidden="1" outlineLevel="2">
      <c r="A1479" s="32" t="s">
        <v>801</v>
      </c>
      <c r="B1479" s="32" t="s">
        <v>1862</v>
      </c>
      <c r="C1479" s="32" t="s">
        <v>934</v>
      </c>
      <c r="D1479" s="32" t="s">
        <v>855</v>
      </c>
      <c r="E1479" s="33">
        <v>48</v>
      </c>
      <c r="F1479" s="33">
        <v>698</v>
      </c>
      <c r="G1479" s="33">
        <v>27</v>
      </c>
      <c r="H1479" s="13">
        <f t="shared" si="23"/>
        <v>14.541666666666666</v>
      </c>
    </row>
    <row r="1480" spans="1:8" hidden="1" outlineLevel="2">
      <c r="A1480" s="32" t="s">
        <v>801</v>
      </c>
      <c r="B1480" s="32" t="s">
        <v>1858</v>
      </c>
      <c r="C1480" s="32" t="s">
        <v>815</v>
      </c>
      <c r="D1480" s="32" t="s">
        <v>808</v>
      </c>
      <c r="E1480" s="33">
        <v>35</v>
      </c>
      <c r="F1480" s="33">
        <v>505</v>
      </c>
      <c r="G1480" s="33">
        <v>30</v>
      </c>
      <c r="H1480" s="13">
        <f t="shared" si="23"/>
        <v>14.428571428571429</v>
      </c>
    </row>
    <row r="1481" spans="1:8" hidden="1" outlineLevel="2">
      <c r="A1481" s="32" t="s">
        <v>801</v>
      </c>
      <c r="B1481" s="32" t="s">
        <v>1862</v>
      </c>
      <c r="C1481" s="32" t="s">
        <v>1182</v>
      </c>
      <c r="D1481" s="32" t="s">
        <v>942</v>
      </c>
      <c r="E1481" s="33">
        <v>35</v>
      </c>
      <c r="F1481" s="33">
        <v>489</v>
      </c>
      <c r="G1481" s="33">
        <v>35</v>
      </c>
      <c r="H1481" s="13">
        <f t="shared" si="23"/>
        <v>13.971428571428572</v>
      </c>
    </row>
    <row r="1482" spans="1:8" hidden="1" outlineLevel="2">
      <c r="A1482" s="32" t="s">
        <v>801</v>
      </c>
      <c r="B1482" s="32" t="s">
        <v>86</v>
      </c>
      <c r="C1482" s="32" t="s">
        <v>794</v>
      </c>
      <c r="D1482" s="32" t="s">
        <v>1131</v>
      </c>
      <c r="E1482" s="33">
        <v>48</v>
      </c>
      <c r="F1482" s="33">
        <v>661</v>
      </c>
      <c r="G1482" s="33">
        <v>43</v>
      </c>
      <c r="H1482" s="13">
        <f t="shared" si="23"/>
        <v>13.770833333333334</v>
      </c>
    </row>
    <row r="1483" spans="1:8" hidden="1" outlineLevel="2">
      <c r="A1483" s="32" t="s">
        <v>801</v>
      </c>
      <c r="B1483" s="32" t="s">
        <v>1862</v>
      </c>
      <c r="C1483" s="32" t="s">
        <v>1073</v>
      </c>
      <c r="D1483" s="32" t="s">
        <v>855</v>
      </c>
      <c r="E1483" s="33">
        <v>48</v>
      </c>
      <c r="F1483" s="33">
        <v>661</v>
      </c>
      <c r="G1483" s="33">
        <v>37</v>
      </c>
      <c r="H1483" s="13">
        <f t="shared" si="23"/>
        <v>13.770833333333334</v>
      </c>
    </row>
    <row r="1484" spans="1:8" hidden="1" outlineLevel="2">
      <c r="A1484" s="32" t="s">
        <v>801</v>
      </c>
      <c r="B1484" s="32" t="s">
        <v>1858</v>
      </c>
      <c r="C1484" s="32" t="s">
        <v>1108</v>
      </c>
      <c r="D1484" s="32" t="s">
        <v>834</v>
      </c>
      <c r="E1484" s="33">
        <v>35</v>
      </c>
      <c r="F1484" s="33">
        <v>476</v>
      </c>
      <c r="G1484" s="33">
        <v>35</v>
      </c>
      <c r="H1484" s="13">
        <f t="shared" si="23"/>
        <v>13.6</v>
      </c>
    </row>
    <row r="1485" spans="1:8" hidden="1" outlineLevel="2">
      <c r="A1485" s="32" t="s">
        <v>801</v>
      </c>
      <c r="B1485" s="32" t="s">
        <v>86</v>
      </c>
      <c r="C1485" s="32" t="s">
        <v>874</v>
      </c>
      <c r="D1485" s="32" t="s">
        <v>875</v>
      </c>
      <c r="E1485" s="33">
        <v>36</v>
      </c>
      <c r="F1485" s="33">
        <v>476</v>
      </c>
      <c r="G1485" s="33">
        <v>37</v>
      </c>
      <c r="H1485" s="13">
        <f t="shared" si="23"/>
        <v>13.222222222222221</v>
      </c>
    </row>
    <row r="1486" spans="1:8" hidden="1" outlineLevel="2">
      <c r="A1486" s="32" t="s">
        <v>801</v>
      </c>
      <c r="B1486" s="32" t="s">
        <v>1858</v>
      </c>
      <c r="C1486" s="32" t="s">
        <v>1126</v>
      </c>
      <c r="D1486" s="32" t="s">
        <v>855</v>
      </c>
      <c r="E1486" s="33">
        <v>96</v>
      </c>
      <c r="F1486" s="33">
        <v>1261</v>
      </c>
      <c r="G1486" s="33">
        <v>84</v>
      </c>
      <c r="H1486" s="13">
        <f t="shared" si="23"/>
        <v>13.135416666666666</v>
      </c>
    </row>
    <row r="1487" spans="1:8" hidden="1" outlineLevel="2">
      <c r="A1487" s="32" t="s">
        <v>801</v>
      </c>
      <c r="B1487" s="32" t="s">
        <v>1858</v>
      </c>
      <c r="C1487" s="32" t="s">
        <v>816</v>
      </c>
      <c r="D1487" s="32" t="s">
        <v>817</v>
      </c>
      <c r="E1487" s="33">
        <v>78</v>
      </c>
      <c r="F1487" s="33">
        <v>963</v>
      </c>
      <c r="G1487" s="33">
        <v>78</v>
      </c>
      <c r="H1487" s="13">
        <f t="shared" si="23"/>
        <v>12.346153846153847</v>
      </c>
    </row>
    <row r="1488" spans="1:8" hidden="1" outlineLevel="2">
      <c r="A1488" s="32" t="s">
        <v>801</v>
      </c>
      <c r="B1488" s="32" t="s">
        <v>1862</v>
      </c>
      <c r="C1488" s="32" t="s">
        <v>1014</v>
      </c>
      <c r="D1488" s="32" t="s">
        <v>817</v>
      </c>
      <c r="E1488" s="33">
        <v>35</v>
      </c>
      <c r="F1488" s="33">
        <v>417</v>
      </c>
      <c r="G1488" s="33">
        <v>22</v>
      </c>
      <c r="H1488" s="13">
        <f t="shared" si="23"/>
        <v>11.914285714285715</v>
      </c>
    </row>
    <row r="1489" spans="1:8" hidden="1" outlineLevel="2">
      <c r="A1489" s="32" t="s">
        <v>801</v>
      </c>
      <c r="B1489" s="32" t="s">
        <v>1858</v>
      </c>
      <c r="C1489" s="32" t="s">
        <v>914</v>
      </c>
      <c r="D1489" s="32" t="s">
        <v>942</v>
      </c>
      <c r="E1489" s="33">
        <v>36</v>
      </c>
      <c r="F1489" s="33">
        <v>428</v>
      </c>
      <c r="G1489" s="33">
        <v>39</v>
      </c>
      <c r="H1489" s="13">
        <f t="shared" si="23"/>
        <v>11.888888888888889</v>
      </c>
    </row>
    <row r="1490" spans="1:8" hidden="1" outlineLevel="2">
      <c r="A1490" s="32" t="s">
        <v>801</v>
      </c>
      <c r="B1490" s="32" t="s">
        <v>1858</v>
      </c>
      <c r="C1490" s="32" t="s">
        <v>805</v>
      </c>
      <c r="D1490" s="32" t="s">
        <v>855</v>
      </c>
      <c r="E1490" s="33">
        <v>40</v>
      </c>
      <c r="F1490" s="33">
        <v>471</v>
      </c>
      <c r="G1490" s="33">
        <v>27</v>
      </c>
      <c r="H1490" s="13">
        <f t="shared" si="23"/>
        <v>11.775</v>
      </c>
    </row>
    <row r="1491" spans="1:8" hidden="1" outlineLevel="2">
      <c r="A1491" s="32" t="s">
        <v>801</v>
      </c>
      <c r="B1491" s="32" t="s">
        <v>1858</v>
      </c>
      <c r="C1491" s="32" t="s">
        <v>1126</v>
      </c>
      <c r="D1491" s="32" t="s">
        <v>817</v>
      </c>
      <c r="E1491" s="33">
        <v>48</v>
      </c>
      <c r="F1491" s="33">
        <v>563</v>
      </c>
      <c r="G1491" s="33">
        <v>30</v>
      </c>
      <c r="H1491" s="13">
        <f t="shared" si="23"/>
        <v>11.729166666666666</v>
      </c>
    </row>
    <row r="1492" spans="1:8" hidden="1" outlineLevel="2">
      <c r="A1492" s="32" t="s">
        <v>801</v>
      </c>
      <c r="B1492" s="32" t="s">
        <v>1858</v>
      </c>
      <c r="C1492" s="32" t="s">
        <v>815</v>
      </c>
      <c r="D1492" s="32" t="s">
        <v>875</v>
      </c>
      <c r="E1492" s="33">
        <v>35</v>
      </c>
      <c r="F1492" s="33">
        <v>409</v>
      </c>
      <c r="G1492" s="33">
        <v>31</v>
      </c>
      <c r="H1492" s="13">
        <f t="shared" si="23"/>
        <v>11.685714285714285</v>
      </c>
    </row>
    <row r="1493" spans="1:8" hidden="1" outlineLevel="2">
      <c r="A1493" s="32" t="s">
        <v>801</v>
      </c>
      <c r="B1493" s="32" t="s">
        <v>86</v>
      </c>
      <c r="C1493" s="32" t="s">
        <v>841</v>
      </c>
      <c r="D1493" s="32" t="s">
        <v>842</v>
      </c>
      <c r="E1493" s="33">
        <v>30</v>
      </c>
      <c r="F1493" s="33">
        <v>340</v>
      </c>
      <c r="G1493" s="33">
        <v>36</v>
      </c>
      <c r="H1493" s="13">
        <f t="shared" si="23"/>
        <v>11.333333333333334</v>
      </c>
    </row>
    <row r="1494" spans="1:8" hidden="1" outlineLevel="2">
      <c r="A1494" s="32" t="s">
        <v>801</v>
      </c>
      <c r="B1494" s="32" t="s">
        <v>1858</v>
      </c>
      <c r="C1494" s="32" t="s">
        <v>807</v>
      </c>
      <c r="D1494" s="32" t="s">
        <v>855</v>
      </c>
      <c r="E1494" s="33">
        <v>48</v>
      </c>
      <c r="F1494" s="33">
        <v>543</v>
      </c>
      <c r="G1494" s="33">
        <v>19</v>
      </c>
      <c r="H1494" s="13">
        <f t="shared" si="23"/>
        <v>11.3125</v>
      </c>
    </row>
    <row r="1495" spans="1:8" hidden="1" outlineLevel="2">
      <c r="A1495" s="32" t="s">
        <v>801</v>
      </c>
      <c r="B1495" s="32" t="s">
        <v>1858</v>
      </c>
      <c r="C1495" s="32" t="s">
        <v>814</v>
      </c>
      <c r="D1495" s="32" t="s">
        <v>875</v>
      </c>
      <c r="E1495" s="33">
        <v>35</v>
      </c>
      <c r="F1495" s="33">
        <v>388</v>
      </c>
      <c r="G1495" s="33">
        <v>39</v>
      </c>
      <c r="H1495" s="13">
        <f t="shared" si="23"/>
        <v>11.085714285714285</v>
      </c>
    </row>
    <row r="1496" spans="1:8" hidden="1" outlineLevel="2">
      <c r="A1496" s="32" t="s">
        <v>801</v>
      </c>
      <c r="B1496" s="32" t="s">
        <v>1862</v>
      </c>
      <c r="C1496" s="32" t="s">
        <v>973</v>
      </c>
      <c r="D1496" s="32" t="s">
        <v>806</v>
      </c>
      <c r="E1496" s="33">
        <v>40</v>
      </c>
      <c r="F1496" s="33">
        <v>424</v>
      </c>
      <c r="G1496" s="33">
        <v>32</v>
      </c>
      <c r="H1496" s="13">
        <f t="shared" si="23"/>
        <v>10.6</v>
      </c>
    </row>
    <row r="1497" spans="1:8" hidden="1" outlineLevel="2">
      <c r="A1497" s="32" t="s">
        <v>801</v>
      </c>
      <c r="B1497" s="32" t="s">
        <v>1858</v>
      </c>
      <c r="C1497" s="32" t="s">
        <v>1108</v>
      </c>
      <c r="D1497" s="32" t="s">
        <v>875</v>
      </c>
      <c r="E1497" s="33">
        <v>32</v>
      </c>
      <c r="F1497" s="33">
        <v>339</v>
      </c>
      <c r="G1497" s="33">
        <v>33</v>
      </c>
      <c r="H1497" s="13">
        <f t="shared" si="23"/>
        <v>10.59375</v>
      </c>
    </row>
    <row r="1498" spans="1:8" hidden="1" outlineLevel="2">
      <c r="A1498" s="32" t="s">
        <v>801</v>
      </c>
      <c r="B1498" s="32" t="s">
        <v>86</v>
      </c>
      <c r="C1498" s="32" t="s">
        <v>1042</v>
      </c>
      <c r="D1498" s="32" t="s">
        <v>942</v>
      </c>
      <c r="E1498" s="33">
        <v>36</v>
      </c>
      <c r="F1498" s="33">
        <v>374</v>
      </c>
      <c r="G1498" s="33">
        <v>28</v>
      </c>
      <c r="H1498" s="13">
        <f t="shared" si="23"/>
        <v>10.388888888888889</v>
      </c>
    </row>
    <row r="1499" spans="1:8" hidden="1" outlineLevel="2">
      <c r="A1499" s="32" t="s">
        <v>801</v>
      </c>
      <c r="B1499" s="32" t="s">
        <v>1858</v>
      </c>
      <c r="C1499" s="32" t="s">
        <v>1013</v>
      </c>
      <c r="D1499" s="32" t="s">
        <v>806</v>
      </c>
      <c r="E1499" s="33">
        <v>36</v>
      </c>
      <c r="F1499" s="33">
        <v>372</v>
      </c>
      <c r="G1499" s="33">
        <v>12</v>
      </c>
      <c r="H1499" s="13">
        <f t="shared" si="23"/>
        <v>10.333333333333334</v>
      </c>
    </row>
    <row r="1500" spans="1:8" hidden="1" outlineLevel="2">
      <c r="A1500" s="32" t="s">
        <v>801</v>
      </c>
      <c r="B1500" s="32" t="s">
        <v>1862</v>
      </c>
      <c r="C1500" s="32" t="s">
        <v>803</v>
      </c>
      <c r="D1500" s="32" t="s">
        <v>855</v>
      </c>
      <c r="E1500" s="33">
        <v>48</v>
      </c>
      <c r="F1500" s="33">
        <v>493</v>
      </c>
      <c r="G1500" s="33">
        <v>31</v>
      </c>
      <c r="H1500" s="13">
        <f t="shared" si="23"/>
        <v>10.270833333333334</v>
      </c>
    </row>
    <row r="1501" spans="1:8" hidden="1" outlineLevel="2">
      <c r="A1501" s="32" t="s">
        <v>801</v>
      </c>
      <c r="B1501" s="32" t="s">
        <v>1862</v>
      </c>
      <c r="C1501" s="32" t="s">
        <v>1074</v>
      </c>
      <c r="D1501" s="32" t="s">
        <v>855</v>
      </c>
      <c r="E1501" s="33">
        <v>48</v>
      </c>
      <c r="F1501" s="33">
        <v>489</v>
      </c>
      <c r="G1501" s="33">
        <v>30</v>
      </c>
      <c r="H1501" s="13">
        <f t="shared" si="23"/>
        <v>10.1875</v>
      </c>
    </row>
    <row r="1502" spans="1:8" hidden="1" outlineLevel="2">
      <c r="A1502" s="32" t="s">
        <v>801</v>
      </c>
      <c r="B1502" s="32" t="s">
        <v>1858</v>
      </c>
      <c r="C1502" s="32" t="s">
        <v>1217</v>
      </c>
      <c r="D1502" s="32" t="s">
        <v>855</v>
      </c>
      <c r="E1502" s="33">
        <v>74</v>
      </c>
      <c r="F1502" s="33">
        <v>741</v>
      </c>
      <c r="G1502" s="33">
        <v>76</v>
      </c>
      <c r="H1502" s="13">
        <f t="shared" si="23"/>
        <v>10.013513513513514</v>
      </c>
    </row>
    <row r="1503" spans="1:8" hidden="1" outlineLevel="2">
      <c r="A1503" s="32" t="s">
        <v>801</v>
      </c>
      <c r="B1503" s="32" t="s">
        <v>86</v>
      </c>
      <c r="C1503" s="32" t="s">
        <v>1039</v>
      </c>
      <c r="D1503" s="32" t="s">
        <v>855</v>
      </c>
      <c r="E1503" s="33">
        <v>96</v>
      </c>
      <c r="F1503" s="33">
        <v>960</v>
      </c>
      <c r="G1503" s="33">
        <v>87</v>
      </c>
      <c r="H1503" s="13">
        <f t="shared" si="23"/>
        <v>10</v>
      </c>
    </row>
    <row r="1504" spans="1:8" hidden="1" outlineLevel="2">
      <c r="A1504" s="32" t="s">
        <v>801</v>
      </c>
      <c r="B1504" s="32" t="s">
        <v>1858</v>
      </c>
      <c r="C1504" s="32" t="s">
        <v>1007</v>
      </c>
      <c r="D1504" s="32" t="s">
        <v>808</v>
      </c>
      <c r="E1504" s="33">
        <v>24</v>
      </c>
      <c r="F1504" s="33">
        <v>236</v>
      </c>
      <c r="G1504" s="33">
        <v>20</v>
      </c>
      <c r="H1504" s="13">
        <f t="shared" si="23"/>
        <v>9.8333333333333339</v>
      </c>
    </row>
    <row r="1505" spans="1:8" hidden="1" outlineLevel="2">
      <c r="A1505" s="32" t="s">
        <v>801</v>
      </c>
      <c r="B1505" s="32" t="s">
        <v>1862</v>
      </c>
      <c r="C1505" s="32" t="s">
        <v>949</v>
      </c>
      <c r="D1505" s="32" t="s">
        <v>817</v>
      </c>
      <c r="E1505" s="33">
        <v>35</v>
      </c>
      <c r="F1505" s="33">
        <v>343</v>
      </c>
      <c r="G1505" s="33">
        <v>20</v>
      </c>
      <c r="H1505" s="13">
        <f t="shared" si="23"/>
        <v>9.8000000000000007</v>
      </c>
    </row>
    <row r="1506" spans="1:8" hidden="1" outlineLevel="2">
      <c r="A1506" s="32" t="s">
        <v>801</v>
      </c>
      <c r="B1506" s="32" t="s">
        <v>1862</v>
      </c>
      <c r="C1506" s="32" t="s">
        <v>1016</v>
      </c>
      <c r="D1506" s="32" t="s">
        <v>806</v>
      </c>
      <c r="E1506" s="33">
        <v>24</v>
      </c>
      <c r="F1506" s="33">
        <v>235</v>
      </c>
      <c r="G1506" s="33">
        <v>11</v>
      </c>
      <c r="H1506" s="13">
        <f t="shared" si="23"/>
        <v>9.7916666666666661</v>
      </c>
    </row>
    <row r="1507" spans="1:8" hidden="1" outlineLevel="2">
      <c r="A1507" s="32" t="s">
        <v>801</v>
      </c>
      <c r="B1507" s="32" t="s">
        <v>1862</v>
      </c>
      <c r="C1507" s="32" t="s">
        <v>949</v>
      </c>
      <c r="D1507" s="32" t="s">
        <v>855</v>
      </c>
      <c r="E1507" s="33">
        <v>35</v>
      </c>
      <c r="F1507" s="33">
        <v>339</v>
      </c>
      <c r="G1507" s="33">
        <v>28</v>
      </c>
      <c r="H1507" s="13">
        <f t="shared" si="23"/>
        <v>9.6857142857142851</v>
      </c>
    </row>
    <row r="1508" spans="1:8" hidden="1" outlineLevel="2">
      <c r="A1508" s="32" t="s">
        <v>801</v>
      </c>
      <c r="B1508" s="32" t="s">
        <v>1858</v>
      </c>
      <c r="C1508" s="32" t="s">
        <v>1013</v>
      </c>
      <c r="D1508" s="32" t="s">
        <v>855</v>
      </c>
      <c r="E1508" s="33">
        <v>36</v>
      </c>
      <c r="F1508" s="33">
        <v>348</v>
      </c>
      <c r="G1508" s="33">
        <v>23</v>
      </c>
      <c r="H1508" s="13">
        <f t="shared" si="23"/>
        <v>9.6666666666666661</v>
      </c>
    </row>
    <row r="1509" spans="1:8" hidden="1" outlineLevel="2">
      <c r="A1509" s="32" t="s">
        <v>801</v>
      </c>
      <c r="B1509" s="32" t="s">
        <v>1858</v>
      </c>
      <c r="C1509" s="32" t="s">
        <v>881</v>
      </c>
      <c r="D1509" s="32" t="s">
        <v>942</v>
      </c>
      <c r="E1509" s="33">
        <v>24</v>
      </c>
      <c r="F1509" s="33">
        <v>231</v>
      </c>
      <c r="G1509" s="33">
        <v>22</v>
      </c>
      <c r="H1509" s="13">
        <f t="shared" si="23"/>
        <v>9.625</v>
      </c>
    </row>
    <row r="1510" spans="1:8" hidden="1" outlineLevel="2">
      <c r="A1510" s="32" t="s">
        <v>801</v>
      </c>
      <c r="B1510" s="32" t="s">
        <v>1858</v>
      </c>
      <c r="C1510" s="32" t="s">
        <v>1117</v>
      </c>
      <c r="D1510" s="32" t="s">
        <v>942</v>
      </c>
      <c r="E1510" s="33">
        <v>36</v>
      </c>
      <c r="F1510" s="33">
        <v>330</v>
      </c>
      <c r="G1510" s="33">
        <v>19</v>
      </c>
      <c r="H1510" s="13">
        <f t="shared" si="23"/>
        <v>9.1666666666666661</v>
      </c>
    </row>
    <row r="1511" spans="1:8" hidden="1" outlineLevel="2">
      <c r="A1511" s="32" t="s">
        <v>801</v>
      </c>
      <c r="B1511" s="32" t="s">
        <v>1858</v>
      </c>
      <c r="C1511" s="32" t="s">
        <v>1008</v>
      </c>
      <c r="D1511" s="32" t="s">
        <v>817</v>
      </c>
      <c r="E1511" s="33">
        <v>35</v>
      </c>
      <c r="F1511" s="33">
        <v>295</v>
      </c>
      <c r="G1511" s="33">
        <v>13</v>
      </c>
      <c r="H1511" s="13">
        <f t="shared" si="23"/>
        <v>8.4285714285714288</v>
      </c>
    </row>
    <row r="1512" spans="1:8" hidden="1" outlineLevel="2">
      <c r="A1512" s="32" t="s">
        <v>801</v>
      </c>
      <c r="B1512" s="32" t="s">
        <v>1862</v>
      </c>
      <c r="C1512" s="32" t="s">
        <v>1092</v>
      </c>
      <c r="D1512" s="32" t="s">
        <v>1093</v>
      </c>
      <c r="E1512" s="33">
        <v>24</v>
      </c>
      <c r="F1512" s="33">
        <v>189</v>
      </c>
      <c r="G1512" s="33">
        <v>24</v>
      </c>
      <c r="H1512" s="13">
        <f t="shared" si="23"/>
        <v>7.875</v>
      </c>
    </row>
    <row r="1513" spans="1:8" hidden="1" outlineLevel="2">
      <c r="A1513" s="32" t="s">
        <v>801</v>
      </c>
      <c r="B1513" s="32" t="s">
        <v>1858</v>
      </c>
      <c r="C1513" s="32" t="s">
        <v>1233</v>
      </c>
      <c r="D1513" s="32" t="s">
        <v>855</v>
      </c>
      <c r="E1513" s="33">
        <v>26</v>
      </c>
      <c r="F1513" s="33">
        <v>182</v>
      </c>
      <c r="G1513" s="33">
        <v>13</v>
      </c>
      <c r="H1513" s="13">
        <f t="shared" si="23"/>
        <v>7</v>
      </c>
    </row>
    <row r="1514" spans="1:8" hidden="1" outlineLevel="2">
      <c r="A1514" s="32" t="s">
        <v>801</v>
      </c>
      <c r="B1514" s="32" t="s">
        <v>1858</v>
      </c>
      <c r="C1514" s="32" t="s">
        <v>890</v>
      </c>
      <c r="D1514" s="32" t="s">
        <v>855</v>
      </c>
      <c r="E1514" s="33">
        <v>24</v>
      </c>
      <c r="F1514" s="33">
        <v>160</v>
      </c>
      <c r="G1514" s="33">
        <v>17</v>
      </c>
      <c r="H1514" s="13">
        <f t="shared" si="23"/>
        <v>6.666666666666667</v>
      </c>
    </row>
    <row r="1515" spans="1:8" hidden="1" outlineLevel="2">
      <c r="A1515" s="32" t="s">
        <v>801</v>
      </c>
      <c r="B1515" s="32" t="s">
        <v>1862</v>
      </c>
      <c r="C1515" s="32" t="s">
        <v>951</v>
      </c>
      <c r="D1515" s="32" t="s">
        <v>855</v>
      </c>
      <c r="E1515" s="33">
        <v>20</v>
      </c>
      <c r="F1515" s="33">
        <v>112</v>
      </c>
      <c r="G1515" s="33">
        <v>20</v>
      </c>
      <c r="H1515" s="13">
        <f t="shared" si="23"/>
        <v>5.6</v>
      </c>
    </row>
    <row r="1516" spans="1:8" hidden="1" outlineLevel="2">
      <c r="A1516" s="32" t="s">
        <v>801</v>
      </c>
      <c r="B1516" s="32" t="s">
        <v>86</v>
      </c>
      <c r="C1516" s="32" t="s">
        <v>1029</v>
      </c>
      <c r="D1516" s="32" t="s">
        <v>1177</v>
      </c>
      <c r="E1516" s="33">
        <v>30</v>
      </c>
      <c r="F1516" s="33">
        <v>162</v>
      </c>
      <c r="G1516" s="33">
        <v>31</v>
      </c>
      <c r="H1516" s="13">
        <f t="shared" si="23"/>
        <v>5.4</v>
      </c>
    </row>
    <row r="1517" spans="1:8" hidden="1" outlineLevel="2">
      <c r="A1517" s="32" t="s">
        <v>801</v>
      </c>
      <c r="B1517" s="32" t="s">
        <v>86</v>
      </c>
      <c r="C1517" s="32" t="s">
        <v>828</v>
      </c>
      <c r="D1517" s="32" t="s">
        <v>1059</v>
      </c>
      <c r="E1517" s="33">
        <v>30</v>
      </c>
      <c r="F1517" s="33">
        <v>135</v>
      </c>
      <c r="G1517" s="33">
        <v>26</v>
      </c>
      <c r="H1517" s="13">
        <f t="shared" si="23"/>
        <v>4.5</v>
      </c>
    </row>
    <row r="1518" spans="1:8" outlineLevel="1" collapsed="1">
      <c r="A1518" s="37" t="s">
        <v>1879</v>
      </c>
      <c r="B1518" s="37"/>
      <c r="C1518" s="37"/>
      <c r="D1518" s="37"/>
      <c r="E1518" s="38">
        <f>SUBTOTAL(9,E1247:E1517)</f>
        <v>14049</v>
      </c>
      <c r="F1518" s="38">
        <f>SUBTOTAL(9,F1247:F1517)</f>
        <v>542035</v>
      </c>
      <c r="G1518" s="38">
        <f>SUBTOTAL(9,G1247:G1517)</f>
        <v>13274</v>
      </c>
      <c r="H1518" s="39">
        <f t="shared" si="23"/>
        <v>38.581749590718204</v>
      </c>
    </row>
    <row r="1519" spans="1:8" hidden="1" outlineLevel="2">
      <c r="A1519" s="32" t="s">
        <v>1248</v>
      </c>
      <c r="B1519" s="32" t="s">
        <v>1862</v>
      </c>
      <c r="C1519" s="32" t="s">
        <v>1431</v>
      </c>
      <c r="D1519" s="32" t="s">
        <v>1249</v>
      </c>
      <c r="E1519" s="33">
        <v>10</v>
      </c>
      <c r="F1519" s="33">
        <v>3093</v>
      </c>
      <c r="G1519" s="33">
        <v>5</v>
      </c>
      <c r="H1519" s="13">
        <f t="shared" si="23"/>
        <v>309.3</v>
      </c>
    </row>
    <row r="1520" spans="1:8" hidden="1" outlineLevel="2">
      <c r="A1520" s="32" t="s">
        <v>1248</v>
      </c>
      <c r="B1520" s="32" t="s">
        <v>1862</v>
      </c>
      <c r="C1520" s="32" t="s">
        <v>1480</v>
      </c>
      <c r="D1520" s="32" t="s">
        <v>1249</v>
      </c>
      <c r="E1520" s="33">
        <v>6</v>
      </c>
      <c r="F1520" s="33">
        <v>1215</v>
      </c>
      <c r="G1520" s="33">
        <v>1</v>
      </c>
      <c r="H1520" s="13">
        <f t="shared" si="23"/>
        <v>202.5</v>
      </c>
    </row>
    <row r="1521" spans="1:8" hidden="1" outlineLevel="2">
      <c r="A1521" s="32" t="s">
        <v>1248</v>
      </c>
      <c r="B1521" s="32" t="s">
        <v>1862</v>
      </c>
      <c r="C1521" s="32" t="s">
        <v>1480</v>
      </c>
      <c r="D1521" s="32" t="s">
        <v>1249</v>
      </c>
      <c r="E1521" s="33">
        <v>25</v>
      </c>
      <c r="F1521" s="33">
        <v>4046</v>
      </c>
      <c r="G1521" s="33">
        <v>8</v>
      </c>
      <c r="H1521" s="13">
        <f t="shared" si="23"/>
        <v>161.84</v>
      </c>
    </row>
    <row r="1522" spans="1:8" hidden="1" outlineLevel="2">
      <c r="A1522" s="32" t="s">
        <v>1248</v>
      </c>
      <c r="B1522" s="32" t="s">
        <v>1862</v>
      </c>
      <c r="C1522" s="32" t="s">
        <v>1431</v>
      </c>
      <c r="D1522" s="32" t="s">
        <v>1249</v>
      </c>
      <c r="E1522" s="33">
        <v>25</v>
      </c>
      <c r="F1522" s="33">
        <v>4042</v>
      </c>
      <c r="G1522" s="33">
        <v>10</v>
      </c>
      <c r="H1522" s="13">
        <f t="shared" si="23"/>
        <v>161.68</v>
      </c>
    </row>
    <row r="1523" spans="1:8" hidden="1" outlineLevel="2">
      <c r="A1523" s="32" t="s">
        <v>1248</v>
      </c>
      <c r="B1523" s="32" t="s">
        <v>1862</v>
      </c>
      <c r="C1523" s="32" t="s">
        <v>1480</v>
      </c>
      <c r="D1523" s="32" t="s">
        <v>1249</v>
      </c>
      <c r="E1523" s="33">
        <v>25</v>
      </c>
      <c r="F1523" s="33">
        <v>4001</v>
      </c>
      <c r="G1523" s="33">
        <v>4</v>
      </c>
      <c r="H1523" s="13">
        <f t="shared" si="23"/>
        <v>160.04</v>
      </c>
    </row>
    <row r="1524" spans="1:8" hidden="1" outlineLevel="2">
      <c r="A1524" s="32" t="s">
        <v>1248</v>
      </c>
      <c r="B1524" s="32" t="s">
        <v>1862</v>
      </c>
      <c r="C1524" s="32" t="s">
        <v>1431</v>
      </c>
      <c r="D1524" s="32" t="s">
        <v>1249</v>
      </c>
      <c r="E1524" s="33">
        <v>25</v>
      </c>
      <c r="F1524" s="33">
        <v>3599</v>
      </c>
      <c r="G1524" s="33">
        <v>9</v>
      </c>
      <c r="H1524" s="13">
        <f t="shared" si="23"/>
        <v>143.96</v>
      </c>
    </row>
    <row r="1525" spans="1:8" hidden="1" outlineLevel="2">
      <c r="A1525" s="32" t="s">
        <v>1248</v>
      </c>
      <c r="B1525" s="32" t="s">
        <v>1862</v>
      </c>
      <c r="C1525" s="32" t="s">
        <v>1431</v>
      </c>
      <c r="D1525" s="32" t="s">
        <v>1249</v>
      </c>
      <c r="E1525" s="33">
        <v>30</v>
      </c>
      <c r="F1525" s="33">
        <v>4136</v>
      </c>
      <c r="G1525" s="33">
        <v>9</v>
      </c>
      <c r="H1525" s="13">
        <f t="shared" si="23"/>
        <v>137.86666666666667</v>
      </c>
    </row>
    <row r="1526" spans="1:8" hidden="1" outlineLevel="2">
      <c r="A1526" s="32" t="s">
        <v>1248</v>
      </c>
      <c r="B1526" s="32" t="s">
        <v>1862</v>
      </c>
      <c r="C1526" s="32" t="s">
        <v>1480</v>
      </c>
      <c r="D1526" s="32" t="s">
        <v>1249</v>
      </c>
      <c r="E1526" s="33">
        <v>20</v>
      </c>
      <c r="F1526" s="33">
        <v>2519</v>
      </c>
      <c r="G1526" s="33">
        <v>0</v>
      </c>
      <c r="H1526" s="13">
        <f t="shared" si="23"/>
        <v>125.95</v>
      </c>
    </row>
    <row r="1527" spans="1:8" hidden="1" outlineLevel="2">
      <c r="A1527" s="32" t="s">
        <v>1248</v>
      </c>
      <c r="B1527" s="32" t="s">
        <v>1862</v>
      </c>
      <c r="C1527" s="32" t="s">
        <v>1480</v>
      </c>
      <c r="D1527" s="32" t="s">
        <v>1249</v>
      </c>
      <c r="E1527" s="33">
        <v>29</v>
      </c>
      <c r="F1527" s="33">
        <v>3567</v>
      </c>
      <c r="G1527" s="33">
        <v>8</v>
      </c>
      <c r="H1527" s="13">
        <f t="shared" si="23"/>
        <v>123</v>
      </c>
    </row>
    <row r="1528" spans="1:8" hidden="1" outlineLevel="2">
      <c r="A1528" s="32" t="s">
        <v>1248</v>
      </c>
      <c r="B1528" s="32" t="s">
        <v>1862</v>
      </c>
      <c r="C1528" s="32" t="s">
        <v>1304</v>
      </c>
      <c r="D1528" s="32" t="s">
        <v>1249</v>
      </c>
      <c r="E1528" s="33">
        <v>50</v>
      </c>
      <c r="F1528" s="33">
        <v>5129</v>
      </c>
      <c r="G1528" s="33">
        <v>4</v>
      </c>
      <c r="H1528" s="13">
        <f t="shared" si="23"/>
        <v>102.58</v>
      </c>
    </row>
    <row r="1529" spans="1:8" hidden="1" outlineLevel="2">
      <c r="A1529" s="32" t="s">
        <v>1248</v>
      </c>
      <c r="B1529" s="32" t="s">
        <v>86</v>
      </c>
      <c r="C1529" s="32" t="s">
        <v>1288</v>
      </c>
      <c r="D1529" s="32" t="s">
        <v>1249</v>
      </c>
      <c r="E1529" s="33">
        <v>40</v>
      </c>
      <c r="F1529" s="33">
        <v>3958</v>
      </c>
      <c r="G1529" s="33">
        <v>10</v>
      </c>
      <c r="H1529" s="13">
        <f t="shared" si="23"/>
        <v>98.95</v>
      </c>
    </row>
    <row r="1530" spans="1:8" hidden="1" outlineLevel="2">
      <c r="A1530" s="32" t="s">
        <v>1248</v>
      </c>
      <c r="B1530" s="32" t="s">
        <v>86</v>
      </c>
      <c r="C1530" s="32" t="s">
        <v>1255</v>
      </c>
      <c r="D1530" s="32" t="s">
        <v>1249</v>
      </c>
      <c r="E1530" s="33">
        <v>40</v>
      </c>
      <c r="F1530" s="33">
        <v>3941</v>
      </c>
      <c r="G1530" s="33">
        <v>10</v>
      </c>
      <c r="H1530" s="13">
        <f t="shared" si="23"/>
        <v>98.525000000000006</v>
      </c>
    </row>
    <row r="1531" spans="1:8" hidden="1" outlineLevel="2">
      <c r="A1531" s="32" t="s">
        <v>1248</v>
      </c>
      <c r="B1531" s="32" t="s">
        <v>1862</v>
      </c>
      <c r="C1531" s="32" t="s">
        <v>1306</v>
      </c>
      <c r="D1531" s="32" t="s">
        <v>1249</v>
      </c>
      <c r="E1531" s="33">
        <v>50</v>
      </c>
      <c r="F1531" s="33">
        <v>4791</v>
      </c>
      <c r="G1531" s="33">
        <v>3</v>
      </c>
      <c r="H1531" s="13">
        <f t="shared" si="23"/>
        <v>95.82</v>
      </c>
    </row>
    <row r="1532" spans="1:8" hidden="1" outlineLevel="2">
      <c r="A1532" s="32" t="s">
        <v>1248</v>
      </c>
      <c r="B1532" s="32" t="s">
        <v>86</v>
      </c>
      <c r="C1532" s="32" t="s">
        <v>902</v>
      </c>
      <c r="D1532" s="32" t="s">
        <v>1249</v>
      </c>
      <c r="E1532" s="33">
        <v>45</v>
      </c>
      <c r="F1532" s="33">
        <v>3899</v>
      </c>
      <c r="G1532" s="33">
        <v>7</v>
      </c>
      <c r="H1532" s="13">
        <f t="shared" si="23"/>
        <v>86.644444444444446</v>
      </c>
    </row>
    <row r="1533" spans="1:8" hidden="1" outlineLevel="2">
      <c r="A1533" s="32" t="s">
        <v>1248</v>
      </c>
      <c r="B1533" s="32" t="s">
        <v>86</v>
      </c>
      <c r="C1533" s="32" t="s">
        <v>1288</v>
      </c>
      <c r="D1533" s="32" t="s">
        <v>1249</v>
      </c>
      <c r="E1533" s="33">
        <v>60</v>
      </c>
      <c r="F1533" s="33">
        <v>5052</v>
      </c>
      <c r="G1533" s="33">
        <v>16</v>
      </c>
      <c r="H1533" s="13">
        <f t="shared" si="23"/>
        <v>84.2</v>
      </c>
    </row>
    <row r="1534" spans="1:8" hidden="1" outlineLevel="2">
      <c r="A1534" s="32" t="s">
        <v>1248</v>
      </c>
      <c r="B1534" s="32" t="s">
        <v>1862</v>
      </c>
      <c r="C1534" s="32" t="s">
        <v>1431</v>
      </c>
      <c r="D1534" s="32" t="s">
        <v>1249</v>
      </c>
      <c r="E1534" s="33">
        <v>80</v>
      </c>
      <c r="F1534" s="33">
        <v>4899</v>
      </c>
      <c r="G1534" s="33">
        <v>21</v>
      </c>
      <c r="H1534" s="13">
        <f t="shared" si="23"/>
        <v>61.237499999999997</v>
      </c>
    </row>
    <row r="1535" spans="1:8" hidden="1" outlineLevel="2">
      <c r="A1535" s="32" t="s">
        <v>1248</v>
      </c>
      <c r="B1535" s="32" t="s">
        <v>1862</v>
      </c>
      <c r="C1535" s="32" t="s">
        <v>1480</v>
      </c>
      <c r="D1535" s="32" t="s">
        <v>1249</v>
      </c>
      <c r="E1535" s="33">
        <v>100</v>
      </c>
      <c r="F1535" s="33">
        <v>5402</v>
      </c>
      <c r="G1535" s="33">
        <v>40</v>
      </c>
      <c r="H1535" s="13">
        <f t="shared" si="23"/>
        <v>54.02</v>
      </c>
    </row>
    <row r="1536" spans="1:8" hidden="1" outlineLevel="2">
      <c r="A1536" s="32" t="s">
        <v>1248</v>
      </c>
      <c r="B1536" s="32" t="s">
        <v>86</v>
      </c>
      <c r="C1536" s="32" t="s">
        <v>1600</v>
      </c>
      <c r="D1536" s="32" t="s">
        <v>1249</v>
      </c>
      <c r="E1536" s="33">
        <v>150</v>
      </c>
      <c r="F1536" s="33">
        <v>7493</v>
      </c>
      <c r="G1536" s="33">
        <v>149</v>
      </c>
      <c r="H1536" s="13">
        <f t="shared" si="23"/>
        <v>49.953333333333333</v>
      </c>
    </row>
    <row r="1537" spans="1:8" hidden="1" outlineLevel="2">
      <c r="A1537" s="32" t="s">
        <v>1248</v>
      </c>
      <c r="B1537" s="32" t="s">
        <v>86</v>
      </c>
      <c r="C1537" s="32" t="s">
        <v>1250</v>
      </c>
      <c r="D1537" s="32" t="s">
        <v>1249</v>
      </c>
      <c r="E1537" s="33">
        <v>120</v>
      </c>
      <c r="F1537" s="33">
        <v>4990</v>
      </c>
      <c r="G1537" s="33">
        <v>114</v>
      </c>
      <c r="H1537" s="13">
        <f t="shared" si="23"/>
        <v>41.583333333333336</v>
      </c>
    </row>
    <row r="1538" spans="1:8" hidden="1" outlineLevel="2">
      <c r="A1538" s="32" t="s">
        <v>1248</v>
      </c>
      <c r="B1538" s="32" t="s">
        <v>1858</v>
      </c>
      <c r="C1538" s="32" t="s">
        <v>1564</v>
      </c>
      <c r="D1538" s="32" t="s">
        <v>1249</v>
      </c>
      <c r="E1538" s="33">
        <v>180</v>
      </c>
      <c r="F1538" s="33">
        <v>6454</v>
      </c>
      <c r="G1538" s="33">
        <v>162</v>
      </c>
      <c r="H1538" s="13">
        <f t="shared" ref="H1538:H1601" si="24">IFERROR(F1538/E1538,"")</f>
        <v>35.855555555555554</v>
      </c>
    </row>
    <row r="1539" spans="1:8" hidden="1" outlineLevel="2">
      <c r="A1539" s="32" t="s">
        <v>1248</v>
      </c>
      <c r="B1539" s="32" t="s">
        <v>1862</v>
      </c>
      <c r="C1539" s="32" t="s">
        <v>1432</v>
      </c>
      <c r="D1539" s="32" t="s">
        <v>1249</v>
      </c>
      <c r="E1539" s="33">
        <v>150</v>
      </c>
      <c r="F1539" s="33">
        <v>4841</v>
      </c>
      <c r="G1539" s="33">
        <v>49</v>
      </c>
      <c r="H1539" s="13">
        <f t="shared" si="24"/>
        <v>32.273333333333333</v>
      </c>
    </row>
    <row r="1540" spans="1:8" hidden="1" outlineLevel="2">
      <c r="A1540" s="32" t="s">
        <v>1248</v>
      </c>
      <c r="B1540" s="32" t="s">
        <v>1858</v>
      </c>
      <c r="C1540" s="32" t="s">
        <v>1564</v>
      </c>
      <c r="D1540" s="32" t="s">
        <v>1249</v>
      </c>
      <c r="E1540" s="33">
        <v>290</v>
      </c>
      <c r="F1540" s="33">
        <v>8666</v>
      </c>
      <c r="G1540" s="33">
        <v>304</v>
      </c>
      <c r="H1540" s="13">
        <f t="shared" si="24"/>
        <v>29.882758620689657</v>
      </c>
    </row>
    <row r="1541" spans="1:8" hidden="1" outlineLevel="2">
      <c r="A1541" s="32" t="s">
        <v>1248</v>
      </c>
      <c r="B1541" s="32" t="s">
        <v>86</v>
      </c>
      <c r="C1541" s="32" t="s">
        <v>902</v>
      </c>
      <c r="D1541" s="32" t="s">
        <v>1249</v>
      </c>
      <c r="E1541" s="33">
        <v>180</v>
      </c>
      <c r="F1541" s="33">
        <v>5189</v>
      </c>
      <c r="G1541" s="33">
        <v>9</v>
      </c>
      <c r="H1541" s="13">
        <f t="shared" si="24"/>
        <v>28.827777777777779</v>
      </c>
    </row>
    <row r="1542" spans="1:8" hidden="1" outlineLevel="2">
      <c r="A1542" s="32" t="s">
        <v>1248</v>
      </c>
      <c r="B1542" s="32" t="s">
        <v>1862</v>
      </c>
      <c r="C1542" s="32" t="s">
        <v>1347</v>
      </c>
      <c r="D1542" s="32" t="s">
        <v>1348</v>
      </c>
      <c r="E1542" s="33">
        <v>25</v>
      </c>
      <c r="F1542" s="33">
        <v>702</v>
      </c>
      <c r="G1542" s="33">
        <v>25</v>
      </c>
      <c r="H1542" s="13">
        <f t="shared" si="24"/>
        <v>28.08</v>
      </c>
    </row>
    <row r="1543" spans="1:8" hidden="1" outlineLevel="2">
      <c r="A1543" s="32" t="s">
        <v>1248</v>
      </c>
      <c r="B1543" s="32" t="s">
        <v>1862</v>
      </c>
      <c r="C1543" s="32" t="s">
        <v>1304</v>
      </c>
      <c r="D1543" s="32" t="s">
        <v>1249</v>
      </c>
      <c r="E1543" s="33">
        <v>180</v>
      </c>
      <c r="F1543" s="33">
        <v>4993</v>
      </c>
      <c r="G1543" s="33">
        <v>136</v>
      </c>
      <c r="H1543" s="13">
        <f t="shared" si="24"/>
        <v>27.738888888888887</v>
      </c>
    </row>
    <row r="1544" spans="1:8" hidden="1" outlineLevel="2">
      <c r="A1544" s="32" t="s">
        <v>1248</v>
      </c>
      <c r="B1544" s="32" t="s">
        <v>86</v>
      </c>
      <c r="C1544" s="32" t="s">
        <v>1250</v>
      </c>
      <c r="D1544" s="32" t="s">
        <v>1249</v>
      </c>
      <c r="E1544" s="33">
        <v>280</v>
      </c>
      <c r="F1544" s="33">
        <v>7722</v>
      </c>
      <c r="G1544" s="33">
        <v>339</v>
      </c>
      <c r="H1544" s="13">
        <f t="shared" si="24"/>
        <v>27.578571428571429</v>
      </c>
    </row>
    <row r="1545" spans="1:8" hidden="1" outlineLevel="2">
      <c r="A1545" s="32" t="s">
        <v>1248</v>
      </c>
      <c r="B1545" s="32" t="s">
        <v>86</v>
      </c>
      <c r="C1545" s="32" t="s">
        <v>1255</v>
      </c>
      <c r="D1545" s="32" t="s">
        <v>1249</v>
      </c>
      <c r="E1545" s="33">
        <v>260</v>
      </c>
      <c r="F1545" s="33">
        <v>5411</v>
      </c>
      <c r="G1545" s="33">
        <v>58</v>
      </c>
      <c r="H1545" s="13">
        <f t="shared" si="24"/>
        <v>20.811538461538461</v>
      </c>
    </row>
    <row r="1546" spans="1:8" hidden="1" outlineLevel="2">
      <c r="A1546" s="32" t="s">
        <v>1248</v>
      </c>
      <c r="B1546" s="32" t="s">
        <v>86</v>
      </c>
      <c r="C1546" s="32" t="s">
        <v>1705</v>
      </c>
      <c r="D1546" s="32" t="s">
        <v>1706</v>
      </c>
      <c r="E1546" s="33">
        <v>60</v>
      </c>
      <c r="F1546" s="33">
        <v>1075</v>
      </c>
      <c r="G1546" s="33">
        <v>12</v>
      </c>
      <c r="H1546" s="13">
        <f t="shared" si="24"/>
        <v>17.916666666666668</v>
      </c>
    </row>
    <row r="1547" spans="1:8" hidden="1" outlineLevel="2">
      <c r="A1547" s="32" t="s">
        <v>1248</v>
      </c>
      <c r="B1547" s="32" t="s">
        <v>1862</v>
      </c>
      <c r="C1547" s="32" t="s">
        <v>1432</v>
      </c>
      <c r="D1547" s="32" t="s">
        <v>1249</v>
      </c>
      <c r="E1547" s="33">
        <v>350</v>
      </c>
      <c r="F1547" s="33">
        <v>6140</v>
      </c>
      <c r="G1547" s="33">
        <v>195</v>
      </c>
      <c r="H1547" s="13">
        <f t="shared" si="24"/>
        <v>17.542857142857144</v>
      </c>
    </row>
    <row r="1548" spans="1:8" hidden="1" outlineLevel="2">
      <c r="A1548" s="32" t="s">
        <v>1248</v>
      </c>
      <c r="B1548" s="32" t="s">
        <v>86</v>
      </c>
      <c r="C1548" s="32" t="s">
        <v>1591</v>
      </c>
      <c r="D1548" s="32" t="s">
        <v>1310</v>
      </c>
      <c r="E1548" s="33">
        <v>80</v>
      </c>
      <c r="F1548" s="33">
        <v>1360</v>
      </c>
      <c r="G1548" s="33">
        <v>79</v>
      </c>
      <c r="H1548" s="13">
        <f t="shared" si="24"/>
        <v>17</v>
      </c>
    </row>
    <row r="1549" spans="1:8" hidden="1" outlineLevel="2">
      <c r="A1549" s="32" t="s">
        <v>1248</v>
      </c>
      <c r="B1549" s="32" t="s">
        <v>1862</v>
      </c>
      <c r="C1549" s="32" t="s">
        <v>1304</v>
      </c>
      <c r="D1549" s="32" t="s">
        <v>1310</v>
      </c>
      <c r="E1549" s="33">
        <v>50</v>
      </c>
      <c r="F1549" s="33">
        <v>814</v>
      </c>
      <c r="G1549" s="33">
        <v>66</v>
      </c>
      <c r="H1549" s="13">
        <f t="shared" si="24"/>
        <v>16.28</v>
      </c>
    </row>
    <row r="1550" spans="1:8" hidden="1" outlineLevel="2">
      <c r="A1550" s="32" t="s">
        <v>1248</v>
      </c>
      <c r="B1550" s="32" t="s">
        <v>86</v>
      </c>
      <c r="C1550" s="32" t="s">
        <v>1425</v>
      </c>
      <c r="D1550" s="32" t="s">
        <v>1426</v>
      </c>
      <c r="E1550" s="33">
        <v>20</v>
      </c>
      <c r="F1550" s="33">
        <v>321</v>
      </c>
      <c r="G1550" s="33">
        <v>4</v>
      </c>
      <c r="H1550" s="13">
        <f t="shared" si="24"/>
        <v>16.05</v>
      </c>
    </row>
    <row r="1551" spans="1:8" hidden="1" outlineLevel="2">
      <c r="A1551" s="32" t="s">
        <v>1248</v>
      </c>
      <c r="B1551" s="32" t="s">
        <v>86</v>
      </c>
      <c r="C1551" s="32" t="s">
        <v>1425</v>
      </c>
      <c r="D1551" s="32" t="s">
        <v>1426</v>
      </c>
      <c r="E1551" s="33">
        <v>20</v>
      </c>
      <c r="F1551" s="33">
        <v>311</v>
      </c>
      <c r="G1551" s="33">
        <v>12</v>
      </c>
      <c r="H1551" s="13">
        <f t="shared" si="24"/>
        <v>15.55</v>
      </c>
    </row>
    <row r="1552" spans="1:8" hidden="1" outlineLevel="2">
      <c r="A1552" s="32" t="s">
        <v>1248</v>
      </c>
      <c r="B1552" s="32" t="s">
        <v>86</v>
      </c>
      <c r="C1552" s="32" t="s">
        <v>902</v>
      </c>
      <c r="D1552" s="32" t="s">
        <v>1351</v>
      </c>
      <c r="E1552" s="33">
        <v>25</v>
      </c>
      <c r="F1552" s="33">
        <v>375</v>
      </c>
      <c r="G1552" s="33">
        <v>9</v>
      </c>
      <c r="H1552" s="13">
        <f t="shared" si="24"/>
        <v>15</v>
      </c>
    </row>
    <row r="1553" spans="1:8" hidden="1" outlineLevel="2">
      <c r="A1553" s="32" t="s">
        <v>1248</v>
      </c>
      <c r="B1553" s="32" t="s">
        <v>1862</v>
      </c>
      <c r="C1553" s="32" t="s">
        <v>1433</v>
      </c>
      <c r="D1553" s="32" t="s">
        <v>1434</v>
      </c>
      <c r="E1553" s="33">
        <v>90</v>
      </c>
      <c r="F1553" s="33">
        <v>1279</v>
      </c>
      <c r="G1553" s="33">
        <v>53</v>
      </c>
      <c r="H1553" s="13">
        <f t="shared" si="24"/>
        <v>14.21111111111111</v>
      </c>
    </row>
    <row r="1554" spans="1:8" hidden="1" outlineLevel="2">
      <c r="A1554" s="32" t="s">
        <v>1248</v>
      </c>
      <c r="B1554" s="32" t="s">
        <v>1862</v>
      </c>
      <c r="C1554" s="32" t="s">
        <v>1433</v>
      </c>
      <c r="D1554" s="32" t="s">
        <v>1679</v>
      </c>
      <c r="E1554" s="33">
        <v>340</v>
      </c>
      <c r="F1554" s="33">
        <v>4648</v>
      </c>
      <c r="G1554" s="33">
        <v>423</v>
      </c>
      <c r="H1554" s="13">
        <f t="shared" si="24"/>
        <v>13.670588235294117</v>
      </c>
    </row>
    <row r="1555" spans="1:8" hidden="1" outlineLevel="2">
      <c r="A1555" s="32" t="s">
        <v>1248</v>
      </c>
      <c r="B1555" s="32" t="s">
        <v>1862</v>
      </c>
      <c r="C1555" s="32" t="s">
        <v>1304</v>
      </c>
      <c r="D1555" s="32" t="s">
        <v>1249</v>
      </c>
      <c r="E1555" s="33">
        <v>520</v>
      </c>
      <c r="F1555" s="33">
        <v>6882</v>
      </c>
      <c r="G1555" s="33">
        <v>438</v>
      </c>
      <c r="H1555" s="13">
        <f t="shared" si="24"/>
        <v>13.234615384615385</v>
      </c>
    </row>
    <row r="1556" spans="1:8" hidden="1" outlineLevel="2">
      <c r="A1556" s="32" t="s">
        <v>1248</v>
      </c>
      <c r="B1556" s="32" t="s">
        <v>1862</v>
      </c>
      <c r="C1556" s="32" t="s">
        <v>1349</v>
      </c>
      <c r="D1556" s="32" t="s">
        <v>1350</v>
      </c>
      <c r="E1556" s="33">
        <v>40</v>
      </c>
      <c r="F1556" s="33">
        <v>452</v>
      </c>
      <c r="G1556" s="33">
        <v>18</v>
      </c>
      <c r="H1556" s="13">
        <f t="shared" si="24"/>
        <v>11.3</v>
      </c>
    </row>
    <row r="1557" spans="1:8" hidden="1" outlineLevel="2">
      <c r="A1557" s="32" t="s">
        <v>1248</v>
      </c>
      <c r="B1557" s="32" t="s">
        <v>1862</v>
      </c>
      <c r="C1557" s="32" t="s">
        <v>1347</v>
      </c>
      <c r="D1557" s="32" t="s">
        <v>1348</v>
      </c>
      <c r="E1557" s="33">
        <v>105</v>
      </c>
      <c r="F1557" s="33">
        <v>1145</v>
      </c>
      <c r="G1557" s="33">
        <v>115</v>
      </c>
      <c r="H1557" s="13">
        <f t="shared" si="24"/>
        <v>10.904761904761905</v>
      </c>
    </row>
    <row r="1558" spans="1:8" hidden="1" outlineLevel="2">
      <c r="A1558" s="32" t="s">
        <v>1248</v>
      </c>
      <c r="B1558" s="32" t="s">
        <v>86</v>
      </c>
      <c r="C1558" s="32" t="s">
        <v>1600</v>
      </c>
      <c r="D1558" s="32" t="s">
        <v>1706</v>
      </c>
      <c r="E1558" s="33">
        <v>150</v>
      </c>
      <c r="F1558" s="33">
        <v>1563</v>
      </c>
      <c r="G1558" s="33">
        <v>148</v>
      </c>
      <c r="H1558" s="13">
        <f t="shared" si="24"/>
        <v>10.42</v>
      </c>
    </row>
    <row r="1559" spans="1:8" hidden="1" outlineLevel="2">
      <c r="A1559" s="32" t="s">
        <v>1248</v>
      </c>
      <c r="B1559" s="32" t="s">
        <v>86</v>
      </c>
      <c r="C1559" s="32" t="s">
        <v>1461</v>
      </c>
      <c r="D1559" s="32" t="s">
        <v>1751</v>
      </c>
      <c r="E1559" s="33">
        <v>100</v>
      </c>
      <c r="F1559" s="33">
        <v>1022</v>
      </c>
      <c r="G1559" s="33">
        <v>65</v>
      </c>
      <c r="H1559" s="13">
        <f t="shared" si="24"/>
        <v>10.220000000000001</v>
      </c>
    </row>
    <row r="1560" spans="1:8" hidden="1" outlineLevel="2">
      <c r="A1560" s="32" t="s">
        <v>1248</v>
      </c>
      <c r="B1560" s="32" t="s">
        <v>86</v>
      </c>
      <c r="C1560" s="32" t="s">
        <v>1425</v>
      </c>
      <c r="D1560" s="32" t="s">
        <v>1426</v>
      </c>
      <c r="E1560" s="33">
        <v>80</v>
      </c>
      <c r="F1560" s="33">
        <v>776</v>
      </c>
      <c r="G1560" s="33">
        <v>47</v>
      </c>
      <c r="H1560" s="13">
        <f t="shared" si="24"/>
        <v>9.6999999999999993</v>
      </c>
    </row>
    <row r="1561" spans="1:8" hidden="1" outlineLevel="2">
      <c r="A1561" s="32" t="s">
        <v>1248</v>
      </c>
      <c r="B1561" s="32" t="s">
        <v>1862</v>
      </c>
      <c r="C1561" s="32" t="s">
        <v>1004</v>
      </c>
      <c r="D1561" s="32" t="s">
        <v>1678</v>
      </c>
      <c r="E1561" s="33">
        <v>30</v>
      </c>
      <c r="F1561" s="33">
        <v>290</v>
      </c>
      <c r="G1561" s="33">
        <v>17</v>
      </c>
      <c r="H1561" s="13">
        <f t="shared" si="24"/>
        <v>9.6666666666666661</v>
      </c>
    </row>
    <row r="1562" spans="1:8" hidden="1" outlineLevel="2">
      <c r="A1562" s="32" t="s">
        <v>1248</v>
      </c>
      <c r="B1562" s="32" t="s">
        <v>86</v>
      </c>
      <c r="C1562" s="32" t="s">
        <v>1255</v>
      </c>
      <c r="D1562" s="32" t="s">
        <v>1256</v>
      </c>
      <c r="E1562" s="33">
        <v>50</v>
      </c>
      <c r="F1562" s="33">
        <v>469</v>
      </c>
      <c r="G1562" s="33">
        <v>44</v>
      </c>
      <c r="H1562" s="13">
        <f t="shared" si="24"/>
        <v>9.3800000000000008</v>
      </c>
    </row>
    <row r="1563" spans="1:8" hidden="1" outlineLevel="2">
      <c r="A1563" s="32" t="s">
        <v>1248</v>
      </c>
      <c r="B1563" s="32" t="s">
        <v>86</v>
      </c>
      <c r="C1563" s="32" t="s">
        <v>1411</v>
      </c>
      <c r="D1563" s="32" t="s">
        <v>1592</v>
      </c>
      <c r="E1563" s="33">
        <v>10</v>
      </c>
      <c r="F1563" s="33">
        <v>93</v>
      </c>
      <c r="G1563" s="33">
        <v>9</v>
      </c>
      <c r="H1563" s="13">
        <f t="shared" si="24"/>
        <v>9.3000000000000007</v>
      </c>
    </row>
    <row r="1564" spans="1:8" hidden="1" outlineLevel="2">
      <c r="A1564" s="32" t="s">
        <v>1248</v>
      </c>
      <c r="B1564" s="32" t="s">
        <v>86</v>
      </c>
      <c r="C1564" s="32" t="s">
        <v>1425</v>
      </c>
      <c r="D1564" s="32" t="s">
        <v>1426</v>
      </c>
      <c r="E1564" s="33">
        <v>60</v>
      </c>
      <c r="F1564" s="33">
        <v>557</v>
      </c>
      <c r="G1564" s="33">
        <v>39</v>
      </c>
      <c r="H1564" s="13">
        <f t="shared" si="24"/>
        <v>9.2833333333333332</v>
      </c>
    </row>
    <row r="1565" spans="1:8" hidden="1" outlineLevel="2">
      <c r="A1565" s="32" t="s">
        <v>1248</v>
      </c>
      <c r="B1565" s="32" t="s">
        <v>86</v>
      </c>
      <c r="C1565" s="32" t="s">
        <v>1437</v>
      </c>
      <c r="D1565" s="32" t="s">
        <v>1438</v>
      </c>
      <c r="E1565" s="33">
        <v>200</v>
      </c>
      <c r="F1565" s="33">
        <v>1845</v>
      </c>
      <c r="G1565" s="33">
        <v>203</v>
      </c>
      <c r="H1565" s="13">
        <f t="shared" si="24"/>
        <v>9.2249999999999996</v>
      </c>
    </row>
    <row r="1566" spans="1:8" hidden="1" outlineLevel="2">
      <c r="A1566" s="32" t="s">
        <v>1248</v>
      </c>
      <c r="B1566" s="32" t="s">
        <v>86</v>
      </c>
      <c r="C1566" s="32" t="s">
        <v>1425</v>
      </c>
      <c r="D1566" s="32" t="s">
        <v>1434</v>
      </c>
      <c r="E1566" s="33">
        <v>50</v>
      </c>
      <c r="F1566" s="33">
        <v>459</v>
      </c>
      <c r="G1566" s="33">
        <v>32</v>
      </c>
      <c r="H1566" s="13">
        <f t="shared" si="24"/>
        <v>9.18</v>
      </c>
    </row>
    <row r="1567" spans="1:8" hidden="1" outlineLevel="2">
      <c r="A1567" s="32" t="s">
        <v>1248</v>
      </c>
      <c r="B1567" s="32" t="s">
        <v>1862</v>
      </c>
      <c r="C1567" s="32" t="s">
        <v>1349</v>
      </c>
      <c r="D1567" s="32" t="s">
        <v>1350</v>
      </c>
      <c r="E1567" s="33">
        <v>30</v>
      </c>
      <c r="F1567" s="33">
        <v>273</v>
      </c>
      <c r="G1567" s="33">
        <v>5</v>
      </c>
      <c r="H1567" s="13">
        <f t="shared" si="24"/>
        <v>9.1</v>
      </c>
    </row>
    <row r="1568" spans="1:8" hidden="1" outlineLevel="2">
      <c r="A1568" s="32" t="s">
        <v>1248</v>
      </c>
      <c r="B1568" s="32" t="s">
        <v>86</v>
      </c>
      <c r="C1568" s="32" t="s">
        <v>1474</v>
      </c>
      <c r="D1568" s="32" t="s">
        <v>1588</v>
      </c>
      <c r="E1568" s="33">
        <v>40</v>
      </c>
      <c r="F1568" s="33">
        <v>363</v>
      </c>
      <c r="G1568" s="33">
        <v>41</v>
      </c>
      <c r="H1568" s="13">
        <f t="shared" si="24"/>
        <v>9.0749999999999993</v>
      </c>
    </row>
    <row r="1569" spans="1:8" hidden="1" outlineLevel="2">
      <c r="A1569" s="32" t="s">
        <v>1248</v>
      </c>
      <c r="B1569" s="32" t="s">
        <v>1862</v>
      </c>
      <c r="C1569" s="32" t="s">
        <v>1580</v>
      </c>
      <c r="D1569" s="32" t="s">
        <v>1581</v>
      </c>
      <c r="E1569" s="33">
        <v>120</v>
      </c>
      <c r="F1569" s="33">
        <v>1075</v>
      </c>
      <c r="G1569" s="33">
        <v>109</v>
      </c>
      <c r="H1569" s="13">
        <f t="shared" si="24"/>
        <v>8.9583333333333339</v>
      </c>
    </row>
    <row r="1570" spans="1:8" hidden="1" outlineLevel="2">
      <c r="A1570" s="32" t="s">
        <v>1248</v>
      </c>
      <c r="B1570" s="32" t="s">
        <v>86</v>
      </c>
      <c r="C1570" s="32" t="s">
        <v>1425</v>
      </c>
      <c r="D1570" s="32" t="s">
        <v>1434</v>
      </c>
      <c r="E1570" s="33">
        <v>30</v>
      </c>
      <c r="F1570" s="33">
        <v>268</v>
      </c>
      <c r="G1570" s="33">
        <v>14</v>
      </c>
      <c r="H1570" s="13">
        <f t="shared" si="24"/>
        <v>8.9333333333333336</v>
      </c>
    </row>
    <row r="1571" spans="1:8" hidden="1" outlineLevel="2">
      <c r="A1571" s="32" t="s">
        <v>1248</v>
      </c>
      <c r="B1571" s="32" t="s">
        <v>1862</v>
      </c>
      <c r="C1571" s="32" t="s">
        <v>1580</v>
      </c>
      <c r="D1571" s="32" t="s">
        <v>1679</v>
      </c>
      <c r="E1571" s="33">
        <v>570</v>
      </c>
      <c r="F1571" s="33">
        <v>5011</v>
      </c>
      <c r="G1571" s="33">
        <v>627</v>
      </c>
      <c r="H1571" s="13">
        <f t="shared" si="24"/>
        <v>8.7912280701754391</v>
      </c>
    </row>
    <row r="1572" spans="1:8" hidden="1" outlineLevel="2">
      <c r="A1572" s="32" t="s">
        <v>1248</v>
      </c>
      <c r="B1572" s="32" t="s">
        <v>1862</v>
      </c>
      <c r="C1572" s="32" t="s">
        <v>1004</v>
      </c>
      <c r="D1572" s="32" t="s">
        <v>1415</v>
      </c>
      <c r="E1572" s="33">
        <v>60</v>
      </c>
      <c r="F1572" s="33">
        <v>516</v>
      </c>
      <c r="G1572" s="33">
        <v>41</v>
      </c>
      <c r="H1572" s="13">
        <f t="shared" si="24"/>
        <v>8.6</v>
      </c>
    </row>
    <row r="1573" spans="1:8" hidden="1" outlineLevel="2">
      <c r="A1573" s="32" t="s">
        <v>1248</v>
      </c>
      <c r="B1573" s="32" t="s">
        <v>86</v>
      </c>
      <c r="C1573" s="32" t="s">
        <v>1425</v>
      </c>
      <c r="D1573" s="32" t="s">
        <v>1434</v>
      </c>
      <c r="E1573" s="33">
        <v>70</v>
      </c>
      <c r="F1573" s="33">
        <v>583</v>
      </c>
      <c r="G1573" s="33">
        <v>47</v>
      </c>
      <c r="H1573" s="13">
        <f t="shared" si="24"/>
        <v>8.3285714285714292</v>
      </c>
    </row>
    <row r="1574" spans="1:8" hidden="1" outlineLevel="2">
      <c r="A1574" s="32" t="s">
        <v>1248</v>
      </c>
      <c r="B1574" s="32" t="s">
        <v>86</v>
      </c>
      <c r="C1574" s="32" t="s">
        <v>1766</v>
      </c>
      <c r="D1574" s="32" t="s">
        <v>1767</v>
      </c>
      <c r="E1574" s="33">
        <v>40</v>
      </c>
      <c r="F1574" s="33">
        <v>326</v>
      </c>
      <c r="G1574" s="33">
        <v>0</v>
      </c>
      <c r="H1574" s="13">
        <f t="shared" si="24"/>
        <v>8.15</v>
      </c>
    </row>
    <row r="1575" spans="1:8" hidden="1" outlineLevel="2">
      <c r="A1575" s="32" t="s">
        <v>1248</v>
      </c>
      <c r="B1575" s="32" t="s">
        <v>1862</v>
      </c>
      <c r="C1575" s="32" t="s">
        <v>1432</v>
      </c>
      <c r="D1575" s="32" t="s">
        <v>1851</v>
      </c>
      <c r="E1575" s="33">
        <v>50</v>
      </c>
      <c r="F1575" s="33">
        <v>394</v>
      </c>
      <c r="G1575" s="33">
        <v>43</v>
      </c>
      <c r="H1575" s="13">
        <f t="shared" si="24"/>
        <v>7.88</v>
      </c>
    </row>
    <row r="1576" spans="1:8" hidden="1" outlineLevel="2">
      <c r="A1576" s="32" t="s">
        <v>1248</v>
      </c>
      <c r="B1576" s="32" t="s">
        <v>1858</v>
      </c>
      <c r="C1576" s="32" t="s">
        <v>89</v>
      </c>
      <c r="D1576" s="32" t="s">
        <v>1309</v>
      </c>
      <c r="E1576" s="33">
        <v>20</v>
      </c>
      <c r="F1576" s="33">
        <v>157</v>
      </c>
      <c r="G1576" s="33">
        <v>13</v>
      </c>
      <c r="H1576" s="13">
        <f t="shared" si="24"/>
        <v>7.85</v>
      </c>
    </row>
    <row r="1577" spans="1:8" hidden="1" outlineLevel="2">
      <c r="A1577" s="32" t="s">
        <v>1248</v>
      </c>
      <c r="B1577" s="32" t="s">
        <v>1858</v>
      </c>
      <c r="C1577" s="32" t="s">
        <v>1693</v>
      </c>
      <c r="D1577" s="32" t="s">
        <v>1795</v>
      </c>
      <c r="E1577" s="33">
        <v>60</v>
      </c>
      <c r="F1577" s="33">
        <v>461</v>
      </c>
      <c r="G1577" s="33">
        <v>51</v>
      </c>
      <c r="H1577" s="13">
        <f t="shared" si="24"/>
        <v>7.6833333333333336</v>
      </c>
    </row>
    <row r="1578" spans="1:8" hidden="1" outlineLevel="2">
      <c r="A1578" s="32" t="s">
        <v>1248</v>
      </c>
      <c r="B1578" s="32" t="s">
        <v>86</v>
      </c>
      <c r="C1578" s="32" t="s">
        <v>1315</v>
      </c>
      <c r="D1578" s="32" t="s">
        <v>1316</v>
      </c>
      <c r="E1578" s="33">
        <v>25</v>
      </c>
      <c r="F1578" s="33">
        <v>192</v>
      </c>
      <c r="G1578" s="33">
        <v>13</v>
      </c>
      <c r="H1578" s="13">
        <f t="shared" si="24"/>
        <v>7.68</v>
      </c>
    </row>
    <row r="1579" spans="1:8" hidden="1" outlineLevel="2">
      <c r="A1579" s="32" t="s">
        <v>1248</v>
      </c>
      <c r="B1579" s="32" t="s">
        <v>1862</v>
      </c>
      <c r="C1579" s="32" t="s">
        <v>1306</v>
      </c>
      <c r="D1579" s="32" t="s">
        <v>1483</v>
      </c>
      <c r="E1579" s="33">
        <v>50</v>
      </c>
      <c r="F1579" s="33">
        <v>378</v>
      </c>
      <c r="G1579" s="33">
        <v>23</v>
      </c>
      <c r="H1579" s="13">
        <f t="shared" si="24"/>
        <v>7.56</v>
      </c>
    </row>
    <row r="1580" spans="1:8" hidden="1" outlineLevel="2">
      <c r="A1580" s="32" t="s">
        <v>1248</v>
      </c>
      <c r="B1580" s="32" t="s">
        <v>1862</v>
      </c>
      <c r="C1580" s="32" t="s">
        <v>1004</v>
      </c>
      <c r="D1580" s="32" t="s">
        <v>1593</v>
      </c>
      <c r="E1580" s="33">
        <v>30</v>
      </c>
      <c r="F1580" s="33">
        <v>210</v>
      </c>
      <c r="G1580" s="33">
        <v>12</v>
      </c>
      <c r="H1580" s="13">
        <f t="shared" si="24"/>
        <v>7</v>
      </c>
    </row>
    <row r="1581" spans="1:8" hidden="1" outlineLevel="2">
      <c r="A1581" s="32" t="s">
        <v>1248</v>
      </c>
      <c r="B1581" s="32" t="s">
        <v>1858</v>
      </c>
      <c r="C1581" s="32" t="s">
        <v>1664</v>
      </c>
      <c r="D1581" s="32" t="s">
        <v>1665</v>
      </c>
      <c r="E1581" s="33">
        <v>90</v>
      </c>
      <c r="F1581" s="33">
        <v>597</v>
      </c>
      <c r="G1581" s="33">
        <v>89</v>
      </c>
      <c r="H1581" s="13">
        <f t="shared" si="24"/>
        <v>6.6333333333333337</v>
      </c>
    </row>
    <row r="1582" spans="1:8" hidden="1" outlineLevel="2">
      <c r="A1582" s="32" t="s">
        <v>1248</v>
      </c>
      <c r="B1582" s="32" t="s">
        <v>86</v>
      </c>
      <c r="C1582" s="32" t="s">
        <v>1315</v>
      </c>
      <c r="D1582" s="32" t="s">
        <v>1840</v>
      </c>
      <c r="E1582" s="33">
        <v>30</v>
      </c>
      <c r="F1582" s="33">
        <v>198</v>
      </c>
      <c r="G1582" s="33">
        <v>14</v>
      </c>
      <c r="H1582" s="13">
        <f t="shared" si="24"/>
        <v>6.6</v>
      </c>
    </row>
    <row r="1583" spans="1:8" hidden="1" outlineLevel="2">
      <c r="A1583" s="32" t="s">
        <v>1248</v>
      </c>
      <c r="B1583" s="32" t="s">
        <v>1862</v>
      </c>
      <c r="C1583" s="32" t="s">
        <v>1347</v>
      </c>
      <c r="D1583" s="32" t="s">
        <v>1606</v>
      </c>
      <c r="E1583" s="33">
        <v>30</v>
      </c>
      <c r="F1583" s="33">
        <v>197</v>
      </c>
      <c r="G1583" s="33">
        <v>32</v>
      </c>
      <c r="H1583" s="13">
        <f t="shared" si="24"/>
        <v>6.5666666666666664</v>
      </c>
    </row>
    <row r="1584" spans="1:8" hidden="1" outlineLevel="2">
      <c r="A1584" s="32" t="s">
        <v>1248</v>
      </c>
      <c r="B1584" s="32" t="s">
        <v>1858</v>
      </c>
      <c r="C1584" s="32" t="s">
        <v>1307</v>
      </c>
      <c r="D1584" s="32" t="s">
        <v>1308</v>
      </c>
      <c r="E1584" s="33">
        <v>15</v>
      </c>
      <c r="F1584" s="33">
        <v>98</v>
      </c>
      <c r="G1584" s="33">
        <v>6</v>
      </c>
      <c r="H1584" s="13">
        <f t="shared" si="24"/>
        <v>6.5333333333333332</v>
      </c>
    </row>
    <row r="1585" spans="1:8" hidden="1" outlineLevel="2">
      <c r="A1585" s="32" t="s">
        <v>1248</v>
      </c>
      <c r="B1585" s="32" t="s">
        <v>1862</v>
      </c>
      <c r="C1585" s="32" t="s">
        <v>1004</v>
      </c>
      <c r="D1585" s="32" t="s">
        <v>1794</v>
      </c>
      <c r="E1585" s="33">
        <v>32</v>
      </c>
      <c r="F1585" s="33">
        <v>207</v>
      </c>
      <c r="G1585" s="33">
        <v>10</v>
      </c>
      <c r="H1585" s="13">
        <f t="shared" si="24"/>
        <v>6.46875</v>
      </c>
    </row>
    <row r="1586" spans="1:8" hidden="1" outlineLevel="2">
      <c r="A1586" s="32" t="s">
        <v>1248</v>
      </c>
      <c r="B1586" s="32" t="s">
        <v>1858</v>
      </c>
      <c r="C1586" s="32" t="s">
        <v>1604</v>
      </c>
      <c r="D1586" s="32" t="s">
        <v>1308</v>
      </c>
      <c r="E1586" s="33">
        <v>15</v>
      </c>
      <c r="F1586" s="33">
        <v>87</v>
      </c>
      <c r="G1586" s="33">
        <v>5</v>
      </c>
      <c r="H1586" s="13">
        <f t="shared" si="24"/>
        <v>5.8</v>
      </c>
    </row>
    <row r="1587" spans="1:8" hidden="1" outlineLevel="2">
      <c r="A1587" s="32" t="s">
        <v>1248</v>
      </c>
      <c r="B1587" s="32" t="s">
        <v>86</v>
      </c>
      <c r="C1587" s="32" t="s">
        <v>1315</v>
      </c>
      <c r="D1587" s="32" t="s">
        <v>1549</v>
      </c>
      <c r="E1587" s="33">
        <v>45</v>
      </c>
      <c r="F1587" s="33">
        <v>259</v>
      </c>
      <c r="G1587" s="33">
        <v>24</v>
      </c>
      <c r="H1587" s="13">
        <f t="shared" si="24"/>
        <v>5.7555555555555555</v>
      </c>
    </row>
    <row r="1588" spans="1:8" hidden="1" outlineLevel="2">
      <c r="A1588" s="32" t="s">
        <v>1248</v>
      </c>
      <c r="B1588" s="32" t="s">
        <v>1858</v>
      </c>
      <c r="C1588" s="32" t="s">
        <v>1798</v>
      </c>
      <c r="D1588" s="32" t="s">
        <v>1308</v>
      </c>
      <c r="E1588" s="33">
        <v>15</v>
      </c>
      <c r="F1588" s="33">
        <v>84</v>
      </c>
      <c r="G1588" s="33">
        <v>7</v>
      </c>
      <c r="H1588" s="13">
        <f t="shared" si="24"/>
        <v>5.6</v>
      </c>
    </row>
    <row r="1589" spans="1:8" hidden="1" outlineLevel="2">
      <c r="A1589" s="32" t="s">
        <v>1248</v>
      </c>
      <c r="B1589" s="32" t="s">
        <v>86</v>
      </c>
      <c r="C1589" s="32" t="s">
        <v>1461</v>
      </c>
      <c r="D1589" s="32" t="s">
        <v>1462</v>
      </c>
      <c r="E1589" s="33">
        <v>250</v>
      </c>
      <c r="F1589" s="33">
        <v>1308</v>
      </c>
      <c r="G1589" s="33">
        <v>122</v>
      </c>
      <c r="H1589" s="13">
        <f t="shared" si="24"/>
        <v>5.2320000000000002</v>
      </c>
    </row>
    <row r="1590" spans="1:8" hidden="1" outlineLevel="2">
      <c r="A1590" s="32" t="s">
        <v>1248</v>
      </c>
      <c r="B1590" s="32" t="s">
        <v>1862</v>
      </c>
      <c r="C1590" s="32" t="s">
        <v>1431</v>
      </c>
      <c r="D1590" s="32" t="s">
        <v>1686</v>
      </c>
      <c r="E1590" s="33">
        <v>20</v>
      </c>
      <c r="F1590" s="33">
        <v>104</v>
      </c>
      <c r="G1590" s="33">
        <v>14</v>
      </c>
      <c r="H1590" s="13">
        <f t="shared" si="24"/>
        <v>5.2</v>
      </c>
    </row>
    <row r="1591" spans="1:8" hidden="1" outlineLevel="2">
      <c r="A1591" s="32" t="s">
        <v>1248</v>
      </c>
      <c r="B1591" s="32" t="s">
        <v>1862</v>
      </c>
      <c r="C1591" s="32" t="s">
        <v>1306</v>
      </c>
      <c r="D1591" s="32" t="s">
        <v>1482</v>
      </c>
      <c r="E1591" s="33">
        <v>20</v>
      </c>
      <c r="F1591" s="33">
        <v>101</v>
      </c>
      <c r="G1591" s="33">
        <v>9</v>
      </c>
      <c r="H1591" s="13">
        <f t="shared" si="24"/>
        <v>5.05</v>
      </c>
    </row>
    <row r="1592" spans="1:8" hidden="1" outlineLevel="2">
      <c r="A1592" s="32" t="s">
        <v>1248</v>
      </c>
      <c r="B1592" s="32" t="s">
        <v>86</v>
      </c>
      <c r="C1592" s="32" t="s">
        <v>1465</v>
      </c>
      <c r="D1592" s="32" t="s">
        <v>1612</v>
      </c>
      <c r="E1592" s="33">
        <v>30</v>
      </c>
      <c r="F1592" s="33">
        <v>145</v>
      </c>
      <c r="G1592" s="33">
        <v>11</v>
      </c>
      <c r="H1592" s="13">
        <f t="shared" si="24"/>
        <v>4.833333333333333</v>
      </c>
    </row>
    <row r="1593" spans="1:8" hidden="1" outlineLevel="2">
      <c r="A1593" s="32" t="s">
        <v>1248</v>
      </c>
      <c r="B1593" s="32" t="s">
        <v>1862</v>
      </c>
      <c r="C1593" s="32" t="s">
        <v>1431</v>
      </c>
      <c r="D1593" s="32" t="s">
        <v>1686</v>
      </c>
      <c r="E1593" s="33">
        <v>60</v>
      </c>
      <c r="F1593" s="33">
        <v>290</v>
      </c>
      <c r="G1593" s="33">
        <v>39</v>
      </c>
      <c r="H1593" s="13">
        <f t="shared" si="24"/>
        <v>4.833333333333333</v>
      </c>
    </row>
    <row r="1594" spans="1:8" hidden="1" outlineLevel="2">
      <c r="A1594" s="32" t="s">
        <v>1248</v>
      </c>
      <c r="B1594" s="32" t="s">
        <v>86</v>
      </c>
      <c r="C1594" s="32" t="s">
        <v>902</v>
      </c>
      <c r="D1594" s="32" t="s">
        <v>1319</v>
      </c>
      <c r="E1594" s="33">
        <v>120</v>
      </c>
      <c r="F1594" s="33">
        <v>573</v>
      </c>
      <c r="G1594" s="33">
        <v>41</v>
      </c>
      <c r="H1594" s="13">
        <f t="shared" si="24"/>
        <v>4.7750000000000004</v>
      </c>
    </row>
    <row r="1595" spans="1:8" hidden="1" outlineLevel="2">
      <c r="A1595" s="32" t="s">
        <v>1248</v>
      </c>
      <c r="B1595" s="32" t="s">
        <v>86</v>
      </c>
      <c r="C1595" s="32" t="s">
        <v>1255</v>
      </c>
      <c r="D1595" s="32" t="s">
        <v>1256</v>
      </c>
      <c r="E1595" s="33">
        <v>200</v>
      </c>
      <c r="F1595" s="33">
        <v>838</v>
      </c>
      <c r="G1595" s="33">
        <v>83</v>
      </c>
      <c r="H1595" s="13">
        <f t="shared" si="24"/>
        <v>4.1900000000000004</v>
      </c>
    </row>
    <row r="1596" spans="1:8" hidden="1" outlineLevel="2">
      <c r="A1596" s="32" t="s">
        <v>1248</v>
      </c>
      <c r="B1596" s="32" t="s">
        <v>86</v>
      </c>
      <c r="C1596" s="32" t="s">
        <v>1621</v>
      </c>
      <c r="D1596" s="32" t="s">
        <v>1622</v>
      </c>
      <c r="E1596" s="33">
        <v>18</v>
      </c>
      <c r="F1596" s="33">
        <v>74</v>
      </c>
      <c r="G1596" s="33">
        <v>9</v>
      </c>
      <c r="H1596" s="13">
        <f t="shared" si="24"/>
        <v>4.1111111111111107</v>
      </c>
    </row>
    <row r="1597" spans="1:8" hidden="1" outlineLevel="2">
      <c r="A1597" s="32" t="s">
        <v>1248</v>
      </c>
      <c r="B1597" s="32" t="s">
        <v>86</v>
      </c>
      <c r="C1597" s="32" t="s">
        <v>1411</v>
      </c>
      <c r="D1597" s="32" t="s">
        <v>1586</v>
      </c>
      <c r="E1597" s="33">
        <v>35</v>
      </c>
      <c r="F1597" s="33">
        <v>124</v>
      </c>
      <c r="G1597" s="33">
        <v>35</v>
      </c>
      <c r="H1597" s="13">
        <f t="shared" si="24"/>
        <v>3.5428571428571427</v>
      </c>
    </row>
    <row r="1598" spans="1:8" hidden="1" outlineLevel="2">
      <c r="A1598" s="32" t="s">
        <v>1248</v>
      </c>
      <c r="B1598" s="32" t="s">
        <v>1862</v>
      </c>
      <c r="C1598" s="32" t="s">
        <v>1324</v>
      </c>
      <c r="D1598" s="32" t="s">
        <v>1325</v>
      </c>
      <c r="E1598" s="33">
        <v>30</v>
      </c>
      <c r="F1598" s="33">
        <v>106</v>
      </c>
      <c r="G1598" s="33">
        <v>5</v>
      </c>
      <c r="H1598" s="13">
        <f t="shared" si="24"/>
        <v>3.5333333333333332</v>
      </c>
    </row>
    <row r="1599" spans="1:8" hidden="1" outlineLevel="2">
      <c r="A1599" s="32" t="s">
        <v>1248</v>
      </c>
      <c r="B1599" s="32" t="s">
        <v>1862</v>
      </c>
      <c r="C1599" s="32" t="s">
        <v>1605</v>
      </c>
      <c r="D1599" s="32" t="s">
        <v>1308</v>
      </c>
      <c r="E1599" s="33">
        <v>50</v>
      </c>
      <c r="F1599" s="33">
        <v>176</v>
      </c>
      <c r="G1599" s="33">
        <v>12</v>
      </c>
      <c r="H1599" s="13">
        <f t="shared" si="24"/>
        <v>3.52</v>
      </c>
    </row>
    <row r="1600" spans="1:8" hidden="1" outlineLevel="2">
      <c r="A1600" s="32" t="s">
        <v>1248</v>
      </c>
      <c r="B1600" s="32" t="s">
        <v>1862</v>
      </c>
      <c r="C1600" s="32" t="s">
        <v>1432</v>
      </c>
      <c r="D1600" s="32" t="s">
        <v>1460</v>
      </c>
      <c r="E1600" s="33">
        <v>80</v>
      </c>
      <c r="F1600" s="33">
        <v>275</v>
      </c>
      <c r="G1600" s="33">
        <v>22</v>
      </c>
      <c r="H1600" s="13">
        <f t="shared" si="24"/>
        <v>3.4375</v>
      </c>
    </row>
    <row r="1601" spans="1:8" hidden="1" outlineLevel="2">
      <c r="A1601" s="32" t="s">
        <v>1248</v>
      </c>
      <c r="B1601" s="32" t="s">
        <v>1862</v>
      </c>
      <c r="C1601" s="32" t="s">
        <v>1284</v>
      </c>
      <c r="D1601" s="32" t="s">
        <v>1285</v>
      </c>
      <c r="E1601" s="33">
        <v>120</v>
      </c>
      <c r="F1601" s="33">
        <v>407</v>
      </c>
      <c r="G1601" s="33">
        <v>30</v>
      </c>
      <c r="H1601" s="13">
        <f t="shared" si="24"/>
        <v>3.3916666666666666</v>
      </c>
    </row>
    <row r="1602" spans="1:8" hidden="1" outlineLevel="2">
      <c r="A1602" s="32" t="s">
        <v>1248</v>
      </c>
      <c r="B1602" s="32" t="s">
        <v>86</v>
      </c>
      <c r="C1602" s="32" t="s">
        <v>1465</v>
      </c>
      <c r="D1602" s="32" t="s">
        <v>1466</v>
      </c>
      <c r="E1602" s="33">
        <v>200</v>
      </c>
      <c r="F1602" s="33">
        <v>676</v>
      </c>
      <c r="G1602" s="33">
        <v>72</v>
      </c>
      <c r="H1602" s="13">
        <f t="shared" ref="H1602:H1665" si="25">IFERROR(F1602/E1602,"")</f>
        <v>3.38</v>
      </c>
    </row>
    <row r="1603" spans="1:8" hidden="1" outlineLevel="2">
      <c r="A1603" s="32" t="s">
        <v>1248</v>
      </c>
      <c r="B1603" s="32" t="s">
        <v>1862</v>
      </c>
      <c r="C1603" s="32" t="s">
        <v>1284</v>
      </c>
      <c r="D1603" s="32" t="s">
        <v>1619</v>
      </c>
      <c r="E1603" s="33">
        <v>40</v>
      </c>
      <c r="F1603" s="33">
        <v>135</v>
      </c>
      <c r="G1603" s="33">
        <v>8</v>
      </c>
      <c r="H1603" s="13">
        <f t="shared" si="25"/>
        <v>3.375</v>
      </c>
    </row>
    <row r="1604" spans="1:8" hidden="1" outlineLevel="2">
      <c r="A1604" s="32" t="s">
        <v>1248</v>
      </c>
      <c r="B1604" s="32" t="s">
        <v>86</v>
      </c>
      <c r="C1604" s="32" t="s">
        <v>1411</v>
      </c>
      <c r="D1604" s="32" t="s">
        <v>1412</v>
      </c>
      <c r="E1604" s="33">
        <v>60</v>
      </c>
      <c r="F1604" s="33">
        <v>199</v>
      </c>
      <c r="G1604" s="33">
        <v>12</v>
      </c>
      <c r="H1604" s="13">
        <f t="shared" si="25"/>
        <v>3.3166666666666669</v>
      </c>
    </row>
    <row r="1605" spans="1:8" hidden="1" outlineLevel="2">
      <c r="A1605" s="32" t="s">
        <v>1248</v>
      </c>
      <c r="B1605" s="32" t="s">
        <v>86</v>
      </c>
      <c r="C1605" s="32" t="s">
        <v>1594</v>
      </c>
      <c r="D1605" s="32" t="s">
        <v>1595</v>
      </c>
      <c r="E1605" s="33">
        <v>50</v>
      </c>
      <c r="F1605" s="33">
        <v>163</v>
      </c>
      <c r="G1605" s="33">
        <v>16</v>
      </c>
      <c r="H1605" s="13">
        <f t="shared" si="25"/>
        <v>3.26</v>
      </c>
    </row>
    <row r="1606" spans="1:8" hidden="1" outlineLevel="2">
      <c r="A1606" s="32" t="s">
        <v>1248</v>
      </c>
      <c r="B1606" s="32" t="s">
        <v>1862</v>
      </c>
      <c r="C1606" s="32" t="s">
        <v>1004</v>
      </c>
      <c r="D1606" s="32" t="s">
        <v>1690</v>
      </c>
      <c r="E1606" s="33">
        <v>30</v>
      </c>
      <c r="F1606" s="33">
        <v>96</v>
      </c>
      <c r="G1606" s="33">
        <v>11</v>
      </c>
      <c r="H1606" s="13">
        <f t="shared" si="25"/>
        <v>3.2</v>
      </c>
    </row>
    <row r="1607" spans="1:8" hidden="1" outlineLevel="2">
      <c r="A1607" s="32" t="s">
        <v>1248</v>
      </c>
      <c r="B1607" s="32" t="s">
        <v>86</v>
      </c>
      <c r="C1607" s="32" t="s">
        <v>1361</v>
      </c>
      <c r="D1607" s="32" t="s">
        <v>1362</v>
      </c>
      <c r="E1607" s="33">
        <v>50</v>
      </c>
      <c r="F1607" s="33">
        <v>151</v>
      </c>
      <c r="G1607" s="33">
        <v>27</v>
      </c>
      <c r="H1607" s="13">
        <f t="shared" si="25"/>
        <v>3.02</v>
      </c>
    </row>
    <row r="1608" spans="1:8" hidden="1" outlineLevel="2">
      <c r="A1608" s="32" t="s">
        <v>1248</v>
      </c>
      <c r="B1608" s="32" t="s">
        <v>1858</v>
      </c>
      <c r="C1608" s="32" t="s">
        <v>1693</v>
      </c>
      <c r="D1608" s="32" t="s">
        <v>1694</v>
      </c>
      <c r="E1608" s="33">
        <v>70</v>
      </c>
      <c r="F1608" s="33">
        <v>211</v>
      </c>
      <c r="G1608" s="33">
        <v>23</v>
      </c>
      <c r="H1608" s="13">
        <f t="shared" si="25"/>
        <v>3.0142857142857142</v>
      </c>
    </row>
    <row r="1609" spans="1:8" hidden="1" outlineLevel="2">
      <c r="A1609" s="32" t="s">
        <v>1248</v>
      </c>
      <c r="B1609" s="32" t="s">
        <v>86</v>
      </c>
      <c r="C1609" s="32" t="s">
        <v>1315</v>
      </c>
      <c r="D1609" s="32" t="s">
        <v>1316</v>
      </c>
      <c r="E1609" s="33">
        <v>10</v>
      </c>
      <c r="F1609" s="33">
        <v>26</v>
      </c>
      <c r="G1609" s="33">
        <v>0</v>
      </c>
      <c r="H1609" s="13">
        <f t="shared" si="25"/>
        <v>2.6</v>
      </c>
    </row>
    <row r="1610" spans="1:8" hidden="1" outlineLevel="2">
      <c r="A1610" s="32" t="s">
        <v>1248</v>
      </c>
      <c r="B1610" s="32" t="s">
        <v>86</v>
      </c>
      <c r="C1610" s="32" t="s">
        <v>1255</v>
      </c>
      <c r="D1610" s="32" t="s">
        <v>1329</v>
      </c>
      <c r="E1610" s="33">
        <v>40</v>
      </c>
      <c r="F1610" s="33">
        <v>75</v>
      </c>
      <c r="G1610" s="33">
        <v>2</v>
      </c>
      <c r="H1610" s="13">
        <f t="shared" si="25"/>
        <v>1.875</v>
      </c>
    </row>
    <row r="1611" spans="1:8" hidden="1" outlineLevel="2">
      <c r="A1611" s="32" t="s">
        <v>1248</v>
      </c>
      <c r="B1611" s="32" t="s">
        <v>1862</v>
      </c>
      <c r="C1611" s="32" t="s">
        <v>1322</v>
      </c>
      <c r="D1611" s="32" t="s">
        <v>1323</v>
      </c>
      <c r="E1611" s="33">
        <v>30</v>
      </c>
      <c r="F1611" s="33">
        <v>51</v>
      </c>
      <c r="G1611" s="33">
        <v>11</v>
      </c>
      <c r="H1611" s="13">
        <f t="shared" si="25"/>
        <v>1.7</v>
      </c>
    </row>
    <row r="1612" spans="1:8" hidden="1" outlineLevel="2">
      <c r="A1612" s="32" t="s">
        <v>1248</v>
      </c>
      <c r="B1612" s="32" t="s">
        <v>1858</v>
      </c>
      <c r="C1612" s="32" t="s">
        <v>1805</v>
      </c>
      <c r="D1612" s="32" t="s">
        <v>1595</v>
      </c>
      <c r="E1612" s="33">
        <v>50</v>
      </c>
      <c r="F1612" s="33">
        <v>81</v>
      </c>
      <c r="G1612" s="33">
        <v>22</v>
      </c>
      <c r="H1612" s="13">
        <f t="shared" si="25"/>
        <v>1.62</v>
      </c>
    </row>
    <row r="1613" spans="1:8" hidden="1" outlineLevel="2">
      <c r="A1613" s="32" t="s">
        <v>1248</v>
      </c>
      <c r="B1613" s="32" t="s">
        <v>1862</v>
      </c>
      <c r="C1613" s="32" t="s">
        <v>1501</v>
      </c>
      <c r="D1613" s="32" t="s">
        <v>1502</v>
      </c>
      <c r="E1613" s="33">
        <v>30</v>
      </c>
      <c r="F1613" s="33">
        <v>34</v>
      </c>
      <c r="G1613" s="33">
        <v>0</v>
      </c>
      <c r="H1613" s="13">
        <f t="shared" si="25"/>
        <v>1.1333333333333333</v>
      </c>
    </row>
    <row r="1614" spans="1:8" hidden="1" outlineLevel="2">
      <c r="A1614" s="32" t="s">
        <v>1248</v>
      </c>
      <c r="B1614" s="32" t="s">
        <v>1862</v>
      </c>
      <c r="C1614" s="32" t="s">
        <v>1501</v>
      </c>
      <c r="D1614" s="32" t="s">
        <v>1502</v>
      </c>
      <c r="E1614" s="33">
        <v>300</v>
      </c>
      <c r="F1614" s="33">
        <v>305</v>
      </c>
      <c r="G1614" s="33">
        <v>22</v>
      </c>
      <c r="H1614" s="13">
        <f t="shared" si="25"/>
        <v>1.0166666666666666</v>
      </c>
    </row>
    <row r="1615" spans="1:8" outlineLevel="1" collapsed="1">
      <c r="A1615" s="37" t="s">
        <v>1880</v>
      </c>
      <c r="B1615" s="37"/>
      <c r="C1615" s="37"/>
      <c r="D1615" s="37"/>
      <c r="E1615" s="38">
        <f>SUBTOTAL(9,E1519:E1614)</f>
        <v>8365</v>
      </c>
      <c r="F1615" s="38">
        <f>SUBTOTAL(9,F1519:F1614)</f>
        <v>174284</v>
      </c>
      <c r="G1615" s="38">
        <f>SUBTOTAL(9,G1519:G1614)</f>
        <v>5422</v>
      </c>
      <c r="H1615" s="39">
        <f t="shared" si="25"/>
        <v>20.834907352062164</v>
      </c>
    </row>
    <row r="1616" spans="1:8" hidden="1" outlineLevel="2">
      <c r="A1616" s="32" t="s">
        <v>1263</v>
      </c>
      <c r="B1616" s="32" t="s">
        <v>1862</v>
      </c>
      <c r="C1616" s="32" t="s">
        <v>1297</v>
      </c>
      <c r="D1616" s="32" t="s">
        <v>1290</v>
      </c>
      <c r="E1616" s="33">
        <v>16</v>
      </c>
      <c r="F1616" s="33">
        <v>6288</v>
      </c>
      <c r="G1616" s="33">
        <v>17</v>
      </c>
      <c r="H1616" s="13">
        <f t="shared" si="25"/>
        <v>393</v>
      </c>
    </row>
    <row r="1617" spans="1:8" hidden="1" outlineLevel="2">
      <c r="A1617" s="32" t="s">
        <v>1263</v>
      </c>
      <c r="B1617" s="32" t="s">
        <v>1862</v>
      </c>
      <c r="C1617" s="32" t="s">
        <v>1305</v>
      </c>
      <c r="D1617" s="32" t="s">
        <v>1360</v>
      </c>
      <c r="E1617" s="33">
        <v>8</v>
      </c>
      <c r="F1617" s="33">
        <v>1977</v>
      </c>
      <c r="G1617" s="33">
        <v>1</v>
      </c>
      <c r="H1617" s="13">
        <f t="shared" si="25"/>
        <v>247.125</v>
      </c>
    </row>
    <row r="1618" spans="1:8" hidden="1" outlineLevel="2">
      <c r="A1618" s="32" t="s">
        <v>1263</v>
      </c>
      <c r="B1618" s="32" t="s">
        <v>1858</v>
      </c>
      <c r="C1618" s="32" t="s">
        <v>1339</v>
      </c>
      <c r="D1618" s="32" t="s">
        <v>1360</v>
      </c>
      <c r="E1618" s="33">
        <v>10</v>
      </c>
      <c r="F1618" s="33">
        <v>2286</v>
      </c>
      <c r="G1618" s="33">
        <v>7</v>
      </c>
      <c r="H1618" s="13">
        <f t="shared" si="25"/>
        <v>228.6</v>
      </c>
    </row>
    <row r="1619" spans="1:8" hidden="1" outlineLevel="2">
      <c r="A1619" s="32" t="s">
        <v>1263</v>
      </c>
      <c r="B1619" s="32" t="s">
        <v>86</v>
      </c>
      <c r="C1619" s="32" t="s">
        <v>1289</v>
      </c>
      <c r="D1619" s="32" t="s">
        <v>1290</v>
      </c>
      <c r="E1619" s="33">
        <v>32</v>
      </c>
      <c r="F1619" s="33">
        <v>6430</v>
      </c>
      <c r="G1619" s="33">
        <v>32</v>
      </c>
      <c r="H1619" s="13">
        <f t="shared" si="25"/>
        <v>200.9375</v>
      </c>
    </row>
    <row r="1620" spans="1:8" hidden="1" outlineLevel="2">
      <c r="A1620" s="32" t="s">
        <v>1263</v>
      </c>
      <c r="B1620" s="32" t="s">
        <v>1858</v>
      </c>
      <c r="C1620" s="32" t="s">
        <v>1294</v>
      </c>
      <c r="D1620" s="32" t="s">
        <v>1290</v>
      </c>
      <c r="E1620" s="33">
        <v>35</v>
      </c>
      <c r="F1620" s="33">
        <v>6836</v>
      </c>
      <c r="G1620" s="33">
        <v>32</v>
      </c>
      <c r="H1620" s="13">
        <f t="shared" si="25"/>
        <v>195.31428571428572</v>
      </c>
    </row>
    <row r="1621" spans="1:8" hidden="1" outlineLevel="2">
      <c r="A1621" s="32" t="s">
        <v>1263</v>
      </c>
      <c r="B1621" s="32" t="s">
        <v>1858</v>
      </c>
      <c r="C1621" s="32" t="s">
        <v>1339</v>
      </c>
      <c r="D1621" s="32" t="s">
        <v>1360</v>
      </c>
      <c r="E1621" s="33">
        <v>14</v>
      </c>
      <c r="F1621" s="33">
        <v>2279</v>
      </c>
      <c r="G1621" s="33">
        <v>3</v>
      </c>
      <c r="H1621" s="13">
        <f t="shared" si="25"/>
        <v>162.78571428571428</v>
      </c>
    </row>
    <row r="1622" spans="1:8" hidden="1" outlineLevel="2">
      <c r="A1622" s="32" t="s">
        <v>1263</v>
      </c>
      <c r="B1622" s="32" t="s">
        <v>1862</v>
      </c>
      <c r="C1622" s="32" t="s">
        <v>1305</v>
      </c>
      <c r="D1622" s="32" t="s">
        <v>1360</v>
      </c>
      <c r="E1622" s="33">
        <v>12</v>
      </c>
      <c r="F1622" s="33">
        <v>1705</v>
      </c>
      <c r="G1622" s="33">
        <v>10</v>
      </c>
      <c r="H1622" s="13">
        <f t="shared" si="25"/>
        <v>142.08333333333334</v>
      </c>
    </row>
    <row r="1623" spans="1:8" hidden="1" outlineLevel="2">
      <c r="A1623" s="32" t="s">
        <v>1263</v>
      </c>
      <c r="B1623" s="32" t="s">
        <v>1862</v>
      </c>
      <c r="C1623" s="32" t="s">
        <v>1297</v>
      </c>
      <c r="D1623" s="32" t="s">
        <v>1290</v>
      </c>
      <c r="E1623" s="33">
        <v>52</v>
      </c>
      <c r="F1623" s="33">
        <v>7382</v>
      </c>
      <c r="G1623" s="33">
        <v>46</v>
      </c>
      <c r="H1623" s="13">
        <f t="shared" si="25"/>
        <v>141.96153846153845</v>
      </c>
    </row>
    <row r="1624" spans="1:8" hidden="1" outlineLevel="2">
      <c r="A1624" s="32" t="s">
        <v>1263</v>
      </c>
      <c r="B1624" s="32" t="s">
        <v>1862</v>
      </c>
      <c r="C1624" s="32" t="s">
        <v>1305</v>
      </c>
      <c r="D1624" s="32" t="s">
        <v>1360</v>
      </c>
      <c r="E1624" s="33">
        <v>20</v>
      </c>
      <c r="F1624" s="33">
        <v>2443</v>
      </c>
      <c r="G1624" s="33">
        <v>10</v>
      </c>
      <c r="H1624" s="13">
        <f t="shared" si="25"/>
        <v>122.15</v>
      </c>
    </row>
    <row r="1625" spans="1:8" hidden="1" outlineLevel="2">
      <c r="A1625" s="32" t="s">
        <v>1263</v>
      </c>
      <c r="B1625" s="32" t="s">
        <v>86</v>
      </c>
      <c r="C1625" s="32" t="s">
        <v>1424</v>
      </c>
      <c r="D1625" s="32" t="s">
        <v>1360</v>
      </c>
      <c r="E1625" s="33">
        <v>25</v>
      </c>
      <c r="F1625" s="33">
        <v>2898</v>
      </c>
      <c r="G1625" s="33">
        <v>39</v>
      </c>
      <c r="H1625" s="13">
        <f t="shared" si="25"/>
        <v>115.92</v>
      </c>
    </row>
    <row r="1626" spans="1:8" hidden="1" outlineLevel="2">
      <c r="A1626" s="32" t="s">
        <v>1263</v>
      </c>
      <c r="B1626" s="32" t="s">
        <v>1858</v>
      </c>
      <c r="C1626" s="32" t="s">
        <v>1339</v>
      </c>
      <c r="D1626" s="32" t="s">
        <v>1341</v>
      </c>
      <c r="E1626" s="33">
        <v>1</v>
      </c>
      <c r="F1626" s="33">
        <v>103</v>
      </c>
      <c r="G1626" s="33">
        <v>2</v>
      </c>
      <c r="H1626" s="13">
        <f t="shared" si="25"/>
        <v>103</v>
      </c>
    </row>
    <row r="1627" spans="1:8" hidden="1" outlineLevel="2">
      <c r="A1627" s="32" t="s">
        <v>1263</v>
      </c>
      <c r="B1627" s="32" t="s">
        <v>86</v>
      </c>
      <c r="C1627" s="32" t="s">
        <v>1289</v>
      </c>
      <c r="D1627" s="32" t="s">
        <v>1290</v>
      </c>
      <c r="E1627" s="33">
        <v>145</v>
      </c>
      <c r="F1627" s="33">
        <v>12831</v>
      </c>
      <c r="G1627" s="33">
        <v>139</v>
      </c>
      <c r="H1627" s="13">
        <f t="shared" si="25"/>
        <v>88.489655172413791</v>
      </c>
    </row>
    <row r="1628" spans="1:8" hidden="1" outlineLevel="2">
      <c r="A1628" s="32" t="s">
        <v>1263</v>
      </c>
      <c r="B1628" s="32" t="s">
        <v>86</v>
      </c>
      <c r="C1628" s="32" t="s">
        <v>1424</v>
      </c>
      <c r="D1628" s="32" t="s">
        <v>1360</v>
      </c>
      <c r="E1628" s="33">
        <v>25</v>
      </c>
      <c r="F1628" s="33">
        <v>2175</v>
      </c>
      <c r="G1628" s="33">
        <v>9</v>
      </c>
      <c r="H1628" s="13">
        <f t="shared" si="25"/>
        <v>87</v>
      </c>
    </row>
    <row r="1629" spans="1:8" hidden="1" outlineLevel="2">
      <c r="A1629" s="32" t="s">
        <v>1263</v>
      </c>
      <c r="B1629" s="32" t="s">
        <v>1858</v>
      </c>
      <c r="C1629" s="32" t="s">
        <v>1786</v>
      </c>
      <c r="D1629" s="32" t="s">
        <v>1290</v>
      </c>
      <c r="E1629" s="33">
        <v>150</v>
      </c>
      <c r="F1629" s="33">
        <v>12048</v>
      </c>
      <c r="G1629" s="33">
        <v>136</v>
      </c>
      <c r="H1629" s="13">
        <f t="shared" si="25"/>
        <v>80.319999999999993</v>
      </c>
    </row>
    <row r="1630" spans="1:8" hidden="1" outlineLevel="2">
      <c r="A1630" s="32" t="s">
        <v>1263</v>
      </c>
      <c r="B1630" s="32" t="s">
        <v>1858</v>
      </c>
      <c r="C1630" s="32" t="s">
        <v>1363</v>
      </c>
      <c r="D1630" s="32" t="s">
        <v>1312</v>
      </c>
      <c r="E1630" s="33">
        <v>5</v>
      </c>
      <c r="F1630" s="33">
        <v>388</v>
      </c>
      <c r="G1630" s="33">
        <v>4</v>
      </c>
      <c r="H1630" s="13">
        <f t="shared" si="25"/>
        <v>77.599999999999994</v>
      </c>
    </row>
    <row r="1631" spans="1:8" hidden="1" outlineLevel="2">
      <c r="A1631" s="32" t="s">
        <v>1263</v>
      </c>
      <c r="B1631" s="32" t="s">
        <v>1862</v>
      </c>
      <c r="C1631" s="32" t="s">
        <v>1295</v>
      </c>
      <c r="D1631" s="32" t="s">
        <v>1360</v>
      </c>
      <c r="E1631" s="33">
        <v>36</v>
      </c>
      <c r="F1631" s="33">
        <v>2566</v>
      </c>
      <c r="G1631" s="33">
        <v>22</v>
      </c>
      <c r="H1631" s="13">
        <f t="shared" si="25"/>
        <v>71.277777777777771</v>
      </c>
    </row>
    <row r="1632" spans="1:8" hidden="1" outlineLevel="2">
      <c r="A1632" s="32" t="s">
        <v>1263</v>
      </c>
      <c r="B1632" s="32" t="s">
        <v>1858</v>
      </c>
      <c r="C1632" s="32" t="s">
        <v>1792</v>
      </c>
      <c r="D1632" s="32" t="s">
        <v>1793</v>
      </c>
      <c r="E1632" s="33">
        <v>10</v>
      </c>
      <c r="F1632" s="33">
        <v>707</v>
      </c>
      <c r="G1632" s="33">
        <v>9</v>
      </c>
      <c r="H1632" s="13">
        <f t="shared" si="25"/>
        <v>70.7</v>
      </c>
    </row>
    <row r="1633" spans="1:8" hidden="1" outlineLevel="2">
      <c r="A1633" s="32" t="s">
        <v>1263</v>
      </c>
      <c r="B1633" s="32" t="s">
        <v>1862</v>
      </c>
      <c r="C1633" s="32" t="s">
        <v>1004</v>
      </c>
      <c r="D1633" s="32" t="s">
        <v>1360</v>
      </c>
      <c r="E1633" s="33">
        <v>30</v>
      </c>
      <c r="F1633" s="33">
        <v>1859</v>
      </c>
      <c r="G1633" s="33">
        <v>4</v>
      </c>
      <c r="H1633" s="13">
        <f t="shared" si="25"/>
        <v>61.966666666666669</v>
      </c>
    </row>
    <row r="1634" spans="1:8" hidden="1" outlineLevel="2">
      <c r="A1634" s="32" t="s">
        <v>1263</v>
      </c>
      <c r="B1634" s="32" t="s">
        <v>86</v>
      </c>
      <c r="C1634" s="32" t="s">
        <v>1424</v>
      </c>
      <c r="D1634" s="32" t="s">
        <v>1360</v>
      </c>
      <c r="E1634" s="33">
        <v>40</v>
      </c>
      <c r="F1634" s="33">
        <v>2422</v>
      </c>
      <c r="G1634" s="33">
        <v>27</v>
      </c>
      <c r="H1634" s="13">
        <f t="shared" si="25"/>
        <v>60.55</v>
      </c>
    </row>
    <row r="1635" spans="1:8" hidden="1" outlineLevel="2">
      <c r="A1635" s="32" t="s">
        <v>1263</v>
      </c>
      <c r="B1635" s="32" t="s">
        <v>1862</v>
      </c>
      <c r="C1635" s="32" t="s">
        <v>1004</v>
      </c>
      <c r="D1635" s="32" t="s">
        <v>1360</v>
      </c>
      <c r="E1635" s="33">
        <v>30</v>
      </c>
      <c r="F1635" s="33">
        <v>1666</v>
      </c>
      <c r="G1635" s="33">
        <v>17</v>
      </c>
      <c r="H1635" s="13">
        <f t="shared" si="25"/>
        <v>55.533333333333331</v>
      </c>
    </row>
    <row r="1636" spans="1:8" hidden="1" outlineLevel="2">
      <c r="A1636" s="32" t="s">
        <v>1263</v>
      </c>
      <c r="B1636" s="32" t="s">
        <v>1862</v>
      </c>
      <c r="C1636" s="32" t="s">
        <v>264</v>
      </c>
      <c r="D1636" s="32" t="s">
        <v>1314</v>
      </c>
      <c r="E1636" s="33">
        <v>3</v>
      </c>
      <c r="F1636" s="33">
        <v>165</v>
      </c>
      <c r="G1636" s="33">
        <v>2</v>
      </c>
      <c r="H1636" s="13">
        <f t="shared" si="25"/>
        <v>55</v>
      </c>
    </row>
    <row r="1637" spans="1:8" hidden="1" outlineLevel="2">
      <c r="A1637" s="32" t="s">
        <v>1263</v>
      </c>
      <c r="B1637" s="32" t="s">
        <v>86</v>
      </c>
      <c r="C1637" s="32" t="s">
        <v>1424</v>
      </c>
      <c r="D1637" s="32" t="s">
        <v>1360</v>
      </c>
      <c r="E1637" s="33">
        <v>60</v>
      </c>
      <c r="F1637" s="33">
        <v>3112</v>
      </c>
      <c r="G1637" s="33">
        <v>46</v>
      </c>
      <c r="H1637" s="13">
        <f t="shared" si="25"/>
        <v>51.866666666666667</v>
      </c>
    </row>
    <row r="1638" spans="1:8" hidden="1" outlineLevel="2">
      <c r="A1638" s="32" t="s">
        <v>1263</v>
      </c>
      <c r="B1638" s="32" t="s">
        <v>1858</v>
      </c>
      <c r="C1638" s="32" t="s">
        <v>1339</v>
      </c>
      <c r="D1638" s="32" t="s">
        <v>1296</v>
      </c>
      <c r="E1638" s="33">
        <v>1</v>
      </c>
      <c r="F1638" s="33">
        <v>51</v>
      </c>
      <c r="G1638" s="33">
        <v>0</v>
      </c>
      <c r="H1638" s="13">
        <f t="shared" si="25"/>
        <v>51</v>
      </c>
    </row>
    <row r="1639" spans="1:8" hidden="1" outlineLevel="2">
      <c r="A1639" s="32" t="s">
        <v>1263</v>
      </c>
      <c r="B1639" s="32" t="s">
        <v>1862</v>
      </c>
      <c r="C1639" s="32" t="s">
        <v>264</v>
      </c>
      <c r="D1639" s="32" t="s">
        <v>1314</v>
      </c>
      <c r="E1639" s="33">
        <v>3</v>
      </c>
      <c r="F1639" s="33">
        <v>144</v>
      </c>
      <c r="G1639" s="33">
        <v>1</v>
      </c>
      <c r="H1639" s="13">
        <f t="shared" si="25"/>
        <v>48</v>
      </c>
    </row>
    <row r="1640" spans="1:8" hidden="1" outlineLevel="2">
      <c r="A1640" s="32" t="s">
        <v>1263</v>
      </c>
      <c r="B1640" s="32" t="s">
        <v>1858</v>
      </c>
      <c r="C1640" s="32" t="s">
        <v>1339</v>
      </c>
      <c r="D1640" s="32" t="s">
        <v>1296</v>
      </c>
      <c r="E1640" s="33">
        <v>1</v>
      </c>
      <c r="F1640" s="33">
        <v>46</v>
      </c>
      <c r="G1640" s="33">
        <v>0</v>
      </c>
      <c r="H1640" s="13">
        <f t="shared" si="25"/>
        <v>46</v>
      </c>
    </row>
    <row r="1641" spans="1:8" hidden="1" outlineLevel="2">
      <c r="A1641" s="32" t="s">
        <v>1263</v>
      </c>
      <c r="B1641" s="32" t="s">
        <v>1862</v>
      </c>
      <c r="C1641" s="32" t="s">
        <v>1562</v>
      </c>
      <c r="D1641" s="32" t="s">
        <v>1366</v>
      </c>
      <c r="E1641" s="33">
        <v>50</v>
      </c>
      <c r="F1641" s="33">
        <v>2023</v>
      </c>
      <c r="G1641" s="33">
        <v>68</v>
      </c>
      <c r="H1641" s="13">
        <f t="shared" si="25"/>
        <v>40.46</v>
      </c>
    </row>
    <row r="1642" spans="1:8" hidden="1" outlineLevel="2">
      <c r="A1642" s="32" t="s">
        <v>1263</v>
      </c>
      <c r="B1642" s="32" t="s">
        <v>1862</v>
      </c>
      <c r="C1642" s="32" t="s">
        <v>264</v>
      </c>
      <c r="D1642" s="32" t="s">
        <v>1314</v>
      </c>
      <c r="E1642" s="33">
        <v>3</v>
      </c>
      <c r="F1642" s="33">
        <v>116</v>
      </c>
      <c r="G1642" s="33">
        <v>1</v>
      </c>
      <c r="H1642" s="13">
        <f t="shared" si="25"/>
        <v>38.666666666666664</v>
      </c>
    </row>
    <row r="1643" spans="1:8" hidden="1" outlineLevel="2">
      <c r="A1643" s="32" t="s">
        <v>1263</v>
      </c>
      <c r="B1643" s="32" t="s">
        <v>1862</v>
      </c>
      <c r="C1643" s="32" t="s">
        <v>1340</v>
      </c>
      <c r="D1643" s="32" t="s">
        <v>1360</v>
      </c>
      <c r="E1643" s="33">
        <v>50</v>
      </c>
      <c r="F1643" s="33">
        <v>1866</v>
      </c>
      <c r="G1643" s="33">
        <v>42</v>
      </c>
      <c r="H1643" s="13">
        <f t="shared" si="25"/>
        <v>37.32</v>
      </c>
    </row>
    <row r="1644" spans="1:8" hidden="1" outlineLevel="2">
      <c r="A1644" s="32" t="s">
        <v>1263</v>
      </c>
      <c r="B1644" s="32" t="s">
        <v>1862</v>
      </c>
      <c r="C1644" s="32" t="s">
        <v>264</v>
      </c>
      <c r="D1644" s="32" t="s">
        <v>1314</v>
      </c>
      <c r="E1644" s="33">
        <v>3</v>
      </c>
      <c r="F1644" s="33">
        <v>111</v>
      </c>
      <c r="G1644" s="33">
        <v>0</v>
      </c>
      <c r="H1644" s="13">
        <f t="shared" si="25"/>
        <v>37</v>
      </c>
    </row>
    <row r="1645" spans="1:8" hidden="1" outlineLevel="2">
      <c r="A1645" s="32" t="s">
        <v>1263</v>
      </c>
      <c r="B1645" s="32" t="s">
        <v>86</v>
      </c>
      <c r="C1645" s="32" t="s">
        <v>1365</v>
      </c>
      <c r="D1645" s="32" t="s">
        <v>1366</v>
      </c>
      <c r="E1645" s="33">
        <v>55</v>
      </c>
      <c r="F1645" s="33">
        <v>1886</v>
      </c>
      <c r="G1645" s="33">
        <v>57</v>
      </c>
      <c r="H1645" s="13">
        <f t="shared" si="25"/>
        <v>34.290909090909089</v>
      </c>
    </row>
    <row r="1646" spans="1:8" hidden="1" outlineLevel="2">
      <c r="A1646" s="32" t="s">
        <v>1263</v>
      </c>
      <c r="B1646" s="32" t="s">
        <v>1862</v>
      </c>
      <c r="C1646" s="32" t="s">
        <v>1512</v>
      </c>
      <c r="D1646" s="32" t="s">
        <v>1366</v>
      </c>
      <c r="E1646" s="33">
        <v>36</v>
      </c>
      <c r="F1646" s="33">
        <v>1186</v>
      </c>
      <c r="G1646" s="33">
        <v>37</v>
      </c>
      <c r="H1646" s="13">
        <f t="shared" si="25"/>
        <v>32.944444444444443</v>
      </c>
    </row>
    <row r="1647" spans="1:8" hidden="1" outlineLevel="2">
      <c r="A1647" s="32" t="s">
        <v>1263</v>
      </c>
      <c r="B1647" s="32" t="s">
        <v>1862</v>
      </c>
      <c r="C1647" s="32" t="s">
        <v>1295</v>
      </c>
      <c r="D1647" s="32" t="s">
        <v>1360</v>
      </c>
      <c r="E1647" s="33">
        <v>110</v>
      </c>
      <c r="F1647" s="33">
        <v>3567</v>
      </c>
      <c r="G1647" s="33">
        <v>72</v>
      </c>
      <c r="H1647" s="13">
        <f t="shared" si="25"/>
        <v>32.427272727272729</v>
      </c>
    </row>
    <row r="1648" spans="1:8" hidden="1" outlineLevel="2">
      <c r="A1648" s="32" t="s">
        <v>1263</v>
      </c>
      <c r="B1648" s="32" t="s">
        <v>1862</v>
      </c>
      <c r="C1648" s="32" t="s">
        <v>1262</v>
      </c>
      <c r="D1648" s="32" t="s">
        <v>1312</v>
      </c>
      <c r="E1648" s="33">
        <v>10</v>
      </c>
      <c r="F1648" s="33">
        <v>324</v>
      </c>
      <c r="G1648" s="33">
        <v>10</v>
      </c>
      <c r="H1648" s="13">
        <f t="shared" si="25"/>
        <v>32.4</v>
      </c>
    </row>
    <row r="1649" spans="1:8" hidden="1" outlineLevel="2">
      <c r="A1649" s="32" t="s">
        <v>1263</v>
      </c>
      <c r="B1649" s="32" t="s">
        <v>1858</v>
      </c>
      <c r="C1649" s="32" t="s">
        <v>1363</v>
      </c>
      <c r="D1649" s="32" t="s">
        <v>1364</v>
      </c>
      <c r="E1649" s="33">
        <v>230</v>
      </c>
      <c r="F1649" s="33">
        <v>7377</v>
      </c>
      <c r="G1649" s="33">
        <v>237</v>
      </c>
      <c r="H1649" s="13">
        <f t="shared" si="25"/>
        <v>32.073913043478264</v>
      </c>
    </row>
    <row r="1650" spans="1:8" hidden="1" outlineLevel="2">
      <c r="A1650" s="32" t="s">
        <v>1263</v>
      </c>
      <c r="B1650" s="32" t="s">
        <v>86</v>
      </c>
      <c r="C1650" s="32" t="s">
        <v>1424</v>
      </c>
      <c r="D1650" s="32" t="s">
        <v>1360</v>
      </c>
      <c r="E1650" s="33">
        <v>85</v>
      </c>
      <c r="F1650" s="33">
        <v>2471</v>
      </c>
      <c r="G1650" s="33">
        <v>43</v>
      </c>
      <c r="H1650" s="13">
        <f t="shared" si="25"/>
        <v>29.070588235294117</v>
      </c>
    </row>
    <row r="1651" spans="1:8" hidden="1" outlineLevel="2">
      <c r="A1651" s="32" t="s">
        <v>1263</v>
      </c>
      <c r="B1651" s="32" t="s">
        <v>1862</v>
      </c>
      <c r="C1651" s="32" t="s">
        <v>1265</v>
      </c>
      <c r="D1651" s="32" t="s">
        <v>1342</v>
      </c>
      <c r="E1651" s="33">
        <v>3</v>
      </c>
      <c r="F1651" s="33">
        <v>87</v>
      </c>
      <c r="G1651" s="33">
        <v>4</v>
      </c>
      <c r="H1651" s="13">
        <f t="shared" si="25"/>
        <v>29</v>
      </c>
    </row>
    <row r="1652" spans="1:8" hidden="1" outlineLevel="2">
      <c r="A1652" s="32" t="s">
        <v>1263</v>
      </c>
      <c r="B1652" s="32" t="s">
        <v>1858</v>
      </c>
      <c r="C1652" s="32" t="s">
        <v>1463</v>
      </c>
      <c r="D1652" s="32" t="s">
        <v>1464</v>
      </c>
      <c r="E1652" s="33">
        <v>13</v>
      </c>
      <c r="F1652" s="33">
        <v>376</v>
      </c>
      <c r="G1652" s="33">
        <v>15</v>
      </c>
      <c r="H1652" s="13">
        <f t="shared" si="25"/>
        <v>28.923076923076923</v>
      </c>
    </row>
    <row r="1653" spans="1:8" hidden="1" outlineLevel="2">
      <c r="A1653" s="32" t="s">
        <v>1263</v>
      </c>
      <c r="B1653" s="32" t="s">
        <v>1858</v>
      </c>
      <c r="C1653" s="32" t="s">
        <v>1463</v>
      </c>
      <c r="D1653" s="32" t="s">
        <v>1464</v>
      </c>
      <c r="E1653" s="33">
        <v>13</v>
      </c>
      <c r="F1653" s="33">
        <v>374</v>
      </c>
      <c r="G1653" s="33">
        <v>13</v>
      </c>
      <c r="H1653" s="13">
        <f t="shared" si="25"/>
        <v>28.76923076923077</v>
      </c>
    </row>
    <row r="1654" spans="1:8" hidden="1" outlineLevel="2">
      <c r="A1654" s="32" t="s">
        <v>1263</v>
      </c>
      <c r="B1654" s="32" t="s">
        <v>1858</v>
      </c>
      <c r="C1654" s="32" t="s">
        <v>1752</v>
      </c>
      <c r="D1654" s="32" t="s">
        <v>1464</v>
      </c>
      <c r="E1654" s="33">
        <v>50</v>
      </c>
      <c r="F1654" s="33">
        <v>1426</v>
      </c>
      <c r="G1654" s="33">
        <v>51</v>
      </c>
      <c r="H1654" s="13">
        <f t="shared" si="25"/>
        <v>28.52</v>
      </c>
    </row>
    <row r="1655" spans="1:8" hidden="1" outlineLevel="2">
      <c r="A1655" s="32" t="s">
        <v>1263</v>
      </c>
      <c r="B1655" s="32" t="s">
        <v>1862</v>
      </c>
      <c r="C1655" s="32" t="s">
        <v>1305</v>
      </c>
      <c r="D1655" s="32" t="s">
        <v>1341</v>
      </c>
      <c r="E1655" s="33">
        <v>4</v>
      </c>
      <c r="F1655" s="33">
        <v>109</v>
      </c>
      <c r="G1655" s="33">
        <v>0</v>
      </c>
      <c r="H1655" s="13">
        <f t="shared" si="25"/>
        <v>27.25</v>
      </c>
    </row>
    <row r="1656" spans="1:8" hidden="1" outlineLevel="2">
      <c r="A1656" s="32" t="s">
        <v>1263</v>
      </c>
      <c r="B1656" s="32" t="s">
        <v>1862</v>
      </c>
      <c r="C1656" s="32" t="s">
        <v>261</v>
      </c>
      <c r="D1656" s="32" t="s">
        <v>1314</v>
      </c>
      <c r="E1656" s="33">
        <v>4</v>
      </c>
      <c r="F1656" s="33">
        <v>105</v>
      </c>
      <c r="G1656" s="33">
        <v>0</v>
      </c>
      <c r="H1656" s="13">
        <f t="shared" si="25"/>
        <v>26.25</v>
      </c>
    </row>
    <row r="1657" spans="1:8" hidden="1" outlineLevel="2">
      <c r="A1657" s="32" t="s">
        <v>1263</v>
      </c>
      <c r="B1657" s="32" t="s">
        <v>1862</v>
      </c>
      <c r="C1657" s="32" t="s">
        <v>1262</v>
      </c>
      <c r="D1657" s="32" t="s">
        <v>1364</v>
      </c>
      <c r="E1657" s="33">
        <v>235</v>
      </c>
      <c r="F1657" s="33">
        <v>6045</v>
      </c>
      <c r="G1657" s="33">
        <v>248</v>
      </c>
      <c r="H1657" s="13">
        <f t="shared" si="25"/>
        <v>25.723404255319149</v>
      </c>
    </row>
    <row r="1658" spans="1:8" hidden="1" outlineLevel="2">
      <c r="A1658" s="32" t="s">
        <v>1263</v>
      </c>
      <c r="B1658" s="32" t="s">
        <v>1858</v>
      </c>
      <c r="C1658" s="32" t="s">
        <v>1463</v>
      </c>
      <c r="D1658" s="32" t="s">
        <v>1464</v>
      </c>
      <c r="E1658" s="33">
        <v>25</v>
      </c>
      <c r="F1658" s="33">
        <v>643</v>
      </c>
      <c r="G1658" s="33">
        <v>26</v>
      </c>
      <c r="H1658" s="13">
        <f t="shared" si="25"/>
        <v>25.72</v>
      </c>
    </row>
    <row r="1659" spans="1:8" hidden="1" outlineLevel="2">
      <c r="A1659" s="32" t="s">
        <v>1263</v>
      </c>
      <c r="B1659" s="32" t="s">
        <v>1862</v>
      </c>
      <c r="C1659" s="32" t="s">
        <v>1292</v>
      </c>
      <c r="D1659" s="32" t="s">
        <v>1293</v>
      </c>
      <c r="E1659" s="33">
        <v>60</v>
      </c>
      <c r="F1659" s="33">
        <v>1521</v>
      </c>
      <c r="G1659" s="33">
        <v>29</v>
      </c>
      <c r="H1659" s="13">
        <f t="shared" si="25"/>
        <v>25.35</v>
      </c>
    </row>
    <row r="1660" spans="1:8" hidden="1" outlineLevel="2">
      <c r="A1660" s="32" t="s">
        <v>1263</v>
      </c>
      <c r="B1660" s="32" t="s">
        <v>1862</v>
      </c>
      <c r="C1660" s="32" t="s">
        <v>1295</v>
      </c>
      <c r="D1660" s="32" t="s">
        <v>1341</v>
      </c>
      <c r="E1660" s="33">
        <v>6</v>
      </c>
      <c r="F1660" s="33">
        <v>151</v>
      </c>
      <c r="G1660" s="33">
        <v>2</v>
      </c>
      <c r="H1660" s="13">
        <f t="shared" si="25"/>
        <v>25.166666666666668</v>
      </c>
    </row>
    <row r="1661" spans="1:8" hidden="1" outlineLevel="2">
      <c r="A1661" s="32" t="s">
        <v>1263</v>
      </c>
      <c r="B1661" s="32" t="s">
        <v>1858</v>
      </c>
      <c r="C1661" s="32" t="s">
        <v>1752</v>
      </c>
      <c r="D1661" s="32" t="s">
        <v>1464</v>
      </c>
      <c r="E1661" s="33">
        <v>32</v>
      </c>
      <c r="F1661" s="33">
        <v>788</v>
      </c>
      <c r="G1661" s="33">
        <v>18</v>
      </c>
      <c r="H1661" s="13">
        <f t="shared" si="25"/>
        <v>24.625</v>
      </c>
    </row>
    <row r="1662" spans="1:8" hidden="1" outlineLevel="2">
      <c r="A1662" s="32" t="s">
        <v>1263</v>
      </c>
      <c r="B1662" s="32" t="s">
        <v>1862</v>
      </c>
      <c r="C1662" s="32" t="s">
        <v>1318</v>
      </c>
      <c r="D1662" s="32" t="s">
        <v>1366</v>
      </c>
      <c r="E1662" s="33">
        <v>65</v>
      </c>
      <c r="F1662" s="33">
        <v>1520</v>
      </c>
      <c r="G1662" s="33">
        <v>63</v>
      </c>
      <c r="H1662" s="13">
        <f t="shared" si="25"/>
        <v>23.384615384615383</v>
      </c>
    </row>
    <row r="1663" spans="1:8" hidden="1" outlineLevel="2">
      <c r="A1663" s="32" t="s">
        <v>1263</v>
      </c>
      <c r="B1663" s="32" t="s">
        <v>1862</v>
      </c>
      <c r="C1663" s="32" t="s">
        <v>1295</v>
      </c>
      <c r="D1663" s="32" t="s">
        <v>1296</v>
      </c>
      <c r="E1663" s="33">
        <v>3</v>
      </c>
      <c r="F1663" s="33">
        <v>68</v>
      </c>
      <c r="G1663" s="33">
        <v>2</v>
      </c>
      <c r="H1663" s="13">
        <f t="shared" si="25"/>
        <v>22.666666666666668</v>
      </c>
    </row>
    <row r="1664" spans="1:8" hidden="1" outlineLevel="2">
      <c r="A1664" s="32" t="s">
        <v>1263</v>
      </c>
      <c r="B1664" s="32" t="s">
        <v>1858</v>
      </c>
      <c r="C1664" s="32" t="s">
        <v>1463</v>
      </c>
      <c r="D1664" s="32" t="s">
        <v>1464</v>
      </c>
      <c r="E1664" s="33">
        <v>30</v>
      </c>
      <c r="F1664" s="33">
        <v>640</v>
      </c>
      <c r="G1664" s="33">
        <v>33</v>
      </c>
      <c r="H1664" s="13">
        <f t="shared" si="25"/>
        <v>21.333333333333332</v>
      </c>
    </row>
    <row r="1665" spans="1:8" hidden="1" outlineLevel="2">
      <c r="A1665" s="32" t="s">
        <v>1263</v>
      </c>
      <c r="B1665" s="32" t="s">
        <v>1862</v>
      </c>
      <c r="C1665" s="32" t="s">
        <v>1004</v>
      </c>
      <c r="D1665" s="32" t="s">
        <v>1360</v>
      </c>
      <c r="E1665" s="33">
        <v>180</v>
      </c>
      <c r="F1665" s="33">
        <v>3717</v>
      </c>
      <c r="G1665" s="33">
        <v>192</v>
      </c>
      <c r="H1665" s="13">
        <f t="shared" si="25"/>
        <v>20.65</v>
      </c>
    </row>
    <row r="1666" spans="1:8" hidden="1" outlineLevel="2">
      <c r="A1666" s="32" t="s">
        <v>1263</v>
      </c>
      <c r="B1666" s="32" t="s">
        <v>1862</v>
      </c>
      <c r="C1666" s="32" t="s">
        <v>1295</v>
      </c>
      <c r="D1666" s="32" t="s">
        <v>1296</v>
      </c>
      <c r="E1666" s="33">
        <v>5</v>
      </c>
      <c r="F1666" s="33">
        <v>102</v>
      </c>
      <c r="G1666" s="33">
        <v>1</v>
      </c>
      <c r="H1666" s="13">
        <f t="shared" ref="H1666:H1729" si="26">IFERROR(F1666/E1666,"")</f>
        <v>20.399999999999999</v>
      </c>
    </row>
    <row r="1667" spans="1:8" hidden="1" outlineLevel="2">
      <c r="A1667" s="32" t="s">
        <v>1263</v>
      </c>
      <c r="B1667" s="32" t="s">
        <v>1858</v>
      </c>
      <c r="C1667" s="32" t="s">
        <v>1463</v>
      </c>
      <c r="D1667" s="32" t="s">
        <v>1287</v>
      </c>
      <c r="E1667" s="33">
        <v>20</v>
      </c>
      <c r="F1667" s="33">
        <v>408</v>
      </c>
      <c r="G1667" s="33">
        <v>21</v>
      </c>
      <c r="H1667" s="13">
        <f t="shared" si="26"/>
        <v>20.399999999999999</v>
      </c>
    </row>
    <row r="1668" spans="1:8" hidden="1" outlineLevel="2">
      <c r="A1668" s="32" t="s">
        <v>1263</v>
      </c>
      <c r="B1668" s="32" t="s">
        <v>1862</v>
      </c>
      <c r="C1668" s="32" t="s">
        <v>1318</v>
      </c>
      <c r="D1668" s="32" t="s">
        <v>1366</v>
      </c>
      <c r="E1668" s="33">
        <v>86</v>
      </c>
      <c r="F1668" s="33">
        <v>1746</v>
      </c>
      <c r="G1668" s="33">
        <v>65</v>
      </c>
      <c r="H1668" s="13">
        <f t="shared" si="26"/>
        <v>20.302325581395348</v>
      </c>
    </row>
    <row r="1669" spans="1:8" hidden="1" outlineLevel="2">
      <c r="A1669" s="32" t="s">
        <v>1263</v>
      </c>
      <c r="B1669" s="32" t="s">
        <v>1862</v>
      </c>
      <c r="C1669" s="32" t="s">
        <v>937</v>
      </c>
      <c r="D1669" s="32" t="s">
        <v>1282</v>
      </c>
      <c r="E1669" s="33">
        <v>48</v>
      </c>
      <c r="F1669" s="33">
        <v>964</v>
      </c>
      <c r="G1669" s="33">
        <v>51</v>
      </c>
      <c r="H1669" s="13">
        <f t="shared" si="26"/>
        <v>20.083333333333332</v>
      </c>
    </row>
    <row r="1670" spans="1:8" hidden="1" outlineLevel="2">
      <c r="A1670" s="32" t="s">
        <v>1263</v>
      </c>
      <c r="B1670" s="32" t="s">
        <v>1862</v>
      </c>
      <c r="C1670" s="32" t="s">
        <v>1295</v>
      </c>
      <c r="D1670" s="32" t="s">
        <v>1283</v>
      </c>
      <c r="E1670" s="33">
        <v>28</v>
      </c>
      <c r="F1670" s="33">
        <v>551</v>
      </c>
      <c r="G1670" s="33">
        <v>28</v>
      </c>
      <c r="H1670" s="13">
        <f t="shared" si="26"/>
        <v>19.678571428571427</v>
      </c>
    </row>
    <row r="1671" spans="1:8" hidden="1" outlineLevel="2">
      <c r="A1671" s="32" t="s">
        <v>1263</v>
      </c>
      <c r="B1671" s="32" t="s">
        <v>1862</v>
      </c>
      <c r="C1671" s="32" t="s">
        <v>1004</v>
      </c>
      <c r="D1671" s="32" t="s">
        <v>1360</v>
      </c>
      <c r="E1671" s="33">
        <v>120</v>
      </c>
      <c r="F1671" s="33">
        <v>2234</v>
      </c>
      <c r="G1671" s="33">
        <v>103</v>
      </c>
      <c r="H1671" s="13">
        <f t="shared" si="26"/>
        <v>18.616666666666667</v>
      </c>
    </row>
    <row r="1672" spans="1:8" hidden="1" outlineLevel="2">
      <c r="A1672" s="32" t="s">
        <v>1263</v>
      </c>
      <c r="B1672" s="32" t="s">
        <v>1862</v>
      </c>
      <c r="C1672" s="32" t="s">
        <v>1265</v>
      </c>
      <c r="D1672" s="32" t="s">
        <v>1364</v>
      </c>
      <c r="E1672" s="33">
        <v>387</v>
      </c>
      <c r="F1672" s="33">
        <v>7146</v>
      </c>
      <c r="G1672" s="33">
        <v>397</v>
      </c>
      <c r="H1672" s="13">
        <f t="shared" si="26"/>
        <v>18.465116279069768</v>
      </c>
    </row>
    <row r="1673" spans="1:8" hidden="1" outlineLevel="2">
      <c r="A1673" s="32" t="s">
        <v>1263</v>
      </c>
      <c r="B1673" s="32" t="s">
        <v>1858</v>
      </c>
      <c r="C1673" s="32" t="s">
        <v>1463</v>
      </c>
      <c r="D1673" s="32" t="s">
        <v>1464</v>
      </c>
      <c r="E1673" s="33">
        <v>25</v>
      </c>
      <c r="F1673" s="33">
        <v>461</v>
      </c>
      <c r="G1673" s="33">
        <v>30</v>
      </c>
      <c r="H1673" s="13">
        <f t="shared" si="26"/>
        <v>18.440000000000001</v>
      </c>
    </row>
    <row r="1674" spans="1:8" hidden="1" outlineLevel="2">
      <c r="A1674" s="32" t="s">
        <v>1263</v>
      </c>
      <c r="B1674" s="32" t="s">
        <v>1862</v>
      </c>
      <c r="C1674" s="32" t="s">
        <v>1318</v>
      </c>
      <c r="D1674" s="32" t="s">
        <v>1283</v>
      </c>
      <c r="E1674" s="33">
        <v>20</v>
      </c>
      <c r="F1674" s="33">
        <v>356</v>
      </c>
      <c r="G1674" s="33">
        <v>3</v>
      </c>
      <c r="H1674" s="13">
        <f t="shared" si="26"/>
        <v>17.8</v>
      </c>
    </row>
    <row r="1675" spans="1:8" hidden="1" outlineLevel="2">
      <c r="A1675" s="32" t="s">
        <v>1263</v>
      </c>
      <c r="B1675" s="32" t="s">
        <v>1862</v>
      </c>
      <c r="C1675" s="32" t="s">
        <v>1004</v>
      </c>
      <c r="D1675" s="32" t="s">
        <v>1283</v>
      </c>
      <c r="E1675" s="33">
        <v>30</v>
      </c>
      <c r="F1675" s="33">
        <v>534</v>
      </c>
      <c r="G1675" s="33">
        <v>18</v>
      </c>
      <c r="H1675" s="13">
        <f t="shared" si="26"/>
        <v>17.8</v>
      </c>
    </row>
    <row r="1676" spans="1:8" hidden="1" outlineLevel="2">
      <c r="A1676" s="32" t="s">
        <v>1263</v>
      </c>
      <c r="B1676" s="32" t="s">
        <v>1858</v>
      </c>
      <c r="C1676" s="32" t="s">
        <v>1463</v>
      </c>
      <c r="D1676" s="32" t="s">
        <v>1464</v>
      </c>
      <c r="E1676" s="33">
        <v>50</v>
      </c>
      <c r="F1676" s="33">
        <v>849</v>
      </c>
      <c r="G1676" s="33">
        <v>53</v>
      </c>
      <c r="H1676" s="13">
        <f t="shared" si="26"/>
        <v>16.98</v>
      </c>
    </row>
    <row r="1677" spans="1:8" hidden="1" outlineLevel="2">
      <c r="A1677" s="32" t="s">
        <v>1263</v>
      </c>
      <c r="B1677" s="32" t="s">
        <v>1862</v>
      </c>
      <c r="C1677" s="32" t="s">
        <v>1004</v>
      </c>
      <c r="D1677" s="32" t="s">
        <v>1283</v>
      </c>
      <c r="E1677" s="33">
        <v>30</v>
      </c>
      <c r="F1677" s="33">
        <v>508</v>
      </c>
      <c r="G1677" s="33">
        <v>34</v>
      </c>
      <c r="H1677" s="13">
        <f t="shared" si="26"/>
        <v>16.933333333333334</v>
      </c>
    </row>
    <row r="1678" spans="1:8" hidden="1" outlineLevel="2">
      <c r="A1678" s="32" t="s">
        <v>1263</v>
      </c>
      <c r="B1678" s="32" t="s">
        <v>1858</v>
      </c>
      <c r="C1678" s="32" t="s">
        <v>1695</v>
      </c>
      <c r="D1678" s="32" t="s">
        <v>1696</v>
      </c>
      <c r="E1678" s="33">
        <v>32</v>
      </c>
      <c r="F1678" s="33">
        <v>527</v>
      </c>
      <c r="G1678" s="33">
        <v>25</v>
      </c>
      <c r="H1678" s="13">
        <f t="shared" si="26"/>
        <v>16.46875</v>
      </c>
    </row>
    <row r="1679" spans="1:8" hidden="1" outlineLevel="2">
      <c r="A1679" s="32" t="s">
        <v>1263</v>
      </c>
      <c r="B1679" s="32" t="s">
        <v>1858</v>
      </c>
      <c r="C1679" s="32" t="s">
        <v>1338</v>
      </c>
      <c r="D1679" s="32" t="s">
        <v>1360</v>
      </c>
      <c r="E1679" s="33">
        <v>120</v>
      </c>
      <c r="F1679" s="33">
        <v>1962</v>
      </c>
      <c r="G1679" s="33">
        <v>99</v>
      </c>
      <c r="H1679" s="13">
        <f t="shared" si="26"/>
        <v>16.350000000000001</v>
      </c>
    </row>
    <row r="1680" spans="1:8" hidden="1" outlineLevel="2">
      <c r="A1680" s="32" t="s">
        <v>1263</v>
      </c>
      <c r="B1680" s="32" t="s">
        <v>1858</v>
      </c>
      <c r="C1680" s="32" t="s">
        <v>1338</v>
      </c>
      <c r="D1680" s="32" t="s">
        <v>1341</v>
      </c>
      <c r="E1680" s="33">
        <v>3</v>
      </c>
      <c r="F1680" s="33">
        <v>49</v>
      </c>
      <c r="G1680" s="33">
        <v>3</v>
      </c>
      <c r="H1680" s="13">
        <f t="shared" si="26"/>
        <v>16.333333333333332</v>
      </c>
    </row>
    <row r="1681" spans="1:8" hidden="1" outlineLevel="2">
      <c r="A1681" s="32" t="s">
        <v>1263</v>
      </c>
      <c r="B1681" s="32" t="s">
        <v>86</v>
      </c>
      <c r="C1681" s="32" t="s">
        <v>1365</v>
      </c>
      <c r="D1681" s="32" t="s">
        <v>1366</v>
      </c>
      <c r="E1681" s="33">
        <v>200</v>
      </c>
      <c r="F1681" s="33">
        <v>3254</v>
      </c>
      <c r="G1681" s="33">
        <v>225</v>
      </c>
      <c r="H1681" s="13">
        <f t="shared" si="26"/>
        <v>16.27</v>
      </c>
    </row>
    <row r="1682" spans="1:8" hidden="1" outlineLevel="2">
      <c r="A1682" s="32" t="s">
        <v>1263</v>
      </c>
      <c r="B1682" s="32" t="s">
        <v>1862</v>
      </c>
      <c r="C1682" s="32" t="s">
        <v>1292</v>
      </c>
      <c r="D1682" s="32" t="s">
        <v>1360</v>
      </c>
      <c r="E1682" s="33">
        <v>250</v>
      </c>
      <c r="F1682" s="33">
        <v>3927</v>
      </c>
      <c r="G1682" s="33">
        <v>256</v>
      </c>
      <c r="H1682" s="13">
        <f t="shared" si="26"/>
        <v>15.708</v>
      </c>
    </row>
    <row r="1683" spans="1:8" hidden="1" outlineLevel="2">
      <c r="A1683" s="32" t="s">
        <v>1263</v>
      </c>
      <c r="B1683" s="32" t="s">
        <v>1862</v>
      </c>
      <c r="C1683" s="32" t="s">
        <v>1562</v>
      </c>
      <c r="D1683" s="32" t="s">
        <v>1366</v>
      </c>
      <c r="E1683" s="33">
        <v>220</v>
      </c>
      <c r="F1683" s="33">
        <v>3439</v>
      </c>
      <c r="G1683" s="33">
        <v>325</v>
      </c>
      <c r="H1683" s="13">
        <f t="shared" si="26"/>
        <v>15.631818181818181</v>
      </c>
    </row>
    <row r="1684" spans="1:8" hidden="1" outlineLevel="2">
      <c r="A1684" s="32" t="s">
        <v>1263</v>
      </c>
      <c r="B1684" s="32" t="s">
        <v>1862</v>
      </c>
      <c r="C1684" s="32" t="s">
        <v>1512</v>
      </c>
      <c r="D1684" s="32" t="s">
        <v>1366</v>
      </c>
      <c r="E1684" s="33">
        <v>120</v>
      </c>
      <c r="F1684" s="33">
        <v>1825</v>
      </c>
      <c r="G1684" s="33">
        <v>125</v>
      </c>
      <c r="H1684" s="13">
        <f t="shared" si="26"/>
        <v>15.208333333333334</v>
      </c>
    </row>
    <row r="1685" spans="1:8" hidden="1" outlineLevel="2">
      <c r="A1685" s="32" t="s">
        <v>1263</v>
      </c>
      <c r="B1685" s="32" t="s">
        <v>86</v>
      </c>
      <c r="C1685" s="32" t="s">
        <v>1424</v>
      </c>
      <c r="D1685" s="32" t="s">
        <v>1341</v>
      </c>
      <c r="E1685" s="33">
        <v>10</v>
      </c>
      <c r="F1685" s="33">
        <v>148</v>
      </c>
      <c r="G1685" s="33">
        <v>11</v>
      </c>
      <c r="H1685" s="13">
        <f t="shared" si="26"/>
        <v>14.8</v>
      </c>
    </row>
    <row r="1686" spans="1:8" hidden="1" outlineLevel="2">
      <c r="A1686" s="32" t="s">
        <v>1263</v>
      </c>
      <c r="B1686" s="32" t="s">
        <v>1862</v>
      </c>
      <c r="C1686" s="32" t="s">
        <v>1340</v>
      </c>
      <c r="D1686" s="32" t="s">
        <v>1341</v>
      </c>
      <c r="E1686" s="33">
        <v>5</v>
      </c>
      <c r="F1686" s="33">
        <v>72</v>
      </c>
      <c r="G1686" s="33">
        <v>4</v>
      </c>
      <c r="H1686" s="13">
        <f t="shared" si="26"/>
        <v>14.4</v>
      </c>
    </row>
    <row r="1687" spans="1:8" hidden="1" outlineLevel="2">
      <c r="A1687" s="32" t="s">
        <v>1263</v>
      </c>
      <c r="B1687" s="32" t="s">
        <v>1862</v>
      </c>
      <c r="C1687" s="32" t="s">
        <v>1318</v>
      </c>
      <c r="D1687" s="32" t="s">
        <v>1283</v>
      </c>
      <c r="E1687" s="33">
        <v>30</v>
      </c>
      <c r="F1687" s="33">
        <v>432</v>
      </c>
      <c r="G1687" s="33">
        <v>33</v>
      </c>
      <c r="H1687" s="13">
        <f t="shared" si="26"/>
        <v>14.4</v>
      </c>
    </row>
    <row r="1688" spans="1:8" hidden="1" outlineLevel="2">
      <c r="A1688" s="32" t="s">
        <v>1263</v>
      </c>
      <c r="B1688" s="32" t="s">
        <v>1858</v>
      </c>
      <c r="C1688" s="32" t="s">
        <v>1752</v>
      </c>
      <c r="D1688" s="32" t="s">
        <v>1464</v>
      </c>
      <c r="E1688" s="33">
        <v>60</v>
      </c>
      <c r="F1688" s="33">
        <v>863</v>
      </c>
      <c r="G1688" s="33">
        <v>62</v>
      </c>
      <c r="H1688" s="13">
        <f t="shared" si="26"/>
        <v>14.383333333333333</v>
      </c>
    </row>
    <row r="1689" spans="1:8" hidden="1" outlineLevel="2">
      <c r="A1689" s="32" t="s">
        <v>1263</v>
      </c>
      <c r="B1689" s="32" t="s">
        <v>86</v>
      </c>
      <c r="C1689" s="32" t="s">
        <v>1424</v>
      </c>
      <c r="D1689" s="32" t="s">
        <v>1283</v>
      </c>
      <c r="E1689" s="33">
        <v>35</v>
      </c>
      <c r="F1689" s="33">
        <v>493</v>
      </c>
      <c r="G1689" s="33">
        <v>34</v>
      </c>
      <c r="H1689" s="13">
        <f t="shared" si="26"/>
        <v>14.085714285714285</v>
      </c>
    </row>
    <row r="1690" spans="1:8" hidden="1" outlineLevel="2">
      <c r="A1690" s="32" t="s">
        <v>1263</v>
      </c>
      <c r="B1690" s="32" t="s">
        <v>1862</v>
      </c>
      <c r="C1690" s="32" t="s">
        <v>1265</v>
      </c>
      <c r="D1690" s="32" t="s">
        <v>1264</v>
      </c>
      <c r="E1690" s="33">
        <v>25</v>
      </c>
      <c r="F1690" s="33">
        <v>334</v>
      </c>
      <c r="G1690" s="33">
        <v>20</v>
      </c>
      <c r="H1690" s="13">
        <f t="shared" si="26"/>
        <v>13.36</v>
      </c>
    </row>
    <row r="1691" spans="1:8" hidden="1" outlineLevel="2">
      <c r="A1691" s="32" t="s">
        <v>1263</v>
      </c>
      <c r="B1691" s="32" t="s">
        <v>86</v>
      </c>
      <c r="C1691" s="32" t="s">
        <v>1311</v>
      </c>
      <c r="D1691" s="32" t="s">
        <v>1364</v>
      </c>
      <c r="E1691" s="33">
        <v>495</v>
      </c>
      <c r="F1691" s="33">
        <v>6452</v>
      </c>
      <c r="G1691" s="33">
        <v>490</v>
      </c>
      <c r="H1691" s="13">
        <f t="shared" si="26"/>
        <v>13.034343434343434</v>
      </c>
    </row>
    <row r="1692" spans="1:8" hidden="1" outlineLevel="2">
      <c r="A1692" s="32" t="s">
        <v>1263</v>
      </c>
      <c r="B1692" s="32" t="s">
        <v>1862</v>
      </c>
      <c r="C1692" s="32" t="s">
        <v>1318</v>
      </c>
      <c r="D1692" s="32" t="s">
        <v>1366</v>
      </c>
      <c r="E1692" s="33">
        <v>240</v>
      </c>
      <c r="F1692" s="33">
        <v>2894</v>
      </c>
      <c r="G1692" s="33">
        <v>306</v>
      </c>
      <c r="H1692" s="13">
        <f t="shared" si="26"/>
        <v>12.058333333333334</v>
      </c>
    </row>
    <row r="1693" spans="1:8" hidden="1" outlineLevel="2">
      <c r="A1693" s="32" t="s">
        <v>1263</v>
      </c>
      <c r="B1693" s="32" t="s">
        <v>1862</v>
      </c>
      <c r="C1693" s="32" t="s">
        <v>1305</v>
      </c>
      <c r="D1693" s="32" t="s">
        <v>1296</v>
      </c>
      <c r="E1693" s="33">
        <v>5</v>
      </c>
      <c r="F1693" s="33">
        <v>60</v>
      </c>
      <c r="G1693" s="33">
        <v>0</v>
      </c>
      <c r="H1693" s="13">
        <f t="shared" si="26"/>
        <v>12</v>
      </c>
    </row>
    <row r="1694" spans="1:8" hidden="1" outlineLevel="2">
      <c r="A1694" s="32" t="s">
        <v>1263</v>
      </c>
      <c r="B1694" s="32" t="s">
        <v>86</v>
      </c>
      <c r="C1694" s="32" t="s">
        <v>1497</v>
      </c>
      <c r="D1694" s="32" t="s">
        <v>1498</v>
      </c>
      <c r="E1694" s="33">
        <v>25</v>
      </c>
      <c r="F1694" s="33">
        <v>294</v>
      </c>
      <c r="G1694" s="33">
        <v>12</v>
      </c>
      <c r="H1694" s="13">
        <f t="shared" si="26"/>
        <v>11.76</v>
      </c>
    </row>
    <row r="1695" spans="1:8" hidden="1" outlineLevel="2">
      <c r="A1695" s="32" t="s">
        <v>1263</v>
      </c>
      <c r="B1695" s="32" t="s">
        <v>1862</v>
      </c>
      <c r="C1695" s="32" t="s">
        <v>1265</v>
      </c>
      <c r="D1695" s="32" t="s">
        <v>1264</v>
      </c>
      <c r="E1695" s="33">
        <v>55</v>
      </c>
      <c r="F1695" s="33">
        <v>575</v>
      </c>
      <c r="G1695" s="33">
        <v>64</v>
      </c>
      <c r="H1695" s="13">
        <f t="shared" si="26"/>
        <v>10.454545454545455</v>
      </c>
    </row>
    <row r="1696" spans="1:8" hidden="1" outlineLevel="2">
      <c r="A1696" s="32" t="s">
        <v>1263</v>
      </c>
      <c r="B1696" s="32" t="s">
        <v>1862</v>
      </c>
      <c r="C1696" s="32" t="s">
        <v>1292</v>
      </c>
      <c r="D1696" s="32" t="s">
        <v>1341</v>
      </c>
      <c r="E1696" s="33">
        <v>15</v>
      </c>
      <c r="F1696" s="33">
        <v>154</v>
      </c>
      <c r="G1696" s="33">
        <v>15</v>
      </c>
      <c r="H1696" s="13">
        <f t="shared" si="26"/>
        <v>10.266666666666667</v>
      </c>
    </row>
    <row r="1697" spans="1:8" hidden="1" outlineLevel="2">
      <c r="A1697" s="32" t="s">
        <v>1263</v>
      </c>
      <c r="B1697" s="32" t="s">
        <v>1862</v>
      </c>
      <c r="C1697" s="32" t="s">
        <v>1265</v>
      </c>
      <c r="D1697" s="32" t="s">
        <v>1510</v>
      </c>
      <c r="E1697" s="33">
        <v>25</v>
      </c>
      <c r="F1697" s="33">
        <v>255</v>
      </c>
      <c r="G1697" s="33">
        <v>27</v>
      </c>
      <c r="H1697" s="13">
        <f t="shared" si="26"/>
        <v>10.199999999999999</v>
      </c>
    </row>
    <row r="1698" spans="1:8" hidden="1" outlineLevel="2">
      <c r="A1698" s="32" t="s">
        <v>1263</v>
      </c>
      <c r="B1698" s="32" t="s">
        <v>1862</v>
      </c>
      <c r="C1698" s="32" t="s">
        <v>1292</v>
      </c>
      <c r="D1698" s="32" t="s">
        <v>1296</v>
      </c>
      <c r="E1698" s="33">
        <v>10</v>
      </c>
      <c r="F1698" s="33">
        <v>101</v>
      </c>
      <c r="G1698" s="33">
        <v>6</v>
      </c>
      <c r="H1698" s="13">
        <f t="shared" si="26"/>
        <v>10.1</v>
      </c>
    </row>
    <row r="1699" spans="1:8" hidden="1" outlineLevel="2">
      <c r="A1699" s="32" t="s">
        <v>1263</v>
      </c>
      <c r="B1699" s="32" t="s">
        <v>1862</v>
      </c>
      <c r="C1699" s="32" t="s">
        <v>1265</v>
      </c>
      <c r="D1699" s="32" t="s">
        <v>1312</v>
      </c>
      <c r="E1699" s="33">
        <v>40</v>
      </c>
      <c r="F1699" s="33">
        <v>398</v>
      </c>
      <c r="G1699" s="33">
        <v>34</v>
      </c>
      <c r="H1699" s="13">
        <f t="shared" si="26"/>
        <v>9.9499999999999993</v>
      </c>
    </row>
    <row r="1700" spans="1:8" hidden="1" outlineLevel="2">
      <c r="A1700" s="32" t="s">
        <v>1263</v>
      </c>
      <c r="B1700" s="32" t="s">
        <v>1858</v>
      </c>
      <c r="C1700" s="32" t="s">
        <v>1599</v>
      </c>
      <c r="D1700" s="32" t="s">
        <v>1464</v>
      </c>
      <c r="E1700" s="33">
        <v>70</v>
      </c>
      <c r="F1700" s="33">
        <v>671</v>
      </c>
      <c r="G1700" s="33">
        <v>46</v>
      </c>
      <c r="H1700" s="13">
        <f t="shared" si="26"/>
        <v>9.5857142857142854</v>
      </c>
    </row>
    <row r="1701" spans="1:8" hidden="1" outlineLevel="2">
      <c r="A1701" s="32" t="s">
        <v>1263</v>
      </c>
      <c r="B1701" s="32" t="s">
        <v>86</v>
      </c>
      <c r="C1701" s="32" t="s">
        <v>1424</v>
      </c>
      <c r="D1701" s="32" t="s">
        <v>1283</v>
      </c>
      <c r="E1701" s="33">
        <v>25</v>
      </c>
      <c r="F1701" s="33">
        <v>237</v>
      </c>
      <c r="G1701" s="33">
        <v>16</v>
      </c>
      <c r="H1701" s="13">
        <f t="shared" si="26"/>
        <v>9.48</v>
      </c>
    </row>
    <row r="1702" spans="1:8" hidden="1" outlineLevel="2">
      <c r="A1702" s="32" t="s">
        <v>1263</v>
      </c>
      <c r="B1702" s="32" t="s">
        <v>86</v>
      </c>
      <c r="C1702" s="32" t="s">
        <v>1424</v>
      </c>
      <c r="D1702" s="32" t="s">
        <v>1296</v>
      </c>
      <c r="E1702" s="33">
        <v>10</v>
      </c>
      <c r="F1702" s="33">
        <v>89</v>
      </c>
      <c r="G1702" s="33">
        <v>4</v>
      </c>
      <c r="H1702" s="13">
        <f t="shared" si="26"/>
        <v>8.9</v>
      </c>
    </row>
    <row r="1703" spans="1:8" hidden="1" outlineLevel="2">
      <c r="A1703" s="32" t="s">
        <v>1263</v>
      </c>
      <c r="B1703" s="32" t="s">
        <v>1862</v>
      </c>
      <c r="C1703" s="32" t="s">
        <v>1557</v>
      </c>
      <c r="D1703" s="32" t="s">
        <v>1558</v>
      </c>
      <c r="E1703" s="33">
        <v>170</v>
      </c>
      <c r="F1703" s="33">
        <v>1500</v>
      </c>
      <c r="G1703" s="33">
        <v>114</v>
      </c>
      <c r="H1703" s="13">
        <f t="shared" si="26"/>
        <v>8.8235294117647065</v>
      </c>
    </row>
    <row r="1704" spans="1:8" hidden="1" outlineLevel="2">
      <c r="A1704" s="32" t="s">
        <v>1263</v>
      </c>
      <c r="B1704" s="32" t="s">
        <v>1858</v>
      </c>
      <c r="C1704" s="32" t="s">
        <v>1338</v>
      </c>
      <c r="D1704" s="32" t="s">
        <v>1296</v>
      </c>
      <c r="E1704" s="33">
        <v>4</v>
      </c>
      <c r="F1704" s="33">
        <v>35</v>
      </c>
      <c r="G1704" s="33">
        <v>2</v>
      </c>
      <c r="H1704" s="13">
        <f t="shared" si="26"/>
        <v>8.75</v>
      </c>
    </row>
    <row r="1705" spans="1:8" hidden="1" outlineLevel="2">
      <c r="A1705" s="32" t="s">
        <v>1263</v>
      </c>
      <c r="B1705" s="32" t="s">
        <v>1858</v>
      </c>
      <c r="C1705" s="32" t="s">
        <v>1339</v>
      </c>
      <c r="D1705" s="32" t="s">
        <v>1341</v>
      </c>
      <c r="E1705" s="33">
        <v>10</v>
      </c>
      <c r="F1705" s="33">
        <v>87</v>
      </c>
      <c r="G1705" s="33">
        <v>0</v>
      </c>
      <c r="H1705" s="13">
        <f t="shared" si="26"/>
        <v>8.6999999999999993</v>
      </c>
    </row>
    <row r="1706" spans="1:8" hidden="1" outlineLevel="2">
      <c r="A1706" s="32" t="s">
        <v>1263</v>
      </c>
      <c r="B1706" s="32" t="s">
        <v>1862</v>
      </c>
      <c r="C1706" s="32" t="s">
        <v>1004</v>
      </c>
      <c r="D1706" s="32" t="s">
        <v>1298</v>
      </c>
      <c r="E1706" s="33">
        <v>70</v>
      </c>
      <c r="F1706" s="33">
        <v>598</v>
      </c>
      <c r="G1706" s="33">
        <v>68</v>
      </c>
      <c r="H1706" s="13">
        <f t="shared" si="26"/>
        <v>8.5428571428571427</v>
      </c>
    </row>
    <row r="1707" spans="1:8" hidden="1" outlineLevel="2">
      <c r="A1707" s="32" t="s">
        <v>1263</v>
      </c>
      <c r="B1707" s="32" t="s">
        <v>1858</v>
      </c>
      <c r="C1707" s="32" t="s">
        <v>1463</v>
      </c>
      <c r="D1707" s="32" t="s">
        <v>1464</v>
      </c>
      <c r="E1707" s="33">
        <v>111</v>
      </c>
      <c r="F1707" s="33">
        <v>932</v>
      </c>
      <c r="G1707" s="33">
        <v>116</v>
      </c>
      <c r="H1707" s="13">
        <f t="shared" si="26"/>
        <v>8.3963963963963959</v>
      </c>
    </row>
    <row r="1708" spans="1:8" hidden="1" outlineLevel="2">
      <c r="A1708" s="32" t="s">
        <v>1263</v>
      </c>
      <c r="B1708" s="32" t="s">
        <v>1862</v>
      </c>
      <c r="C1708" s="32" t="s">
        <v>1262</v>
      </c>
      <c r="D1708" s="32" t="s">
        <v>1264</v>
      </c>
      <c r="E1708" s="33">
        <v>28</v>
      </c>
      <c r="F1708" s="33">
        <v>227</v>
      </c>
      <c r="G1708" s="33">
        <v>6</v>
      </c>
      <c r="H1708" s="13">
        <f t="shared" si="26"/>
        <v>8.1071428571428577</v>
      </c>
    </row>
    <row r="1709" spans="1:8" hidden="1" outlineLevel="2">
      <c r="A1709" s="32" t="s">
        <v>1263</v>
      </c>
      <c r="B1709" s="32" t="s">
        <v>1862</v>
      </c>
      <c r="C1709" s="32" t="s">
        <v>1340</v>
      </c>
      <c r="D1709" s="32" t="s">
        <v>1296</v>
      </c>
      <c r="E1709" s="33">
        <v>5</v>
      </c>
      <c r="F1709" s="33">
        <v>40</v>
      </c>
      <c r="G1709" s="33">
        <v>5</v>
      </c>
      <c r="H1709" s="13">
        <f t="shared" si="26"/>
        <v>8</v>
      </c>
    </row>
    <row r="1710" spans="1:8" hidden="1" outlineLevel="2">
      <c r="A1710" s="32" t="s">
        <v>1263</v>
      </c>
      <c r="B1710" s="32" t="s">
        <v>86</v>
      </c>
      <c r="C1710" s="32" t="s">
        <v>1311</v>
      </c>
      <c r="D1710" s="32" t="s">
        <v>1312</v>
      </c>
      <c r="E1710" s="33">
        <v>50</v>
      </c>
      <c r="F1710" s="33">
        <v>396</v>
      </c>
      <c r="G1710" s="33">
        <v>37</v>
      </c>
      <c r="H1710" s="13">
        <f t="shared" si="26"/>
        <v>7.92</v>
      </c>
    </row>
    <row r="1711" spans="1:8" hidden="1" outlineLevel="2">
      <c r="A1711" s="32" t="s">
        <v>1263</v>
      </c>
      <c r="B1711" s="32" t="s">
        <v>1858</v>
      </c>
      <c r="C1711" s="32" t="s">
        <v>1422</v>
      </c>
      <c r="D1711" s="32" t="s">
        <v>1287</v>
      </c>
      <c r="E1711" s="33">
        <v>25</v>
      </c>
      <c r="F1711" s="33">
        <v>196</v>
      </c>
      <c r="G1711" s="33">
        <v>12</v>
      </c>
      <c r="H1711" s="13">
        <f t="shared" si="26"/>
        <v>7.84</v>
      </c>
    </row>
    <row r="1712" spans="1:8" hidden="1" outlineLevel="2">
      <c r="A1712" s="32" t="s">
        <v>1263</v>
      </c>
      <c r="B1712" s="32" t="s">
        <v>1858</v>
      </c>
      <c r="C1712" s="32" t="s">
        <v>1338</v>
      </c>
      <c r="D1712" s="32" t="s">
        <v>1283</v>
      </c>
      <c r="E1712" s="33">
        <v>25</v>
      </c>
      <c r="F1712" s="33">
        <v>190</v>
      </c>
      <c r="G1712" s="33">
        <v>10</v>
      </c>
      <c r="H1712" s="13">
        <f t="shared" si="26"/>
        <v>7.6</v>
      </c>
    </row>
    <row r="1713" spans="1:8" hidden="1" outlineLevel="2">
      <c r="A1713" s="32" t="s">
        <v>1263</v>
      </c>
      <c r="B1713" s="32" t="s">
        <v>1862</v>
      </c>
      <c r="C1713" s="32" t="s">
        <v>1265</v>
      </c>
      <c r="D1713" s="32" t="s">
        <v>1607</v>
      </c>
      <c r="E1713" s="33">
        <v>10</v>
      </c>
      <c r="F1713" s="33">
        <v>76</v>
      </c>
      <c r="G1713" s="33">
        <v>7</v>
      </c>
      <c r="H1713" s="13">
        <f t="shared" si="26"/>
        <v>7.6</v>
      </c>
    </row>
    <row r="1714" spans="1:8" hidden="1" outlineLevel="2">
      <c r="A1714" s="32" t="s">
        <v>1263</v>
      </c>
      <c r="B1714" s="32" t="s">
        <v>86</v>
      </c>
      <c r="C1714" s="32" t="s">
        <v>1311</v>
      </c>
      <c r="D1714" s="32" t="s">
        <v>1510</v>
      </c>
      <c r="E1714" s="33">
        <v>30</v>
      </c>
      <c r="F1714" s="33">
        <v>226</v>
      </c>
      <c r="G1714" s="33">
        <v>32</v>
      </c>
      <c r="H1714" s="13">
        <f t="shared" si="26"/>
        <v>7.5333333333333332</v>
      </c>
    </row>
    <row r="1715" spans="1:8" hidden="1" outlineLevel="2">
      <c r="A1715" s="32" t="s">
        <v>1263</v>
      </c>
      <c r="B1715" s="32" t="s">
        <v>1858</v>
      </c>
      <c r="C1715" s="32" t="s">
        <v>1447</v>
      </c>
      <c r="D1715" s="32" t="s">
        <v>1282</v>
      </c>
      <c r="E1715" s="33">
        <v>120</v>
      </c>
      <c r="F1715" s="33">
        <v>892</v>
      </c>
      <c r="G1715" s="33">
        <v>74</v>
      </c>
      <c r="H1715" s="13">
        <f t="shared" si="26"/>
        <v>7.4333333333333336</v>
      </c>
    </row>
    <row r="1716" spans="1:8" hidden="1" outlineLevel="2">
      <c r="A1716" s="32" t="s">
        <v>1263</v>
      </c>
      <c r="B1716" s="32" t="s">
        <v>1862</v>
      </c>
      <c r="C1716" s="32" t="s">
        <v>1507</v>
      </c>
      <c r="D1716" s="32" t="s">
        <v>1282</v>
      </c>
      <c r="E1716" s="33">
        <v>120</v>
      </c>
      <c r="F1716" s="33">
        <v>810</v>
      </c>
      <c r="G1716" s="33">
        <v>30</v>
      </c>
      <c r="H1716" s="13">
        <f t="shared" si="26"/>
        <v>6.75</v>
      </c>
    </row>
    <row r="1717" spans="1:8" hidden="1" outlineLevel="2">
      <c r="A1717" s="32" t="s">
        <v>1263</v>
      </c>
      <c r="B1717" s="32" t="s">
        <v>1862</v>
      </c>
      <c r="C1717" s="32" t="s">
        <v>1318</v>
      </c>
      <c r="D1717" s="32" t="s">
        <v>1283</v>
      </c>
      <c r="E1717" s="33">
        <v>95</v>
      </c>
      <c r="F1717" s="33">
        <v>602</v>
      </c>
      <c r="G1717" s="33">
        <v>49</v>
      </c>
      <c r="H1717" s="13">
        <f t="shared" si="26"/>
        <v>6.3368421052631581</v>
      </c>
    </row>
    <row r="1718" spans="1:8" hidden="1" outlineLevel="2">
      <c r="A1718" s="32" t="s">
        <v>1263</v>
      </c>
      <c r="B1718" s="32" t="s">
        <v>1862</v>
      </c>
      <c r="C1718" s="32" t="s">
        <v>1004</v>
      </c>
      <c r="D1718" s="32" t="s">
        <v>1788</v>
      </c>
      <c r="E1718" s="33">
        <v>60</v>
      </c>
      <c r="F1718" s="33">
        <v>365</v>
      </c>
      <c r="G1718" s="33">
        <v>34</v>
      </c>
      <c r="H1718" s="13">
        <f t="shared" si="26"/>
        <v>6.083333333333333</v>
      </c>
    </row>
    <row r="1719" spans="1:8" hidden="1" outlineLevel="2">
      <c r="A1719" s="32" t="s">
        <v>1263</v>
      </c>
      <c r="B1719" s="32" t="s">
        <v>1862</v>
      </c>
      <c r="C1719" s="32" t="s">
        <v>1262</v>
      </c>
      <c r="D1719" s="32" t="s">
        <v>1607</v>
      </c>
      <c r="E1719" s="33">
        <v>5</v>
      </c>
      <c r="F1719" s="33">
        <v>30</v>
      </c>
      <c r="G1719" s="33">
        <v>0</v>
      </c>
      <c r="H1719" s="13">
        <f t="shared" si="26"/>
        <v>6</v>
      </c>
    </row>
    <row r="1720" spans="1:8" hidden="1" outlineLevel="2">
      <c r="A1720" s="32" t="s">
        <v>1263</v>
      </c>
      <c r="B1720" s="32" t="s">
        <v>86</v>
      </c>
      <c r="C1720" s="32" t="s">
        <v>1497</v>
      </c>
      <c r="D1720" s="32" t="s">
        <v>1498</v>
      </c>
      <c r="E1720" s="33">
        <v>40</v>
      </c>
      <c r="F1720" s="33">
        <v>232</v>
      </c>
      <c r="G1720" s="33">
        <v>6</v>
      </c>
      <c r="H1720" s="13">
        <f t="shared" si="26"/>
        <v>5.8</v>
      </c>
    </row>
    <row r="1721" spans="1:8" hidden="1" outlineLevel="2">
      <c r="A1721" s="32" t="s">
        <v>1263</v>
      </c>
      <c r="B1721" s="32" t="s">
        <v>1862</v>
      </c>
      <c r="C1721" s="32" t="s">
        <v>937</v>
      </c>
      <c r="D1721" s="32" t="s">
        <v>1281</v>
      </c>
      <c r="E1721" s="33">
        <v>24</v>
      </c>
      <c r="F1721" s="33">
        <v>136</v>
      </c>
      <c r="G1721" s="33">
        <v>18</v>
      </c>
      <c r="H1721" s="13">
        <f t="shared" si="26"/>
        <v>5.666666666666667</v>
      </c>
    </row>
    <row r="1722" spans="1:8" hidden="1" outlineLevel="2">
      <c r="A1722" s="32" t="s">
        <v>1263</v>
      </c>
      <c r="B1722" s="32" t="s">
        <v>1862</v>
      </c>
      <c r="C1722" s="32" t="s">
        <v>1512</v>
      </c>
      <c r="D1722" s="32" t="s">
        <v>1698</v>
      </c>
      <c r="E1722" s="33">
        <v>30</v>
      </c>
      <c r="F1722" s="33">
        <v>167</v>
      </c>
      <c r="G1722" s="33">
        <v>24</v>
      </c>
      <c r="H1722" s="13">
        <f t="shared" si="26"/>
        <v>5.5666666666666664</v>
      </c>
    </row>
    <row r="1723" spans="1:8" hidden="1" outlineLevel="2">
      <c r="A1723" s="32" t="s">
        <v>1263</v>
      </c>
      <c r="B1723" s="32" t="s">
        <v>1858</v>
      </c>
      <c r="C1723" s="32" t="s">
        <v>1286</v>
      </c>
      <c r="D1723" s="32" t="s">
        <v>1287</v>
      </c>
      <c r="E1723" s="33">
        <v>38</v>
      </c>
      <c r="F1723" s="33">
        <v>211</v>
      </c>
      <c r="G1723" s="33">
        <v>35</v>
      </c>
      <c r="H1723" s="13">
        <f t="shared" si="26"/>
        <v>5.5526315789473681</v>
      </c>
    </row>
    <row r="1724" spans="1:8" hidden="1" outlineLevel="2">
      <c r="A1724" s="32" t="s">
        <v>1263</v>
      </c>
      <c r="B1724" s="32" t="s">
        <v>1862</v>
      </c>
      <c r="C1724" s="32" t="s">
        <v>1262</v>
      </c>
      <c r="D1724" s="32" t="s">
        <v>1366</v>
      </c>
      <c r="E1724" s="33">
        <v>20</v>
      </c>
      <c r="F1724" s="33">
        <v>111</v>
      </c>
      <c r="G1724" s="33">
        <v>22</v>
      </c>
      <c r="H1724" s="13">
        <f t="shared" si="26"/>
        <v>5.55</v>
      </c>
    </row>
    <row r="1725" spans="1:8" hidden="1" outlineLevel="2">
      <c r="A1725" s="32" t="s">
        <v>1263</v>
      </c>
      <c r="B1725" s="32" t="s">
        <v>1862</v>
      </c>
      <c r="C1725" s="32" t="s">
        <v>1262</v>
      </c>
      <c r="D1725" s="32" t="s">
        <v>1342</v>
      </c>
      <c r="E1725" s="33">
        <v>15</v>
      </c>
      <c r="F1725" s="33">
        <v>81</v>
      </c>
      <c r="G1725" s="33">
        <v>6</v>
      </c>
      <c r="H1725" s="13">
        <f t="shared" si="26"/>
        <v>5.4</v>
      </c>
    </row>
    <row r="1726" spans="1:8" hidden="1" outlineLevel="2">
      <c r="A1726" s="32" t="s">
        <v>1263</v>
      </c>
      <c r="B1726" s="32" t="s">
        <v>1862</v>
      </c>
      <c r="C1726" s="32" t="s">
        <v>1004</v>
      </c>
      <c r="D1726" s="32" t="s">
        <v>1341</v>
      </c>
      <c r="E1726" s="33">
        <v>32</v>
      </c>
      <c r="F1726" s="33">
        <v>158</v>
      </c>
      <c r="G1726" s="33">
        <v>20</v>
      </c>
      <c r="H1726" s="13">
        <f t="shared" si="26"/>
        <v>4.9375</v>
      </c>
    </row>
    <row r="1727" spans="1:8" hidden="1" outlineLevel="2">
      <c r="A1727" s="32" t="s">
        <v>1263</v>
      </c>
      <c r="B1727" s="32" t="s">
        <v>86</v>
      </c>
      <c r="C1727" s="32" t="s">
        <v>1311</v>
      </c>
      <c r="D1727" s="32" t="s">
        <v>1342</v>
      </c>
      <c r="E1727" s="33">
        <v>20</v>
      </c>
      <c r="F1727" s="33">
        <v>92</v>
      </c>
      <c r="G1727" s="33">
        <v>20</v>
      </c>
      <c r="H1727" s="13">
        <f t="shared" si="26"/>
        <v>4.5999999999999996</v>
      </c>
    </row>
    <row r="1728" spans="1:8" hidden="1" outlineLevel="2">
      <c r="A1728" s="32" t="s">
        <v>1263</v>
      </c>
      <c r="B1728" s="32" t="s">
        <v>1862</v>
      </c>
      <c r="C1728" s="32" t="s">
        <v>1265</v>
      </c>
      <c r="D1728" s="32" t="s">
        <v>1607</v>
      </c>
      <c r="E1728" s="33">
        <v>10</v>
      </c>
      <c r="F1728" s="33">
        <v>45</v>
      </c>
      <c r="G1728" s="33">
        <v>4</v>
      </c>
      <c r="H1728" s="13">
        <f t="shared" si="26"/>
        <v>4.5</v>
      </c>
    </row>
    <row r="1729" spans="1:8" hidden="1" outlineLevel="2">
      <c r="A1729" s="32" t="s">
        <v>1263</v>
      </c>
      <c r="B1729" s="32" t="s">
        <v>1862</v>
      </c>
      <c r="C1729" s="32" t="s">
        <v>1262</v>
      </c>
      <c r="D1729" s="32" t="s">
        <v>1313</v>
      </c>
      <c r="E1729" s="33">
        <v>25</v>
      </c>
      <c r="F1729" s="33">
        <v>105</v>
      </c>
      <c r="G1729" s="33">
        <v>23</v>
      </c>
      <c r="H1729" s="13">
        <f t="shared" si="26"/>
        <v>4.2</v>
      </c>
    </row>
    <row r="1730" spans="1:8" hidden="1" outlineLevel="2">
      <c r="A1730" s="32" t="s">
        <v>1263</v>
      </c>
      <c r="B1730" s="32" t="s">
        <v>1862</v>
      </c>
      <c r="C1730" s="32" t="s">
        <v>1262</v>
      </c>
      <c r="D1730" s="32" t="s">
        <v>1366</v>
      </c>
      <c r="E1730" s="33">
        <v>20</v>
      </c>
      <c r="F1730" s="33">
        <v>74</v>
      </c>
      <c r="G1730" s="33">
        <v>16</v>
      </c>
      <c r="H1730" s="13">
        <f t="shared" ref="H1730:H1793" si="27">IFERROR(F1730/E1730,"")</f>
        <v>3.7</v>
      </c>
    </row>
    <row r="1731" spans="1:8" hidden="1" outlineLevel="2">
      <c r="A1731" s="32" t="s">
        <v>1263</v>
      </c>
      <c r="B1731" s="32" t="s">
        <v>86</v>
      </c>
      <c r="C1731" s="32" t="s">
        <v>1311</v>
      </c>
      <c r="D1731" s="32" t="s">
        <v>1692</v>
      </c>
      <c r="E1731" s="33">
        <v>15</v>
      </c>
      <c r="F1731" s="33">
        <v>51</v>
      </c>
      <c r="G1731" s="33">
        <v>10</v>
      </c>
      <c r="H1731" s="13">
        <f t="shared" si="27"/>
        <v>3.4</v>
      </c>
    </row>
    <row r="1732" spans="1:8" hidden="1" outlineLevel="2">
      <c r="A1732" s="32" t="s">
        <v>1263</v>
      </c>
      <c r="B1732" s="32" t="s">
        <v>1858</v>
      </c>
      <c r="C1732" s="32" t="s">
        <v>1447</v>
      </c>
      <c r="D1732" s="32" t="s">
        <v>1281</v>
      </c>
      <c r="E1732" s="33">
        <v>35</v>
      </c>
      <c r="F1732" s="33">
        <v>113</v>
      </c>
      <c r="G1732" s="33">
        <v>10</v>
      </c>
      <c r="H1732" s="13">
        <f t="shared" si="27"/>
        <v>3.2285714285714286</v>
      </c>
    </row>
    <row r="1733" spans="1:8" hidden="1" outlineLevel="2">
      <c r="A1733" s="32" t="s">
        <v>1263</v>
      </c>
      <c r="B1733" s="32" t="s">
        <v>1862</v>
      </c>
      <c r="C1733" s="32" t="s">
        <v>1004</v>
      </c>
      <c r="D1733" s="32" t="s">
        <v>1296</v>
      </c>
      <c r="E1733" s="33">
        <v>32</v>
      </c>
      <c r="F1733" s="33">
        <v>102</v>
      </c>
      <c r="G1733" s="33">
        <v>24</v>
      </c>
      <c r="H1733" s="13">
        <f t="shared" si="27"/>
        <v>3.1875</v>
      </c>
    </row>
    <row r="1734" spans="1:8" hidden="1" outlineLevel="2">
      <c r="A1734" s="32" t="s">
        <v>1263</v>
      </c>
      <c r="B1734" s="32" t="s">
        <v>1862</v>
      </c>
      <c r="C1734" s="32" t="s">
        <v>1507</v>
      </c>
      <c r="D1734" s="32" t="s">
        <v>1281</v>
      </c>
      <c r="E1734" s="33">
        <v>35</v>
      </c>
      <c r="F1734" s="33">
        <v>100</v>
      </c>
      <c r="G1734" s="33">
        <v>8</v>
      </c>
      <c r="H1734" s="13">
        <f t="shared" si="27"/>
        <v>2.8571428571428572</v>
      </c>
    </row>
    <row r="1735" spans="1:8" hidden="1" outlineLevel="2">
      <c r="A1735" s="32" t="s">
        <v>1263</v>
      </c>
      <c r="B1735" s="32" t="s">
        <v>1858</v>
      </c>
      <c r="C1735" s="32" t="s">
        <v>1608</v>
      </c>
      <c r="D1735" s="32" t="s">
        <v>1609</v>
      </c>
      <c r="E1735" s="33">
        <v>80</v>
      </c>
      <c r="F1735" s="33">
        <v>207</v>
      </c>
      <c r="G1735" s="33">
        <v>14</v>
      </c>
      <c r="H1735" s="13">
        <f t="shared" si="27"/>
        <v>2.5874999999999999</v>
      </c>
    </row>
    <row r="1736" spans="1:8" hidden="1" outlineLevel="2">
      <c r="A1736" s="32" t="s">
        <v>1263</v>
      </c>
      <c r="B1736" s="32" t="s">
        <v>1862</v>
      </c>
      <c r="C1736" s="32" t="s">
        <v>1512</v>
      </c>
      <c r="D1736" s="32" t="s">
        <v>1513</v>
      </c>
      <c r="E1736" s="33">
        <v>10</v>
      </c>
      <c r="F1736" s="33">
        <v>24</v>
      </c>
      <c r="G1736" s="33">
        <v>4</v>
      </c>
      <c r="H1736" s="13">
        <f t="shared" si="27"/>
        <v>2.4</v>
      </c>
    </row>
    <row r="1737" spans="1:8" hidden="1" outlineLevel="2">
      <c r="A1737" s="32" t="s">
        <v>1263</v>
      </c>
      <c r="B1737" s="32" t="s">
        <v>1858</v>
      </c>
      <c r="C1737" s="32" t="s">
        <v>1608</v>
      </c>
      <c r="D1737" s="32" t="s">
        <v>1610</v>
      </c>
      <c r="E1737" s="33">
        <v>25</v>
      </c>
      <c r="F1737" s="33">
        <v>57</v>
      </c>
      <c r="G1737" s="33">
        <v>0</v>
      </c>
      <c r="H1737" s="13">
        <f t="shared" si="27"/>
        <v>2.2799999999999998</v>
      </c>
    </row>
    <row r="1738" spans="1:8" hidden="1" outlineLevel="2">
      <c r="A1738" s="32" t="s">
        <v>1263</v>
      </c>
      <c r="B1738" s="32" t="s">
        <v>1858</v>
      </c>
      <c r="C1738" s="32" t="s">
        <v>1608</v>
      </c>
      <c r="D1738" s="32" t="s">
        <v>1341</v>
      </c>
      <c r="E1738" s="33">
        <v>20</v>
      </c>
      <c r="F1738" s="33">
        <v>15</v>
      </c>
      <c r="G1738" s="33">
        <v>1</v>
      </c>
      <c r="H1738" s="13">
        <f t="shared" si="27"/>
        <v>0.75</v>
      </c>
    </row>
    <row r="1739" spans="1:8" hidden="1" outlineLevel="2">
      <c r="A1739" s="32" t="s">
        <v>1263</v>
      </c>
      <c r="B1739" s="32" t="s">
        <v>1862</v>
      </c>
      <c r="C1739" s="32" t="s">
        <v>937</v>
      </c>
      <c r="D1739" s="32" t="s">
        <v>1448</v>
      </c>
      <c r="E1739" s="33">
        <v>4</v>
      </c>
      <c r="F1739" s="33">
        <v>2</v>
      </c>
      <c r="G1739" s="33">
        <v>0</v>
      </c>
      <c r="H1739" s="13">
        <f t="shared" si="27"/>
        <v>0.5</v>
      </c>
    </row>
    <row r="1740" spans="1:8" hidden="1" outlineLevel="2">
      <c r="A1740" s="32" t="s">
        <v>1263</v>
      </c>
      <c r="B1740" s="32" t="s">
        <v>1858</v>
      </c>
      <c r="C1740" s="32" t="s">
        <v>1447</v>
      </c>
      <c r="D1740" s="32" t="s">
        <v>1448</v>
      </c>
      <c r="E1740" s="33">
        <v>20</v>
      </c>
      <c r="F1740" s="33">
        <v>2</v>
      </c>
      <c r="G1740" s="33">
        <v>0</v>
      </c>
      <c r="H1740" s="13">
        <f t="shared" si="27"/>
        <v>0.1</v>
      </c>
    </row>
    <row r="1741" spans="1:8" hidden="1" outlineLevel="2">
      <c r="A1741" s="32" t="s">
        <v>1263</v>
      </c>
      <c r="B1741" s="32" t="s">
        <v>1862</v>
      </c>
      <c r="C1741" s="32" t="s">
        <v>1507</v>
      </c>
      <c r="D1741" s="32" t="s">
        <v>1448</v>
      </c>
      <c r="E1741" s="33">
        <v>20</v>
      </c>
      <c r="F1741" s="33">
        <v>2</v>
      </c>
      <c r="G1741" s="33">
        <v>0</v>
      </c>
      <c r="H1741" s="13">
        <f t="shared" si="27"/>
        <v>0.1</v>
      </c>
    </row>
    <row r="1742" spans="1:8" outlineLevel="1" collapsed="1">
      <c r="A1742" s="37" t="s">
        <v>1881</v>
      </c>
      <c r="B1742" s="37"/>
      <c r="C1742" s="37"/>
      <c r="D1742" s="37"/>
      <c r="E1742" s="38">
        <f>SUBTOTAL(9,E1616:E1741)</f>
        <v>6601</v>
      </c>
      <c r="F1742" s="38">
        <f>SUBTOTAL(9,F1616:F1741)</f>
        <v>173957</v>
      </c>
      <c r="G1742" s="38">
        <f>SUBTOTAL(9,G1616:G1741)</f>
        <v>5785</v>
      </c>
      <c r="H1742" s="39">
        <f t="shared" si="27"/>
        <v>26.353128313891833</v>
      </c>
    </row>
    <row r="1743" spans="1:8" hidden="1" outlineLevel="2">
      <c r="A1743" s="32" t="s">
        <v>1407</v>
      </c>
      <c r="B1743" s="32" t="s">
        <v>1862</v>
      </c>
      <c r="C1743" s="32" t="s">
        <v>1550</v>
      </c>
      <c r="D1743" s="32" t="s">
        <v>1410</v>
      </c>
      <c r="E1743" s="33">
        <v>18</v>
      </c>
      <c r="F1743" s="33">
        <v>1430</v>
      </c>
      <c r="G1743" s="33">
        <v>14</v>
      </c>
      <c r="H1743" s="13">
        <f t="shared" si="27"/>
        <v>79.444444444444443</v>
      </c>
    </row>
    <row r="1744" spans="1:8" hidden="1" outlineLevel="2">
      <c r="A1744" s="32" t="s">
        <v>1407</v>
      </c>
      <c r="B1744" s="32" t="s">
        <v>86</v>
      </c>
      <c r="C1744" s="32" t="s">
        <v>1546</v>
      </c>
      <c r="D1744" s="32" t="s">
        <v>1410</v>
      </c>
      <c r="E1744" s="33">
        <v>25</v>
      </c>
      <c r="F1744" s="33">
        <v>776</v>
      </c>
      <c r="G1744" s="33">
        <v>0</v>
      </c>
      <c r="H1744" s="13">
        <f t="shared" si="27"/>
        <v>31.04</v>
      </c>
    </row>
    <row r="1745" spans="1:8" hidden="1" outlineLevel="2">
      <c r="A1745" s="32" t="s">
        <v>1407</v>
      </c>
      <c r="B1745" s="32" t="s">
        <v>86</v>
      </c>
      <c r="C1745" s="32" t="s">
        <v>1836</v>
      </c>
      <c r="D1745" s="32" t="s">
        <v>1418</v>
      </c>
      <c r="E1745" s="33">
        <v>15</v>
      </c>
      <c r="F1745" s="33">
        <v>339</v>
      </c>
      <c r="G1745" s="33">
        <v>11</v>
      </c>
      <c r="H1745" s="13">
        <f t="shared" si="27"/>
        <v>22.6</v>
      </c>
    </row>
    <row r="1746" spans="1:8" hidden="1" outlineLevel="2">
      <c r="A1746" s="32" t="s">
        <v>1407</v>
      </c>
      <c r="B1746" s="32" t="s">
        <v>1862</v>
      </c>
      <c r="C1746" s="32" t="s">
        <v>1416</v>
      </c>
      <c r="D1746" s="32" t="s">
        <v>1408</v>
      </c>
      <c r="E1746" s="33">
        <v>30</v>
      </c>
      <c r="F1746" s="33">
        <v>495</v>
      </c>
      <c r="G1746" s="33">
        <v>25</v>
      </c>
      <c r="H1746" s="13">
        <f t="shared" si="27"/>
        <v>16.5</v>
      </c>
    </row>
    <row r="1747" spans="1:8" hidden="1" outlineLevel="2">
      <c r="A1747" s="32" t="s">
        <v>1407</v>
      </c>
      <c r="B1747" s="32" t="s">
        <v>86</v>
      </c>
      <c r="C1747" s="32" t="s">
        <v>1750</v>
      </c>
      <c r="D1747" s="32" t="s">
        <v>1410</v>
      </c>
      <c r="E1747" s="33">
        <v>45</v>
      </c>
      <c r="F1747" s="33">
        <v>723</v>
      </c>
      <c r="G1747" s="33">
        <v>44</v>
      </c>
      <c r="H1747" s="13">
        <f t="shared" si="27"/>
        <v>16.066666666666666</v>
      </c>
    </row>
    <row r="1748" spans="1:8" hidden="1" outlineLevel="2">
      <c r="A1748" s="32" t="s">
        <v>1407</v>
      </c>
      <c r="B1748" s="32" t="s">
        <v>1862</v>
      </c>
      <c r="C1748" s="32" t="s">
        <v>1416</v>
      </c>
      <c r="D1748" s="32" t="s">
        <v>1418</v>
      </c>
      <c r="E1748" s="33">
        <v>24</v>
      </c>
      <c r="F1748" s="33">
        <v>382</v>
      </c>
      <c r="G1748" s="33">
        <v>27</v>
      </c>
      <c r="H1748" s="13">
        <f t="shared" si="27"/>
        <v>15.916666666666666</v>
      </c>
    </row>
    <row r="1749" spans="1:8" hidden="1" outlineLevel="2">
      <c r="A1749" s="32" t="s">
        <v>1407</v>
      </c>
      <c r="B1749" s="32" t="s">
        <v>86</v>
      </c>
      <c r="C1749" s="32" t="s">
        <v>1546</v>
      </c>
      <c r="D1749" s="32" t="s">
        <v>1780</v>
      </c>
      <c r="E1749" s="33">
        <v>10</v>
      </c>
      <c r="F1749" s="33">
        <v>155</v>
      </c>
      <c r="G1749" s="33">
        <v>0</v>
      </c>
      <c r="H1749" s="13">
        <f t="shared" si="27"/>
        <v>15.5</v>
      </c>
    </row>
    <row r="1750" spans="1:8" hidden="1" outlineLevel="2">
      <c r="A1750" s="32" t="s">
        <v>1407</v>
      </c>
      <c r="B1750" s="32" t="s">
        <v>1862</v>
      </c>
      <c r="C1750" s="32" t="s">
        <v>1417</v>
      </c>
      <c r="D1750" s="32" t="s">
        <v>1418</v>
      </c>
      <c r="E1750" s="33">
        <v>24</v>
      </c>
      <c r="F1750" s="33">
        <v>357</v>
      </c>
      <c r="G1750" s="33">
        <v>23</v>
      </c>
      <c r="H1750" s="13">
        <f t="shared" si="27"/>
        <v>14.875</v>
      </c>
    </row>
    <row r="1751" spans="1:8" hidden="1" outlineLevel="2">
      <c r="A1751" s="32" t="s">
        <v>1407</v>
      </c>
      <c r="B1751" s="32" t="s">
        <v>1862</v>
      </c>
      <c r="C1751" s="32" t="s">
        <v>1409</v>
      </c>
      <c r="D1751" s="32" t="s">
        <v>1410</v>
      </c>
      <c r="E1751" s="33">
        <v>38</v>
      </c>
      <c r="F1751" s="33">
        <v>519</v>
      </c>
      <c r="G1751" s="33">
        <v>38</v>
      </c>
      <c r="H1751" s="13">
        <f t="shared" si="27"/>
        <v>13.657894736842104</v>
      </c>
    </row>
    <row r="1752" spans="1:8" hidden="1" outlineLevel="2">
      <c r="A1752" s="32" t="s">
        <v>1407</v>
      </c>
      <c r="B1752" s="32" t="s">
        <v>86</v>
      </c>
      <c r="C1752" s="32" t="s">
        <v>1548</v>
      </c>
      <c r="D1752" s="32" t="s">
        <v>1408</v>
      </c>
      <c r="E1752" s="33">
        <v>53</v>
      </c>
      <c r="F1752" s="33">
        <v>701</v>
      </c>
      <c r="G1752" s="33">
        <v>45</v>
      </c>
      <c r="H1752" s="13">
        <f t="shared" si="27"/>
        <v>13.226415094339623</v>
      </c>
    </row>
    <row r="1753" spans="1:8" hidden="1" outlineLevel="2">
      <c r="A1753" s="32" t="s">
        <v>1407</v>
      </c>
      <c r="B1753" s="32" t="s">
        <v>1862</v>
      </c>
      <c r="C1753" s="32" t="s">
        <v>1416</v>
      </c>
      <c r="D1753" s="32" t="s">
        <v>1410</v>
      </c>
      <c r="E1753" s="33">
        <v>83</v>
      </c>
      <c r="F1753" s="33">
        <v>1017</v>
      </c>
      <c r="G1753" s="33">
        <v>87</v>
      </c>
      <c r="H1753" s="13">
        <f t="shared" si="27"/>
        <v>12.253012048192771</v>
      </c>
    </row>
    <row r="1754" spans="1:8" hidden="1" outlineLevel="2">
      <c r="A1754" s="32" t="s">
        <v>1407</v>
      </c>
      <c r="B1754" s="32" t="s">
        <v>1862</v>
      </c>
      <c r="C1754" s="32" t="s">
        <v>1417</v>
      </c>
      <c r="D1754" s="32" t="s">
        <v>1410</v>
      </c>
      <c r="E1754" s="33">
        <v>78</v>
      </c>
      <c r="F1754" s="33">
        <v>954</v>
      </c>
      <c r="G1754" s="33">
        <v>79</v>
      </c>
      <c r="H1754" s="13">
        <f t="shared" si="27"/>
        <v>12.23076923076923</v>
      </c>
    </row>
    <row r="1755" spans="1:8" hidden="1" outlineLevel="2">
      <c r="A1755" s="32" t="s">
        <v>1407</v>
      </c>
      <c r="B1755" s="32" t="s">
        <v>86</v>
      </c>
      <c r="C1755" s="32" t="s">
        <v>1546</v>
      </c>
      <c r="D1755" s="32" t="s">
        <v>1408</v>
      </c>
      <c r="E1755" s="33">
        <v>38</v>
      </c>
      <c r="F1755" s="33">
        <v>463</v>
      </c>
      <c r="G1755" s="33">
        <v>0</v>
      </c>
      <c r="H1755" s="13">
        <f t="shared" si="27"/>
        <v>12.184210526315789</v>
      </c>
    </row>
    <row r="1756" spans="1:8" hidden="1" outlineLevel="2">
      <c r="A1756" s="32" t="s">
        <v>1407</v>
      </c>
      <c r="B1756" s="32" t="s">
        <v>86</v>
      </c>
      <c r="C1756" s="32" t="s">
        <v>1547</v>
      </c>
      <c r="D1756" s="32" t="s">
        <v>1410</v>
      </c>
      <c r="E1756" s="33">
        <v>55</v>
      </c>
      <c r="F1756" s="33">
        <v>670</v>
      </c>
      <c r="G1756" s="33">
        <v>53</v>
      </c>
      <c r="H1756" s="13">
        <f t="shared" si="27"/>
        <v>12.181818181818182</v>
      </c>
    </row>
    <row r="1757" spans="1:8" hidden="1" outlineLevel="2">
      <c r="A1757" s="32" t="s">
        <v>1407</v>
      </c>
      <c r="B1757" s="32" t="s">
        <v>86</v>
      </c>
      <c r="C1757" s="32" t="s">
        <v>1547</v>
      </c>
      <c r="D1757" s="32" t="s">
        <v>1408</v>
      </c>
      <c r="E1757" s="33">
        <v>43</v>
      </c>
      <c r="F1757" s="33">
        <v>505</v>
      </c>
      <c r="G1757" s="33">
        <v>32</v>
      </c>
      <c r="H1757" s="13">
        <f t="shared" si="27"/>
        <v>11.744186046511627</v>
      </c>
    </row>
    <row r="1758" spans="1:8" hidden="1" outlineLevel="2">
      <c r="A1758" s="32" t="s">
        <v>1407</v>
      </c>
      <c r="B1758" s="32" t="s">
        <v>1858</v>
      </c>
      <c r="C1758" s="32" t="s">
        <v>1671</v>
      </c>
      <c r="D1758" s="32" t="s">
        <v>1408</v>
      </c>
      <c r="E1758" s="33">
        <v>28</v>
      </c>
      <c r="F1758" s="33">
        <v>326</v>
      </c>
      <c r="G1758" s="33">
        <v>28</v>
      </c>
      <c r="H1758" s="13">
        <f t="shared" si="27"/>
        <v>11.642857142857142</v>
      </c>
    </row>
    <row r="1759" spans="1:8" hidden="1" outlineLevel="2">
      <c r="A1759" s="32" t="s">
        <v>1407</v>
      </c>
      <c r="B1759" s="32" t="s">
        <v>86</v>
      </c>
      <c r="C1759" s="32" t="s">
        <v>1839</v>
      </c>
      <c r="D1759" s="32" t="s">
        <v>1418</v>
      </c>
      <c r="E1759" s="33">
        <v>45</v>
      </c>
      <c r="F1759" s="33">
        <v>489</v>
      </c>
      <c r="G1759" s="33">
        <v>27</v>
      </c>
      <c r="H1759" s="13">
        <f t="shared" si="27"/>
        <v>10.866666666666667</v>
      </c>
    </row>
    <row r="1760" spans="1:8" hidden="1" outlineLevel="2">
      <c r="A1760" s="32" t="s">
        <v>1407</v>
      </c>
      <c r="B1760" s="32" t="s">
        <v>1858</v>
      </c>
      <c r="C1760" s="32" t="s">
        <v>1413</v>
      </c>
      <c r="D1760" s="32" t="s">
        <v>1408</v>
      </c>
      <c r="E1760" s="33">
        <v>40</v>
      </c>
      <c r="F1760" s="33">
        <v>430</v>
      </c>
      <c r="G1760" s="33">
        <v>33</v>
      </c>
      <c r="H1760" s="13">
        <f t="shared" si="27"/>
        <v>10.75</v>
      </c>
    </row>
    <row r="1761" spans="1:8" hidden="1" outlineLevel="2">
      <c r="A1761" s="32" t="s">
        <v>1407</v>
      </c>
      <c r="B1761" s="32" t="s">
        <v>86</v>
      </c>
      <c r="C1761" s="32" t="s">
        <v>1548</v>
      </c>
      <c r="D1761" s="32" t="s">
        <v>1410</v>
      </c>
      <c r="E1761" s="33">
        <v>117</v>
      </c>
      <c r="F1761" s="33">
        <v>1200</v>
      </c>
      <c r="G1761" s="33">
        <v>118</v>
      </c>
      <c r="H1761" s="13">
        <f t="shared" si="27"/>
        <v>10.256410256410257</v>
      </c>
    </row>
    <row r="1762" spans="1:8" hidden="1" outlineLevel="2">
      <c r="A1762" s="32" t="s">
        <v>1407</v>
      </c>
      <c r="B1762" s="32" t="s">
        <v>1858</v>
      </c>
      <c r="C1762" s="32" t="s">
        <v>1671</v>
      </c>
      <c r="D1762" s="32" t="s">
        <v>1410</v>
      </c>
      <c r="E1762" s="33">
        <v>52</v>
      </c>
      <c r="F1762" s="33">
        <v>522</v>
      </c>
      <c r="G1762" s="33">
        <v>49</v>
      </c>
      <c r="H1762" s="13">
        <f t="shared" si="27"/>
        <v>10.038461538461538</v>
      </c>
    </row>
    <row r="1763" spans="1:8" hidden="1" outlineLevel="2">
      <c r="A1763" s="32" t="s">
        <v>1407</v>
      </c>
      <c r="B1763" s="32" t="s">
        <v>1858</v>
      </c>
      <c r="C1763" s="32" t="s">
        <v>1413</v>
      </c>
      <c r="D1763" s="32" t="s">
        <v>1410</v>
      </c>
      <c r="E1763" s="33">
        <v>60</v>
      </c>
      <c r="F1763" s="33">
        <v>570</v>
      </c>
      <c r="G1763" s="33">
        <v>54</v>
      </c>
      <c r="H1763" s="13">
        <f t="shared" si="27"/>
        <v>9.5</v>
      </c>
    </row>
    <row r="1764" spans="1:8" hidden="1" outlineLevel="2">
      <c r="A1764" s="32" t="s">
        <v>1407</v>
      </c>
      <c r="B1764" s="32" t="s">
        <v>1858</v>
      </c>
      <c r="C1764" s="32" t="s">
        <v>1476</v>
      </c>
      <c r="D1764" s="32" t="s">
        <v>1408</v>
      </c>
      <c r="E1764" s="33">
        <v>23</v>
      </c>
      <c r="F1764" s="33">
        <v>209</v>
      </c>
      <c r="G1764" s="33">
        <v>24</v>
      </c>
      <c r="H1764" s="13">
        <f t="shared" si="27"/>
        <v>9.0869565217391308</v>
      </c>
    </row>
    <row r="1765" spans="1:8" hidden="1" outlineLevel="2">
      <c r="A1765" s="32" t="s">
        <v>1407</v>
      </c>
      <c r="B1765" s="32" t="s">
        <v>1858</v>
      </c>
      <c r="C1765" s="32" t="s">
        <v>1671</v>
      </c>
      <c r="D1765" s="32" t="s">
        <v>1418</v>
      </c>
      <c r="E1765" s="33">
        <v>23</v>
      </c>
      <c r="F1765" s="33">
        <v>202</v>
      </c>
      <c r="G1765" s="33">
        <v>23</v>
      </c>
      <c r="H1765" s="13">
        <f t="shared" si="27"/>
        <v>8.7826086956521738</v>
      </c>
    </row>
    <row r="1766" spans="1:8" hidden="1" outlineLevel="2">
      <c r="A1766" s="32" t="s">
        <v>1407</v>
      </c>
      <c r="B1766" s="32" t="s">
        <v>1858</v>
      </c>
      <c r="C1766" s="32" t="s">
        <v>1413</v>
      </c>
      <c r="D1766" s="32" t="s">
        <v>1418</v>
      </c>
      <c r="E1766" s="33">
        <v>30</v>
      </c>
      <c r="F1766" s="33">
        <v>262</v>
      </c>
      <c r="G1766" s="33">
        <v>24</v>
      </c>
      <c r="H1766" s="13">
        <f t="shared" si="27"/>
        <v>8.7333333333333325</v>
      </c>
    </row>
    <row r="1767" spans="1:8" hidden="1" outlineLevel="2">
      <c r="A1767" s="32" t="s">
        <v>1407</v>
      </c>
      <c r="B1767" s="32" t="s">
        <v>1862</v>
      </c>
      <c r="C1767" s="32" t="s">
        <v>1417</v>
      </c>
      <c r="D1767" s="32" t="s">
        <v>1408</v>
      </c>
      <c r="E1767" s="33">
        <v>49</v>
      </c>
      <c r="F1767" s="33">
        <v>422</v>
      </c>
      <c r="G1767" s="33">
        <v>42</v>
      </c>
      <c r="H1767" s="13">
        <f t="shared" si="27"/>
        <v>8.612244897959183</v>
      </c>
    </row>
    <row r="1768" spans="1:8" hidden="1" outlineLevel="2">
      <c r="A1768" s="32" t="s">
        <v>1407</v>
      </c>
      <c r="B1768" s="32" t="s">
        <v>1858</v>
      </c>
      <c r="C1768" s="32" t="s">
        <v>1414</v>
      </c>
      <c r="D1768" s="32" t="s">
        <v>1408</v>
      </c>
      <c r="E1768" s="33">
        <v>45</v>
      </c>
      <c r="F1768" s="33">
        <v>363</v>
      </c>
      <c r="G1768" s="33">
        <v>47</v>
      </c>
      <c r="H1768" s="13">
        <f t="shared" si="27"/>
        <v>8.0666666666666664</v>
      </c>
    </row>
    <row r="1769" spans="1:8" hidden="1" outlineLevel="2">
      <c r="A1769" s="32" t="s">
        <v>1407</v>
      </c>
      <c r="B1769" s="32" t="s">
        <v>86</v>
      </c>
      <c r="C1769" s="32" t="s">
        <v>1548</v>
      </c>
      <c r="D1769" s="32" t="s">
        <v>1418</v>
      </c>
      <c r="E1769" s="33">
        <v>55</v>
      </c>
      <c r="F1769" s="33">
        <v>422</v>
      </c>
      <c r="G1769" s="33">
        <v>54</v>
      </c>
      <c r="H1769" s="13">
        <f t="shared" si="27"/>
        <v>7.6727272727272728</v>
      </c>
    </row>
    <row r="1770" spans="1:8" hidden="1" outlineLevel="2">
      <c r="A1770" s="32" t="s">
        <v>1407</v>
      </c>
      <c r="B1770" s="32" t="s">
        <v>1862</v>
      </c>
      <c r="C1770" s="32" t="s">
        <v>1406</v>
      </c>
      <c r="D1770" s="32" t="s">
        <v>1408</v>
      </c>
      <c r="E1770" s="33">
        <v>55</v>
      </c>
      <c r="F1770" s="33">
        <v>407</v>
      </c>
      <c r="G1770" s="33">
        <v>49</v>
      </c>
      <c r="H1770" s="13">
        <f t="shared" si="27"/>
        <v>7.4</v>
      </c>
    </row>
    <row r="1771" spans="1:8" hidden="1" outlineLevel="2">
      <c r="A1771" s="32" t="s">
        <v>1407</v>
      </c>
      <c r="B1771" s="32" t="s">
        <v>86</v>
      </c>
      <c r="C1771" s="32" t="s">
        <v>1546</v>
      </c>
      <c r="D1771" s="32" t="s">
        <v>1418</v>
      </c>
      <c r="E1771" s="33">
        <v>55</v>
      </c>
      <c r="F1771" s="33">
        <v>393</v>
      </c>
      <c r="G1771" s="33">
        <v>0</v>
      </c>
      <c r="H1771" s="13">
        <f t="shared" si="27"/>
        <v>7.1454545454545455</v>
      </c>
    </row>
    <row r="1772" spans="1:8" hidden="1" outlineLevel="2">
      <c r="A1772" s="32" t="s">
        <v>1407</v>
      </c>
      <c r="B1772" s="32" t="s">
        <v>1858</v>
      </c>
      <c r="C1772" s="32" t="s">
        <v>1804</v>
      </c>
      <c r="D1772" s="32" t="s">
        <v>1410</v>
      </c>
      <c r="E1772" s="33">
        <v>25</v>
      </c>
      <c r="F1772" s="33">
        <v>175</v>
      </c>
      <c r="G1772" s="33">
        <v>18</v>
      </c>
      <c r="H1772" s="13">
        <f t="shared" si="27"/>
        <v>7</v>
      </c>
    </row>
    <row r="1773" spans="1:8" hidden="1" outlineLevel="2">
      <c r="A1773" s="32" t="s">
        <v>1407</v>
      </c>
      <c r="B1773" s="32" t="s">
        <v>86</v>
      </c>
      <c r="C1773" s="32" t="s">
        <v>1691</v>
      </c>
      <c r="D1773" s="32" t="s">
        <v>1418</v>
      </c>
      <c r="E1773" s="33">
        <v>41</v>
      </c>
      <c r="F1773" s="33">
        <v>282</v>
      </c>
      <c r="G1773" s="33">
        <v>42</v>
      </c>
      <c r="H1773" s="13">
        <f t="shared" si="27"/>
        <v>6.8780487804878048</v>
      </c>
    </row>
    <row r="1774" spans="1:8" hidden="1" outlineLevel="2">
      <c r="A1774" s="32" t="s">
        <v>1407</v>
      </c>
      <c r="B1774" s="32" t="s">
        <v>1858</v>
      </c>
      <c r="C1774" s="32" t="s">
        <v>1414</v>
      </c>
      <c r="D1774" s="32" t="s">
        <v>1418</v>
      </c>
      <c r="E1774" s="33">
        <v>45</v>
      </c>
      <c r="F1774" s="33">
        <v>270</v>
      </c>
      <c r="G1774" s="33">
        <v>44</v>
      </c>
      <c r="H1774" s="13">
        <f t="shared" si="27"/>
        <v>6</v>
      </c>
    </row>
    <row r="1775" spans="1:8" hidden="1" outlineLevel="2">
      <c r="A1775" s="32" t="s">
        <v>1407</v>
      </c>
      <c r="B1775" s="32" t="s">
        <v>86</v>
      </c>
      <c r="C1775" s="32" t="s">
        <v>1750</v>
      </c>
      <c r="D1775" s="32" t="s">
        <v>1408</v>
      </c>
      <c r="E1775" s="33">
        <v>110</v>
      </c>
      <c r="F1775" s="33">
        <v>652</v>
      </c>
      <c r="G1775" s="33">
        <v>98</v>
      </c>
      <c r="H1775" s="13">
        <f t="shared" si="27"/>
        <v>5.9272727272727277</v>
      </c>
    </row>
    <row r="1776" spans="1:8" hidden="1" outlineLevel="2">
      <c r="A1776" s="32" t="s">
        <v>1407</v>
      </c>
      <c r="B1776" s="32" t="s">
        <v>1858</v>
      </c>
      <c r="C1776" s="32" t="s">
        <v>1414</v>
      </c>
      <c r="D1776" s="32" t="s">
        <v>1410</v>
      </c>
      <c r="E1776" s="33">
        <v>110</v>
      </c>
      <c r="F1776" s="33">
        <v>619</v>
      </c>
      <c r="G1776" s="33">
        <v>116</v>
      </c>
      <c r="H1776" s="13">
        <f t="shared" si="27"/>
        <v>5.627272727272727</v>
      </c>
    </row>
    <row r="1777" spans="1:8" hidden="1" outlineLevel="2">
      <c r="A1777" s="32" t="s">
        <v>1407</v>
      </c>
      <c r="B1777" s="32" t="s">
        <v>1858</v>
      </c>
      <c r="C1777" s="32" t="s">
        <v>1476</v>
      </c>
      <c r="D1777" s="32" t="s">
        <v>1418</v>
      </c>
      <c r="E1777" s="33">
        <v>35</v>
      </c>
      <c r="F1777" s="33">
        <v>174</v>
      </c>
      <c r="G1777" s="33">
        <v>18</v>
      </c>
      <c r="H1777" s="13">
        <f t="shared" si="27"/>
        <v>4.9714285714285715</v>
      </c>
    </row>
    <row r="1778" spans="1:8" hidden="1" outlineLevel="2">
      <c r="A1778" s="32" t="s">
        <v>1407</v>
      </c>
      <c r="B1778" s="32" t="s">
        <v>1862</v>
      </c>
      <c r="C1778" s="32" t="s">
        <v>1670</v>
      </c>
      <c r="D1778" s="32" t="s">
        <v>1408</v>
      </c>
      <c r="E1778" s="33">
        <v>70</v>
      </c>
      <c r="F1778" s="33">
        <v>345</v>
      </c>
      <c r="G1778" s="33">
        <v>48</v>
      </c>
      <c r="H1778" s="13">
        <f t="shared" si="27"/>
        <v>4.9285714285714288</v>
      </c>
    </row>
    <row r="1779" spans="1:8" hidden="1" outlineLevel="2">
      <c r="A1779" s="32" t="s">
        <v>1407</v>
      </c>
      <c r="B1779" s="32" t="s">
        <v>1858</v>
      </c>
      <c r="C1779" s="32" t="s">
        <v>1476</v>
      </c>
      <c r="D1779" s="32" t="s">
        <v>1410</v>
      </c>
      <c r="E1779" s="33">
        <v>116</v>
      </c>
      <c r="F1779" s="33">
        <v>562</v>
      </c>
      <c r="G1779" s="33">
        <v>87</v>
      </c>
      <c r="H1779" s="13">
        <f t="shared" si="27"/>
        <v>4.8448275862068968</v>
      </c>
    </row>
    <row r="1780" spans="1:8" outlineLevel="1" collapsed="1">
      <c r="A1780" s="37" t="s">
        <v>1882</v>
      </c>
      <c r="B1780" s="37"/>
      <c r="C1780" s="37"/>
      <c r="D1780" s="37"/>
      <c r="E1780" s="38">
        <f>SUBTOTAL(9,E1743:E1779)</f>
        <v>1808</v>
      </c>
      <c r="F1780" s="38">
        <f>SUBTOTAL(9,F1743:F1779)</f>
        <v>18782</v>
      </c>
      <c r="G1780" s="38">
        <f>SUBTOTAL(9,G1743:G1779)</f>
        <v>1521</v>
      </c>
      <c r="H1780" s="39">
        <f t="shared" si="27"/>
        <v>10.388274336283185</v>
      </c>
    </row>
    <row r="1781" spans="1:8" hidden="1" outlineLevel="2">
      <c r="A1781" s="32" t="s">
        <v>1395</v>
      </c>
      <c r="B1781" s="32" t="s">
        <v>1862</v>
      </c>
      <c r="C1781" s="32" t="s">
        <v>1747</v>
      </c>
      <c r="D1781" s="32" t="s">
        <v>1396</v>
      </c>
      <c r="E1781" s="33">
        <v>57</v>
      </c>
      <c r="F1781" s="33">
        <v>7668</v>
      </c>
      <c r="G1781" s="33">
        <v>55</v>
      </c>
      <c r="H1781" s="13">
        <f t="shared" si="27"/>
        <v>134.52631578947367</v>
      </c>
    </row>
    <row r="1782" spans="1:8" hidden="1" outlineLevel="2">
      <c r="A1782" s="32" t="s">
        <v>1395</v>
      </c>
      <c r="B1782" s="32" t="s">
        <v>86</v>
      </c>
      <c r="C1782" s="32" t="s">
        <v>1590</v>
      </c>
      <c r="D1782" s="32" t="s">
        <v>1396</v>
      </c>
      <c r="E1782" s="33">
        <v>75</v>
      </c>
      <c r="F1782" s="33">
        <v>9303</v>
      </c>
      <c r="G1782" s="33">
        <v>67</v>
      </c>
      <c r="H1782" s="13">
        <f t="shared" si="27"/>
        <v>124.04</v>
      </c>
    </row>
    <row r="1783" spans="1:8" hidden="1" outlineLevel="2">
      <c r="A1783" s="32" t="s">
        <v>1395</v>
      </c>
      <c r="B1783" s="32" t="s">
        <v>86</v>
      </c>
      <c r="C1783" s="32" t="s">
        <v>1397</v>
      </c>
      <c r="D1783" s="32" t="s">
        <v>1396</v>
      </c>
      <c r="E1783" s="33">
        <v>77</v>
      </c>
      <c r="F1783" s="33">
        <v>8880</v>
      </c>
      <c r="G1783" s="33">
        <v>73</v>
      </c>
      <c r="H1783" s="13">
        <f t="shared" si="27"/>
        <v>115.32467532467533</v>
      </c>
    </row>
    <row r="1784" spans="1:8" hidden="1" outlineLevel="2">
      <c r="A1784" s="32" t="s">
        <v>1395</v>
      </c>
      <c r="B1784" s="32" t="s">
        <v>1858</v>
      </c>
      <c r="C1784" s="32" t="s">
        <v>1738</v>
      </c>
      <c r="D1784" s="32" t="s">
        <v>1396</v>
      </c>
      <c r="E1784" s="33">
        <v>70</v>
      </c>
      <c r="F1784" s="33">
        <v>6777</v>
      </c>
      <c r="G1784" s="33">
        <v>70</v>
      </c>
      <c r="H1784" s="13">
        <f t="shared" si="27"/>
        <v>96.814285714285717</v>
      </c>
    </row>
    <row r="1785" spans="1:8" hidden="1" outlineLevel="2">
      <c r="A1785" s="32" t="s">
        <v>1395</v>
      </c>
      <c r="B1785" s="32" t="s">
        <v>1862</v>
      </c>
      <c r="C1785" s="32" t="s">
        <v>1741</v>
      </c>
      <c r="D1785" s="32" t="s">
        <v>1396</v>
      </c>
      <c r="E1785" s="33">
        <v>90</v>
      </c>
      <c r="F1785" s="33">
        <v>8663</v>
      </c>
      <c r="G1785" s="33">
        <v>88</v>
      </c>
      <c r="H1785" s="13">
        <f t="shared" si="27"/>
        <v>96.25555555555556</v>
      </c>
    </row>
    <row r="1786" spans="1:8" hidden="1" outlineLevel="2">
      <c r="A1786" s="32" t="s">
        <v>1395</v>
      </c>
      <c r="B1786" s="32" t="s">
        <v>1862</v>
      </c>
      <c r="C1786" s="32" t="s">
        <v>1774</v>
      </c>
      <c r="D1786" s="32" t="s">
        <v>1396</v>
      </c>
      <c r="E1786" s="33">
        <v>64</v>
      </c>
      <c r="F1786" s="33">
        <v>6114</v>
      </c>
      <c r="G1786" s="33">
        <v>61</v>
      </c>
      <c r="H1786" s="13">
        <f t="shared" si="27"/>
        <v>95.53125</v>
      </c>
    </row>
    <row r="1787" spans="1:8" hidden="1" outlineLevel="2">
      <c r="A1787" s="32" t="s">
        <v>1395</v>
      </c>
      <c r="B1787" s="32" t="s">
        <v>86</v>
      </c>
      <c r="C1787" s="32" t="s">
        <v>1541</v>
      </c>
      <c r="D1787" s="32" t="s">
        <v>1396</v>
      </c>
      <c r="E1787" s="33">
        <v>124</v>
      </c>
      <c r="F1787" s="33">
        <v>11757</v>
      </c>
      <c r="G1787" s="33">
        <v>122</v>
      </c>
      <c r="H1787" s="13">
        <f t="shared" si="27"/>
        <v>94.814516129032256</v>
      </c>
    </row>
    <row r="1788" spans="1:8" hidden="1" outlineLevel="2">
      <c r="A1788" s="32" t="s">
        <v>1395</v>
      </c>
      <c r="B1788" s="32" t="s">
        <v>1858</v>
      </c>
      <c r="C1788" s="32" t="s">
        <v>1538</v>
      </c>
      <c r="D1788" s="32" t="s">
        <v>1396</v>
      </c>
      <c r="E1788" s="33">
        <v>65</v>
      </c>
      <c r="F1788" s="33">
        <v>6146</v>
      </c>
      <c r="G1788" s="33">
        <v>64</v>
      </c>
      <c r="H1788" s="13">
        <f t="shared" si="27"/>
        <v>94.553846153846152</v>
      </c>
    </row>
    <row r="1789" spans="1:8" hidden="1" outlineLevel="2">
      <c r="A1789" s="32" t="s">
        <v>1395</v>
      </c>
      <c r="B1789" s="32" t="s">
        <v>86</v>
      </c>
      <c r="C1789" s="32" t="s">
        <v>1740</v>
      </c>
      <c r="D1789" s="32" t="s">
        <v>1396</v>
      </c>
      <c r="E1789" s="33">
        <v>102</v>
      </c>
      <c r="F1789" s="33">
        <v>9488</v>
      </c>
      <c r="G1789" s="33">
        <v>104</v>
      </c>
      <c r="H1789" s="13">
        <f t="shared" si="27"/>
        <v>93.019607843137251</v>
      </c>
    </row>
    <row r="1790" spans="1:8" hidden="1" outlineLevel="2">
      <c r="A1790" s="32" t="s">
        <v>1395</v>
      </c>
      <c r="B1790" s="32" t="s">
        <v>1858</v>
      </c>
      <c r="C1790" s="32" t="s">
        <v>1656</v>
      </c>
      <c r="D1790" s="32" t="s">
        <v>1396</v>
      </c>
      <c r="E1790" s="33">
        <v>80</v>
      </c>
      <c r="F1790" s="33">
        <v>7389</v>
      </c>
      <c r="G1790" s="33">
        <v>80</v>
      </c>
      <c r="H1790" s="13">
        <f t="shared" si="27"/>
        <v>92.362499999999997</v>
      </c>
    </row>
    <row r="1791" spans="1:8" hidden="1" outlineLevel="2">
      <c r="A1791" s="32" t="s">
        <v>1395</v>
      </c>
      <c r="B1791" s="32" t="s">
        <v>1858</v>
      </c>
      <c r="C1791" s="32" t="s">
        <v>1394</v>
      </c>
      <c r="D1791" s="32" t="s">
        <v>1396</v>
      </c>
      <c r="E1791" s="33">
        <v>75</v>
      </c>
      <c r="F1791" s="33">
        <v>6838</v>
      </c>
      <c r="G1791" s="33">
        <v>75</v>
      </c>
      <c r="H1791" s="13">
        <f t="shared" si="27"/>
        <v>91.173333333333332</v>
      </c>
    </row>
    <row r="1792" spans="1:8" hidden="1" outlineLevel="2">
      <c r="A1792" s="32" t="s">
        <v>1395</v>
      </c>
      <c r="B1792" s="32" t="s">
        <v>86</v>
      </c>
      <c r="C1792" s="32" t="s">
        <v>1537</v>
      </c>
      <c r="D1792" s="32" t="s">
        <v>1396</v>
      </c>
      <c r="E1792" s="33">
        <v>120</v>
      </c>
      <c r="F1792" s="33">
        <v>10925</v>
      </c>
      <c r="G1792" s="33">
        <v>109</v>
      </c>
      <c r="H1792" s="13">
        <f t="shared" si="27"/>
        <v>91.041666666666671</v>
      </c>
    </row>
    <row r="1793" spans="1:8" hidden="1" outlineLevel="2">
      <c r="A1793" s="32" t="s">
        <v>1395</v>
      </c>
      <c r="B1793" s="32" t="s">
        <v>1862</v>
      </c>
      <c r="C1793" s="32" t="s">
        <v>1657</v>
      </c>
      <c r="D1793" s="32" t="s">
        <v>1396</v>
      </c>
      <c r="E1793" s="33">
        <v>72</v>
      </c>
      <c r="F1793" s="33">
        <v>6268</v>
      </c>
      <c r="G1793" s="33">
        <v>72</v>
      </c>
      <c r="H1793" s="13">
        <f t="shared" si="27"/>
        <v>87.055555555555557</v>
      </c>
    </row>
    <row r="1794" spans="1:8" hidden="1" outlineLevel="2">
      <c r="A1794" s="32" t="s">
        <v>1395</v>
      </c>
      <c r="B1794" s="32" t="s">
        <v>86</v>
      </c>
      <c r="C1794" s="32" t="s">
        <v>1661</v>
      </c>
      <c r="D1794" s="32" t="s">
        <v>1396</v>
      </c>
      <c r="E1794" s="33">
        <v>121</v>
      </c>
      <c r="F1794" s="33">
        <v>10325</v>
      </c>
      <c r="G1794" s="33">
        <v>106</v>
      </c>
      <c r="H1794" s="13">
        <f t="shared" ref="H1794:H1857" si="28">IFERROR(F1794/E1794,"")</f>
        <v>85.330578512396698</v>
      </c>
    </row>
    <row r="1795" spans="1:8" hidden="1" outlineLevel="2">
      <c r="A1795" s="32" t="s">
        <v>1395</v>
      </c>
      <c r="B1795" s="32" t="s">
        <v>1862</v>
      </c>
      <c r="C1795" s="32" t="s">
        <v>1401</v>
      </c>
      <c r="D1795" s="32" t="s">
        <v>1396</v>
      </c>
      <c r="E1795" s="33">
        <v>89</v>
      </c>
      <c r="F1795" s="33">
        <v>7292</v>
      </c>
      <c r="G1795" s="33">
        <v>81</v>
      </c>
      <c r="H1795" s="13">
        <f t="shared" si="28"/>
        <v>81.932584269662925</v>
      </c>
    </row>
    <row r="1796" spans="1:8" hidden="1" outlineLevel="2">
      <c r="A1796" s="32" t="s">
        <v>1395</v>
      </c>
      <c r="B1796" s="32" t="s">
        <v>1862</v>
      </c>
      <c r="C1796" s="32" t="s">
        <v>1540</v>
      </c>
      <c r="D1796" s="32" t="s">
        <v>1396</v>
      </c>
      <c r="E1796" s="33">
        <v>86</v>
      </c>
      <c r="F1796" s="33">
        <v>6801</v>
      </c>
      <c r="G1796" s="33">
        <v>83</v>
      </c>
      <c r="H1796" s="13">
        <f t="shared" si="28"/>
        <v>79.081395348837205</v>
      </c>
    </row>
    <row r="1797" spans="1:8" hidden="1" outlineLevel="2">
      <c r="A1797" s="32" t="s">
        <v>1395</v>
      </c>
      <c r="B1797" s="32" t="s">
        <v>1862</v>
      </c>
      <c r="C1797" s="32" t="s">
        <v>1542</v>
      </c>
      <c r="D1797" s="32" t="s">
        <v>1396</v>
      </c>
      <c r="E1797" s="33">
        <v>100</v>
      </c>
      <c r="F1797" s="33">
        <v>7897</v>
      </c>
      <c r="G1797" s="33">
        <v>94</v>
      </c>
      <c r="H1797" s="13">
        <f t="shared" si="28"/>
        <v>78.97</v>
      </c>
    </row>
    <row r="1798" spans="1:8" hidden="1" outlineLevel="2">
      <c r="A1798" s="32" t="s">
        <v>1395</v>
      </c>
      <c r="B1798" s="32" t="s">
        <v>1862</v>
      </c>
      <c r="C1798" s="32" t="s">
        <v>1827</v>
      </c>
      <c r="D1798" s="32" t="s">
        <v>1396</v>
      </c>
      <c r="E1798" s="33">
        <v>102</v>
      </c>
      <c r="F1798" s="33">
        <v>8009</v>
      </c>
      <c r="G1798" s="33">
        <v>101</v>
      </c>
      <c r="H1798" s="13">
        <f t="shared" si="28"/>
        <v>78.519607843137251</v>
      </c>
    </row>
    <row r="1799" spans="1:8" hidden="1" outlineLevel="2">
      <c r="A1799" s="32" t="s">
        <v>1395</v>
      </c>
      <c r="B1799" s="32" t="s">
        <v>1862</v>
      </c>
      <c r="C1799" s="32" t="s">
        <v>1828</v>
      </c>
      <c r="D1799" s="32" t="s">
        <v>1396</v>
      </c>
      <c r="E1799" s="33">
        <v>97</v>
      </c>
      <c r="F1799" s="33">
        <v>7460</v>
      </c>
      <c r="G1799" s="33">
        <v>96</v>
      </c>
      <c r="H1799" s="13">
        <f t="shared" si="28"/>
        <v>76.907216494845358</v>
      </c>
    </row>
    <row r="1800" spans="1:8" hidden="1" outlineLevel="2">
      <c r="A1800" s="32" t="s">
        <v>1395</v>
      </c>
      <c r="B1800" s="32" t="s">
        <v>1862</v>
      </c>
      <c r="C1800" s="32" t="s">
        <v>1683</v>
      </c>
      <c r="D1800" s="32" t="s">
        <v>1396</v>
      </c>
      <c r="E1800" s="33">
        <v>94</v>
      </c>
      <c r="F1800" s="33">
        <v>7163</v>
      </c>
      <c r="G1800" s="33">
        <v>95</v>
      </c>
      <c r="H1800" s="13">
        <f t="shared" si="28"/>
        <v>76.202127659574472</v>
      </c>
    </row>
    <row r="1801" spans="1:8" hidden="1" outlineLevel="2">
      <c r="A1801" s="32" t="s">
        <v>1395</v>
      </c>
      <c r="B1801" s="32" t="s">
        <v>1862</v>
      </c>
      <c r="C1801" s="32" t="s">
        <v>1775</v>
      </c>
      <c r="D1801" s="32" t="s">
        <v>1396</v>
      </c>
      <c r="E1801" s="33">
        <v>100</v>
      </c>
      <c r="F1801" s="33">
        <v>7415</v>
      </c>
      <c r="G1801" s="33">
        <v>101</v>
      </c>
      <c r="H1801" s="13">
        <f t="shared" si="28"/>
        <v>74.150000000000006</v>
      </c>
    </row>
    <row r="1802" spans="1:8" hidden="1" outlineLevel="2">
      <c r="A1802" s="32" t="s">
        <v>1395</v>
      </c>
      <c r="B1802" s="32" t="s">
        <v>86</v>
      </c>
      <c r="C1802" s="32" t="s">
        <v>1399</v>
      </c>
      <c r="D1802" s="32" t="s">
        <v>1396</v>
      </c>
      <c r="E1802" s="33">
        <v>131</v>
      </c>
      <c r="F1802" s="33">
        <v>9555</v>
      </c>
      <c r="G1802" s="33">
        <v>131</v>
      </c>
      <c r="H1802" s="13">
        <f t="shared" si="28"/>
        <v>72.938931297709928</v>
      </c>
    </row>
    <row r="1803" spans="1:8" hidden="1" outlineLevel="2">
      <c r="A1803" s="32" t="s">
        <v>1395</v>
      </c>
      <c r="B1803" s="32" t="s">
        <v>1862</v>
      </c>
      <c r="C1803" s="32" t="s">
        <v>1742</v>
      </c>
      <c r="D1803" s="32" t="s">
        <v>1396</v>
      </c>
      <c r="E1803" s="33">
        <v>87</v>
      </c>
      <c r="F1803" s="33">
        <v>6317</v>
      </c>
      <c r="G1803" s="33">
        <v>84</v>
      </c>
      <c r="H1803" s="13">
        <f t="shared" si="28"/>
        <v>72.609195402298852</v>
      </c>
    </row>
    <row r="1804" spans="1:8" hidden="1" outlineLevel="2">
      <c r="A1804" s="32" t="s">
        <v>1395</v>
      </c>
      <c r="B1804" s="32" t="s">
        <v>1862</v>
      </c>
      <c r="C1804" s="32" t="s">
        <v>1757</v>
      </c>
      <c r="D1804" s="32" t="s">
        <v>1396</v>
      </c>
      <c r="E1804" s="33">
        <v>88</v>
      </c>
      <c r="F1804" s="33">
        <v>6275</v>
      </c>
      <c r="G1804" s="33">
        <v>79</v>
      </c>
      <c r="H1804" s="13">
        <f t="shared" si="28"/>
        <v>71.306818181818187</v>
      </c>
    </row>
    <row r="1805" spans="1:8" hidden="1" outlineLevel="2">
      <c r="A1805" s="32" t="s">
        <v>1395</v>
      </c>
      <c r="B1805" s="32" t="s">
        <v>1858</v>
      </c>
      <c r="C1805" s="32" t="s">
        <v>1676</v>
      </c>
      <c r="D1805" s="32" t="s">
        <v>1396</v>
      </c>
      <c r="E1805" s="33">
        <v>91</v>
      </c>
      <c r="F1805" s="33">
        <v>6329</v>
      </c>
      <c r="G1805" s="33">
        <v>98</v>
      </c>
      <c r="H1805" s="13">
        <f t="shared" si="28"/>
        <v>69.549450549450555</v>
      </c>
    </row>
    <row r="1806" spans="1:8" hidden="1" outlineLevel="2">
      <c r="A1806" s="32" t="s">
        <v>1395</v>
      </c>
      <c r="B1806" s="32" t="s">
        <v>86</v>
      </c>
      <c r="C1806" s="32" t="s">
        <v>1559</v>
      </c>
      <c r="D1806" s="32" t="s">
        <v>1396</v>
      </c>
      <c r="E1806" s="33">
        <v>141</v>
      </c>
      <c r="F1806" s="33">
        <v>9744</v>
      </c>
      <c r="G1806" s="33">
        <v>151</v>
      </c>
      <c r="H1806" s="13">
        <f t="shared" si="28"/>
        <v>69.106382978723403</v>
      </c>
    </row>
    <row r="1807" spans="1:8" hidden="1" outlineLevel="2">
      <c r="A1807" s="32" t="s">
        <v>1395</v>
      </c>
      <c r="B1807" s="32" t="s">
        <v>1862</v>
      </c>
      <c r="C1807" s="32" t="s">
        <v>1398</v>
      </c>
      <c r="D1807" s="32" t="s">
        <v>1396</v>
      </c>
      <c r="E1807" s="33">
        <v>100</v>
      </c>
      <c r="F1807" s="33">
        <v>5740</v>
      </c>
      <c r="G1807" s="33">
        <v>103</v>
      </c>
      <c r="H1807" s="13">
        <f t="shared" si="28"/>
        <v>57.4</v>
      </c>
    </row>
    <row r="1808" spans="1:8" hidden="1" outlineLevel="2">
      <c r="A1808" s="32" t="s">
        <v>1395</v>
      </c>
      <c r="B1808" s="32" t="s">
        <v>1862</v>
      </c>
      <c r="C1808" s="32" t="s">
        <v>1745</v>
      </c>
      <c r="D1808" s="32" t="s">
        <v>1396</v>
      </c>
      <c r="E1808" s="33">
        <v>79</v>
      </c>
      <c r="F1808" s="33">
        <v>4303</v>
      </c>
      <c r="G1808" s="33">
        <v>79</v>
      </c>
      <c r="H1808" s="13">
        <f t="shared" si="28"/>
        <v>54.468354430379748</v>
      </c>
    </row>
    <row r="1809" spans="1:8" hidden="1" outlineLevel="2">
      <c r="A1809" s="32" t="s">
        <v>1395</v>
      </c>
      <c r="B1809" s="32" t="s">
        <v>86</v>
      </c>
      <c r="C1809" s="32" t="s">
        <v>1831</v>
      </c>
      <c r="D1809" s="32" t="s">
        <v>1396</v>
      </c>
      <c r="E1809" s="33">
        <v>210</v>
      </c>
      <c r="F1809" s="33">
        <v>11399</v>
      </c>
      <c r="G1809" s="33">
        <v>205</v>
      </c>
      <c r="H1809" s="13">
        <f t="shared" si="28"/>
        <v>54.280952380952378</v>
      </c>
    </row>
    <row r="1810" spans="1:8" hidden="1" outlineLevel="2">
      <c r="A1810" s="32" t="s">
        <v>1395</v>
      </c>
      <c r="B1810" s="32" t="s">
        <v>1858</v>
      </c>
      <c r="C1810" s="32" t="s">
        <v>1658</v>
      </c>
      <c r="D1810" s="32" t="s">
        <v>1396</v>
      </c>
      <c r="E1810" s="33">
        <v>87</v>
      </c>
      <c r="F1810" s="33">
        <v>4595</v>
      </c>
      <c r="G1810" s="33">
        <v>83</v>
      </c>
      <c r="H1810" s="13">
        <f t="shared" si="28"/>
        <v>52.816091954022987</v>
      </c>
    </row>
    <row r="1811" spans="1:8" hidden="1" outlineLevel="2">
      <c r="A1811" s="32" t="s">
        <v>1395</v>
      </c>
      <c r="B1811" s="32" t="s">
        <v>1858</v>
      </c>
      <c r="C1811" s="32" t="s">
        <v>1551</v>
      </c>
      <c r="D1811" s="32" t="s">
        <v>1396</v>
      </c>
      <c r="E1811" s="33">
        <v>105</v>
      </c>
      <c r="F1811" s="33">
        <v>5148</v>
      </c>
      <c r="G1811" s="33">
        <v>104</v>
      </c>
      <c r="H1811" s="13">
        <f t="shared" si="28"/>
        <v>49.028571428571432</v>
      </c>
    </row>
    <row r="1812" spans="1:8" hidden="1" outlineLevel="2">
      <c r="A1812" s="32" t="s">
        <v>1395</v>
      </c>
      <c r="B1812" s="32" t="s">
        <v>1858</v>
      </c>
      <c r="C1812" s="32" t="s">
        <v>1744</v>
      </c>
      <c r="D1812" s="32" t="s">
        <v>1396</v>
      </c>
      <c r="E1812" s="33">
        <v>70</v>
      </c>
      <c r="F1812" s="33">
        <v>3317</v>
      </c>
      <c r="G1812" s="33">
        <v>64</v>
      </c>
      <c r="H1812" s="13">
        <f t="shared" si="28"/>
        <v>47.385714285714286</v>
      </c>
    </row>
    <row r="1813" spans="1:8" hidden="1" outlineLevel="2">
      <c r="A1813" s="32" t="s">
        <v>1395</v>
      </c>
      <c r="B1813" s="32" t="s">
        <v>86</v>
      </c>
      <c r="C1813" s="32" t="s">
        <v>1746</v>
      </c>
      <c r="D1813" s="32" t="s">
        <v>1396</v>
      </c>
      <c r="E1813" s="33">
        <v>278</v>
      </c>
      <c r="F1813" s="33">
        <v>13001</v>
      </c>
      <c r="G1813" s="33">
        <v>275</v>
      </c>
      <c r="H1813" s="13">
        <f t="shared" si="28"/>
        <v>46.766187050359711</v>
      </c>
    </row>
    <row r="1814" spans="1:8" hidden="1" outlineLevel="2">
      <c r="A1814" s="32" t="s">
        <v>1395</v>
      </c>
      <c r="B1814" s="32" t="s">
        <v>1858</v>
      </c>
      <c r="C1814" s="32" t="s">
        <v>1833</v>
      </c>
      <c r="D1814" s="32" t="s">
        <v>1396</v>
      </c>
      <c r="E1814" s="33">
        <v>85</v>
      </c>
      <c r="F1814" s="33">
        <v>3882</v>
      </c>
      <c r="G1814" s="33">
        <v>82</v>
      </c>
      <c r="H1814" s="13">
        <f t="shared" si="28"/>
        <v>45.670588235294119</v>
      </c>
    </row>
    <row r="1815" spans="1:8" hidden="1" outlineLevel="2">
      <c r="A1815" s="32" t="s">
        <v>1395</v>
      </c>
      <c r="B1815" s="32" t="s">
        <v>1858</v>
      </c>
      <c r="C1815" s="32" t="s">
        <v>1662</v>
      </c>
      <c r="D1815" s="32" t="s">
        <v>1396</v>
      </c>
      <c r="E1815" s="33">
        <v>129</v>
      </c>
      <c r="F1815" s="33">
        <v>5841</v>
      </c>
      <c r="G1815" s="33">
        <v>117</v>
      </c>
      <c r="H1815" s="13">
        <f t="shared" si="28"/>
        <v>45.279069767441861</v>
      </c>
    </row>
    <row r="1816" spans="1:8" hidden="1" outlineLevel="2">
      <c r="A1816" s="32" t="s">
        <v>1395</v>
      </c>
      <c r="B1816" s="32" t="s">
        <v>1858</v>
      </c>
      <c r="C1816" s="32" t="s">
        <v>1403</v>
      </c>
      <c r="D1816" s="32" t="s">
        <v>1396</v>
      </c>
      <c r="E1816" s="33">
        <v>75</v>
      </c>
      <c r="F1816" s="33">
        <v>3344</v>
      </c>
      <c r="G1816" s="33">
        <v>79</v>
      </c>
      <c r="H1816" s="13">
        <f t="shared" si="28"/>
        <v>44.586666666666666</v>
      </c>
    </row>
    <row r="1817" spans="1:8" hidden="1" outlineLevel="2">
      <c r="A1817" s="32" t="s">
        <v>1395</v>
      </c>
      <c r="B1817" s="32" t="s">
        <v>1858</v>
      </c>
      <c r="C1817" s="32" t="s">
        <v>1834</v>
      </c>
      <c r="D1817" s="32" t="s">
        <v>1396</v>
      </c>
      <c r="E1817" s="33">
        <v>70</v>
      </c>
      <c r="F1817" s="33">
        <v>3120</v>
      </c>
      <c r="G1817" s="33">
        <v>69</v>
      </c>
      <c r="H1817" s="13">
        <f t="shared" si="28"/>
        <v>44.571428571428569</v>
      </c>
    </row>
    <row r="1818" spans="1:8" hidden="1" outlineLevel="2">
      <c r="A1818" s="32" t="s">
        <v>1395</v>
      </c>
      <c r="B1818" s="32" t="s">
        <v>1862</v>
      </c>
      <c r="C1818" s="32" t="s">
        <v>1773</v>
      </c>
      <c r="D1818" s="32" t="s">
        <v>1396</v>
      </c>
      <c r="E1818" s="33">
        <v>105</v>
      </c>
      <c r="F1818" s="33">
        <v>4663</v>
      </c>
      <c r="G1818" s="33">
        <v>116</v>
      </c>
      <c r="H1818" s="13">
        <f t="shared" si="28"/>
        <v>44.409523809523812</v>
      </c>
    </row>
    <row r="1819" spans="1:8" hidden="1" outlineLevel="2">
      <c r="A1819" s="32" t="s">
        <v>1395</v>
      </c>
      <c r="B1819" s="32" t="s">
        <v>1858</v>
      </c>
      <c r="C1819" s="32" t="s">
        <v>1663</v>
      </c>
      <c r="D1819" s="32" t="s">
        <v>1396</v>
      </c>
      <c r="E1819" s="33">
        <v>58</v>
      </c>
      <c r="F1819" s="33">
        <v>2516</v>
      </c>
      <c r="G1819" s="33">
        <v>58</v>
      </c>
      <c r="H1819" s="13">
        <f t="shared" si="28"/>
        <v>43.379310344827587</v>
      </c>
    </row>
    <row r="1820" spans="1:8" hidden="1" outlineLevel="2">
      <c r="A1820" s="32" t="s">
        <v>1395</v>
      </c>
      <c r="B1820" s="32" t="s">
        <v>1858</v>
      </c>
      <c r="C1820" s="32" t="s">
        <v>1748</v>
      </c>
      <c r="D1820" s="32" t="s">
        <v>1396</v>
      </c>
      <c r="E1820" s="33">
        <v>155</v>
      </c>
      <c r="F1820" s="33">
        <v>6680</v>
      </c>
      <c r="G1820" s="33">
        <v>149</v>
      </c>
      <c r="H1820" s="13">
        <f t="shared" si="28"/>
        <v>43.096774193548384</v>
      </c>
    </row>
    <row r="1821" spans="1:8" hidden="1" outlineLevel="2">
      <c r="A1821" s="32" t="s">
        <v>1395</v>
      </c>
      <c r="B1821" s="32" t="s">
        <v>1862</v>
      </c>
      <c r="C1821" s="32" t="s">
        <v>1539</v>
      </c>
      <c r="D1821" s="32" t="s">
        <v>1396</v>
      </c>
      <c r="E1821" s="33">
        <v>175</v>
      </c>
      <c r="F1821" s="33">
        <v>7486</v>
      </c>
      <c r="G1821" s="33">
        <v>174</v>
      </c>
      <c r="H1821" s="13">
        <f t="shared" si="28"/>
        <v>42.777142857142856</v>
      </c>
    </row>
    <row r="1822" spans="1:8" hidden="1" outlineLevel="2">
      <c r="A1822" s="32" t="s">
        <v>1395</v>
      </c>
      <c r="B1822" s="32" t="s">
        <v>1858</v>
      </c>
      <c r="C1822" s="32" t="s">
        <v>1830</v>
      </c>
      <c r="D1822" s="32" t="s">
        <v>1396</v>
      </c>
      <c r="E1822" s="33">
        <v>123</v>
      </c>
      <c r="F1822" s="33">
        <v>5251</v>
      </c>
      <c r="G1822" s="33">
        <v>119</v>
      </c>
      <c r="H1822" s="13">
        <f t="shared" si="28"/>
        <v>42.691056910569102</v>
      </c>
    </row>
    <row r="1823" spans="1:8" hidden="1" outlineLevel="2">
      <c r="A1823" s="32" t="s">
        <v>1395</v>
      </c>
      <c r="B1823" s="32" t="s">
        <v>1858</v>
      </c>
      <c r="C1823" s="32" t="s">
        <v>1832</v>
      </c>
      <c r="D1823" s="32" t="s">
        <v>1396</v>
      </c>
      <c r="E1823" s="33">
        <v>102</v>
      </c>
      <c r="F1823" s="33">
        <v>4304</v>
      </c>
      <c r="G1823" s="33">
        <v>97</v>
      </c>
      <c r="H1823" s="13">
        <f t="shared" si="28"/>
        <v>42.196078431372548</v>
      </c>
    </row>
    <row r="1824" spans="1:8" hidden="1" outlineLevel="2">
      <c r="A1824" s="32" t="s">
        <v>1395</v>
      </c>
      <c r="B1824" s="32" t="s">
        <v>1858</v>
      </c>
      <c r="C1824" s="32" t="s">
        <v>1560</v>
      </c>
      <c r="D1824" s="32" t="s">
        <v>1396</v>
      </c>
      <c r="E1824" s="33">
        <v>82</v>
      </c>
      <c r="F1824" s="33">
        <v>3438</v>
      </c>
      <c r="G1824" s="33">
        <v>70</v>
      </c>
      <c r="H1824" s="13">
        <f t="shared" si="28"/>
        <v>41.926829268292686</v>
      </c>
    </row>
    <row r="1825" spans="1:8" hidden="1" outlineLevel="2">
      <c r="A1825" s="32" t="s">
        <v>1395</v>
      </c>
      <c r="B1825" s="32" t="s">
        <v>1862</v>
      </c>
      <c r="C1825" s="32" t="s">
        <v>1544</v>
      </c>
      <c r="D1825" s="32" t="s">
        <v>1396</v>
      </c>
      <c r="E1825" s="33">
        <v>85</v>
      </c>
      <c r="F1825" s="33">
        <v>3367</v>
      </c>
      <c r="G1825" s="33">
        <v>85</v>
      </c>
      <c r="H1825" s="13">
        <f t="shared" si="28"/>
        <v>39.611764705882351</v>
      </c>
    </row>
    <row r="1826" spans="1:8" hidden="1" outlineLevel="2">
      <c r="A1826" s="32" t="s">
        <v>1395</v>
      </c>
      <c r="B1826" s="32" t="s">
        <v>1862</v>
      </c>
      <c r="C1826" s="32" t="s">
        <v>1829</v>
      </c>
      <c r="D1826" s="32" t="s">
        <v>1396</v>
      </c>
      <c r="E1826" s="33">
        <v>166</v>
      </c>
      <c r="F1826" s="33">
        <v>6378</v>
      </c>
      <c r="G1826" s="33">
        <v>164</v>
      </c>
      <c r="H1826" s="13">
        <f t="shared" si="28"/>
        <v>38.421686746987952</v>
      </c>
    </row>
    <row r="1827" spans="1:8" hidden="1" outlineLevel="2">
      <c r="A1827" s="32" t="s">
        <v>1395</v>
      </c>
      <c r="B1827" s="32" t="s">
        <v>1858</v>
      </c>
      <c r="C1827" s="32" t="s">
        <v>1404</v>
      </c>
      <c r="D1827" s="32" t="s">
        <v>1396</v>
      </c>
      <c r="E1827" s="33">
        <v>70</v>
      </c>
      <c r="F1827" s="33">
        <v>2644</v>
      </c>
      <c r="G1827" s="33">
        <v>74</v>
      </c>
      <c r="H1827" s="13">
        <f t="shared" si="28"/>
        <v>37.771428571428572</v>
      </c>
    </row>
    <row r="1828" spans="1:8" hidden="1" outlineLevel="2">
      <c r="A1828" s="32" t="s">
        <v>1395</v>
      </c>
      <c r="B1828" s="32" t="s">
        <v>1858</v>
      </c>
      <c r="C1828" s="32" t="s">
        <v>1743</v>
      </c>
      <c r="D1828" s="32" t="s">
        <v>1396</v>
      </c>
      <c r="E1828" s="33">
        <v>89</v>
      </c>
      <c r="F1828" s="33">
        <v>3349</v>
      </c>
      <c r="G1828" s="33">
        <v>82</v>
      </c>
      <c r="H1828" s="13">
        <f t="shared" si="28"/>
        <v>37.629213483146067</v>
      </c>
    </row>
    <row r="1829" spans="1:8" hidden="1" outlineLevel="2">
      <c r="A1829" s="32" t="s">
        <v>1395</v>
      </c>
      <c r="B1829" s="32" t="s">
        <v>1858</v>
      </c>
      <c r="C1829" s="32" t="s">
        <v>1543</v>
      </c>
      <c r="D1829" s="32" t="s">
        <v>1396</v>
      </c>
      <c r="E1829" s="33">
        <v>85</v>
      </c>
      <c r="F1829" s="33">
        <v>3197</v>
      </c>
      <c r="G1829" s="33">
        <v>89</v>
      </c>
      <c r="H1829" s="13">
        <f t="shared" si="28"/>
        <v>37.611764705882351</v>
      </c>
    </row>
    <row r="1830" spans="1:8" hidden="1" outlineLevel="2">
      <c r="A1830" s="32" t="s">
        <v>1395</v>
      </c>
      <c r="B1830" s="32" t="s">
        <v>1862</v>
      </c>
      <c r="C1830" s="32" t="s">
        <v>1402</v>
      </c>
      <c r="D1830" s="32" t="s">
        <v>1396</v>
      </c>
      <c r="E1830" s="33">
        <v>234</v>
      </c>
      <c r="F1830" s="33">
        <v>8485</v>
      </c>
      <c r="G1830" s="33">
        <v>222</v>
      </c>
      <c r="H1830" s="13">
        <f t="shared" si="28"/>
        <v>36.260683760683762</v>
      </c>
    </row>
    <row r="1831" spans="1:8" hidden="1" outlineLevel="2">
      <c r="A1831" s="32" t="s">
        <v>1395</v>
      </c>
      <c r="B1831" s="32" t="s">
        <v>1862</v>
      </c>
      <c r="C1831" s="32" t="s">
        <v>1749</v>
      </c>
      <c r="D1831" s="32" t="s">
        <v>1396</v>
      </c>
      <c r="E1831" s="33">
        <v>103</v>
      </c>
      <c r="F1831" s="33">
        <v>3659</v>
      </c>
      <c r="G1831" s="33">
        <v>103</v>
      </c>
      <c r="H1831" s="13">
        <f t="shared" si="28"/>
        <v>35.524271844660191</v>
      </c>
    </row>
    <row r="1832" spans="1:8" hidden="1" outlineLevel="2">
      <c r="A1832" s="32" t="s">
        <v>1395</v>
      </c>
      <c r="B1832" s="32" t="s">
        <v>1858</v>
      </c>
      <c r="C1832" s="32" t="s">
        <v>1835</v>
      </c>
      <c r="D1832" s="32" t="s">
        <v>1396</v>
      </c>
      <c r="E1832" s="33">
        <v>69</v>
      </c>
      <c r="F1832" s="33">
        <v>2429</v>
      </c>
      <c r="G1832" s="33">
        <v>66</v>
      </c>
      <c r="H1832" s="13">
        <f t="shared" si="28"/>
        <v>35.20289855072464</v>
      </c>
    </row>
    <row r="1833" spans="1:8" hidden="1" outlineLevel="2">
      <c r="A1833" s="32" t="s">
        <v>1395</v>
      </c>
      <c r="B1833" s="32" t="s">
        <v>1858</v>
      </c>
      <c r="C1833" s="32" t="s">
        <v>1739</v>
      </c>
      <c r="D1833" s="32" t="s">
        <v>1396</v>
      </c>
      <c r="E1833" s="33">
        <v>177</v>
      </c>
      <c r="F1833" s="33">
        <v>5832</v>
      </c>
      <c r="G1833" s="33">
        <v>176</v>
      </c>
      <c r="H1833" s="13">
        <f t="shared" si="28"/>
        <v>32.949152542372879</v>
      </c>
    </row>
    <row r="1834" spans="1:8" hidden="1" outlineLevel="2">
      <c r="A1834" s="32" t="s">
        <v>1395</v>
      </c>
      <c r="B1834" s="32" t="s">
        <v>1862</v>
      </c>
      <c r="C1834" s="32" t="s">
        <v>1659</v>
      </c>
      <c r="D1834" s="32" t="s">
        <v>1396</v>
      </c>
      <c r="E1834" s="33">
        <v>224</v>
      </c>
      <c r="F1834" s="33">
        <v>6895</v>
      </c>
      <c r="G1834" s="33">
        <v>218</v>
      </c>
      <c r="H1834" s="13">
        <f t="shared" si="28"/>
        <v>30.78125</v>
      </c>
    </row>
    <row r="1835" spans="1:8" hidden="1" outlineLevel="2">
      <c r="A1835" s="32" t="s">
        <v>1395</v>
      </c>
      <c r="B1835" s="32" t="s">
        <v>1862</v>
      </c>
      <c r="C1835" s="32" t="s">
        <v>1660</v>
      </c>
      <c r="D1835" s="32" t="s">
        <v>1396</v>
      </c>
      <c r="E1835" s="33">
        <v>219</v>
      </c>
      <c r="F1835" s="33">
        <v>6679</v>
      </c>
      <c r="G1835" s="33">
        <v>221</v>
      </c>
      <c r="H1835" s="13">
        <f t="shared" si="28"/>
        <v>30.49771689497717</v>
      </c>
    </row>
    <row r="1836" spans="1:8" hidden="1" outlineLevel="2">
      <c r="A1836" s="32" t="s">
        <v>1395</v>
      </c>
      <c r="B1836" s="32" t="s">
        <v>1858</v>
      </c>
      <c r="C1836" s="32" t="s">
        <v>1400</v>
      </c>
      <c r="D1836" s="32" t="s">
        <v>1396</v>
      </c>
      <c r="E1836" s="33">
        <v>118</v>
      </c>
      <c r="F1836" s="33">
        <v>3589</v>
      </c>
      <c r="G1836" s="33">
        <v>121</v>
      </c>
      <c r="H1836" s="13">
        <f t="shared" si="28"/>
        <v>30.415254237288135</v>
      </c>
    </row>
    <row r="1837" spans="1:8" hidden="1" outlineLevel="2">
      <c r="A1837" s="32" t="s">
        <v>1395</v>
      </c>
      <c r="B1837" s="32" t="s">
        <v>1862</v>
      </c>
      <c r="C1837" s="32" t="s">
        <v>1545</v>
      </c>
      <c r="D1837" s="32" t="s">
        <v>1396</v>
      </c>
      <c r="E1837" s="33">
        <v>113</v>
      </c>
      <c r="F1837" s="33">
        <v>3151</v>
      </c>
      <c r="G1837" s="33">
        <v>113</v>
      </c>
      <c r="H1837" s="13">
        <f t="shared" si="28"/>
        <v>27.884955752212388</v>
      </c>
    </row>
    <row r="1838" spans="1:8" outlineLevel="1" collapsed="1">
      <c r="A1838" s="37" t="s">
        <v>1883</v>
      </c>
      <c r="B1838" s="37"/>
      <c r="C1838" s="37"/>
      <c r="D1838" s="37"/>
      <c r="E1838" s="38">
        <f>SUBTOTAL(9,E1781:E1837)</f>
        <v>6238</v>
      </c>
      <c r="F1838" s="38">
        <f>SUBTOTAL(9,F1781:F1837)</f>
        <v>364480</v>
      </c>
      <c r="G1838" s="38">
        <f>SUBTOTAL(9,G1781:G1837)</f>
        <v>6117</v>
      </c>
      <c r="H1838" s="39">
        <f t="shared" si="28"/>
        <v>58.428983648605325</v>
      </c>
    </row>
    <row r="1839" spans="1:8" hidden="1" outlineLevel="2">
      <c r="A1839" s="32" t="s">
        <v>22</v>
      </c>
      <c r="B1839" s="32" t="s">
        <v>86</v>
      </c>
      <c r="C1839" s="32" t="s">
        <v>110</v>
      </c>
      <c r="D1839" s="32" t="s">
        <v>398</v>
      </c>
      <c r="E1839" s="33">
        <v>6</v>
      </c>
      <c r="F1839" s="33">
        <v>1492</v>
      </c>
      <c r="G1839" s="33">
        <v>6</v>
      </c>
      <c r="H1839" s="13">
        <f t="shared" si="28"/>
        <v>248.66666666666666</v>
      </c>
    </row>
    <row r="1840" spans="1:8" hidden="1" outlineLevel="2">
      <c r="A1840" s="32" t="s">
        <v>22</v>
      </c>
      <c r="B1840" s="32" t="s">
        <v>86</v>
      </c>
      <c r="C1840" s="32" t="s">
        <v>110</v>
      </c>
      <c r="D1840" s="32" t="s">
        <v>359</v>
      </c>
      <c r="E1840" s="33">
        <v>24</v>
      </c>
      <c r="F1840" s="33">
        <v>4944</v>
      </c>
      <c r="G1840" s="33">
        <v>22</v>
      </c>
      <c r="H1840" s="13">
        <f t="shared" si="28"/>
        <v>206</v>
      </c>
    </row>
    <row r="1841" spans="1:8" hidden="1" outlineLevel="2">
      <c r="A1841" s="32" t="s">
        <v>22</v>
      </c>
      <c r="B1841" s="32" t="s">
        <v>1862</v>
      </c>
      <c r="C1841" s="32" t="s">
        <v>265</v>
      </c>
      <c r="D1841" s="32" t="s">
        <v>758</v>
      </c>
      <c r="E1841" s="33">
        <v>14</v>
      </c>
      <c r="F1841" s="33">
        <v>2423</v>
      </c>
      <c r="G1841" s="33">
        <v>11</v>
      </c>
      <c r="H1841" s="13">
        <f t="shared" si="28"/>
        <v>173.07142857142858</v>
      </c>
    </row>
    <row r="1842" spans="1:8" hidden="1" outlineLevel="2">
      <c r="A1842" s="32" t="s">
        <v>22</v>
      </c>
      <c r="B1842" s="32" t="s">
        <v>86</v>
      </c>
      <c r="C1842" s="32" t="s">
        <v>110</v>
      </c>
      <c r="D1842" s="32" t="s">
        <v>210</v>
      </c>
      <c r="E1842" s="33">
        <v>10</v>
      </c>
      <c r="F1842" s="33">
        <v>1604</v>
      </c>
      <c r="G1842" s="33">
        <v>10</v>
      </c>
      <c r="H1842" s="13">
        <f t="shared" si="28"/>
        <v>160.4</v>
      </c>
    </row>
    <row r="1843" spans="1:8" hidden="1" outlineLevel="2">
      <c r="A1843" s="32" t="s">
        <v>22</v>
      </c>
      <c r="B1843" s="32" t="s">
        <v>1862</v>
      </c>
      <c r="C1843" s="32" t="s">
        <v>265</v>
      </c>
      <c r="D1843" s="32" t="s">
        <v>714</v>
      </c>
      <c r="E1843" s="33">
        <v>32</v>
      </c>
      <c r="F1843" s="33">
        <v>4175</v>
      </c>
      <c r="G1843" s="33">
        <v>34</v>
      </c>
      <c r="H1843" s="13">
        <f t="shared" si="28"/>
        <v>130.46875</v>
      </c>
    </row>
    <row r="1844" spans="1:8" hidden="1" outlineLevel="2">
      <c r="A1844" s="32" t="s">
        <v>22</v>
      </c>
      <c r="B1844" s="32" t="s">
        <v>86</v>
      </c>
      <c r="C1844" s="32" t="s">
        <v>155</v>
      </c>
      <c r="D1844" s="32" t="s">
        <v>705</v>
      </c>
      <c r="E1844" s="33">
        <v>10</v>
      </c>
      <c r="F1844" s="33">
        <v>1301</v>
      </c>
      <c r="G1844" s="33">
        <v>10</v>
      </c>
      <c r="H1844" s="13">
        <f t="shared" si="28"/>
        <v>130.1</v>
      </c>
    </row>
    <row r="1845" spans="1:8" hidden="1" outlineLevel="2">
      <c r="A1845" s="32" t="s">
        <v>22</v>
      </c>
      <c r="B1845" s="32" t="s">
        <v>1862</v>
      </c>
      <c r="C1845" s="32" t="s">
        <v>115</v>
      </c>
      <c r="D1845" s="32" t="s">
        <v>753</v>
      </c>
      <c r="E1845" s="33">
        <v>30</v>
      </c>
      <c r="F1845" s="33">
        <v>3598</v>
      </c>
      <c r="G1845" s="33">
        <v>30</v>
      </c>
      <c r="H1845" s="13">
        <f t="shared" si="28"/>
        <v>119.93333333333334</v>
      </c>
    </row>
    <row r="1846" spans="1:8" hidden="1" outlineLevel="2">
      <c r="A1846" s="32" t="s">
        <v>22</v>
      </c>
      <c r="B1846" s="32" t="s">
        <v>86</v>
      </c>
      <c r="C1846" s="32" t="s">
        <v>152</v>
      </c>
      <c r="D1846" s="32" t="s">
        <v>412</v>
      </c>
      <c r="E1846" s="33">
        <v>30</v>
      </c>
      <c r="F1846" s="33">
        <v>3591</v>
      </c>
      <c r="G1846" s="33">
        <v>28</v>
      </c>
      <c r="H1846" s="13">
        <f t="shared" si="28"/>
        <v>119.7</v>
      </c>
    </row>
    <row r="1847" spans="1:8" hidden="1" outlineLevel="2">
      <c r="A1847" s="32" t="s">
        <v>22</v>
      </c>
      <c r="B1847" s="32" t="s">
        <v>86</v>
      </c>
      <c r="C1847" s="32" t="s">
        <v>110</v>
      </c>
      <c r="D1847" s="32" t="s">
        <v>657</v>
      </c>
      <c r="E1847" s="33">
        <v>10</v>
      </c>
      <c r="F1847" s="33">
        <v>1171</v>
      </c>
      <c r="G1847" s="33">
        <v>9</v>
      </c>
      <c r="H1847" s="13">
        <f t="shared" si="28"/>
        <v>117.1</v>
      </c>
    </row>
    <row r="1848" spans="1:8" hidden="1" outlineLevel="2">
      <c r="A1848" s="32" t="s">
        <v>22</v>
      </c>
      <c r="B1848" s="32" t="s">
        <v>86</v>
      </c>
      <c r="C1848" s="32" t="s">
        <v>119</v>
      </c>
      <c r="D1848" s="32" t="s">
        <v>494</v>
      </c>
      <c r="E1848" s="33">
        <v>15</v>
      </c>
      <c r="F1848" s="33">
        <v>1729</v>
      </c>
      <c r="G1848" s="33">
        <v>11</v>
      </c>
      <c r="H1848" s="13">
        <f t="shared" si="28"/>
        <v>115.26666666666667</v>
      </c>
    </row>
    <row r="1849" spans="1:8" hidden="1" outlineLevel="2">
      <c r="A1849" s="32" t="s">
        <v>22</v>
      </c>
      <c r="B1849" s="32" t="s">
        <v>86</v>
      </c>
      <c r="C1849" s="32" t="s">
        <v>155</v>
      </c>
      <c r="D1849" s="32" t="s">
        <v>529</v>
      </c>
      <c r="E1849" s="33">
        <v>35</v>
      </c>
      <c r="F1849" s="33">
        <v>4023</v>
      </c>
      <c r="G1849" s="33">
        <v>35</v>
      </c>
      <c r="H1849" s="13">
        <f t="shared" si="28"/>
        <v>114.94285714285714</v>
      </c>
    </row>
    <row r="1850" spans="1:8" hidden="1" outlineLevel="2">
      <c r="A1850" s="32" t="s">
        <v>22</v>
      </c>
      <c r="B1850" s="32" t="s">
        <v>86</v>
      </c>
      <c r="C1850" s="32" t="s">
        <v>152</v>
      </c>
      <c r="D1850" s="32" t="s">
        <v>656</v>
      </c>
      <c r="E1850" s="33">
        <v>60</v>
      </c>
      <c r="F1850" s="33">
        <v>6655</v>
      </c>
      <c r="G1850" s="33">
        <v>60</v>
      </c>
      <c r="H1850" s="13">
        <f t="shared" si="28"/>
        <v>110.91666666666667</v>
      </c>
    </row>
    <row r="1851" spans="1:8" hidden="1" outlineLevel="2">
      <c r="A1851" s="32" t="s">
        <v>22</v>
      </c>
      <c r="B1851" s="32" t="s">
        <v>1858</v>
      </c>
      <c r="C1851" s="32" t="s">
        <v>344</v>
      </c>
      <c r="D1851" s="32" t="s">
        <v>730</v>
      </c>
      <c r="E1851" s="33">
        <v>35</v>
      </c>
      <c r="F1851" s="33">
        <v>3661</v>
      </c>
      <c r="G1851" s="33">
        <v>31</v>
      </c>
      <c r="H1851" s="13">
        <f t="shared" si="28"/>
        <v>104.6</v>
      </c>
    </row>
    <row r="1852" spans="1:8" hidden="1" outlineLevel="2">
      <c r="A1852" s="32" t="s">
        <v>22</v>
      </c>
      <c r="B1852" s="32" t="s">
        <v>86</v>
      </c>
      <c r="C1852" s="32" t="s">
        <v>110</v>
      </c>
      <c r="D1852" s="32" t="s">
        <v>697</v>
      </c>
      <c r="E1852" s="33">
        <v>6</v>
      </c>
      <c r="F1852" s="33">
        <v>616</v>
      </c>
      <c r="G1852" s="33">
        <v>6</v>
      </c>
      <c r="H1852" s="13">
        <f t="shared" si="28"/>
        <v>102.66666666666667</v>
      </c>
    </row>
    <row r="1853" spans="1:8" hidden="1" outlineLevel="2">
      <c r="A1853" s="32" t="s">
        <v>22</v>
      </c>
      <c r="B1853" s="32" t="s">
        <v>1858</v>
      </c>
      <c r="C1853" s="32" t="s">
        <v>242</v>
      </c>
      <c r="D1853" s="32" t="s">
        <v>623</v>
      </c>
      <c r="E1853" s="33">
        <v>25</v>
      </c>
      <c r="F1853" s="33">
        <v>2455</v>
      </c>
      <c r="G1853" s="33">
        <v>19</v>
      </c>
      <c r="H1853" s="13">
        <f t="shared" si="28"/>
        <v>98.2</v>
      </c>
    </row>
    <row r="1854" spans="1:8" hidden="1" outlineLevel="2">
      <c r="A1854" s="32" t="s">
        <v>22</v>
      </c>
      <c r="B1854" s="32" t="s">
        <v>86</v>
      </c>
      <c r="C1854" s="32" t="s">
        <v>152</v>
      </c>
      <c r="D1854" s="32" t="s">
        <v>740</v>
      </c>
      <c r="E1854" s="33">
        <v>30</v>
      </c>
      <c r="F1854" s="33">
        <v>2879</v>
      </c>
      <c r="G1854" s="33">
        <v>29</v>
      </c>
      <c r="H1854" s="13">
        <f t="shared" si="28"/>
        <v>95.966666666666669</v>
      </c>
    </row>
    <row r="1855" spans="1:8" hidden="1" outlineLevel="2">
      <c r="A1855" s="32" t="s">
        <v>22</v>
      </c>
      <c r="B1855" s="32" t="s">
        <v>86</v>
      </c>
      <c r="C1855" s="32" t="s">
        <v>152</v>
      </c>
      <c r="D1855" s="32" t="s">
        <v>447</v>
      </c>
      <c r="E1855" s="33">
        <v>90</v>
      </c>
      <c r="F1855" s="33">
        <v>8456</v>
      </c>
      <c r="G1855" s="33">
        <v>90</v>
      </c>
      <c r="H1855" s="13">
        <f t="shared" si="28"/>
        <v>93.955555555555549</v>
      </c>
    </row>
    <row r="1856" spans="1:8" hidden="1" outlineLevel="2">
      <c r="A1856" s="32" t="s">
        <v>22</v>
      </c>
      <c r="B1856" s="32" t="s">
        <v>86</v>
      </c>
      <c r="C1856" s="32" t="s">
        <v>152</v>
      </c>
      <c r="D1856" s="32" t="s">
        <v>581</v>
      </c>
      <c r="E1856" s="33">
        <v>30</v>
      </c>
      <c r="F1856" s="33">
        <v>2752</v>
      </c>
      <c r="G1856" s="33">
        <v>30</v>
      </c>
      <c r="H1856" s="13">
        <f t="shared" si="28"/>
        <v>91.733333333333334</v>
      </c>
    </row>
    <row r="1857" spans="1:8" hidden="1" outlineLevel="2">
      <c r="A1857" s="32" t="s">
        <v>22</v>
      </c>
      <c r="B1857" s="32" t="s">
        <v>1862</v>
      </c>
      <c r="C1857" s="32" t="s">
        <v>115</v>
      </c>
      <c r="D1857" s="32" t="s">
        <v>749</v>
      </c>
      <c r="E1857" s="33">
        <v>20</v>
      </c>
      <c r="F1857" s="33">
        <v>1776</v>
      </c>
      <c r="G1857" s="33">
        <v>20</v>
      </c>
      <c r="H1857" s="13">
        <f t="shared" si="28"/>
        <v>88.8</v>
      </c>
    </row>
    <row r="1858" spans="1:8" hidden="1" outlineLevel="2">
      <c r="A1858" s="32" t="s">
        <v>22</v>
      </c>
      <c r="B1858" s="32" t="s">
        <v>1862</v>
      </c>
      <c r="C1858" s="32" t="s">
        <v>97</v>
      </c>
      <c r="D1858" s="32" t="s">
        <v>630</v>
      </c>
      <c r="E1858" s="33">
        <v>20</v>
      </c>
      <c r="F1858" s="33">
        <v>1752</v>
      </c>
      <c r="G1858" s="33">
        <v>20</v>
      </c>
      <c r="H1858" s="13">
        <f t="shared" ref="H1858:H1921" si="29">IFERROR(F1858/E1858,"")</f>
        <v>87.6</v>
      </c>
    </row>
    <row r="1859" spans="1:8" hidden="1" outlineLevel="2">
      <c r="A1859" s="32" t="s">
        <v>22</v>
      </c>
      <c r="B1859" s="32" t="s">
        <v>1858</v>
      </c>
      <c r="C1859" s="32" t="s">
        <v>129</v>
      </c>
      <c r="D1859" s="32" t="s">
        <v>347</v>
      </c>
      <c r="E1859" s="33">
        <v>50</v>
      </c>
      <c r="F1859" s="33">
        <v>4167</v>
      </c>
      <c r="G1859" s="33">
        <v>51</v>
      </c>
      <c r="H1859" s="13">
        <f t="shared" si="29"/>
        <v>83.34</v>
      </c>
    </row>
    <row r="1860" spans="1:8" hidden="1" outlineLevel="2">
      <c r="A1860" s="32" t="s">
        <v>22</v>
      </c>
      <c r="B1860" s="32" t="s">
        <v>86</v>
      </c>
      <c r="C1860" s="32" t="s">
        <v>110</v>
      </c>
      <c r="D1860" s="32" t="s">
        <v>211</v>
      </c>
      <c r="E1860" s="33">
        <v>6</v>
      </c>
      <c r="F1860" s="33">
        <v>498</v>
      </c>
      <c r="G1860" s="33">
        <v>6</v>
      </c>
      <c r="H1860" s="13">
        <f t="shared" si="29"/>
        <v>83</v>
      </c>
    </row>
    <row r="1861" spans="1:8" hidden="1" outlineLevel="2">
      <c r="A1861" s="32" t="s">
        <v>22</v>
      </c>
      <c r="B1861" s="32" t="s">
        <v>86</v>
      </c>
      <c r="C1861" s="32" t="s">
        <v>119</v>
      </c>
      <c r="D1861" s="32" t="s">
        <v>601</v>
      </c>
      <c r="E1861" s="33">
        <v>16</v>
      </c>
      <c r="F1861" s="33">
        <v>1328</v>
      </c>
      <c r="G1861" s="33">
        <v>14</v>
      </c>
      <c r="H1861" s="13">
        <f t="shared" si="29"/>
        <v>83</v>
      </c>
    </row>
    <row r="1862" spans="1:8" hidden="1" outlineLevel="2">
      <c r="A1862" s="32" t="s">
        <v>22</v>
      </c>
      <c r="B1862" s="32" t="s">
        <v>86</v>
      </c>
      <c r="C1862" s="32" t="s">
        <v>127</v>
      </c>
      <c r="D1862" s="32" t="s">
        <v>228</v>
      </c>
      <c r="E1862" s="33">
        <v>2</v>
      </c>
      <c r="F1862" s="33">
        <v>165</v>
      </c>
      <c r="G1862" s="33">
        <v>2</v>
      </c>
      <c r="H1862" s="13">
        <f t="shared" si="29"/>
        <v>82.5</v>
      </c>
    </row>
    <row r="1863" spans="1:8" hidden="1" outlineLevel="2">
      <c r="A1863" s="32" t="s">
        <v>22</v>
      </c>
      <c r="B1863" s="32" t="s">
        <v>86</v>
      </c>
      <c r="C1863" s="32" t="s">
        <v>127</v>
      </c>
      <c r="D1863" s="32" t="s">
        <v>774</v>
      </c>
      <c r="E1863" s="33">
        <v>40</v>
      </c>
      <c r="F1863" s="33">
        <v>3250</v>
      </c>
      <c r="G1863" s="33">
        <v>40</v>
      </c>
      <c r="H1863" s="13">
        <f t="shared" si="29"/>
        <v>81.25</v>
      </c>
    </row>
    <row r="1864" spans="1:8" hidden="1" outlineLevel="2">
      <c r="A1864" s="32" t="s">
        <v>22</v>
      </c>
      <c r="B1864" s="32" t="s">
        <v>1862</v>
      </c>
      <c r="C1864" s="32" t="s">
        <v>97</v>
      </c>
      <c r="D1864" s="32" t="s">
        <v>768</v>
      </c>
      <c r="E1864" s="33">
        <v>10</v>
      </c>
      <c r="F1864" s="33">
        <v>811</v>
      </c>
      <c r="G1864" s="33">
        <v>10</v>
      </c>
      <c r="H1864" s="13">
        <f t="shared" si="29"/>
        <v>81.099999999999994</v>
      </c>
    </row>
    <row r="1865" spans="1:8" hidden="1" outlineLevel="2">
      <c r="A1865" s="32" t="s">
        <v>22</v>
      </c>
      <c r="B1865" s="32" t="s">
        <v>1858</v>
      </c>
      <c r="C1865" s="32" t="s">
        <v>242</v>
      </c>
      <c r="D1865" s="32" t="s">
        <v>624</v>
      </c>
      <c r="E1865" s="33">
        <v>15</v>
      </c>
      <c r="F1865" s="33">
        <v>1187</v>
      </c>
      <c r="G1865" s="33">
        <v>12</v>
      </c>
      <c r="H1865" s="13">
        <f t="shared" si="29"/>
        <v>79.13333333333334</v>
      </c>
    </row>
    <row r="1866" spans="1:8" hidden="1" outlineLevel="2">
      <c r="A1866" s="32" t="s">
        <v>22</v>
      </c>
      <c r="B1866" s="32" t="s">
        <v>1862</v>
      </c>
      <c r="C1866" s="32" t="s">
        <v>115</v>
      </c>
      <c r="D1866" s="32" t="s">
        <v>747</v>
      </c>
      <c r="E1866" s="33">
        <v>30</v>
      </c>
      <c r="F1866" s="33">
        <v>2373</v>
      </c>
      <c r="G1866" s="33">
        <v>29</v>
      </c>
      <c r="H1866" s="13">
        <f t="shared" si="29"/>
        <v>79.099999999999994</v>
      </c>
    </row>
    <row r="1867" spans="1:8" hidden="1" outlineLevel="2">
      <c r="A1867" s="32" t="s">
        <v>22</v>
      </c>
      <c r="B1867" s="32" t="s">
        <v>1858</v>
      </c>
      <c r="C1867" s="32" t="s">
        <v>131</v>
      </c>
      <c r="D1867" s="32" t="s">
        <v>329</v>
      </c>
      <c r="E1867" s="33">
        <v>13</v>
      </c>
      <c r="F1867" s="33">
        <v>1026</v>
      </c>
      <c r="G1867" s="33">
        <v>14</v>
      </c>
      <c r="H1867" s="13">
        <f t="shared" si="29"/>
        <v>78.92307692307692</v>
      </c>
    </row>
    <row r="1868" spans="1:8" hidden="1" outlineLevel="2">
      <c r="A1868" s="32" t="s">
        <v>22</v>
      </c>
      <c r="B1868" s="32" t="s">
        <v>1858</v>
      </c>
      <c r="C1868" s="32" t="s">
        <v>349</v>
      </c>
      <c r="D1868" s="32" t="s">
        <v>479</v>
      </c>
      <c r="E1868" s="33">
        <v>45</v>
      </c>
      <c r="F1868" s="33">
        <v>3512</v>
      </c>
      <c r="G1868" s="33">
        <v>40</v>
      </c>
      <c r="H1868" s="13">
        <f t="shared" si="29"/>
        <v>78.044444444444451</v>
      </c>
    </row>
    <row r="1869" spans="1:8" hidden="1" outlineLevel="2">
      <c r="A1869" s="32" t="s">
        <v>22</v>
      </c>
      <c r="B1869" s="32" t="s">
        <v>1862</v>
      </c>
      <c r="C1869" s="32" t="s">
        <v>115</v>
      </c>
      <c r="D1869" s="32" t="s">
        <v>765</v>
      </c>
      <c r="E1869" s="33">
        <v>25</v>
      </c>
      <c r="F1869" s="33">
        <v>1947</v>
      </c>
      <c r="G1869" s="33">
        <v>25</v>
      </c>
      <c r="H1869" s="13">
        <f t="shared" si="29"/>
        <v>77.88</v>
      </c>
    </row>
    <row r="1870" spans="1:8" hidden="1" outlineLevel="2">
      <c r="A1870" s="32" t="s">
        <v>22</v>
      </c>
      <c r="B1870" s="32" t="s">
        <v>1858</v>
      </c>
      <c r="C1870" s="32" t="s">
        <v>349</v>
      </c>
      <c r="D1870" s="32" t="s">
        <v>350</v>
      </c>
      <c r="E1870" s="33">
        <v>30</v>
      </c>
      <c r="F1870" s="33">
        <v>2333</v>
      </c>
      <c r="G1870" s="33">
        <v>29</v>
      </c>
      <c r="H1870" s="13">
        <f t="shared" si="29"/>
        <v>77.766666666666666</v>
      </c>
    </row>
    <row r="1871" spans="1:8" hidden="1" outlineLevel="2">
      <c r="A1871" s="32" t="s">
        <v>22</v>
      </c>
      <c r="B1871" s="32" t="s">
        <v>86</v>
      </c>
      <c r="C1871" s="32" t="s">
        <v>119</v>
      </c>
      <c r="D1871" s="32" t="s">
        <v>561</v>
      </c>
      <c r="E1871" s="33">
        <v>20</v>
      </c>
      <c r="F1871" s="33">
        <v>1547</v>
      </c>
      <c r="G1871" s="33">
        <v>19</v>
      </c>
      <c r="H1871" s="13">
        <f t="shared" si="29"/>
        <v>77.349999999999994</v>
      </c>
    </row>
    <row r="1872" spans="1:8" hidden="1" outlineLevel="2">
      <c r="A1872" s="32" t="s">
        <v>22</v>
      </c>
      <c r="B1872" s="32" t="s">
        <v>86</v>
      </c>
      <c r="C1872" s="32" t="s">
        <v>152</v>
      </c>
      <c r="D1872" s="32" t="s">
        <v>312</v>
      </c>
      <c r="E1872" s="33">
        <v>15</v>
      </c>
      <c r="F1872" s="33">
        <v>1116</v>
      </c>
      <c r="G1872" s="33">
        <v>14</v>
      </c>
      <c r="H1872" s="13">
        <f t="shared" si="29"/>
        <v>74.400000000000006</v>
      </c>
    </row>
    <row r="1873" spans="1:8" hidden="1" outlineLevel="2">
      <c r="A1873" s="32" t="s">
        <v>22</v>
      </c>
      <c r="B1873" s="32" t="s">
        <v>1862</v>
      </c>
      <c r="C1873" s="32" t="s">
        <v>97</v>
      </c>
      <c r="D1873" s="32" t="s">
        <v>708</v>
      </c>
      <c r="E1873" s="33">
        <v>35</v>
      </c>
      <c r="F1873" s="33">
        <v>2586</v>
      </c>
      <c r="G1873" s="33">
        <v>34</v>
      </c>
      <c r="H1873" s="13">
        <f t="shared" si="29"/>
        <v>73.885714285714286</v>
      </c>
    </row>
    <row r="1874" spans="1:8" hidden="1" outlineLevel="2">
      <c r="A1874" s="32" t="s">
        <v>22</v>
      </c>
      <c r="B1874" s="32" t="s">
        <v>86</v>
      </c>
      <c r="C1874" s="32" t="s">
        <v>110</v>
      </c>
      <c r="D1874" s="32" t="s">
        <v>102</v>
      </c>
      <c r="E1874" s="33">
        <v>130</v>
      </c>
      <c r="F1874" s="33">
        <v>9520</v>
      </c>
      <c r="G1874" s="33">
        <v>130</v>
      </c>
      <c r="H1874" s="13">
        <f t="shared" si="29"/>
        <v>73.230769230769226</v>
      </c>
    </row>
    <row r="1875" spans="1:8" hidden="1" outlineLevel="2">
      <c r="A1875" s="32" t="s">
        <v>22</v>
      </c>
      <c r="B1875" s="32" t="s">
        <v>86</v>
      </c>
      <c r="C1875" s="32" t="s">
        <v>110</v>
      </c>
      <c r="D1875" s="32" t="s">
        <v>304</v>
      </c>
      <c r="E1875" s="33">
        <v>32</v>
      </c>
      <c r="F1875" s="33">
        <v>2289</v>
      </c>
      <c r="G1875" s="33">
        <v>30</v>
      </c>
      <c r="H1875" s="13">
        <f t="shared" si="29"/>
        <v>71.53125</v>
      </c>
    </row>
    <row r="1876" spans="1:8" hidden="1" outlineLevel="2">
      <c r="A1876" s="32" t="s">
        <v>22</v>
      </c>
      <c r="B1876" s="32" t="s">
        <v>1862</v>
      </c>
      <c r="C1876" s="32" t="s">
        <v>115</v>
      </c>
      <c r="D1876" s="32" t="s">
        <v>316</v>
      </c>
      <c r="E1876" s="33">
        <v>58</v>
      </c>
      <c r="F1876" s="33">
        <v>4091</v>
      </c>
      <c r="G1876" s="33">
        <v>58</v>
      </c>
      <c r="H1876" s="13">
        <f t="shared" si="29"/>
        <v>70.534482758620683</v>
      </c>
    </row>
    <row r="1877" spans="1:8" hidden="1" outlineLevel="2">
      <c r="A1877" s="32" t="s">
        <v>22</v>
      </c>
      <c r="B1877" s="32" t="s">
        <v>86</v>
      </c>
      <c r="C1877" s="32" t="s">
        <v>155</v>
      </c>
      <c r="D1877" s="32" t="s">
        <v>447</v>
      </c>
      <c r="E1877" s="33">
        <v>120</v>
      </c>
      <c r="F1877" s="33">
        <v>8319</v>
      </c>
      <c r="G1877" s="33">
        <v>119</v>
      </c>
      <c r="H1877" s="13">
        <f t="shared" si="29"/>
        <v>69.325000000000003</v>
      </c>
    </row>
    <row r="1878" spans="1:8" hidden="1" outlineLevel="2">
      <c r="A1878" s="32" t="s">
        <v>22</v>
      </c>
      <c r="B1878" s="32" t="s">
        <v>86</v>
      </c>
      <c r="C1878" s="32" t="s">
        <v>110</v>
      </c>
      <c r="D1878" s="32" t="s">
        <v>356</v>
      </c>
      <c r="E1878" s="33">
        <v>20</v>
      </c>
      <c r="F1878" s="33">
        <v>1385</v>
      </c>
      <c r="G1878" s="33">
        <v>20</v>
      </c>
      <c r="H1878" s="13">
        <f t="shared" si="29"/>
        <v>69.25</v>
      </c>
    </row>
    <row r="1879" spans="1:8" hidden="1" outlineLevel="2">
      <c r="A1879" s="32" t="s">
        <v>22</v>
      </c>
      <c r="B1879" s="32" t="s">
        <v>1862</v>
      </c>
      <c r="C1879" s="32" t="s">
        <v>115</v>
      </c>
      <c r="D1879" s="32" t="s">
        <v>361</v>
      </c>
      <c r="E1879" s="33">
        <v>20</v>
      </c>
      <c r="F1879" s="33">
        <v>1336</v>
      </c>
      <c r="G1879" s="33">
        <v>20</v>
      </c>
      <c r="H1879" s="13">
        <f t="shared" si="29"/>
        <v>66.8</v>
      </c>
    </row>
    <row r="1880" spans="1:8" hidden="1" outlineLevel="2">
      <c r="A1880" s="32" t="s">
        <v>22</v>
      </c>
      <c r="B1880" s="32" t="s">
        <v>86</v>
      </c>
      <c r="C1880" s="32" t="s">
        <v>155</v>
      </c>
      <c r="D1880" s="32" t="s">
        <v>317</v>
      </c>
      <c r="E1880" s="33">
        <v>35</v>
      </c>
      <c r="F1880" s="33">
        <v>2241</v>
      </c>
      <c r="G1880" s="33">
        <v>35</v>
      </c>
      <c r="H1880" s="13">
        <f t="shared" si="29"/>
        <v>64.028571428571425</v>
      </c>
    </row>
    <row r="1881" spans="1:8" hidden="1" outlineLevel="2">
      <c r="A1881" s="32" t="s">
        <v>22</v>
      </c>
      <c r="B1881" s="32" t="s">
        <v>86</v>
      </c>
      <c r="C1881" s="32" t="s">
        <v>127</v>
      </c>
      <c r="D1881" s="32" t="s">
        <v>582</v>
      </c>
      <c r="E1881" s="33">
        <v>30</v>
      </c>
      <c r="F1881" s="33">
        <v>1918</v>
      </c>
      <c r="G1881" s="33">
        <v>28</v>
      </c>
      <c r="H1881" s="13">
        <f t="shared" si="29"/>
        <v>63.93333333333333</v>
      </c>
    </row>
    <row r="1882" spans="1:8" hidden="1" outlineLevel="2">
      <c r="A1882" s="32" t="s">
        <v>22</v>
      </c>
      <c r="B1882" s="32" t="s">
        <v>1862</v>
      </c>
      <c r="C1882" s="32" t="s">
        <v>259</v>
      </c>
      <c r="D1882" s="32" t="s">
        <v>260</v>
      </c>
      <c r="E1882" s="33">
        <v>24</v>
      </c>
      <c r="F1882" s="33">
        <v>1513</v>
      </c>
      <c r="G1882" s="33">
        <v>24</v>
      </c>
      <c r="H1882" s="13">
        <f t="shared" si="29"/>
        <v>63.041666666666664</v>
      </c>
    </row>
    <row r="1883" spans="1:8" hidden="1" outlineLevel="2">
      <c r="A1883" s="32" t="s">
        <v>22</v>
      </c>
      <c r="B1883" s="32" t="s">
        <v>86</v>
      </c>
      <c r="C1883" s="32" t="s">
        <v>110</v>
      </c>
      <c r="D1883" s="32" t="s">
        <v>508</v>
      </c>
      <c r="E1883" s="33">
        <v>160</v>
      </c>
      <c r="F1883" s="33">
        <v>9996</v>
      </c>
      <c r="G1883" s="33">
        <v>157</v>
      </c>
      <c r="H1883" s="13">
        <f t="shared" si="29"/>
        <v>62.475000000000001</v>
      </c>
    </row>
    <row r="1884" spans="1:8" hidden="1" outlineLevel="2">
      <c r="A1884" s="32" t="s">
        <v>22</v>
      </c>
      <c r="B1884" s="32" t="s">
        <v>1862</v>
      </c>
      <c r="C1884" s="32" t="s">
        <v>265</v>
      </c>
      <c r="D1884" s="32" t="s">
        <v>311</v>
      </c>
      <c r="E1884" s="33">
        <v>45</v>
      </c>
      <c r="F1884" s="33">
        <v>2721</v>
      </c>
      <c r="G1884" s="33">
        <v>39</v>
      </c>
      <c r="H1884" s="13">
        <f t="shared" si="29"/>
        <v>60.466666666666669</v>
      </c>
    </row>
    <row r="1885" spans="1:8" hidden="1" outlineLevel="2">
      <c r="A1885" s="32" t="s">
        <v>22</v>
      </c>
      <c r="B1885" s="32" t="s">
        <v>1862</v>
      </c>
      <c r="C1885" s="32" t="s">
        <v>115</v>
      </c>
      <c r="D1885" s="32" t="s">
        <v>467</v>
      </c>
      <c r="E1885" s="33">
        <v>14</v>
      </c>
      <c r="F1885" s="33">
        <v>846</v>
      </c>
      <c r="G1885" s="33">
        <v>14</v>
      </c>
      <c r="H1885" s="13">
        <f t="shared" si="29"/>
        <v>60.428571428571431</v>
      </c>
    </row>
    <row r="1886" spans="1:8" hidden="1" outlineLevel="2">
      <c r="A1886" s="32" t="s">
        <v>22</v>
      </c>
      <c r="B1886" s="32" t="s">
        <v>1862</v>
      </c>
      <c r="C1886" s="32" t="s">
        <v>108</v>
      </c>
      <c r="D1886" s="32" t="s">
        <v>316</v>
      </c>
      <c r="E1886" s="33">
        <v>65</v>
      </c>
      <c r="F1886" s="33">
        <v>3904</v>
      </c>
      <c r="G1886" s="33">
        <v>64</v>
      </c>
      <c r="H1886" s="13">
        <f t="shared" si="29"/>
        <v>60.061538461538461</v>
      </c>
    </row>
    <row r="1887" spans="1:8" hidden="1" outlineLevel="2">
      <c r="A1887" s="32" t="s">
        <v>22</v>
      </c>
      <c r="B1887" s="32" t="s">
        <v>86</v>
      </c>
      <c r="C1887" s="32" t="s">
        <v>110</v>
      </c>
      <c r="D1887" s="32" t="s">
        <v>528</v>
      </c>
      <c r="E1887" s="33">
        <v>60</v>
      </c>
      <c r="F1887" s="33">
        <v>3585</v>
      </c>
      <c r="G1887" s="33">
        <v>60</v>
      </c>
      <c r="H1887" s="13">
        <f t="shared" si="29"/>
        <v>59.75</v>
      </c>
    </row>
    <row r="1888" spans="1:8" hidden="1" outlineLevel="2">
      <c r="A1888" s="32" t="s">
        <v>22</v>
      </c>
      <c r="B1888" s="32" t="s">
        <v>86</v>
      </c>
      <c r="C1888" s="32" t="s">
        <v>110</v>
      </c>
      <c r="D1888" s="32" t="s">
        <v>209</v>
      </c>
      <c r="E1888" s="33">
        <v>57</v>
      </c>
      <c r="F1888" s="33">
        <v>3390</v>
      </c>
      <c r="G1888" s="33">
        <v>59</v>
      </c>
      <c r="H1888" s="13">
        <f t="shared" si="29"/>
        <v>59.473684210526315</v>
      </c>
    </row>
    <row r="1889" spans="1:8" hidden="1" outlineLevel="2">
      <c r="A1889" s="32" t="s">
        <v>22</v>
      </c>
      <c r="B1889" s="32" t="s">
        <v>86</v>
      </c>
      <c r="C1889" s="32" t="s">
        <v>152</v>
      </c>
      <c r="D1889" s="32" t="s">
        <v>649</v>
      </c>
      <c r="E1889" s="33">
        <v>30</v>
      </c>
      <c r="F1889" s="33">
        <v>1778</v>
      </c>
      <c r="G1889" s="33">
        <v>30</v>
      </c>
      <c r="H1889" s="13">
        <f t="shared" si="29"/>
        <v>59.266666666666666</v>
      </c>
    </row>
    <row r="1890" spans="1:8" hidden="1" outlineLevel="2">
      <c r="A1890" s="32" t="s">
        <v>22</v>
      </c>
      <c r="B1890" s="32" t="s">
        <v>86</v>
      </c>
      <c r="C1890" s="32" t="s">
        <v>155</v>
      </c>
      <c r="D1890" s="32" t="s">
        <v>237</v>
      </c>
      <c r="E1890" s="33">
        <v>35</v>
      </c>
      <c r="F1890" s="33">
        <v>2046</v>
      </c>
      <c r="G1890" s="33">
        <v>36</v>
      </c>
      <c r="H1890" s="13">
        <f t="shared" si="29"/>
        <v>58.457142857142856</v>
      </c>
    </row>
    <row r="1891" spans="1:8" hidden="1" outlineLevel="2">
      <c r="A1891" s="32" t="s">
        <v>22</v>
      </c>
      <c r="B1891" s="32" t="s">
        <v>86</v>
      </c>
      <c r="C1891" s="32" t="s">
        <v>110</v>
      </c>
      <c r="D1891" s="32" t="s">
        <v>313</v>
      </c>
      <c r="E1891" s="33">
        <v>43</v>
      </c>
      <c r="F1891" s="33">
        <v>2511</v>
      </c>
      <c r="G1891" s="33">
        <v>40</v>
      </c>
      <c r="H1891" s="13">
        <f t="shared" si="29"/>
        <v>58.395348837209305</v>
      </c>
    </row>
    <row r="1892" spans="1:8" hidden="1" outlineLevel="2">
      <c r="A1892" s="32" t="s">
        <v>22</v>
      </c>
      <c r="B1892" s="32" t="s">
        <v>86</v>
      </c>
      <c r="C1892" s="32" t="s">
        <v>119</v>
      </c>
      <c r="D1892" s="32" t="s">
        <v>158</v>
      </c>
      <c r="E1892" s="33">
        <v>25</v>
      </c>
      <c r="F1892" s="33">
        <v>1446</v>
      </c>
      <c r="G1892" s="33">
        <v>24</v>
      </c>
      <c r="H1892" s="13">
        <f t="shared" si="29"/>
        <v>57.84</v>
      </c>
    </row>
    <row r="1893" spans="1:8" hidden="1" outlineLevel="2">
      <c r="A1893" s="32" t="s">
        <v>22</v>
      </c>
      <c r="B1893" s="32" t="s">
        <v>86</v>
      </c>
      <c r="C1893" s="32" t="s">
        <v>119</v>
      </c>
      <c r="D1893" s="32" t="s">
        <v>143</v>
      </c>
      <c r="E1893" s="33">
        <v>12</v>
      </c>
      <c r="F1893" s="33">
        <v>686</v>
      </c>
      <c r="G1893" s="33">
        <v>12</v>
      </c>
      <c r="H1893" s="13">
        <f t="shared" si="29"/>
        <v>57.166666666666664</v>
      </c>
    </row>
    <row r="1894" spans="1:8" hidden="1" outlineLevel="2">
      <c r="A1894" s="32" t="s">
        <v>22</v>
      </c>
      <c r="B1894" s="32" t="s">
        <v>86</v>
      </c>
      <c r="C1894" s="32" t="s">
        <v>152</v>
      </c>
      <c r="D1894" s="32" t="s">
        <v>365</v>
      </c>
      <c r="E1894" s="33">
        <v>100</v>
      </c>
      <c r="F1894" s="33">
        <v>5684</v>
      </c>
      <c r="G1894" s="33">
        <v>102</v>
      </c>
      <c r="H1894" s="13">
        <f t="shared" si="29"/>
        <v>56.84</v>
      </c>
    </row>
    <row r="1895" spans="1:8" hidden="1" outlineLevel="2">
      <c r="A1895" s="32" t="s">
        <v>22</v>
      </c>
      <c r="B1895" s="32" t="s">
        <v>86</v>
      </c>
      <c r="C1895" s="32" t="s">
        <v>155</v>
      </c>
      <c r="D1895" s="32" t="s">
        <v>367</v>
      </c>
      <c r="E1895" s="33">
        <v>32</v>
      </c>
      <c r="F1895" s="33">
        <v>1814</v>
      </c>
      <c r="G1895" s="33">
        <v>32</v>
      </c>
      <c r="H1895" s="13">
        <f t="shared" si="29"/>
        <v>56.6875</v>
      </c>
    </row>
    <row r="1896" spans="1:8" hidden="1" outlineLevel="2">
      <c r="A1896" s="32" t="s">
        <v>22</v>
      </c>
      <c r="B1896" s="32" t="s">
        <v>86</v>
      </c>
      <c r="C1896" s="32" t="s">
        <v>110</v>
      </c>
      <c r="D1896" s="32" t="s">
        <v>213</v>
      </c>
      <c r="E1896" s="33">
        <v>25</v>
      </c>
      <c r="F1896" s="33">
        <v>1416</v>
      </c>
      <c r="G1896" s="33">
        <v>25</v>
      </c>
      <c r="H1896" s="13">
        <f t="shared" si="29"/>
        <v>56.64</v>
      </c>
    </row>
    <row r="1897" spans="1:8" hidden="1" outlineLevel="2">
      <c r="A1897" s="32" t="s">
        <v>22</v>
      </c>
      <c r="B1897" s="32" t="s">
        <v>1858</v>
      </c>
      <c r="C1897" s="32" t="s">
        <v>104</v>
      </c>
      <c r="D1897" s="32" t="s">
        <v>728</v>
      </c>
      <c r="E1897" s="33">
        <v>20</v>
      </c>
      <c r="F1897" s="33">
        <v>1130</v>
      </c>
      <c r="G1897" s="33">
        <v>19</v>
      </c>
      <c r="H1897" s="13">
        <f t="shared" si="29"/>
        <v>56.5</v>
      </c>
    </row>
    <row r="1898" spans="1:8" hidden="1" outlineLevel="2">
      <c r="A1898" s="32" t="s">
        <v>22</v>
      </c>
      <c r="B1898" s="32" t="s">
        <v>86</v>
      </c>
      <c r="C1898" s="32" t="s">
        <v>155</v>
      </c>
      <c r="D1898" s="32" t="s">
        <v>327</v>
      </c>
      <c r="E1898" s="33">
        <v>65</v>
      </c>
      <c r="F1898" s="33">
        <v>3660</v>
      </c>
      <c r="G1898" s="33">
        <v>65</v>
      </c>
      <c r="H1898" s="13">
        <f t="shared" si="29"/>
        <v>56.307692307692307</v>
      </c>
    </row>
    <row r="1899" spans="1:8" hidden="1" outlineLevel="2">
      <c r="A1899" s="32" t="s">
        <v>22</v>
      </c>
      <c r="B1899" s="32" t="s">
        <v>86</v>
      </c>
      <c r="C1899" s="32" t="s">
        <v>127</v>
      </c>
      <c r="D1899" s="32" t="s">
        <v>776</v>
      </c>
      <c r="E1899" s="33">
        <v>30</v>
      </c>
      <c r="F1899" s="33">
        <v>1681</v>
      </c>
      <c r="G1899" s="33">
        <v>30</v>
      </c>
      <c r="H1899" s="13">
        <f t="shared" si="29"/>
        <v>56.033333333333331</v>
      </c>
    </row>
    <row r="1900" spans="1:8" hidden="1" outlineLevel="2">
      <c r="A1900" s="32" t="s">
        <v>22</v>
      </c>
      <c r="B1900" s="32" t="s">
        <v>86</v>
      </c>
      <c r="C1900" s="32" t="s">
        <v>127</v>
      </c>
      <c r="D1900" s="32" t="s">
        <v>235</v>
      </c>
      <c r="E1900" s="33">
        <v>27</v>
      </c>
      <c r="F1900" s="33">
        <v>1496</v>
      </c>
      <c r="G1900" s="33">
        <v>26</v>
      </c>
      <c r="H1900" s="13">
        <f t="shared" si="29"/>
        <v>55.407407407407405</v>
      </c>
    </row>
    <row r="1901" spans="1:8" hidden="1" outlineLevel="2">
      <c r="A1901" s="32" t="s">
        <v>22</v>
      </c>
      <c r="B1901" s="32" t="s">
        <v>1858</v>
      </c>
      <c r="C1901" s="32" t="s">
        <v>349</v>
      </c>
      <c r="D1901" s="32" t="s">
        <v>351</v>
      </c>
      <c r="E1901" s="33">
        <v>30</v>
      </c>
      <c r="F1901" s="33">
        <v>1644</v>
      </c>
      <c r="G1901" s="33">
        <v>33</v>
      </c>
      <c r="H1901" s="13">
        <f t="shared" si="29"/>
        <v>54.8</v>
      </c>
    </row>
    <row r="1902" spans="1:8" hidden="1" outlineLevel="2">
      <c r="A1902" s="32" t="s">
        <v>22</v>
      </c>
      <c r="B1902" s="32" t="s">
        <v>86</v>
      </c>
      <c r="C1902" s="32" t="s">
        <v>110</v>
      </c>
      <c r="D1902" s="32" t="s">
        <v>315</v>
      </c>
      <c r="E1902" s="33">
        <v>64</v>
      </c>
      <c r="F1902" s="33">
        <v>3469</v>
      </c>
      <c r="G1902" s="33">
        <v>72</v>
      </c>
      <c r="H1902" s="13">
        <f t="shared" si="29"/>
        <v>54.203125</v>
      </c>
    </row>
    <row r="1903" spans="1:8" hidden="1" outlineLevel="2">
      <c r="A1903" s="32" t="s">
        <v>22</v>
      </c>
      <c r="B1903" s="32" t="s">
        <v>1858</v>
      </c>
      <c r="C1903" s="32" t="s">
        <v>242</v>
      </c>
      <c r="D1903" s="32" t="s">
        <v>417</v>
      </c>
      <c r="E1903" s="33">
        <v>21</v>
      </c>
      <c r="F1903" s="33">
        <v>1130</v>
      </c>
      <c r="G1903" s="33">
        <v>23</v>
      </c>
      <c r="H1903" s="13">
        <f t="shared" si="29"/>
        <v>53.80952380952381</v>
      </c>
    </row>
    <row r="1904" spans="1:8" hidden="1" outlineLevel="2">
      <c r="A1904" s="32" t="s">
        <v>22</v>
      </c>
      <c r="B1904" s="32" t="s">
        <v>86</v>
      </c>
      <c r="C1904" s="32" t="s">
        <v>110</v>
      </c>
      <c r="D1904" s="32" t="s">
        <v>696</v>
      </c>
      <c r="E1904" s="33">
        <v>20</v>
      </c>
      <c r="F1904" s="33">
        <v>1074</v>
      </c>
      <c r="G1904" s="33">
        <v>20</v>
      </c>
      <c r="H1904" s="13">
        <f t="shared" si="29"/>
        <v>53.7</v>
      </c>
    </row>
    <row r="1905" spans="1:8" hidden="1" outlineLevel="2">
      <c r="A1905" s="32" t="s">
        <v>22</v>
      </c>
      <c r="B1905" s="32" t="s">
        <v>86</v>
      </c>
      <c r="C1905" s="32" t="s">
        <v>110</v>
      </c>
      <c r="D1905" s="32" t="s">
        <v>733</v>
      </c>
      <c r="E1905" s="33">
        <v>33</v>
      </c>
      <c r="F1905" s="33">
        <v>1769</v>
      </c>
      <c r="G1905" s="33">
        <v>34</v>
      </c>
      <c r="H1905" s="13">
        <f t="shared" si="29"/>
        <v>53.606060606060609</v>
      </c>
    </row>
    <row r="1906" spans="1:8" hidden="1" outlineLevel="2">
      <c r="A1906" s="32" t="s">
        <v>22</v>
      </c>
      <c r="B1906" s="32" t="s">
        <v>1858</v>
      </c>
      <c r="C1906" s="32" t="s">
        <v>104</v>
      </c>
      <c r="D1906" s="32" t="s">
        <v>539</v>
      </c>
      <c r="E1906" s="33">
        <v>105</v>
      </c>
      <c r="F1906" s="33">
        <v>5616</v>
      </c>
      <c r="G1906" s="33">
        <v>108</v>
      </c>
      <c r="H1906" s="13">
        <f t="shared" si="29"/>
        <v>53.485714285714288</v>
      </c>
    </row>
    <row r="1907" spans="1:8" hidden="1" outlineLevel="2">
      <c r="A1907" s="32" t="s">
        <v>22</v>
      </c>
      <c r="B1907" s="32" t="s">
        <v>1862</v>
      </c>
      <c r="C1907" s="32" t="s">
        <v>115</v>
      </c>
      <c r="D1907" s="32" t="s">
        <v>723</v>
      </c>
      <c r="E1907" s="33">
        <v>35</v>
      </c>
      <c r="F1907" s="33">
        <v>1867</v>
      </c>
      <c r="G1907" s="33">
        <v>35</v>
      </c>
      <c r="H1907" s="13">
        <f t="shared" si="29"/>
        <v>53.342857142857142</v>
      </c>
    </row>
    <row r="1908" spans="1:8" hidden="1" outlineLevel="2">
      <c r="A1908" s="32" t="s">
        <v>22</v>
      </c>
      <c r="B1908" s="32" t="s">
        <v>86</v>
      </c>
      <c r="C1908" s="32" t="s">
        <v>155</v>
      </c>
      <c r="D1908" s="32" t="s">
        <v>156</v>
      </c>
      <c r="E1908" s="33">
        <v>35</v>
      </c>
      <c r="F1908" s="33">
        <v>1865</v>
      </c>
      <c r="G1908" s="33">
        <v>34</v>
      </c>
      <c r="H1908" s="13">
        <f t="shared" si="29"/>
        <v>53.285714285714285</v>
      </c>
    </row>
    <row r="1909" spans="1:8" hidden="1" outlineLevel="2">
      <c r="A1909" s="32" t="s">
        <v>22</v>
      </c>
      <c r="B1909" s="32" t="s">
        <v>86</v>
      </c>
      <c r="C1909" s="32" t="s">
        <v>110</v>
      </c>
      <c r="D1909" s="32" t="s">
        <v>121</v>
      </c>
      <c r="E1909" s="33">
        <v>223</v>
      </c>
      <c r="F1909" s="33">
        <v>11806</v>
      </c>
      <c r="G1909" s="33">
        <v>221</v>
      </c>
      <c r="H1909" s="13">
        <f t="shared" si="29"/>
        <v>52.941704035874437</v>
      </c>
    </row>
    <row r="1910" spans="1:8" hidden="1" outlineLevel="2">
      <c r="A1910" s="32" t="s">
        <v>22</v>
      </c>
      <c r="B1910" s="32" t="s">
        <v>1858</v>
      </c>
      <c r="C1910" s="32" t="s">
        <v>129</v>
      </c>
      <c r="D1910" s="32" t="s">
        <v>480</v>
      </c>
      <c r="E1910" s="33">
        <v>25</v>
      </c>
      <c r="F1910" s="33">
        <v>1311</v>
      </c>
      <c r="G1910" s="33">
        <v>25</v>
      </c>
      <c r="H1910" s="13">
        <f t="shared" si="29"/>
        <v>52.44</v>
      </c>
    </row>
    <row r="1911" spans="1:8" hidden="1" outlineLevel="2">
      <c r="A1911" s="32" t="s">
        <v>22</v>
      </c>
      <c r="B1911" s="32" t="s">
        <v>86</v>
      </c>
      <c r="C1911" s="32" t="s">
        <v>110</v>
      </c>
      <c r="D1911" s="32" t="s">
        <v>124</v>
      </c>
      <c r="E1911" s="33">
        <v>160</v>
      </c>
      <c r="F1911" s="33">
        <v>8384</v>
      </c>
      <c r="G1911" s="33">
        <v>162</v>
      </c>
      <c r="H1911" s="13">
        <f t="shared" si="29"/>
        <v>52.4</v>
      </c>
    </row>
    <row r="1912" spans="1:8" hidden="1" outlineLevel="2">
      <c r="A1912" s="32" t="s">
        <v>22</v>
      </c>
      <c r="B1912" s="32" t="s">
        <v>86</v>
      </c>
      <c r="C1912" s="32" t="s">
        <v>152</v>
      </c>
      <c r="D1912" s="32" t="s">
        <v>756</v>
      </c>
      <c r="E1912" s="33">
        <v>35</v>
      </c>
      <c r="F1912" s="33">
        <v>1830</v>
      </c>
      <c r="G1912" s="33">
        <v>34</v>
      </c>
      <c r="H1912" s="13">
        <f t="shared" si="29"/>
        <v>52.285714285714285</v>
      </c>
    </row>
    <row r="1913" spans="1:8" hidden="1" outlineLevel="2">
      <c r="A1913" s="32" t="s">
        <v>22</v>
      </c>
      <c r="B1913" s="32" t="s">
        <v>86</v>
      </c>
      <c r="C1913" s="32" t="s">
        <v>119</v>
      </c>
      <c r="D1913" s="32" t="s">
        <v>404</v>
      </c>
      <c r="E1913" s="33">
        <v>155</v>
      </c>
      <c r="F1913" s="33">
        <v>8038</v>
      </c>
      <c r="G1913" s="33">
        <v>153</v>
      </c>
      <c r="H1913" s="13">
        <f t="shared" si="29"/>
        <v>51.858064516129033</v>
      </c>
    </row>
    <row r="1914" spans="1:8" hidden="1" outlineLevel="2">
      <c r="A1914" s="32" t="s">
        <v>22</v>
      </c>
      <c r="B1914" s="32" t="s">
        <v>86</v>
      </c>
      <c r="C1914" s="32" t="s">
        <v>155</v>
      </c>
      <c r="D1914" s="32" t="s">
        <v>406</v>
      </c>
      <c r="E1914" s="33">
        <v>35</v>
      </c>
      <c r="F1914" s="33">
        <v>1815</v>
      </c>
      <c r="G1914" s="33">
        <v>35</v>
      </c>
      <c r="H1914" s="13">
        <f t="shared" si="29"/>
        <v>51.857142857142854</v>
      </c>
    </row>
    <row r="1915" spans="1:8" hidden="1" outlineLevel="2">
      <c r="A1915" s="32" t="s">
        <v>22</v>
      </c>
      <c r="B1915" s="32" t="s">
        <v>86</v>
      </c>
      <c r="C1915" s="32" t="s">
        <v>110</v>
      </c>
      <c r="D1915" s="32" t="s">
        <v>580</v>
      </c>
      <c r="E1915" s="33">
        <v>16</v>
      </c>
      <c r="F1915" s="33">
        <v>824</v>
      </c>
      <c r="G1915" s="33">
        <v>15</v>
      </c>
      <c r="H1915" s="13">
        <f t="shared" si="29"/>
        <v>51.5</v>
      </c>
    </row>
    <row r="1916" spans="1:8" hidden="1" outlineLevel="2">
      <c r="A1916" s="32" t="s">
        <v>22</v>
      </c>
      <c r="B1916" s="32" t="s">
        <v>1858</v>
      </c>
      <c r="C1916" s="32" t="s">
        <v>129</v>
      </c>
      <c r="D1916" s="32" t="s">
        <v>604</v>
      </c>
      <c r="E1916" s="33">
        <v>30</v>
      </c>
      <c r="F1916" s="33">
        <v>1539</v>
      </c>
      <c r="G1916" s="33">
        <v>30</v>
      </c>
      <c r="H1916" s="13">
        <f t="shared" si="29"/>
        <v>51.3</v>
      </c>
    </row>
    <row r="1917" spans="1:8" hidden="1" outlineLevel="2">
      <c r="A1917" s="32" t="s">
        <v>22</v>
      </c>
      <c r="B1917" s="32" t="s">
        <v>1862</v>
      </c>
      <c r="C1917" s="32" t="s">
        <v>115</v>
      </c>
      <c r="D1917" s="32" t="s">
        <v>572</v>
      </c>
      <c r="E1917" s="33">
        <v>33</v>
      </c>
      <c r="F1917" s="33">
        <v>1687</v>
      </c>
      <c r="G1917" s="33">
        <v>35</v>
      </c>
      <c r="H1917" s="13">
        <f t="shared" si="29"/>
        <v>51.121212121212125</v>
      </c>
    </row>
    <row r="1918" spans="1:8" hidden="1" outlineLevel="2">
      <c r="A1918" s="32" t="s">
        <v>22</v>
      </c>
      <c r="B1918" s="32" t="s">
        <v>1862</v>
      </c>
      <c r="C1918" s="32" t="s">
        <v>97</v>
      </c>
      <c r="D1918" s="32" t="s">
        <v>327</v>
      </c>
      <c r="E1918" s="33">
        <v>50</v>
      </c>
      <c r="F1918" s="33">
        <v>2517</v>
      </c>
      <c r="G1918" s="33">
        <v>49</v>
      </c>
      <c r="H1918" s="13">
        <f t="shared" si="29"/>
        <v>50.34</v>
      </c>
    </row>
    <row r="1919" spans="1:8" hidden="1" outlineLevel="2">
      <c r="A1919" s="32" t="s">
        <v>22</v>
      </c>
      <c r="B1919" s="32" t="s">
        <v>1862</v>
      </c>
      <c r="C1919" s="32" t="s">
        <v>97</v>
      </c>
      <c r="D1919" s="32" t="s">
        <v>447</v>
      </c>
      <c r="E1919" s="33">
        <v>130</v>
      </c>
      <c r="F1919" s="33">
        <v>6508</v>
      </c>
      <c r="G1919" s="33">
        <v>131</v>
      </c>
      <c r="H1919" s="13">
        <f t="shared" si="29"/>
        <v>50.061538461538461</v>
      </c>
    </row>
    <row r="1920" spans="1:8" hidden="1" outlineLevel="2">
      <c r="A1920" s="32" t="s">
        <v>22</v>
      </c>
      <c r="B1920" s="32" t="s">
        <v>86</v>
      </c>
      <c r="C1920" s="32" t="s">
        <v>110</v>
      </c>
      <c r="D1920" s="32" t="s">
        <v>214</v>
      </c>
      <c r="E1920" s="33">
        <v>63</v>
      </c>
      <c r="F1920" s="33">
        <v>3153</v>
      </c>
      <c r="G1920" s="33">
        <v>58</v>
      </c>
      <c r="H1920" s="13">
        <f t="shared" si="29"/>
        <v>50.047619047619051</v>
      </c>
    </row>
    <row r="1921" spans="1:8" hidden="1" outlineLevel="2">
      <c r="A1921" s="32" t="s">
        <v>22</v>
      </c>
      <c r="B1921" s="32" t="s">
        <v>86</v>
      </c>
      <c r="C1921" s="32" t="s">
        <v>110</v>
      </c>
      <c r="D1921" s="32" t="s">
        <v>307</v>
      </c>
      <c r="E1921" s="33">
        <v>15</v>
      </c>
      <c r="F1921" s="33">
        <v>748</v>
      </c>
      <c r="G1921" s="33">
        <v>5</v>
      </c>
      <c r="H1921" s="13">
        <f t="shared" si="29"/>
        <v>49.866666666666667</v>
      </c>
    </row>
    <row r="1922" spans="1:8" hidden="1" outlineLevel="2">
      <c r="A1922" s="32" t="s">
        <v>22</v>
      </c>
      <c r="B1922" s="32" t="s">
        <v>1862</v>
      </c>
      <c r="C1922" s="32" t="s">
        <v>97</v>
      </c>
      <c r="D1922" s="32" t="s">
        <v>490</v>
      </c>
      <c r="E1922" s="33">
        <v>25</v>
      </c>
      <c r="F1922" s="33">
        <v>1243</v>
      </c>
      <c r="G1922" s="33">
        <v>25</v>
      </c>
      <c r="H1922" s="13">
        <f t="shared" ref="H1922:H1985" si="30">IFERROR(F1922/E1922,"")</f>
        <v>49.72</v>
      </c>
    </row>
    <row r="1923" spans="1:8" hidden="1" outlineLevel="2">
      <c r="A1923" s="32" t="s">
        <v>22</v>
      </c>
      <c r="B1923" s="32" t="s">
        <v>1862</v>
      </c>
      <c r="C1923" s="32" t="s">
        <v>108</v>
      </c>
      <c r="D1923" s="32" t="s">
        <v>310</v>
      </c>
      <c r="E1923" s="33">
        <v>35</v>
      </c>
      <c r="F1923" s="33">
        <v>1698</v>
      </c>
      <c r="G1923" s="33">
        <v>42</v>
      </c>
      <c r="H1923" s="13">
        <f t="shared" si="30"/>
        <v>48.514285714285712</v>
      </c>
    </row>
    <row r="1924" spans="1:8" hidden="1" outlineLevel="2">
      <c r="A1924" s="32" t="s">
        <v>22</v>
      </c>
      <c r="B1924" s="32" t="s">
        <v>86</v>
      </c>
      <c r="C1924" s="32" t="s">
        <v>155</v>
      </c>
      <c r="D1924" s="32" t="s">
        <v>471</v>
      </c>
      <c r="E1924" s="33">
        <v>14</v>
      </c>
      <c r="F1924" s="33">
        <v>675</v>
      </c>
      <c r="G1924" s="33">
        <v>14</v>
      </c>
      <c r="H1924" s="13">
        <f t="shared" si="30"/>
        <v>48.214285714285715</v>
      </c>
    </row>
    <row r="1925" spans="1:8" hidden="1" outlineLevel="2">
      <c r="A1925" s="32" t="s">
        <v>22</v>
      </c>
      <c r="B1925" s="32" t="s">
        <v>1862</v>
      </c>
      <c r="C1925" s="32" t="s">
        <v>115</v>
      </c>
      <c r="D1925" s="32" t="s">
        <v>554</v>
      </c>
      <c r="E1925" s="33">
        <v>24</v>
      </c>
      <c r="F1925" s="33">
        <v>1156</v>
      </c>
      <c r="G1925" s="33">
        <v>22</v>
      </c>
      <c r="H1925" s="13">
        <f t="shared" si="30"/>
        <v>48.166666666666664</v>
      </c>
    </row>
    <row r="1926" spans="1:8" hidden="1" outlineLevel="2">
      <c r="A1926" s="32" t="s">
        <v>22</v>
      </c>
      <c r="B1926" s="32" t="s">
        <v>1858</v>
      </c>
      <c r="C1926" s="32" t="s">
        <v>104</v>
      </c>
      <c r="D1926" s="32" t="s">
        <v>123</v>
      </c>
      <c r="E1926" s="33">
        <v>75</v>
      </c>
      <c r="F1926" s="33">
        <v>3591</v>
      </c>
      <c r="G1926" s="33">
        <v>93</v>
      </c>
      <c r="H1926" s="13">
        <f t="shared" si="30"/>
        <v>47.88</v>
      </c>
    </row>
    <row r="1927" spans="1:8" hidden="1" outlineLevel="2">
      <c r="A1927" s="32" t="s">
        <v>22</v>
      </c>
      <c r="B1927" s="32" t="s">
        <v>1858</v>
      </c>
      <c r="C1927" s="32" t="s">
        <v>129</v>
      </c>
      <c r="D1927" s="32" t="s">
        <v>348</v>
      </c>
      <c r="E1927" s="33">
        <v>50</v>
      </c>
      <c r="F1927" s="33">
        <v>2355</v>
      </c>
      <c r="G1927" s="33">
        <v>50</v>
      </c>
      <c r="H1927" s="13">
        <f t="shared" si="30"/>
        <v>47.1</v>
      </c>
    </row>
    <row r="1928" spans="1:8" hidden="1" outlineLevel="2">
      <c r="A1928" s="32" t="s">
        <v>22</v>
      </c>
      <c r="B1928" s="32" t="s">
        <v>1862</v>
      </c>
      <c r="C1928" s="32" t="s">
        <v>115</v>
      </c>
      <c r="D1928" s="32" t="s">
        <v>342</v>
      </c>
      <c r="E1928" s="33">
        <v>25</v>
      </c>
      <c r="F1928" s="33">
        <v>1176</v>
      </c>
      <c r="G1928" s="33">
        <v>25</v>
      </c>
      <c r="H1928" s="13">
        <f t="shared" si="30"/>
        <v>47.04</v>
      </c>
    </row>
    <row r="1929" spans="1:8" hidden="1" outlineLevel="2">
      <c r="A1929" s="32" t="s">
        <v>22</v>
      </c>
      <c r="B1929" s="32" t="s">
        <v>86</v>
      </c>
      <c r="C1929" s="32" t="s">
        <v>127</v>
      </c>
      <c r="D1929" s="32" t="s">
        <v>231</v>
      </c>
      <c r="E1929" s="33">
        <v>20</v>
      </c>
      <c r="F1929" s="33">
        <v>937</v>
      </c>
      <c r="G1929" s="33">
        <v>20</v>
      </c>
      <c r="H1929" s="13">
        <f t="shared" si="30"/>
        <v>46.85</v>
      </c>
    </row>
    <row r="1930" spans="1:8" hidden="1" outlineLevel="2">
      <c r="A1930" s="32" t="s">
        <v>22</v>
      </c>
      <c r="B1930" s="32" t="s">
        <v>1858</v>
      </c>
      <c r="C1930" s="32" t="s">
        <v>129</v>
      </c>
      <c r="D1930" s="32" t="s">
        <v>352</v>
      </c>
      <c r="E1930" s="33">
        <v>25</v>
      </c>
      <c r="F1930" s="33">
        <v>1165</v>
      </c>
      <c r="G1930" s="33">
        <v>22</v>
      </c>
      <c r="H1930" s="13">
        <f t="shared" si="30"/>
        <v>46.6</v>
      </c>
    </row>
    <row r="1931" spans="1:8" hidden="1" outlineLevel="2">
      <c r="A1931" s="32" t="s">
        <v>22</v>
      </c>
      <c r="B1931" s="32" t="s">
        <v>86</v>
      </c>
      <c r="C1931" s="32" t="s">
        <v>190</v>
      </c>
      <c r="D1931" s="32" t="s">
        <v>527</v>
      </c>
      <c r="E1931" s="33">
        <v>40</v>
      </c>
      <c r="F1931" s="33">
        <v>1856</v>
      </c>
      <c r="G1931" s="33">
        <v>38</v>
      </c>
      <c r="H1931" s="13">
        <f t="shared" si="30"/>
        <v>46.4</v>
      </c>
    </row>
    <row r="1932" spans="1:8" hidden="1" outlineLevel="2">
      <c r="A1932" s="32" t="s">
        <v>22</v>
      </c>
      <c r="B1932" s="32" t="s">
        <v>86</v>
      </c>
      <c r="C1932" s="32" t="s">
        <v>152</v>
      </c>
      <c r="D1932" s="32" t="s">
        <v>665</v>
      </c>
      <c r="E1932" s="33">
        <v>60</v>
      </c>
      <c r="F1932" s="33">
        <v>2718</v>
      </c>
      <c r="G1932" s="33">
        <v>58</v>
      </c>
      <c r="H1932" s="13">
        <f t="shared" si="30"/>
        <v>45.3</v>
      </c>
    </row>
    <row r="1933" spans="1:8" hidden="1" outlineLevel="2">
      <c r="A1933" s="32" t="s">
        <v>22</v>
      </c>
      <c r="B1933" s="32" t="s">
        <v>86</v>
      </c>
      <c r="C1933" s="32" t="s">
        <v>155</v>
      </c>
      <c r="D1933" s="32" t="s">
        <v>238</v>
      </c>
      <c r="E1933" s="33">
        <v>35</v>
      </c>
      <c r="F1933" s="33">
        <v>1576</v>
      </c>
      <c r="G1933" s="33">
        <v>35</v>
      </c>
      <c r="H1933" s="13">
        <f t="shared" si="30"/>
        <v>45.028571428571432</v>
      </c>
    </row>
    <row r="1934" spans="1:8" hidden="1" outlineLevel="2">
      <c r="A1934" s="32" t="s">
        <v>22</v>
      </c>
      <c r="B1934" s="32" t="s">
        <v>86</v>
      </c>
      <c r="C1934" s="32" t="s">
        <v>152</v>
      </c>
      <c r="D1934" s="32" t="s">
        <v>763</v>
      </c>
      <c r="E1934" s="33">
        <v>50</v>
      </c>
      <c r="F1934" s="33">
        <v>2246</v>
      </c>
      <c r="G1934" s="33">
        <v>50</v>
      </c>
      <c r="H1934" s="13">
        <f t="shared" si="30"/>
        <v>44.92</v>
      </c>
    </row>
    <row r="1935" spans="1:8" hidden="1" outlineLevel="2">
      <c r="A1935" s="32" t="s">
        <v>22</v>
      </c>
      <c r="B1935" s="32" t="s">
        <v>1858</v>
      </c>
      <c r="C1935" s="32" t="s">
        <v>225</v>
      </c>
      <c r="D1935" s="32" t="s">
        <v>227</v>
      </c>
      <c r="E1935" s="33">
        <v>20</v>
      </c>
      <c r="F1935" s="33">
        <v>896</v>
      </c>
      <c r="G1935" s="33">
        <v>20</v>
      </c>
      <c r="H1935" s="13">
        <f t="shared" si="30"/>
        <v>44.8</v>
      </c>
    </row>
    <row r="1936" spans="1:8" hidden="1" outlineLevel="2">
      <c r="A1936" s="32" t="s">
        <v>22</v>
      </c>
      <c r="B1936" s="32" t="s">
        <v>86</v>
      </c>
      <c r="C1936" s="32" t="s">
        <v>127</v>
      </c>
      <c r="D1936" s="32" t="s">
        <v>413</v>
      </c>
      <c r="E1936" s="33">
        <v>9</v>
      </c>
      <c r="F1936" s="33">
        <v>398</v>
      </c>
      <c r="G1936" s="33">
        <v>9</v>
      </c>
      <c r="H1936" s="13">
        <f t="shared" si="30"/>
        <v>44.222222222222221</v>
      </c>
    </row>
    <row r="1937" spans="1:8" hidden="1" outlineLevel="2">
      <c r="A1937" s="32" t="s">
        <v>22</v>
      </c>
      <c r="B1937" s="32" t="s">
        <v>86</v>
      </c>
      <c r="C1937" s="32" t="s">
        <v>127</v>
      </c>
      <c r="D1937" s="32" t="s">
        <v>236</v>
      </c>
      <c r="E1937" s="33">
        <v>70</v>
      </c>
      <c r="F1937" s="33">
        <v>3080</v>
      </c>
      <c r="G1937" s="33">
        <v>69</v>
      </c>
      <c r="H1937" s="13">
        <f t="shared" si="30"/>
        <v>44</v>
      </c>
    </row>
    <row r="1938" spans="1:8" hidden="1" outlineLevel="2">
      <c r="A1938" s="32" t="s">
        <v>22</v>
      </c>
      <c r="B1938" s="32" t="s">
        <v>86</v>
      </c>
      <c r="C1938" s="32" t="s">
        <v>119</v>
      </c>
      <c r="D1938" s="32" t="s">
        <v>719</v>
      </c>
      <c r="E1938" s="33">
        <v>24</v>
      </c>
      <c r="F1938" s="33">
        <v>1042</v>
      </c>
      <c r="G1938" s="33">
        <v>24</v>
      </c>
      <c r="H1938" s="13">
        <f t="shared" si="30"/>
        <v>43.416666666666664</v>
      </c>
    </row>
    <row r="1939" spans="1:8" hidden="1" outlineLevel="2">
      <c r="A1939" s="32" t="s">
        <v>22</v>
      </c>
      <c r="B1939" s="32" t="s">
        <v>1862</v>
      </c>
      <c r="C1939" s="32" t="s">
        <v>115</v>
      </c>
      <c r="D1939" s="32" t="s">
        <v>444</v>
      </c>
      <c r="E1939" s="33">
        <v>65</v>
      </c>
      <c r="F1939" s="33">
        <v>2822</v>
      </c>
      <c r="G1939" s="33">
        <v>65</v>
      </c>
      <c r="H1939" s="13">
        <f t="shared" si="30"/>
        <v>43.415384615384617</v>
      </c>
    </row>
    <row r="1940" spans="1:8" hidden="1" outlineLevel="2">
      <c r="A1940" s="32" t="s">
        <v>22</v>
      </c>
      <c r="B1940" s="32" t="s">
        <v>86</v>
      </c>
      <c r="C1940" s="32" t="s">
        <v>119</v>
      </c>
      <c r="D1940" s="32" t="s">
        <v>492</v>
      </c>
      <c r="E1940" s="33">
        <v>16</v>
      </c>
      <c r="F1940" s="33">
        <v>691</v>
      </c>
      <c r="G1940" s="33">
        <v>18</v>
      </c>
      <c r="H1940" s="13">
        <f t="shared" si="30"/>
        <v>43.1875</v>
      </c>
    </row>
    <row r="1941" spans="1:8" hidden="1" outlineLevel="2">
      <c r="A1941" s="32" t="s">
        <v>22</v>
      </c>
      <c r="B1941" s="32" t="s">
        <v>1858</v>
      </c>
      <c r="C1941" s="32" t="s">
        <v>129</v>
      </c>
      <c r="D1941" s="32" t="s">
        <v>607</v>
      </c>
      <c r="E1941" s="33">
        <v>25</v>
      </c>
      <c r="F1941" s="33">
        <v>1074</v>
      </c>
      <c r="G1941" s="33">
        <v>25</v>
      </c>
      <c r="H1941" s="13">
        <f t="shared" si="30"/>
        <v>42.96</v>
      </c>
    </row>
    <row r="1942" spans="1:8" hidden="1" outlineLevel="2">
      <c r="A1942" s="32" t="s">
        <v>22</v>
      </c>
      <c r="B1942" s="32" t="s">
        <v>86</v>
      </c>
      <c r="C1942" s="32" t="s">
        <v>378</v>
      </c>
      <c r="D1942" s="32" t="s">
        <v>266</v>
      </c>
      <c r="E1942" s="33">
        <v>50</v>
      </c>
      <c r="F1942" s="33">
        <v>2131</v>
      </c>
      <c r="G1942" s="33">
        <v>47</v>
      </c>
      <c r="H1942" s="13">
        <f t="shared" si="30"/>
        <v>42.62</v>
      </c>
    </row>
    <row r="1943" spans="1:8" hidden="1" outlineLevel="2">
      <c r="A1943" s="32" t="s">
        <v>22</v>
      </c>
      <c r="B1943" s="32" t="s">
        <v>1862</v>
      </c>
      <c r="C1943" s="32" t="s">
        <v>115</v>
      </c>
      <c r="D1943" s="32" t="s">
        <v>315</v>
      </c>
      <c r="E1943" s="33">
        <v>28</v>
      </c>
      <c r="F1943" s="33">
        <v>1193</v>
      </c>
      <c r="G1943" s="33">
        <v>27</v>
      </c>
      <c r="H1943" s="13">
        <f t="shared" si="30"/>
        <v>42.607142857142854</v>
      </c>
    </row>
    <row r="1944" spans="1:8" hidden="1" outlineLevel="2">
      <c r="A1944" s="32" t="s">
        <v>22</v>
      </c>
      <c r="B1944" s="32" t="s">
        <v>1858</v>
      </c>
      <c r="C1944" s="32" t="s">
        <v>162</v>
      </c>
      <c r="D1944" s="32" t="s">
        <v>566</v>
      </c>
      <c r="E1944" s="33">
        <v>35</v>
      </c>
      <c r="F1944" s="33">
        <v>1488</v>
      </c>
      <c r="G1944" s="33">
        <v>32</v>
      </c>
      <c r="H1944" s="13">
        <f t="shared" si="30"/>
        <v>42.514285714285712</v>
      </c>
    </row>
    <row r="1945" spans="1:8" hidden="1" outlineLevel="2">
      <c r="A1945" s="32" t="s">
        <v>22</v>
      </c>
      <c r="B1945" s="32" t="s">
        <v>1862</v>
      </c>
      <c r="C1945" s="32" t="s">
        <v>97</v>
      </c>
      <c r="D1945" s="32" t="s">
        <v>346</v>
      </c>
      <c r="E1945" s="33">
        <v>35</v>
      </c>
      <c r="F1945" s="33">
        <v>1482</v>
      </c>
      <c r="G1945" s="33">
        <v>35</v>
      </c>
      <c r="H1945" s="13">
        <f t="shared" si="30"/>
        <v>42.342857142857142</v>
      </c>
    </row>
    <row r="1946" spans="1:8" hidden="1" outlineLevel="2">
      <c r="A1946" s="32" t="s">
        <v>22</v>
      </c>
      <c r="B1946" s="32" t="s">
        <v>86</v>
      </c>
      <c r="C1946" s="32" t="s">
        <v>190</v>
      </c>
      <c r="D1946" s="32" t="s">
        <v>223</v>
      </c>
      <c r="E1946" s="33">
        <v>40</v>
      </c>
      <c r="F1946" s="33">
        <v>1692</v>
      </c>
      <c r="G1946" s="33">
        <v>38</v>
      </c>
      <c r="H1946" s="13">
        <f t="shared" si="30"/>
        <v>42.3</v>
      </c>
    </row>
    <row r="1947" spans="1:8" hidden="1" outlineLevel="2">
      <c r="A1947" s="32" t="s">
        <v>22</v>
      </c>
      <c r="B1947" s="32" t="s">
        <v>86</v>
      </c>
      <c r="C1947" s="32" t="s">
        <v>110</v>
      </c>
      <c r="D1947" s="32" t="s">
        <v>399</v>
      </c>
      <c r="E1947" s="33">
        <v>6</v>
      </c>
      <c r="F1947" s="33">
        <v>253</v>
      </c>
      <c r="G1947" s="33">
        <v>5</v>
      </c>
      <c r="H1947" s="13">
        <f t="shared" si="30"/>
        <v>42.166666666666664</v>
      </c>
    </row>
    <row r="1948" spans="1:8" hidden="1" outlineLevel="2">
      <c r="A1948" s="32" t="s">
        <v>22</v>
      </c>
      <c r="B1948" s="32" t="s">
        <v>1862</v>
      </c>
      <c r="C1948" s="32" t="s">
        <v>265</v>
      </c>
      <c r="D1948" s="32" t="s">
        <v>326</v>
      </c>
      <c r="E1948" s="33">
        <v>25</v>
      </c>
      <c r="F1948" s="33">
        <v>1048</v>
      </c>
      <c r="G1948" s="33">
        <v>21</v>
      </c>
      <c r="H1948" s="13">
        <f t="shared" si="30"/>
        <v>41.92</v>
      </c>
    </row>
    <row r="1949" spans="1:8" hidden="1" outlineLevel="2">
      <c r="A1949" s="32" t="s">
        <v>22</v>
      </c>
      <c r="B1949" s="32" t="s">
        <v>86</v>
      </c>
      <c r="C1949" s="32" t="s">
        <v>127</v>
      </c>
      <c r="D1949" s="32" t="s">
        <v>234</v>
      </c>
      <c r="E1949" s="33">
        <v>20</v>
      </c>
      <c r="F1949" s="33">
        <v>836</v>
      </c>
      <c r="G1949" s="33">
        <v>20</v>
      </c>
      <c r="H1949" s="13">
        <f t="shared" si="30"/>
        <v>41.8</v>
      </c>
    </row>
    <row r="1950" spans="1:8" hidden="1" outlineLevel="2">
      <c r="A1950" s="32" t="s">
        <v>22</v>
      </c>
      <c r="B1950" s="32" t="s">
        <v>86</v>
      </c>
      <c r="C1950" s="32" t="s">
        <v>119</v>
      </c>
      <c r="D1950" s="32" t="s">
        <v>220</v>
      </c>
      <c r="E1950" s="33">
        <v>200</v>
      </c>
      <c r="F1950" s="33">
        <v>8360</v>
      </c>
      <c r="G1950" s="33">
        <v>197</v>
      </c>
      <c r="H1950" s="13">
        <f t="shared" si="30"/>
        <v>41.8</v>
      </c>
    </row>
    <row r="1951" spans="1:8" hidden="1" outlineLevel="2">
      <c r="A1951" s="32" t="s">
        <v>22</v>
      </c>
      <c r="B1951" s="32" t="s">
        <v>1862</v>
      </c>
      <c r="C1951" s="32" t="s">
        <v>115</v>
      </c>
      <c r="D1951" s="32" t="s">
        <v>556</v>
      </c>
      <c r="E1951" s="33">
        <v>5</v>
      </c>
      <c r="F1951" s="33">
        <v>208</v>
      </c>
      <c r="G1951" s="33">
        <v>5</v>
      </c>
      <c r="H1951" s="13">
        <f t="shared" si="30"/>
        <v>41.6</v>
      </c>
    </row>
    <row r="1952" spans="1:8" hidden="1" outlineLevel="2">
      <c r="A1952" s="32" t="s">
        <v>22</v>
      </c>
      <c r="B1952" s="32" t="s">
        <v>1862</v>
      </c>
      <c r="C1952" s="32" t="s">
        <v>108</v>
      </c>
      <c r="D1952" s="32" t="s">
        <v>361</v>
      </c>
      <c r="E1952" s="33">
        <v>36</v>
      </c>
      <c r="F1952" s="33">
        <v>1497</v>
      </c>
      <c r="G1952" s="33">
        <v>35</v>
      </c>
      <c r="H1952" s="13">
        <f t="shared" si="30"/>
        <v>41.583333333333336</v>
      </c>
    </row>
    <row r="1953" spans="1:8" hidden="1" outlineLevel="2">
      <c r="A1953" s="32" t="s">
        <v>22</v>
      </c>
      <c r="B1953" s="32" t="s">
        <v>86</v>
      </c>
      <c r="C1953" s="32" t="s">
        <v>155</v>
      </c>
      <c r="D1953" s="32" t="s">
        <v>725</v>
      </c>
      <c r="E1953" s="33">
        <v>35</v>
      </c>
      <c r="F1953" s="33">
        <v>1455</v>
      </c>
      <c r="G1953" s="33">
        <v>35</v>
      </c>
      <c r="H1953" s="13">
        <f t="shared" si="30"/>
        <v>41.571428571428569</v>
      </c>
    </row>
    <row r="1954" spans="1:8" hidden="1" outlineLevel="2">
      <c r="A1954" s="32" t="s">
        <v>22</v>
      </c>
      <c r="B1954" s="32" t="s">
        <v>86</v>
      </c>
      <c r="C1954" s="32" t="s">
        <v>110</v>
      </c>
      <c r="D1954" s="32" t="s">
        <v>377</v>
      </c>
      <c r="E1954" s="33">
        <v>85</v>
      </c>
      <c r="F1954" s="33">
        <v>3530</v>
      </c>
      <c r="G1954" s="33">
        <v>86</v>
      </c>
      <c r="H1954" s="13">
        <f t="shared" si="30"/>
        <v>41.529411764705884</v>
      </c>
    </row>
    <row r="1955" spans="1:8" hidden="1" outlineLevel="2">
      <c r="A1955" s="32" t="s">
        <v>22</v>
      </c>
      <c r="B1955" s="32" t="s">
        <v>86</v>
      </c>
      <c r="C1955" s="32" t="s">
        <v>119</v>
      </c>
      <c r="D1955" s="32" t="s">
        <v>484</v>
      </c>
      <c r="E1955" s="33">
        <v>20</v>
      </c>
      <c r="F1955" s="33">
        <v>829</v>
      </c>
      <c r="G1955" s="33">
        <v>19</v>
      </c>
      <c r="H1955" s="13">
        <f t="shared" si="30"/>
        <v>41.45</v>
      </c>
    </row>
    <row r="1956" spans="1:8" hidden="1" outlineLevel="2">
      <c r="A1956" s="32" t="s">
        <v>22</v>
      </c>
      <c r="B1956" s="32" t="s">
        <v>86</v>
      </c>
      <c r="C1956" s="32" t="s">
        <v>155</v>
      </c>
      <c r="D1956" s="32" t="s">
        <v>392</v>
      </c>
      <c r="E1956" s="33">
        <v>410</v>
      </c>
      <c r="F1956" s="33">
        <v>16868</v>
      </c>
      <c r="G1956" s="33">
        <v>410</v>
      </c>
      <c r="H1956" s="13">
        <f t="shared" si="30"/>
        <v>41.141463414634146</v>
      </c>
    </row>
    <row r="1957" spans="1:8" hidden="1" outlineLevel="2">
      <c r="A1957" s="32" t="s">
        <v>22</v>
      </c>
      <c r="B1957" s="32" t="s">
        <v>86</v>
      </c>
      <c r="C1957" s="32" t="s">
        <v>127</v>
      </c>
      <c r="D1957" s="32" t="s">
        <v>369</v>
      </c>
      <c r="E1957" s="33">
        <v>120</v>
      </c>
      <c r="F1957" s="33">
        <v>4932</v>
      </c>
      <c r="G1957" s="33">
        <v>119</v>
      </c>
      <c r="H1957" s="13">
        <f t="shared" si="30"/>
        <v>41.1</v>
      </c>
    </row>
    <row r="1958" spans="1:8" hidden="1" outlineLevel="2">
      <c r="A1958" s="32" t="s">
        <v>22</v>
      </c>
      <c r="B1958" s="32" t="s">
        <v>1858</v>
      </c>
      <c r="C1958" s="32" t="s">
        <v>242</v>
      </c>
      <c r="D1958" s="32" t="s">
        <v>491</v>
      </c>
      <c r="E1958" s="33">
        <v>18</v>
      </c>
      <c r="F1958" s="33">
        <v>738</v>
      </c>
      <c r="G1958" s="33">
        <v>18</v>
      </c>
      <c r="H1958" s="13">
        <f t="shared" si="30"/>
        <v>41</v>
      </c>
    </row>
    <row r="1959" spans="1:8" hidden="1" outlineLevel="2">
      <c r="A1959" s="32" t="s">
        <v>22</v>
      </c>
      <c r="B1959" s="32" t="s">
        <v>86</v>
      </c>
      <c r="C1959" s="32" t="s">
        <v>155</v>
      </c>
      <c r="D1959" s="32" t="s">
        <v>707</v>
      </c>
      <c r="E1959" s="33">
        <v>15</v>
      </c>
      <c r="F1959" s="33">
        <v>612</v>
      </c>
      <c r="G1959" s="33">
        <v>14</v>
      </c>
      <c r="H1959" s="13">
        <f t="shared" si="30"/>
        <v>40.799999999999997</v>
      </c>
    </row>
    <row r="1960" spans="1:8" hidden="1" outlineLevel="2">
      <c r="A1960" s="32" t="s">
        <v>22</v>
      </c>
      <c r="B1960" s="32" t="s">
        <v>86</v>
      </c>
      <c r="C1960" s="32" t="s">
        <v>127</v>
      </c>
      <c r="D1960" s="32" t="s">
        <v>569</v>
      </c>
      <c r="E1960" s="33">
        <v>85</v>
      </c>
      <c r="F1960" s="33">
        <v>3404</v>
      </c>
      <c r="G1960" s="33">
        <v>85</v>
      </c>
      <c r="H1960" s="13">
        <f t="shared" si="30"/>
        <v>40.047058823529412</v>
      </c>
    </row>
    <row r="1961" spans="1:8" hidden="1" outlineLevel="2">
      <c r="A1961" s="32" t="s">
        <v>22</v>
      </c>
      <c r="B1961" s="32" t="s">
        <v>86</v>
      </c>
      <c r="C1961" s="32" t="s">
        <v>110</v>
      </c>
      <c r="D1961" s="32" t="s">
        <v>672</v>
      </c>
      <c r="E1961" s="33">
        <v>90</v>
      </c>
      <c r="F1961" s="33">
        <v>3588</v>
      </c>
      <c r="G1961" s="33">
        <v>85</v>
      </c>
      <c r="H1961" s="13">
        <f t="shared" si="30"/>
        <v>39.866666666666667</v>
      </c>
    </row>
    <row r="1962" spans="1:8" hidden="1" outlineLevel="2">
      <c r="A1962" s="32" t="s">
        <v>22</v>
      </c>
      <c r="B1962" s="32" t="s">
        <v>1862</v>
      </c>
      <c r="C1962" s="32" t="s">
        <v>115</v>
      </c>
      <c r="D1962" s="32" t="s">
        <v>455</v>
      </c>
      <c r="E1962" s="33">
        <v>90</v>
      </c>
      <c r="F1962" s="33">
        <v>3583</v>
      </c>
      <c r="G1962" s="33">
        <v>89</v>
      </c>
      <c r="H1962" s="13">
        <f t="shared" si="30"/>
        <v>39.81111111111111</v>
      </c>
    </row>
    <row r="1963" spans="1:8" hidden="1" outlineLevel="2">
      <c r="A1963" s="32" t="s">
        <v>22</v>
      </c>
      <c r="B1963" s="32" t="s">
        <v>86</v>
      </c>
      <c r="C1963" s="32" t="s">
        <v>119</v>
      </c>
      <c r="D1963" s="32" t="s">
        <v>157</v>
      </c>
      <c r="E1963" s="33">
        <v>32</v>
      </c>
      <c r="F1963" s="33">
        <v>1265</v>
      </c>
      <c r="G1963" s="33">
        <v>30</v>
      </c>
      <c r="H1963" s="13">
        <f t="shared" si="30"/>
        <v>39.53125</v>
      </c>
    </row>
    <row r="1964" spans="1:8" hidden="1" outlineLevel="2">
      <c r="A1964" s="32" t="s">
        <v>22</v>
      </c>
      <c r="B1964" s="32" t="s">
        <v>86</v>
      </c>
      <c r="C1964" s="32" t="s">
        <v>119</v>
      </c>
      <c r="D1964" s="32" t="s">
        <v>219</v>
      </c>
      <c r="E1964" s="33">
        <v>65</v>
      </c>
      <c r="F1964" s="33">
        <v>2560</v>
      </c>
      <c r="G1964" s="33">
        <v>65</v>
      </c>
      <c r="H1964" s="13">
        <f t="shared" si="30"/>
        <v>39.384615384615387</v>
      </c>
    </row>
    <row r="1965" spans="1:8" hidden="1" outlineLevel="2">
      <c r="A1965" s="32" t="s">
        <v>22</v>
      </c>
      <c r="B1965" s="32" t="s">
        <v>86</v>
      </c>
      <c r="C1965" s="32" t="s">
        <v>155</v>
      </c>
      <c r="D1965" s="32" t="s">
        <v>706</v>
      </c>
      <c r="E1965" s="33">
        <v>15</v>
      </c>
      <c r="F1965" s="33">
        <v>590</v>
      </c>
      <c r="G1965" s="33">
        <v>15</v>
      </c>
      <c r="H1965" s="13">
        <f t="shared" si="30"/>
        <v>39.333333333333336</v>
      </c>
    </row>
    <row r="1966" spans="1:8" hidden="1" outlineLevel="2">
      <c r="A1966" s="32" t="s">
        <v>22</v>
      </c>
      <c r="B1966" s="32" t="s">
        <v>86</v>
      </c>
      <c r="C1966" s="32" t="s">
        <v>110</v>
      </c>
      <c r="D1966" s="32" t="s">
        <v>402</v>
      </c>
      <c r="E1966" s="33">
        <v>32</v>
      </c>
      <c r="F1966" s="33">
        <v>1251</v>
      </c>
      <c r="G1966" s="33">
        <v>31</v>
      </c>
      <c r="H1966" s="13">
        <f t="shared" si="30"/>
        <v>39.09375</v>
      </c>
    </row>
    <row r="1967" spans="1:8" hidden="1" outlineLevel="2">
      <c r="A1967" s="32" t="s">
        <v>22</v>
      </c>
      <c r="B1967" s="32" t="s">
        <v>86</v>
      </c>
      <c r="C1967" s="32" t="s">
        <v>127</v>
      </c>
      <c r="D1967" s="32" t="s">
        <v>414</v>
      </c>
      <c r="E1967" s="33">
        <v>40</v>
      </c>
      <c r="F1967" s="33">
        <v>1550</v>
      </c>
      <c r="G1967" s="33">
        <v>39</v>
      </c>
      <c r="H1967" s="13">
        <f t="shared" si="30"/>
        <v>38.75</v>
      </c>
    </row>
    <row r="1968" spans="1:8" hidden="1" outlineLevel="2">
      <c r="A1968" s="32" t="s">
        <v>22</v>
      </c>
      <c r="B1968" s="32" t="s">
        <v>1862</v>
      </c>
      <c r="C1968" s="32" t="s">
        <v>265</v>
      </c>
      <c r="D1968" s="32" t="s">
        <v>316</v>
      </c>
      <c r="E1968" s="33">
        <v>145</v>
      </c>
      <c r="F1968" s="33">
        <v>5597</v>
      </c>
      <c r="G1968" s="33">
        <v>136</v>
      </c>
      <c r="H1968" s="13">
        <f t="shared" si="30"/>
        <v>38.6</v>
      </c>
    </row>
    <row r="1969" spans="1:8" hidden="1" outlineLevel="2">
      <c r="A1969" s="32" t="s">
        <v>22</v>
      </c>
      <c r="B1969" s="32" t="s">
        <v>1862</v>
      </c>
      <c r="C1969" s="32" t="s">
        <v>115</v>
      </c>
      <c r="D1969" s="32" t="s">
        <v>748</v>
      </c>
      <c r="E1969" s="33">
        <v>38</v>
      </c>
      <c r="F1969" s="33">
        <v>1457</v>
      </c>
      <c r="G1969" s="33">
        <v>35</v>
      </c>
      <c r="H1969" s="13">
        <f t="shared" si="30"/>
        <v>38.342105263157897</v>
      </c>
    </row>
    <row r="1970" spans="1:8" hidden="1" outlineLevel="2">
      <c r="A1970" s="32" t="s">
        <v>22</v>
      </c>
      <c r="B1970" s="32" t="s">
        <v>86</v>
      </c>
      <c r="C1970" s="32" t="s">
        <v>127</v>
      </c>
      <c r="D1970" s="32" t="s">
        <v>234</v>
      </c>
      <c r="E1970" s="33">
        <v>19</v>
      </c>
      <c r="F1970" s="33">
        <v>728</v>
      </c>
      <c r="G1970" s="33">
        <v>18</v>
      </c>
      <c r="H1970" s="13">
        <f t="shared" si="30"/>
        <v>38.315789473684212</v>
      </c>
    </row>
    <row r="1971" spans="1:8" hidden="1" outlineLevel="2">
      <c r="A1971" s="32" t="s">
        <v>22</v>
      </c>
      <c r="B1971" s="32" t="s">
        <v>1858</v>
      </c>
      <c r="C1971" s="32" t="s">
        <v>242</v>
      </c>
      <c r="D1971" s="32" t="s">
        <v>626</v>
      </c>
      <c r="E1971" s="33">
        <v>70</v>
      </c>
      <c r="F1971" s="33">
        <v>2671</v>
      </c>
      <c r="G1971" s="33">
        <v>68</v>
      </c>
      <c r="H1971" s="13">
        <f t="shared" si="30"/>
        <v>38.157142857142858</v>
      </c>
    </row>
    <row r="1972" spans="1:8" hidden="1" outlineLevel="2">
      <c r="A1972" s="32" t="s">
        <v>22</v>
      </c>
      <c r="B1972" s="32" t="s">
        <v>1858</v>
      </c>
      <c r="C1972" s="32" t="s">
        <v>131</v>
      </c>
      <c r="D1972" s="32" t="s">
        <v>244</v>
      </c>
      <c r="E1972" s="33">
        <v>18</v>
      </c>
      <c r="F1972" s="33">
        <v>683</v>
      </c>
      <c r="G1972" s="33">
        <v>18</v>
      </c>
      <c r="H1972" s="13">
        <f t="shared" si="30"/>
        <v>37.944444444444443</v>
      </c>
    </row>
    <row r="1973" spans="1:8" hidden="1" outlineLevel="2">
      <c r="A1973" s="32" t="s">
        <v>22</v>
      </c>
      <c r="B1973" s="32" t="s">
        <v>1862</v>
      </c>
      <c r="C1973" s="32" t="s">
        <v>97</v>
      </c>
      <c r="D1973" s="32" t="s">
        <v>710</v>
      </c>
      <c r="E1973" s="33">
        <v>10</v>
      </c>
      <c r="F1973" s="33">
        <v>369</v>
      </c>
      <c r="G1973" s="33">
        <v>10</v>
      </c>
      <c r="H1973" s="13">
        <f t="shared" si="30"/>
        <v>36.9</v>
      </c>
    </row>
    <row r="1974" spans="1:8" hidden="1" outlineLevel="2">
      <c r="A1974" s="32" t="s">
        <v>22</v>
      </c>
      <c r="B1974" s="32" t="s">
        <v>1858</v>
      </c>
      <c r="C1974" s="32" t="s">
        <v>344</v>
      </c>
      <c r="D1974" s="32" t="s">
        <v>352</v>
      </c>
      <c r="E1974" s="33">
        <v>32</v>
      </c>
      <c r="F1974" s="33">
        <v>1180</v>
      </c>
      <c r="G1974" s="33">
        <v>29</v>
      </c>
      <c r="H1974" s="13">
        <f t="shared" si="30"/>
        <v>36.875</v>
      </c>
    </row>
    <row r="1975" spans="1:8" hidden="1" outlineLevel="2">
      <c r="A1975" s="32" t="s">
        <v>22</v>
      </c>
      <c r="B1975" s="32" t="s">
        <v>86</v>
      </c>
      <c r="C1975" s="32" t="s">
        <v>127</v>
      </c>
      <c r="D1975" s="32" t="s">
        <v>231</v>
      </c>
      <c r="E1975" s="33">
        <v>50</v>
      </c>
      <c r="F1975" s="33">
        <v>1800</v>
      </c>
      <c r="G1975" s="33">
        <v>50</v>
      </c>
      <c r="H1975" s="13">
        <f t="shared" si="30"/>
        <v>36</v>
      </c>
    </row>
    <row r="1976" spans="1:8" hidden="1" outlineLevel="2">
      <c r="A1976" s="32" t="s">
        <v>22</v>
      </c>
      <c r="B1976" s="32" t="s">
        <v>1862</v>
      </c>
      <c r="C1976" s="32" t="s">
        <v>97</v>
      </c>
      <c r="D1976" s="32" t="s">
        <v>767</v>
      </c>
      <c r="E1976" s="33">
        <v>35</v>
      </c>
      <c r="F1976" s="33">
        <v>1256</v>
      </c>
      <c r="G1976" s="33">
        <v>33</v>
      </c>
      <c r="H1976" s="13">
        <f t="shared" si="30"/>
        <v>35.885714285714286</v>
      </c>
    </row>
    <row r="1977" spans="1:8" hidden="1" outlineLevel="2">
      <c r="A1977" s="32" t="s">
        <v>22</v>
      </c>
      <c r="B1977" s="32" t="s">
        <v>1858</v>
      </c>
      <c r="C1977" s="32" t="s">
        <v>242</v>
      </c>
      <c r="D1977" s="32" t="s">
        <v>243</v>
      </c>
      <c r="E1977" s="33">
        <v>40</v>
      </c>
      <c r="F1977" s="33">
        <v>1415</v>
      </c>
      <c r="G1977" s="33">
        <v>33</v>
      </c>
      <c r="H1977" s="13">
        <f t="shared" si="30"/>
        <v>35.375</v>
      </c>
    </row>
    <row r="1978" spans="1:8" hidden="1" outlineLevel="2">
      <c r="A1978" s="32" t="s">
        <v>22</v>
      </c>
      <c r="B1978" s="32" t="s">
        <v>1862</v>
      </c>
      <c r="C1978" s="32" t="s">
        <v>533</v>
      </c>
      <c r="D1978" s="32" t="s">
        <v>723</v>
      </c>
      <c r="E1978" s="33">
        <v>34</v>
      </c>
      <c r="F1978" s="33">
        <v>1195</v>
      </c>
      <c r="G1978" s="33">
        <v>31</v>
      </c>
      <c r="H1978" s="13">
        <f t="shared" si="30"/>
        <v>35.147058823529413</v>
      </c>
    </row>
    <row r="1979" spans="1:8" hidden="1" outlineLevel="2">
      <c r="A1979" s="32" t="s">
        <v>22</v>
      </c>
      <c r="B1979" s="32" t="s">
        <v>86</v>
      </c>
      <c r="C1979" s="32" t="s">
        <v>110</v>
      </c>
      <c r="D1979" s="32" t="s">
        <v>400</v>
      </c>
      <c r="E1979" s="33">
        <v>30</v>
      </c>
      <c r="F1979" s="33">
        <v>1029</v>
      </c>
      <c r="G1979" s="33">
        <v>29</v>
      </c>
      <c r="H1979" s="13">
        <f t="shared" si="30"/>
        <v>34.299999999999997</v>
      </c>
    </row>
    <row r="1980" spans="1:8" hidden="1" outlineLevel="2">
      <c r="A1980" s="32" t="s">
        <v>22</v>
      </c>
      <c r="B1980" s="32" t="s">
        <v>86</v>
      </c>
      <c r="C1980" s="32" t="s">
        <v>152</v>
      </c>
      <c r="D1980" s="32" t="s">
        <v>576</v>
      </c>
      <c r="E1980" s="33">
        <v>20</v>
      </c>
      <c r="F1980" s="33">
        <v>675</v>
      </c>
      <c r="G1980" s="33">
        <v>19</v>
      </c>
      <c r="H1980" s="13">
        <f t="shared" si="30"/>
        <v>33.75</v>
      </c>
    </row>
    <row r="1981" spans="1:8" hidden="1" outlineLevel="2">
      <c r="A1981" s="32" t="s">
        <v>22</v>
      </c>
      <c r="B1981" s="32" t="s">
        <v>1858</v>
      </c>
      <c r="C1981" s="32" t="s">
        <v>134</v>
      </c>
      <c r="D1981" s="32" t="s">
        <v>409</v>
      </c>
      <c r="E1981" s="33">
        <v>30</v>
      </c>
      <c r="F1981" s="33">
        <v>1001</v>
      </c>
      <c r="G1981" s="33">
        <v>30</v>
      </c>
      <c r="H1981" s="13">
        <f t="shared" si="30"/>
        <v>33.366666666666667</v>
      </c>
    </row>
    <row r="1982" spans="1:8" hidden="1" outlineLevel="2">
      <c r="A1982" s="32" t="s">
        <v>22</v>
      </c>
      <c r="B1982" s="32" t="s">
        <v>1862</v>
      </c>
      <c r="C1982" s="32" t="s">
        <v>97</v>
      </c>
      <c r="D1982" s="32" t="s">
        <v>425</v>
      </c>
      <c r="E1982" s="33">
        <v>30</v>
      </c>
      <c r="F1982" s="33">
        <v>994</v>
      </c>
      <c r="G1982" s="33">
        <v>30</v>
      </c>
      <c r="H1982" s="13">
        <f t="shared" si="30"/>
        <v>33.133333333333333</v>
      </c>
    </row>
    <row r="1983" spans="1:8" hidden="1" outlineLevel="2">
      <c r="A1983" s="32" t="s">
        <v>22</v>
      </c>
      <c r="B1983" s="32" t="s">
        <v>86</v>
      </c>
      <c r="C1983" s="32" t="s">
        <v>119</v>
      </c>
      <c r="D1983" s="32" t="s">
        <v>221</v>
      </c>
      <c r="E1983" s="33">
        <v>165</v>
      </c>
      <c r="F1983" s="33">
        <v>5462</v>
      </c>
      <c r="G1983" s="33">
        <v>162</v>
      </c>
      <c r="H1983" s="13">
        <f t="shared" si="30"/>
        <v>33.103030303030302</v>
      </c>
    </row>
    <row r="1984" spans="1:8" hidden="1" outlineLevel="2">
      <c r="A1984" s="32" t="s">
        <v>22</v>
      </c>
      <c r="B1984" s="32" t="s">
        <v>86</v>
      </c>
      <c r="C1984" s="32" t="s">
        <v>152</v>
      </c>
      <c r="D1984" s="32" t="s">
        <v>664</v>
      </c>
      <c r="E1984" s="33">
        <v>122</v>
      </c>
      <c r="F1984" s="33">
        <v>3993</v>
      </c>
      <c r="G1984" s="33">
        <v>122</v>
      </c>
      <c r="H1984" s="13">
        <f t="shared" si="30"/>
        <v>32.729508196721312</v>
      </c>
    </row>
    <row r="1985" spans="1:8" hidden="1" outlineLevel="2">
      <c r="A1985" s="32" t="s">
        <v>22</v>
      </c>
      <c r="B1985" s="32" t="s">
        <v>1862</v>
      </c>
      <c r="C1985" s="32" t="s">
        <v>97</v>
      </c>
      <c r="D1985" s="32" t="s">
        <v>743</v>
      </c>
      <c r="E1985" s="33">
        <v>90</v>
      </c>
      <c r="F1985" s="33">
        <v>2925</v>
      </c>
      <c r="G1985" s="33">
        <v>88</v>
      </c>
      <c r="H1985" s="13">
        <f t="shared" si="30"/>
        <v>32.5</v>
      </c>
    </row>
    <row r="1986" spans="1:8" hidden="1" outlineLevel="2">
      <c r="A1986" s="32" t="s">
        <v>22</v>
      </c>
      <c r="B1986" s="32" t="s">
        <v>1862</v>
      </c>
      <c r="C1986" s="32" t="s">
        <v>99</v>
      </c>
      <c r="D1986" s="32" t="s">
        <v>102</v>
      </c>
      <c r="E1986" s="33">
        <v>165</v>
      </c>
      <c r="F1986" s="33">
        <v>5344</v>
      </c>
      <c r="G1986" s="33">
        <v>162</v>
      </c>
      <c r="H1986" s="13">
        <f t="shared" ref="H1986:H2049" si="31">IFERROR(F1986/E1986,"")</f>
        <v>32.38787878787879</v>
      </c>
    </row>
    <row r="1987" spans="1:8" hidden="1" outlineLevel="2">
      <c r="A1987" s="32" t="s">
        <v>22</v>
      </c>
      <c r="B1987" s="32" t="s">
        <v>1858</v>
      </c>
      <c r="C1987" s="32" t="s">
        <v>134</v>
      </c>
      <c r="D1987" s="32" t="s">
        <v>662</v>
      </c>
      <c r="E1987" s="33">
        <v>48</v>
      </c>
      <c r="F1987" s="33">
        <v>1552</v>
      </c>
      <c r="G1987" s="33">
        <v>48</v>
      </c>
      <c r="H1987" s="13">
        <f t="shared" si="31"/>
        <v>32.333333333333336</v>
      </c>
    </row>
    <row r="1988" spans="1:8" hidden="1" outlineLevel="2">
      <c r="A1988" s="32" t="s">
        <v>22</v>
      </c>
      <c r="B1988" s="32" t="s">
        <v>1858</v>
      </c>
      <c r="C1988" s="32" t="s">
        <v>104</v>
      </c>
      <c r="D1988" s="32" t="s">
        <v>121</v>
      </c>
      <c r="E1988" s="33">
        <v>170</v>
      </c>
      <c r="F1988" s="33">
        <v>5493</v>
      </c>
      <c r="G1988" s="33">
        <v>169</v>
      </c>
      <c r="H1988" s="13">
        <f t="shared" si="31"/>
        <v>32.311764705882354</v>
      </c>
    </row>
    <row r="1989" spans="1:8" hidden="1" outlineLevel="2">
      <c r="A1989" s="32" t="s">
        <v>22</v>
      </c>
      <c r="B1989" s="32" t="s">
        <v>86</v>
      </c>
      <c r="C1989" s="32" t="s">
        <v>127</v>
      </c>
      <c r="D1989" s="32" t="s">
        <v>235</v>
      </c>
      <c r="E1989" s="33">
        <v>14</v>
      </c>
      <c r="F1989" s="33">
        <v>452</v>
      </c>
      <c r="G1989" s="33">
        <v>14</v>
      </c>
      <c r="H1989" s="13">
        <f t="shared" si="31"/>
        <v>32.285714285714285</v>
      </c>
    </row>
    <row r="1990" spans="1:8" hidden="1" outlineLevel="2">
      <c r="A1990" s="32" t="s">
        <v>22</v>
      </c>
      <c r="B1990" s="32" t="s">
        <v>1858</v>
      </c>
      <c r="C1990" s="32" t="s">
        <v>302</v>
      </c>
      <c r="D1990" s="32" t="s">
        <v>303</v>
      </c>
      <c r="E1990" s="33">
        <v>75</v>
      </c>
      <c r="F1990" s="33">
        <v>2408</v>
      </c>
      <c r="G1990" s="33">
        <v>74</v>
      </c>
      <c r="H1990" s="13">
        <f t="shared" si="31"/>
        <v>32.106666666666669</v>
      </c>
    </row>
    <row r="1991" spans="1:8" hidden="1" outlineLevel="2">
      <c r="A1991" s="32" t="s">
        <v>22</v>
      </c>
      <c r="B1991" s="32" t="s">
        <v>86</v>
      </c>
      <c r="C1991" s="32" t="s">
        <v>110</v>
      </c>
      <c r="D1991" s="32" t="s">
        <v>615</v>
      </c>
      <c r="E1991" s="33">
        <v>55</v>
      </c>
      <c r="F1991" s="33">
        <v>1758</v>
      </c>
      <c r="G1991" s="33">
        <v>57</v>
      </c>
      <c r="H1991" s="13">
        <f t="shared" si="31"/>
        <v>31.963636363636365</v>
      </c>
    </row>
    <row r="1992" spans="1:8" hidden="1" outlineLevel="2">
      <c r="A1992" s="32" t="s">
        <v>22</v>
      </c>
      <c r="B1992" s="32" t="s">
        <v>1862</v>
      </c>
      <c r="C1992" s="32" t="s">
        <v>108</v>
      </c>
      <c r="D1992" s="32" t="s">
        <v>447</v>
      </c>
      <c r="E1992" s="33">
        <v>125</v>
      </c>
      <c r="F1992" s="33">
        <v>3955</v>
      </c>
      <c r="G1992" s="33">
        <v>122</v>
      </c>
      <c r="H1992" s="13">
        <f t="shared" si="31"/>
        <v>31.64</v>
      </c>
    </row>
    <row r="1993" spans="1:8" hidden="1" outlineLevel="2">
      <c r="A1993" s="32" t="s">
        <v>22</v>
      </c>
      <c r="B1993" s="32" t="s">
        <v>1862</v>
      </c>
      <c r="C1993" s="32" t="s">
        <v>97</v>
      </c>
      <c r="D1993" s="32" t="s">
        <v>98</v>
      </c>
      <c r="E1993" s="33">
        <v>35</v>
      </c>
      <c r="F1993" s="33">
        <v>1103</v>
      </c>
      <c r="G1993" s="33">
        <v>35</v>
      </c>
      <c r="H1993" s="13">
        <f t="shared" si="31"/>
        <v>31.514285714285716</v>
      </c>
    </row>
    <row r="1994" spans="1:8" hidden="1" outlineLevel="2">
      <c r="A1994" s="32" t="s">
        <v>22</v>
      </c>
      <c r="B1994" s="32" t="s">
        <v>86</v>
      </c>
      <c r="C1994" s="32" t="s">
        <v>138</v>
      </c>
      <c r="D1994" s="32" t="s">
        <v>142</v>
      </c>
      <c r="E1994" s="33">
        <v>10</v>
      </c>
      <c r="F1994" s="33">
        <v>314</v>
      </c>
      <c r="G1994" s="33">
        <v>9</v>
      </c>
      <c r="H1994" s="13">
        <f t="shared" si="31"/>
        <v>31.4</v>
      </c>
    </row>
    <row r="1995" spans="1:8" hidden="1" outlineLevel="2">
      <c r="A1995" s="32" t="s">
        <v>22</v>
      </c>
      <c r="B1995" s="32" t="s">
        <v>86</v>
      </c>
      <c r="C1995" s="32" t="s">
        <v>110</v>
      </c>
      <c r="D1995" s="32" t="s">
        <v>507</v>
      </c>
      <c r="E1995" s="33">
        <v>70</v>
      </c>
      <c r="F1995" s="33">
        <v>2198</v>
      </c>
      <c r="G1995" s="33">
        <v>69</v>
      </c>
      <c r="H1995" s="13">
        <f t="shared" si="31"/>
        <v>31.4</v>
      </c>
    </row>
    <row r="1996" spans="1:8" hidden="1" outlineLevel="2">
      <c r="A1996" s="32" t="s">
        <v>22</v>
      </c>
      <c r="B1996" s="32" t="s">
        <v>86</v>
      </c>
      <c r="C1996" s="32" t="s">
        <v>110</v>
      </c>
      <c r="D1996" s="32" t="s">
        <v>212</v>
      </c>
      <c r="E1996" s="33">
        <v>77</v>
      </c>
      <c r="F1996" s="33">
        <v>2389</v>
      </c>
      <c r="G1996" s="33">
        <v>81</v>
      </c>
      <c r="H1996" s="13">
        <f t="shared" si="31"/>
        <v>31.025974025974026</v>
      </c>
    </row>
    <row r="1997" spans="1:8" hidden="1" outlineLevel="2">
      <c r="A1997" s="32" t="s">
        <v>22</v>
      </c>
      <c r="B1997" s="32" t="s">
        <v>1858</v>
      </c>
      <c r="C1997" s="32" t="s">
        <v>104</v>
      </c>
      <c r="D1997" s="32" t="s">
        <v>742</v>
      </c>
      <c r="E1997" s="33">
        <v>65</v>
      </c>
      <c r="F1997" s="33">
        <v>2011</v>
      </c>
      <c r="G1997" s="33">
        <v>65</v>
      </c>
      <c r="H1997" s="13">
        <f t="shared" si="31"/>
        <v>30.938461538461539</v>
      </c>
    </row>
    <row r="1998" spans="1:8" hidden="1" outlineLevel="2">
      <c r="A1998" s="32" t="s">
        <v>22</v>
      </c>
      <c r="B1998" s="32" t="s">
        <v>1858</v>
      </c>
      <c r="C1998" s="32" t="s">
        <v>134</v>
      </c>
      <c r="D1998" s="32" t="s">
        <v>457</v>
      </c>
      <c r="E1998" s="33">
        <v>57</v>
      </c>
      <c r="F1998" s="33">
        <v>1756</v>
      </c>
      <c r="G1998" s="33">
        <v>57</v>
      </c>
      <c r="H1998" s="13">
        <f t="shared" si="31"/>
        <v>30.807017543859651</v>
      </c>
    </row>
    <row r="1999" spans="1:8" hidden="1" outlineLevel="2">
      <c r="A1999" s="32" t="s">
        <v>22</v>
      </c>
      <c r="B1999" s="32" t="s">
        <v>1862</v>
      </c>
      <c r="C1999" s="32" t="s">
        <v>265</v>
      </c>
      <c r="D1999" s="32" t="s">
        <v>266</v>
      </c>
      <c r="E1999" s="33">
        <v>300</v>
      </c>
      <c r="F1999" s="33">
        <v>9221</v>
      </c>
      <c r="G1999" s="33">
        <v>281</v>
      </c>
      <c r="H1999" s="13">
        <f t="shared" si="31"/>
        <v>30.736666666666668</v>
      </c>
    </row>
    <row r="2000" spans="1:8" hidden="1" outlineLevel="2">
      <c r="A2000" s="32" t="s">
        <v>22</v>
      </c>
      <c r="B2000" s="32" t="s">
        <v>86</v>
      </c>
      <c r="C2000" s="32" t="s">
        <v>152</v>
      </c>
      <c r="D2000" s="32" t="s">
        <v>232</v>
      </c>
      <c r="E2000" s="33">
        <v>90</v>
      </c>
      <c r="F2000" s="33">
        <v>2766</v>
      </c>
      <c r="G2000" s="33">
        <v>90</v>
      </c>
      <c r="H2000" s="13">
        <f t="shared" si="31"/>
        <v>30.733333333333334</v>
      </c>
    </row>
    <row r="2001" spans="1:8" hidden="1" outlineLevel="2">
      <c r="A2001" s="32" t="s">
        <v>22</v>
      </c>
      <c r="B2001" s="32" t="s">
        <v>86</v>
      </c>
      <c r="C2001" s="32" t="s">
        <v>127</v>
      </c>
      <c r="D2001" s="32" t="s">
        <v>228</v>
      </c>
      <c r="E2001" s="33">
        <v>3</v>
      </c>
      <c r="F2001" s="33">
        <v>92</v>
      </c>
      <c r="G2001" s="33">
        <v>3</v>
      </c>
      <c r="H2001" s="13">
        <f t="shared" si="31"/>
        <v>30.666666666666668</v>
      </c>
    </row>
    <row r="2002" spans="1:8" hidden="1" outlineLevel="2">
      <c r="A2002" s="32" t="s">
        <v>22</v>
      </c>
      <c r="B2002" s="32" t="s">
        <v>1858</v>
      </c>
      <c r="C2002" s="32" t="s">
        <v>131</v>
      </c>
      <c r="D2002" s="32" t="s">
        <v>692</v>
      </c>
      <c r="E2002" s="33">
        <v>70</v>
      </c>
      <c r="F2002" s="33">
        <v>2126</v>
      </c>
      <c r="G2002" s="33">
        <v>69</v>
      </c>
      <c r="H2002" s="13">
        <f t="shared" si="31"/>
        <v>30.37142857142857</v>
      </c>
    </row>
    <row r="2003" spans="1:8" hidden="1" outlineLevel="2">
      <c r="A2003" s="32" t="s">
        <v>22</v>
      </c>
      <c r="B2003" s="32" t="s">
        <v>1862</v>
      </c>
      <c r="C2003" s="32" t="s">
        <v>115</v>
      </c>
      <c r="D2003" s="32" t="s">
        <v>557</v>
      </c>
      <c r="E2003" s="33">
        <v>33</v>
      </c>
      <c r="F2003" s="33">
        <v>1002</v>
      </c>
      <c r="G2003" s="33">
        <v>32</v>
      </c>
      <c r="H2003" s="13">
        <f t="shared" si="31"/>
        <v>30.363636363636363</v>
      </c>
    </row>
    <row r="2004" spans="1:8" hidden="1" outlineLevel="2">
      <c r="A2004" s="32" t="s">
        <v>22</v>
      </c>
      <c r="B2004" s="32" t="s">
        <v>86</v>
      </c>
      <c r="C2004" s="32" t="s">
        <v>110</v>
      </c>
      <c r="D2004" s="32" t="s">
        <v>376</v>
      </c>
      <c r="E2004" s="33">
        <v>86</v>
      </c>
      <c r="F2004" s="33">
        <v>2607</v>
      </c>
      <c r="G2004" s="33">
        <v>85</v>
      </c>
      <c r="H2004" s="13">
        <f t="shared" si="31"/>
        <v>30.313953488372093</v>
      </c>
    </row>
    <row r="2005" spans="1:8" hidden="1" outlineLevel="2">
      <c r="A2005" s="32" t="s">
        <v>22</v>
      </c>
      <c r="B2005" s="32" t="s">
        <v>1862</v>
      </c>
      <c r="C2005" s="32" t="s">
        <v>115</v>
      </c>
      <c r="D2005" s="32" t="s">
        <v>319</v>
      </c>
      <c r="E2005" s="33">
        <v>78</v>
      </c>
      <c r="F2005" s="33">
        <v>2361</v>
      </c>
      <c r="G2005" s="33">
        <v>76</v>
      </c>
      <c r="H2005" s="13">
        <f t="shared" si="31"/>
        <v>30.26923076923077</v>
      </c>
    </row>
    <row r="2006" spans="1:8" hidden="1" outlineLevel="2">
      <c r="A2006" s="32" t="s">
        <v>22</v>
      </c>
      <c r="B2006" s="32" t="s">
        <v>86</v>
      </c>
      <c r="C2006" s="32" t="s">
        <v>152</v>
      </c>
      <c r="D2006" s="32" t="s">
        <v>650</v>
      </c>
      <c r="E2006" s="33">
        <v>60</v>
      </c>
      <c r="F2006" s="33">
        <v>1814</v>
      </c>
      <c r="G2006" s="33">
        <v>61</v>
      </c>
      <c r="H2006" s="13">
        <f t="shared" si="31"/>
        <v>30.233333333333334</v>
      </c>
    </row>
    <row r="2007" spans="1:8" hidden="1" outlineLevel="2">
      <c r="A2007" s="32" t="s">
        <v>22</v>
      </c>
      <c r="B2007" s="32" t="s">
        <v>1862</v>
      </c>
      <c r="C2007" s="32" t="s">
        <v>115</v>
      </c>
      <c r="D2007" s="32" t="s">
        <v>634</v>
      </c>
      <c r="E2007" s="33">
        <v>25</v>
      </c>
      <c r="F2007" s="33">
        <v>755</v>
      </c>
      <c r="G2007" s="33">
        <v>27</v>
      </c>
      <c r="H2007" s="13">
        <f t="shared" si="31"/>
        <v>30.2</v>
      </c>
    </row>
    <row r="2008" spans="1:8" hidden="1" outlineLevel="2">
      <c r="A2008" s="32" t="s">
        <v>22</v>
      </c>
      <c r="B2008" s="32" t="s">
        <v>86</v>
      </c>
      <c r="C2008" s="32" t="s">
        <v>110</v>
      </c>
      <c r="D2008" s="32" t="s">
        <v>524</v>
      </c>
      <c r="E2008" s="33">
        <v>200</v>
      </c>
      <c r="F2008" s="33">
        <v>5990</v>
      </c>
      <c r="G2008" s="33">
        <v>199</v>
      </c>
      <c r="H2008" s="13">
        <f t="shared" si="31"/>
        <v>29.95</v>
      </c>
    </row>
    <row r="2009" spans="1:8" hidden="1" outlineLevel="2">
      <c r="A2009" s="32" t="s">
        <v>22</v>
      </c>
      <c r="B2009" s="32" t="s">
        <v>1862</v>
      </c>
      <c r="C2009" s="32" t="s">
        <v>265</v>
      </c>
      <c r="D2009" s="32" t="s">
        <v>759</v>
      </c>
      <c r="E2009" s="33">
        <v>25</v>
      </c>
      <c r="F2009" s="33">
        <v>744</v>
      </c>
      <c r="G2009" s="33">
        <v>22</v>
      </c>
      <c r="H2009" s="13">
        <f t="shared" si="31"/>
        <v>29.76</v>
      </c>
    </row>
    <row r="2010" spans="1:8" hidden="1" outlineLevel="2">
      <c r="A2010" s="32" t="s">
        <v>22</v>
      </c>
      <c r="B2010" s="32" t="s">
        <v>1858</v>
      </c>
      <c r="C2010" s="32" t="s">
        <v>129</v>
      </c>
      <c r="D2010" s="32" t="s">
        <v>605</v>
      </c>
      <c r="E2010" s="33">
        <v>50</v>
      </c>
      <c r="F2010" s="33">
        <v>1463</v>
      </c>
      <c r="G2010" s="33">
        <v>44</v>
      </c>
      <c r="H2010" s="13">
        <f t="shared" si="31"/>
        <v>29.26</v>
      </c>
    </row>
    <row r="2011" spans="1:8" hidden="1" outlineLevel="2">
      <c r="A2011" s="32" t="s">
        <v>22</v>
      </c>
      <c r="B2011" s="32" t="s">
        <v>86</v>
      </c>
      <c r="C2011" s="32" t="s">
        <v>240</v>
      </c>
      <c r="D2011" s="32" t="s">
        <v>241</v>
      </c>
      <c r="E2011" s="33">
        <v>20</v>
      </c>
      <c r="F2011" s="33">
        <v>583</v>
      </c>
      <c r="G2011" s="33">
        <v>18</v>
      </c>
      <c r="H2011" s="13">
        <f t="shared" si="31"/>
        <v>29.15</v>
      </c>
    </row>
    <row r="2012" spans="1:8" hidden="1" outlineLevel="2">
      <c r="A2012" s="32" t="s">
        <v>22</v>
      </c>
      <c r="B2012" s="32" t="s">
        <v>86</v>
      </c>
      <c r="C2012" s="32" t="s">
        <v>110</v>
      </c>
      <c r="D2012" s="32" t="s">
        <v>522</v>
      </c>
      <c r="E2012" s="33">
        <v>120</v>
      </c>
      <c r="F2012" s="33">
        <v>3492</v>
      </c>
      <c r="G2012" s="33">
        <v>120</v>
      </c>
      <c r="H2012" s="13">
        <f t="shared" si="31"/>
        <v>29.1</v>
      </c>
    </row>
    <row r="2013" spans="1:8" hidden="1" outlineLevel="2">
      <c r="A2013" s="32" t="s">
        <v>22</v>
      </c>
      <c r="B2013" s="32" t="s">
        <v>1858</v>
      </c>
      <c r="C2013" s="32" t="s">
        <v>104</v>
      </c>
      <c r="D2013" s="32" t="s">
        <v>646</v>
      </c>
      <c r="E2013" s="33">
        <v>20</v>
      </c>
      <c r="F2013" s="33">
        <v>578</v>
      </c>
      <c r="G2013" s="33">
        <v>20</v>
      </c>
      <c r="H2013" s="13">
        <f t="shared" si="31"/>
        <v>28.9</v>
      </c>
    </row>
    <row r="2014" spans="1:8" hidden="1" outlineLevel="2">
      <c r="A2014" s="32" t="s">
        <v>22</v>
      </c>
      <c r="B2014" s="32" t="s">
        <v>86</v>
      </c>
      <c r="C2014" s="32" t="s">
        <v>127</v>
      </c>
      <c r="D2014" s="32" t="s">
        <v>231</v>
      </c>
      <c r="E2014" s="33">
        <v>36</v>
      </c>
      <c r="F2014" s="33">
        <v>1030</v>
      </c>
      <c r="G2014" s="33">
        <v>35</v>
      </c>
      <c r="H2014" s="13">
        <f t="shared" si="31"/>
        <v>28.611111111111111</v>
      </c>
    </row>
    <row r="2015" spans="1:8" hidden="1" outlineLevel="2">
      <c r="A2015" s="32" t="s">
        <v>22</v>
      </c>
      <c r="B2015" s="32" t="s">
        <v>86</v>
      </c>
      <c r="C2015" s="32" t="s">
        <v>127</v>
      </c>
      <c r="D2015" s="32" t="s">
        <v>235</v>
      </c>
      <c r="E2015" s="33">
        <v>33</v>
      </c>
      <c r="F2015" s="33">
        <v>942</v>
      </c>
      <c r="G2015" s="33">
        <v>32</v>
      </c>
      <c r="H2015" s="13">
        <f t="shared" si="31"/>
        <v>28.545454545454547</v>
      </c>
    </row>
    <row r="2016" spans="1:8" hidden="1" outlineLevel="2">
      <c r="A2016" s="32" t="s">
        <v>22</v>
      </c>
      <c r="B2016" s="32" t="s">
        <v>86</v>
      </c>
      <c r="C2016" s="32" t="s">
        <v>110</v>
      </c>
      <c r="D2016" s="32" t="s">
        <v>732</v>
      </c>
      <c r="E2016" s="33">
        <v>30</v>
      </c>
      <c r="F2016" s="33">
        <v>854</v>
      </c>
      <c r="G2016" s="33">
        <v>30</v>
      </c>
      <c r="H2016" s="13">
        <f t="shared" si="31"/>
        <v>28.466666666666665</v>
      </c>
    </row>
    <row r="2017" spans="1:8" hidden="1" outlineLevel="2">
      <c r="A2017" s="32" t="s">
        <v>22</v>
      </c>
      <c r="B2017" s="32" t="s">
        <v>1862</v>
      </c>
      <c r="C2017" s="32" t="s">
        <v>115</v>
      </c>
      <c r="D2017" s="32" t="s">
        <v>276</v>
      </c>
      <c r="E2017" s="33">
        <v>33</v>
      </c>
      <c r="F2017" s="33">
        <v>935</v>
      </c>
      <c r="G2017" s="33">
        <v>31</v>
      </c>
      <c r="H2017" s="13">
        <f t="shared" si="31"/>
        <v>28.333333333333332</v>
      </c>
    </row>
    <row r="2018" spans="1:8" hidden="1" outlineLevel="2">
      <c r="A2018" s="32" t="s">
        <v>22</v>
      </c>
      <c r="B2018" s="32" t="s">
        <v>1862</v>
      </c>
      <c r="C2018" s="32" t="s">
        <v>97</v>
      </c>
      <c r="D2018" s="32" t="s">
        <v>661</v>
      </c>
      <c r="E2018" s="33">
        <v>10</v>
      </c>
      <c r="F2018" s="33">
        <v>283</v>
      </c>
      <c r="G2018" s="33">
        <v>9</v>
      </c>
      <c r="H2018" s="13">
        <f t="shared" si="31"/>
        <v>28.3</v>
      </c>
    </row>
    <row r="2019" spans="1:8" hidden="1" outlineLevel="2">
      <c r="A2019" s="32" t="s">
        <v>22</v>
      </c>
      <c r="B2019" s="32" t="s">
        <v>1862</v>
      </c>
      <c r="C2019" s="32" t="s">
        <v>97</v>
      </c>
      <c r="D2019" s="32" t="s">
        <v>253</v>
      </c>
      <c r="E2019" s="33">
        <v>285</v>
      </c>
      <c r="F2019" s="33">
        <v>7876</v>
      </c>
      <c r="G2019" s="33">
        <v>284</v>
      </c>
      <c r="H2019" s="13">
        <f t="shared" si="31"/>
        <v>27.635087719298244</v>
      </c>
    </row>
    <row r="2020" spans="1:8" hidden="1" outlineLevel="2">
      <c r="A2020" s="32" t="s">
        <v>22</v>
      </c>
      <c r="B2020" s="32" t="s">
        <v>86</v>
      </c>
      <c r="C2020" s="32" t="s">
        <v>110</v>
      </c>
      <c r="D2020" s="32" t="s">
        <v>314</v>
      </c>
      <c r="E2020" s="33">
        <v>15</v>
      </c>
      <c r="F2020" s="33">
        <v>414</v>
      </c>
      <c r="G2020" s="33">
        <v>14</v>
      </c>
      <c r="H2020" s="13">
        <f t="shared" si="31"/>
        <v>27.6</v>
      </c>
    </row>
    <row r="2021" spans="1:8" hidden="1" outlineLevel="2">
      <c r="A2021" s="32" t="s">
        <v>22</v>
      </c>
      <c r="B2021" s="32" t="s">
        <v>1862</v>
      </c>
      <c r="C2021" s="32" t="s">
        <v>97</v>
      </c>
      <c r="D2021" s="32" t="s">
        <v>472</v>
      </c>
      <c r="E2021" s="33">
        <v>10</v>
      </c>
      <c r="F2021" s="33">
        <v>274</v>
      </c>
      <c r="G2021" s="33">
        <v>10</v>
      </c>
      <c r="H2021" s="13">
        <f t="shared" si="31"/>
        <v>27.4</v>
      </c>
    </row>
    <row r="2022" spans="1:8" hidden="1" outlineLevel="2">
      <c r="A2022" s="32" t="s">
        <v>22</v>
      </c>
      <c r="B2022" s="32" t="s">
        <v>1862</v>
      </c>
      <c r="C2022" s="32" t="s">
        <v>115</v>
      </c>
      <c r="D2022" s="32" t="s">
        <v>117</v>
      </c>
      <c r="E2022" s="33">
        <v>155</v>
      </c>
      <c r="F2022" s="33">
        <v>4245</v>
      </c>
      <c r="G2022" s="33">
        <v>153</v>
      </c>
      <c r="H2022" s="13">
        <f t="shared" si="31"/>
        <v>27.387096774193548</v>
      </c>
    </row>
    <row r="2023" spans="1:8" hidden="1" outlineLevel="2">
      <c r="A2023" s="32" t="s">
        <v>22</v>
      </c>
      <c r="B2023" s="32" t="s">
        <v>1862</v>
      </c>
      <c r="C2023" s="32" t="s">
        <v>97</v>
      </c>
      <c r="D2023" s="32" t="s">
        <v>202</v>
      </c>
      <c r="E2023" s="33">
        <v>430</v>
      </c>
      <c r="F2023" s="33">
        <v>11740</v>
      </c>
      <c r="G2023" s="33">
        <v>424</v>
      </c>
      <c r="H2023" s="13">
        <f t="shared" si="31"/>
        <v>27.302325581395348</v>
      </c>
    </row>
    <row r="2024" spans="1:8" hidden="1" outlineLevel="2">
      <c r="A2024" s="32" t="s">
        <v>22</v>
      </c>
      <c r="B2024" s="32" t="s">
        <v>1862</v>
      </c>
      <c r="C2024" s="32" t="s">
        <v>115</v>
      </c>
      <c r="D2024" s="32" t="s">
        <v>555</v>
      </c>
      <c r="E2024" s="33">
        <v>90</v>
      </c>
      <c r="F2024" s="33">
        <v>2454</v>
      </c>
      <c r="G2024" s="33">
        <v>90</v>
      </c>
      <c r="H2024" s="13">
        <f t="shared" si="31"/>
        <v>27.266666666666666</v>
      </c>
    </row>
    <row r="2025" spans="1:8" hidden="1" outlineLevel="2">
      <c r="A2025" s="32" t="s">
        <v>22</v>
      </c>
      <c r="B2025" s="32" t="s">
        <v>1858</v>
      </c>
      <c r="C2025" s="32" t="s">
        <v>104</v>
      </c>
      <c r="D2025" s="32" t="s">
        <v>469</v>
      </c>
      <c r="E2025" s="33">
        <v>155</v>
      </c>
      <c r="F2025" s="33">
        <v>4213</v>
      </c>
      <c r="G2025" s="33">
        <v>162</v>
      </c>
      <c r="H2025" s="13">
        <f t="shared" si="31"/>
        <v>27.180645161290322</v>
      </c>
    </row>
    <row r="2026" spans="1:8" hidden="1" outlineLevel="2">
      <c r="A2026" s="32" t="s">
        <v>22</v>
      </c>
      <c r="B2026" s="32" t="s">
        <v>1862</v>
      </c>
      <c r="C2026" s="32" t="s">
        <v>108</v>
      </c>
      <c r="D2026" s="32" t="s">
        <v>266</v>
      </c>
      <c r="E2026" s="33">
        <v>295</v>
      </c>
      <c r="F2026" s="33">
        <v>8015</v>
      </c>
      <c r="G2026" s="33">
        <v>290</v>
      </c>
      <c r="H2026" s="13">
        <f t="shared" si="31"/>
        <v>27.16949152542373</v>
      </c>
    </row>
    <row r="2027" spans="1:8" hidden="1" outlineLevel="2">
      <c r="A2027" s="32" t="s">
        <v>22</v>
      </c>
      <c r="B2027" s="32" t="s">
        <v>86</v>
      </c>
      <c r="C2027" s="32" t="s">
        <v>119</v>
      </c>
      <c r="D2027" s="32" t="s">
        <v>526</v>
      </c>
      <c r="E2027" s="33">
        <v>320</v>
      </c>
      <c r="F2027" s="33">
        <v>8675</v>
      </c>
      <c r="G2027" s="33">
        <v>316</v>
      </c>
      <c r="H2027" s="13">
        <f t="shared" si="31"/>
        <v>27.109375</v>
      </c>
    </row>
    <row r="2028" spans="1:8" hidden="1" outlineLevel="2">
      <c r="A2028" s="32" t="s">
        <v>22</v>
      </c>
      <c r="B2028" s="32" t="s">
        <v>86</v>
      </c>
      <c r="C2028" s="32" t="s">
        <v>152</v>
      </c>
      <c r="D2028" s="32" t="s">
        <v>153</v>
      </c>
      <c r="E2028" s="33">
        <v>25</v>
      </c>
      <c r="F2028" s="33">
        <v>674</v>
      </c>
      <c r="G2028" s="33">
        <v>25</v>
      </c>
      <c r="H2028" s="13">
        <f t="shared" si="31"/>
        <v>26.96</v>
      </c>
    </row>
    <row r="2029" spans="1:8" hidden="1" outlineLevel="2">
      <c r="A2029" s="32" t="s">
        <v>22</v>
      </c>
      <c r="B2029" s="32" t="s">
        <v>1862</v>
      </c>
      <c r="C2029" s="32" t="s">
        <v>115</v>
      </c>
      <c r="D2029" s="32" t="s">
        <v>441</v>
      </c>
      <c r="E2029" s="33">
        <v>10</v>
      </c>
      <c r="F2029" s="33">
        <v>269</v>
      </c>
      <c r="G2029" s="33">
        <v>8</v>
      </c>
      <c r="H2029" s="13">
        <f t="shared" si="31"/>
        <v>26.9</v>
      </c>
    </row>
    <row r="2030" spans="1:8" hidden="1" outlineLevel="2">
      <c r="A2030" s="32" t="s">
        <v>22</v>
      </c>
      <c r="B2030" s="32" t="s">
        <v>86</v>
      </c>
      <c r="C2030" s="32" t="s">
        <v>127</v>
      </c>
      <c r="D2030" s="32" t="s">
        <v>235</v>
      </c>
      <c r="E2030" s="33">
        <v>28</v>
      </c>
      <c r="F2030" s="33">
        <v>752</v>
      </c>
      <c r="G2030" s="33">
        <v>27</v>
      </c>
      <c r="H2030" s="13">
        <f t="shared" si="31"/>
        <v>26.857142857142858</v>
      </c>
    </row>
    <row r="2031" spans="1:8" hidden="1" outlineLevel="2">
      <c r="A2031" s="32" t="s">
        <v>22</v>
      </c>
      <c r="B2031" s="32" t="s">
        <v>1862</v>
      </c>
      <c r="C2031" s="32" t="s">
        <v>97</v>
      </c>
      <c r="D2031" s="32" t="s">
        <v>328</v>
      </c>
      <c r="E2031" s="33">
        <v>20</v>
      </c>
      <c r="F2031" s="33">
        <v>537</v>
      </c>
      <c r="G2031" s="33">
        <v>19</v>
      </c>
      <c r="H2031" s="13">
        <f t="shared" si="31"/>
        <v>26.85</v>
      </c>
    </row>
    <row r="2032" spans="1:8" hidden="1" outlineLevel="2">
      <c r="A2032" s="32" t="s">
        <v>22</v>
      </c>
      <c r="B2032" s="32" t="s">
        <v>1862</v>
      </c>
      <c r="C2032" s="32" t="s">
        <v>97</v>
      </c>
      <c r="D2032" s="32" t="s">
        <v>659</v>
      </c>
      <c r="E2032" s="33">
        <v>105</v>
      </c>
      <c r="F2032" s="33">
        <v>2810</v>
      </c>
      <c r="G2032" s="33">
        <v>103</v>
      </c>
      <c r="H2032" s="13">
        <f t="shared" si="31"/>
        <v>26.761904761904763</v>
      </c>
    </row>
    <row r="2033" spans="1:8" hidden="1" outlineLevel="2">
      <c r="A2033" s="32" t="s">
        <v>22</v>
      </c>
      <c r="B2033" s="32" t="s">
        <v>86</v>
      </c>
      <c r="C2033" s="32" t="s">
        <v>152</v>
      </c>
      <c r="D2033" s="32" t="s">
        <v>362</v>
      </c>
      <c r="E2033" s="33">
        <v>60</v>
      </c>
      <c r="F2033" s="33">
        <v>1601</v>
      </c>
      <c r="G2033" s="33">
        <v>59</v>
      </c>
      <c r="H2033" s="13">
        <f t="shared" si="31"/>
        <v>26.683333333333334</v>
      </c>
    </row>
    <row r="2034" spans="1:8" hidden="1" outlineLevel="2">
      <c r="A2034" s="32" t="s">
        <v>22</v>
      </c>
      <c r="B2034" s="32" t="s">
        <v>86</v>
      </c>
      <c r="C2034" s="32" t="s">
        <v>155</v>
      </c>
      <c r="D2034" s="32" t="s">
        <v>593</v>
      </c>
      <c r="E2034" s="33">
        <v>10</v>
      </c>
      <c r="F2034" s="33">
        <v>266</v>
      </c>
      <c r="G2034" s="33">
        <v>10</v>
      </c>
      <c r="H2034" s="13">
        <f t="shared" si="31"/>
        <v>26.6</v>
      </c>
    </row>
    <row r="2035" spans="1:8" hidden="1" outlineLevel="2">
      <c r="A2035" s="32" t="s">
        <v>22</v>
      </c>
      <c r="B2035" s="32" t="s">
        <v>1862</v>
      </c>
      <c r="C2035" s="32" t="s">
        <v>97</v>
      </c>
      <c r="D2035" s="32" t="s">
        <v>545</v>
      </c>
      <c r="E2035" s="33">
        <v>560</v>
      </c>
      <c r="F2035" s="33">
        <v>14871</v>
      </c>
      <c r="G2035" s="33">
        <v>559</v>
      </c>
      <c r="H2035" s="13">
        <f t="shared" si="31"/>
        <v>26.555357142857144</v>
      </c>
    </row>
    <row r="2036" spans="1:8" hidden="1" outlineLevel="2">
      <c r="A2036" s="32" t="s">
        <v>22</v>
      </c>
      <c r="B2036" s="32" t="s">
        <v>86</v>
      </c>
      <c r="C2036" s="32" t="s">
        <v>127</v>
      </c>
      <c r="D2036" s="32" t="s">
        <v>777</v>
      </c>
      <c r="E2036" s="33">
        <v>40</v>
      </c>
      <c r="F2036" s="33">
        <v>1062</v>
      </c>
      <c r="G2036" s="33">
        <v>38</v>
      </c>
      <c r="H2036" s="13">
        <f t="shared" si="31"/>
        <v>26.55</v>
      </c>
    </row>
    <row r="2037" spans="1:8" hidden="1" outlineLevel="2">
      <c r="A2037" s="32" t="s">
        <v>22</v>
      </c>
      <c r="B2037" s="32" t="s">
        <v>1862</v>
      </c>
      <c r="C2037" s="32" t="s">
        <v>115</v>
      </c>
      <c r="D2037" s="32" t="s">
        <v>474</v>
      </c>
      <c r="E2037" s="33">
        <v>16</v>
      </c>
      <c r="F2037" s="33">
        <v>421</v>
      </c>
      <c r="G2037" s="33">
        <v>19</v>
      </c>
      <c r="H2037" s="13">
        <f t="shared" si="31"/>
        <v>26.3125</v>
      </c>
    </row>
    <row r="2038" spans="1:8" hidden="1" outlineLevel="2">
      <c r="A2038" s="32" t="s">
        <v>22</v>
      </c>
      <c r="B2038" s="32" t="s">
        <v>86</v>
      </c>
      <c r="C2038" s="32" t="s">
        <v>127</v>
      </c>
      <c r="D2038" s="32" t="s">
        <v>413</v>
      </c>
      <c r="E2038" s="33">
        <v>18</v>
      </c>
      <c r="F2038" s="33">
        <v>473</v>
      </c>
      <c r="G2038" s="33">
        <v>18</v>
      </c>
      <c r="H2038" s="13">
        <f t="shared" si="31"/>
        <v>26.277777777777779</v>
      </c>
    </row>
    <row r="2039" spans="1:8" hidden="1" outlineLevel="2">
      <c r="A2039" s="32" t="s">
        <v>22</v>
      </c>
      <c r="B2039" s="32" t="s">
        <v>1858</v>
      </c>
      <c r="C2039" s="32" t="s">
        <v>131</v>
      </c>
      <c r="D2039" s="32" t="s">
        <v>694</v>
      </c>
      <c r="E2039" s="33">
        <v>15</v>
      </c>
      <c r="F2039" s="33">
        <v>394</v>
      </c>
      <c r="G2039" s="33">
        <v>15</v>
      </c>
      <c r="H2039" s="13">
        <f t="shared" si="31"/>
        <v>26.266666666666666</v>
      </c>
    </row>
    <row r="2040" spans="1:8" hidden="1" outlineLevel="2">
      <c r="A2040" s="32" t="s">
        <v>22</v>
      </c>
      <c r="B2040" s="32" t="s">
        <v>86</v>
      </c>
      <c r="C2040" s="32" t="s">
        <v>110</v>
      </c>
      <c r="D2040" s="32" t="s">
        <v>177</v>
      </c>
      <c r="E2040" s="33">
        <v>567</v>
      </c>
      <c r="F2040" s="33">
        <v>14879</v>
      </c>
      <c r="G2040" s="33">
        <v>564</v>
      </c>
      <c r="H2040" s="13">
        <f t="shared" si="31"/>
        <v>26.241622574955908</v>
      </c>
    </row>
    <row r="2041" spans="1:8" hidden="1" outlineLevel="2">
      <c r="A2041" s="32" t="s">
        <v>22</v>
      </c>
      <c r="B2041" s="32" t="s">
        <v>86</v>
      </c>
      <c r="C2041" s="32" t="s">
        <v>155</v>
      </c>
      <c r="D2041" s="32" t="s">
        <v>724</v>
      </c>
      <c r="E2041" s="33">
        <v>75</v>
      </c>
      <c r="F2041" s="33">
        <v>1961</v>
      </c>
      <c r="G2041" s="33">
        <v>74</v>
      </c>
      <c r="H2041" s="13">
        <f t="shared" si="31"/>
        <v>26.146666666666668</v>
      </c>
    </row>
    <row r="2042" spans="1:8" hidden="1" outlineLevel="2">
      <c r="A2042" s="32" t="s">
        <v>22</v>
      </c>
      <c r="B2042" s="32" t="s">
        <v>86</v>
      </c>
      <c r="C2042" s="32" t="s">
        <v>127</v>
      </c>
      <c r="D2042" s="32" t="s">
        <v>585</v>
      </c>
      <c r="E2042" s="33">
        <v>10</v>
      </c>
      <c r="F2042" s="33">
        <v>261</v>
      </c>
      <c r="G2042" s="33">
        <v>10</v>
      </c>
      <c r="H2042" s="13">
        <f t="shared" si="31"/>
        <v>26.1</v>
      </c>
    </row>
    <row r="2043" spans="1:8" hidden="1" outlineLevel="2">
      <c r="A2043" s="32" t="s">
        <v>22</v>
      </c>
      <c r="B2043" s="32" t="s">
        <v>1862</v>
      </c>
      <c r="C2043" s="32" t="s">
        <v>97</v>
      </c>
      <c r="D2043" s="32" t="s">
        <v>324</v>
      </c>
      <c r="E2043" s="33">
        <v>15</v>
      </c>
      <c r="F2043" s="33">
        <v>391</v>
      </c>
      <c r="G2043" s="33">
        <v>15</v>
      </c>
      <c r="H2043" s="13">
        <f t="shared" si="31"/>
        <v>26.066666666666666</v>
      </c>
    </row>
    <row r="2044" spans="1:8" hidden="1" outlineLevel="2">
      <c r="A2044" s="32" t="s">
        <v>22</v>
      </c>
      <c r="B2044" s="32" t="s">
        <v>86</v>
      </c>
      <c r="C2044" s="32" t="s">
        <v>152</v>
      </c>
      <c r="D2044" s="32" t="s">
        <v>164</v>
      </c>
      <c r="E2044" s="33">
        <v>745</v>
      </c>
      <c r="F2044" s="33">
        <v>19404</v>
      </c>
      <c r="G2044" s="33">
        <v>747</v>
      </c>
      <c r="H2044" s="13">
        <f t="shared" si="31"/>
        <v>26.045637583892617</v>
      </c>
    </row>
    <row r="2045" spans="1:8" hidden="1" outlineLevel="2">
      <c r="A2045" s="32" t="s">
        <v>22</v>
      </c>
      <c r="B2045" s="32" t="s">
        <v>86</v>
      </c>
      <c r="C2045" s="32" t="s">
        <v>119</v>
      </c>
      <c r="D2045" s="32" t="s">
        <v>175</v>
      </c>
      <c r="E2045" s="33">
        <v>30</v>
      </c>
      <c r="F2045" s="33">
        <v>781</v>
      </c>
      <c r="G2045" s="33">
        <v>30</v>
      </c>
      <c r="H2045" s="13">
        <f t="shared" si="31"/>
        <v>26.033333333333335</v>
      </c>
    </row>
    <row r="2046" spans="1:8" hidden="1" outlineLevel="2">
      <c r="A2046" s="32" t="s">
        <v>22</v>
      </c>
      <c r="B2046" s="32" t="s">
        <v>86</v>
      </c>
      <c r="C2046" s="32" t="s">
        <v>152</v>
      </c>
      <c r="D2046" s="32" t="s">
        <v>453</v>
      </c>
      <c r="E2046" s="33">
        <v>30</v>
      </c>
      <c r="F2046" s="33">
        <v>776</v>
      </c>
      <c r="G2046" s="33">
        <v>31</v>
      </c>
      <c r="H2046" s="13">
        <f t="shared" si="31"/>
        <v>25.866666666666667</v>
      </c>
    </row>
    <row r="2047" spans="1:8" hidden="1" outlineLevel="2">
      <c r="A2047" s="32" t="s">
        <v>22</v>
      </c>
      <c r="B2047" s="32" t="s">
        <v>86</v>
      </c>
      <c r="C2047" s="32" t="s">
        <v>119</v>
      </c>
      <c r="D2047" s="32" t="s">
        <v>215</v>
      </c>
      <c r="E2047" s="33">
        <v>40</v>
      </c>
      <c r="F2047" s="33">
        <v>1026</v>
      </c>
      <c r="G2047" s="33">
        <v>38</v>
      </c>
      <c r="H2047" s="13">
        <f t="shared" si="31"/>
        <v>25.65</v>
      </c>
    </row>
    <row r="2048" spans="1:8" hidden="1" outlineLevel="2">
      <c r="A2048" s="32" t="s">
        <v>22</v>
      </c>
      <c r="B2048" s="32" t="s">
        <v>86</v>
      </c>
      <c r="C2048" s="32" t="s">
        <v>152</v>
      </c>
      <c r="D2048" s="32" t="s">
        <v>300</v>
      </c>
      <c r="E2048" s="33">
        <v>30</v>
      </c>
      <c r="F2048" s="33">
        <v>768</v>
      </c>
      <c r="G2048" s="33">
        <v>28</v>
      </c>
      <c r="H2048" s="13">
        <f t="shared" si="31"/>
        <v>25.6</v>
      </c>
    </row>
    <row r="2049" spans="1:8" hidden="1" outlineLevel="2">
      <c r="A2049" s="32" t="s">
        <v>22</v>
      </c>
      <c r="B2049" s="32" t="s">
        <v>1862</v>
      </c>
      <c r="C2049" s="32" t="s">
        <v>115</v>
      </c>
      <c r="D2049" s="32" t="s">
        <v>434</v>
      </c>
      <c r="E2049" s="33">
        <v>5</v>
      </c>
      <c r="F2049" s="33">
        <v>128</v>
      </c>
      <c r="G2049" s="33">
        <v>4</v>
      </c>
      <c r="H2049" s="13">
        <f t="shared" si="31"/>
        <v>25.6</v>
      </c>
    </row>
    <row r="2050" spans="1:8" hidden="1" outlineLevel="2">
      <c r="A2050" s="32" t="s">
        <v>22</v>
      </c>
      <c r="B2050" s="32" t="s">
        <v>1862</v>
      </c>
      <c r="C2050" s="32" t="s">
        <v>97</v>
      </c>
      <c r="D2050" s="32" t="s">
        <v>323</v>
      </c>
      <c r="E2050" s="33">
        <v>15</v>
      </c>
      <c r="F2050" s="33">
        <v>382</v>
      </c>
      <c r="G2050" s="33">
        <v>15</v>
      </c>
      <c r="H2050" s="13">
        <f t="shared" ref="H2050:H2113" si="32">IFERROR(F2050/E2050,"")</f>
        <v>25.466666666666665</v>
      </c>
    </row>
    <row r="2051" spans="1:8" hidden="1" outlineLevel="2">
      <c r="A2051" s="32" t="s">
        <v>22</v>
      </c>
      <c r="B2051" s="32" t="s">
        <v>86</v>
      </c>
      <c r="C2051" s="32" t="s">
        <v>110</v>
      </c>
      <c r="D2051" s="32" t="s">
        <v>133</v>
      </c>
      <c r="E2051" s="33">
        <v>270</v>
      </c>
      <c r="F2051" s="33">
        <v>6849</v>
      </c>
      <c r="G2051" s="33">
        <v>268</v>
      </c>
      <c r="H2051" s="13">
        <f t="shared" si="32"/>
        <v>25.366666666666667</v>
      </c>
    </row>
    <row r="2052" spans="1:8" hidden="1" outlineLevel="2">
      <c r="A2052" s="32" t="s">
        <v>22</v>
      </c>
      <c r="B2052" s="32" t="s">
        <v>86</v>
      </c>
      <c r="C2052" s="32" t="s">
        <v>119</v>
      </c>
      <c r="D2052" s="32" t="s">
        <v>567</v>
      </c>
      <c r="E2052" s="33">
        <v>70</v>
      </c>
      <c r="F2052" s="33">
        <v>1775</v>
      </c>
      <c r="G2052" s="33">
        <v>68</v>
      </c>
      <c r="H2052" s="13">
        <f t="shared" si="32"/>
        <v>25.357142857142858</v>
      </c>
    </row>
    <row r="2053" spans="1:8" hidden="1" outlineLevel="2">
      <c r="A2053" s="32" t="s">
        <v>22</v>
      </c>
      <c r="B2053" s="32" t="s">
        <v>86</v>
      </c>
      <c r="C2053" s="32" t="s">
        <v>110</v>
      </c>
      <c r="D2053" s="32" t="s">
        <v>137</v>
      </c>
      <c r="E2053" s="33">
        <v>620</v>
      </c>
      <c r="F2053" s="33">
        <v>15677</v>
      </c>
      <c r="G2053" s="33">
        <v>618</v>
      </c>
      <c r="H2053" s="13">
        <f t="shared" si="32"/>
        <v>25.285483870967742</v>
      </c>
    </row>
    <row r="2054" spans="1:8" hidden="1" outlineLevel="2">
      <c r="A2054" s="32" t="s">
        <v>22</v>
      </c>
      <c r="B2054" s="32" t="s">
        <v>86</v>
      </c>
      <c r="C2054" s="32" t="s">
        <v>378</v>
      </c>
      <c r="D2054" s="32" t="s">
        <v>617</v>
      </c>
      <c r="E2054" s="33">
        <v>25</v>
      </c>
      <c r="F2054" s="33">
        <v>631</v>
      </c>
      <c r="G2054" s="33">
        <v>24</v>
      </c>
      <c r="H2054" s="13">
        <f t="shared" si="32"/>
        <v>25.24</v>
      </c>
    </row>
    <row r="2055" spans="1:8" hidden="1" outlineLevel="2">
      <c r="A2055" s="32" t="s">
        <v>22</v>
      </c>
      <c r="B2055" s="32" t="s">
        <v>86</v>
      </c>
      <c r="C2055" s="32" t="s">
        <v>110</v>
      </c>
      <c r="D2055" s="32" t="s">
        <v>520</v>
      </c>
      <c r="E2055" s="33">
        <v>10</v>
      </c>
      <c r="F2055" s="33">
        <v>249</v>
      </c>
      <c r="G2055" s="33">
        <v>10</v>
      </c>
      <c r="H2055" s="13">
        <f t="shared" si="32"/>
        <v>24.9</v>
      </c>
    </row>
    <row r="2056" spans="1:8" hidden="1" outlineLevel="2">
      <c r="A2056" s="32" t="s">
        <v>22</v>
      </c>
      <c r="B2056" s="32" t="s">
        <v>86</v>
      </c>
      <c r="C2056" s="32" t="s">
        <v>152</v>
      </c>
      <c r="D2056" s="32" t="s">
        <v>253</v>
      </c>
      <c r="E2056" s="33">
        <v>379</v>
      </c>
      <c r="F2056" s="33">
        <v>9413</v>
      </c>
      <c r="G2056" s="33">
        <v>381</v>
      </c>
      <c r="H2056" s="13">
        <f t="shared" si="32"/>
        <v>24.836411609498679</v>
      </c>
    </row>
    <row r="2057" spans="1:8" hidden="1" outlineLevel="2">
      <c r="A2057" s="32" t="s">
        <v>22</v>
      </c>
      <c r="B2057" s="32" t="s">
        <v>86</v>
      </c>
      <c r="C2057" s="32" t="s">
        <v>127</v>
      </c>
      <c r="D2057" s="32" t="s">
        <v>231</v>
      </c>
      <c r="E2057" s="33">
        <v>8</v>
      </c>
      <c r="F2057" s="33">
        <v>198</v>
      </c>
      <c r="G2057" s="33">
        <v>8</v>
      </c>
      <c r="H2057" s="13">
        <f t="shared" si="32"/>
        <v>24.75</v>
      </c>
    </row>
    <row r="2058" spans="1:8" hidden="1" outlineLevel="2">
      <c r="A2058" s="32" t="s">
        <v>22</v>
      </c>
      <c r="B2058" s="32" t="s">
        <v>86</v>
      </c>
      <c r="C2058" s="32" t="s">
        <v>127</v>
      </c>
      <c r="D2058" s="32" t="s">
        <v>414</v>
      </c>
      <c r="E2058" s="33">
        <v>30</v>
      </c>
      <c r="F2058" s="33">
        <v>740</v>
      </c>
      <c r="G2058" s="33">
        <v>30</v>
      </c>
      <c r="H2058" s="13">
        <f t="shared" si="32"/>
        <v>24.666666666666668</v>
      </c>
    </row>
    <row r="2059" spans="1:8" hidden="1" outlineLevel="2">
      <c r="A2059" s="32" t="s">
        <v>22</v>
      </c>
      <c r="B2059" s="32" t="s">
        <v>86</v>
      </c>
      <c r="C2059" s="32" t="s">
        <v>152</v>
      </c>
      <c r="D2059" s="32" t="s">
        <v>771</v>
      </c>
      <c r="E2059" s="33">
        <v>60</v>
      </c>
      <c r="F2059" s="33">
        <v>1467</v>
      </c>
      <c r="G2059" s="33">
        <v>60</v>
      </c>
      <c r="H2059" s="13">
        <f t="shared" si="32"/>
        <v>24.45</v>
      </c>
    </row>
    <row r="2060" spans="1:8" hidden="1" outlineLevel="2">
      <c r="A2060" s="32" t="s">
        <v>22</v>
      </c>
      <c r="B2060" s="32" t="s">
        <v>86</v>
      </c>
      <c r="C2060" s="32" t="s">
        <v>110</v>
      </c>
      <c r="D2060" s="32" t="s">
        <v>296</v>
      </c>
      <c r="E2060" s="33">
        <v>100</v>
      </c>
      <c r="F2060" s="33">
        <v>2439</v>
      </c>
      <c r="G2060" s="33">
        <v>99</v>
      </c>
      <c r="H2060" s="13">
        <f t="shared" si="32"/>
        <v>24.39</v>
      </c>
    </row>
    <row r="2061" spans="1:8" hidden="1" outlineLevel="2">
      <c r="A2061" s="32" t="s">
        <v>22</v>
      </c>
      <c r="B2061" s="32" t="s">
        <v>1858</v>
      </c>
      <c r="C2061" s="32" t="s">
        <v>144</v>
      </c>
      <c r="D2061" s="32" t="s">
        <v>495</v>
      </c>
      <c r="E2061" s="33">
        <v>36</v>
      </c>
      <c r="F2061" s="33">
        <v>874</v>
      </c>
      <c r="G2061" s="33">
        <v>35</v>
      </c>
      <c r="H2061" s="13">
        <f t="shared" si="32"/>
        <v>24.277777777777779</v>
      </c>
    </row>
    <row r="2062" spans="1:8" hidden="1" outlineLevel="2">
      <c r="A2062" s="32" t="s">
        <v>22</v>
      </c>
      <c r="B2062" s="32" t="s">
        <v>1862</v>
      </c>
      <c r="C2062" s="32" t="s">
        <v>97</v>
      </c>
      <c r="D2062" s="32" t="s">
        <v>643</v>
      </c>
      <c r="E2062" s="33">
        <v>21</v>
      </c>
      <c r="F2062" s="33">
        <v>505</v>
      </c>
      <c r="G2062" s="33">
        <v>21</v>
      </c>
      <c r="H2062" s="13">
        <f t="shared" si="32"/>
        <v>24.047619047619047</v>
      </c>
    </row>
    <row r="2063" spans="1:8" hidden="1" outlineLevel="2">
      <c r="A2063" s="32" t="s">
        <v>22</v>
      </c>
      <c r="B2063" s="32" t="s">
        <v>86</v>
      </c>
      <c r="C2063" s="32" t="s">
        <v>119</v>
      </c>
      <c r="D2063" s="32" t="s">
        <v>670</v>
      </c>
      <c r="E2063" s="33">
        <v>15</v>
      </c>
      <c r="F2063" s="33">
        <v>354</v>
      </c>
      <c r="G2063" s="33">
        <v>14</v>
      </c>
      <c r="H2063" s="13">
        <f t="shared" si="32"/>
        <v>23.6</v>
      </c>
    </row>
    <row r="2064" spans="1:8" hidden="1" outlineLevel="2">
      <c r="A2064" s="32" t="s">
        <v>22</v>
      </c>
      <c r="B2064" s="32" t="s">
        <v>86</v>
      </c>
      <c r="C2064" s="32" t="s">
        <v>127</v>
      </c>
      <c r="D2064" s="32" t="s">
        <v>498</v>
      </c>
      <c r="E2064" s="33">
        <v>30</v>
      </c>
      <c r="F2064" s="33">
        <v>705</v>
      </c>
      <c r="G2064" s="33">
        <v>30</v>
      </c>
      <c r="H2064" s="13">
        <f t="shared" si="32"/>
        <v>23.5</v>
      </c>
    </row>
    <row r="2065" spans="1:8" hidden="1" outlineLevel="2">
      <c r="A2065" s="32" t="s">
        <v>22</v>
      </c>
      <c r="B2065" s="32" t="s">
        <v>86</v>
      </c>
      <c r="C2065" s="32" t="s">
        <v>127</v>
      </c>
      <c r="D2065" s="32" t="s">
        <v>739</v>
      </c>
      <c r="E2065" s="33">
        <v>180</v>
      </c>
      <c r="F2065" s="33">
        <v>4225</v>
      </c>
      <c r="G2065" s="33">
        <v>177</v>
      </c>
      <c r="H2065" s="13">
        <f t="shared" si="32"/>
        <v>23.472222222222221</v>
      </c>
    </row>
    <row r="2066" spans="1:8" hidden="1" outlineLevel="2">
      <c r="A2066" s="32" t="s">
        <v>22</v>
      </c>
      <c r="B2066" s="32" t="s">
        <v>86</v>
      </c>
      <c r="C2066" s="32" t="s">
        <v>152</v>
      </c>
      <c r="D2066" s="32" t="s">
        <v>772</v>
      </c>
      <c r="E2066" s="33">
        <v>50</v>
      </c>
      <c r="F2066" s="33">
        <v>1173</v>
      </c>
      <c r="G2066" s="33">
        <v>49</v>
      </c>
      <c r="H2066" s="13">
        <f t="shared" si="32"/>
        <v>23.46</v>
      </c>
    </row>
    <row r="2067" spans="1:8" hidden="1" outlineLevel="2">
      <c r="A2067" s="32" t="s">
        <v>22</v>
      </c>
      <c r="B2067" s="32" t="s">
        <v>1862</v>
      </c>
      <c r="C2067" s="32" t="s">
        <v>97</v>
      </c>
      <c r="D2067" s="32" t="s">
        <v>588</v>
      </c>
      <c r="E2067" s="33">
        <v>10</v>
      </c>
      <c r="F2067" s="33">
        <v>233</v>
      </c>
      <c r="G2067" s="33">
        <v>10</v>
      </c>
      <c r="H2067" s="13">
        <f t="shared" si="32"/>
        <v>23.3</v>
      </c>
    </row>
    <row r="2068" spans="1:8" hidden="1" outlineLevel="2">
      <c r="A2068" s="32" t="s">
        <v>22</v>
      </c>
      <c r="B2068" s="32" t="s">
        <v>1858</v>
      </c>
      <c r="C2068" s="32" t="s">
        <v>445</v>
      </c>
      <c r="D2068" s="32" t="s">
        <v>446</v>
      </c>
      <c r="E2068" s="33">
        <v>32</v>
      </c>
      <c r="F2068" s="33">
        <v>745</v>
      </c>
      <c r="G2068" s="33">
        <v>32</v>
      </c>
      <c r="H2068" s="13">
        <f t="shared" si="32"/>
        <v>23.28125</v>
      </c>
    </row>
    <row r="2069" spans="1:8" hidden="1" outlineLevel="2">
      <c r="A2069" s="32" t="s">
        <v>22</v>
      </c>
      <c r="B2069" s="32" t="s">
        <v>86</v>
      </c>
      <c r="C2069" s="32" t="s">
        <v>127</v>
      </c>
      <c r="D2069" s="32" t="s">
        <v>231</v>
      </c>
      <c r="E2069" s="33">
        <v>14</v>
      </c>
      <c r="F2069" s="33">
        <v>320</v>
      </c>
      <c r="G2069" s="33">
        <v>14</v>
      </c>
      <c r="H2069" s="13">
        <f t="shared" si="32"/>
        <v>22.857142857142858</v>
      </c>
    </row>
    <row r="2070" spans="1:8" hidden="1" outlineLevel="2">
      <c r="A2070" s="32" t="s">
        <v>22</v>
      </c>
      <c r="B2070" s="32" t="s">
        <v>1862</v>
      </c>
      <c r="C2070" s="32" t="s">
        <v>97</v>
      </c>
      <c r="D2070" s="32" t="s">
        <v>331</v>
      </c>
      <c r="E2070" s="33">
        <v>35</v>
      </c>
      <c r="F2070" s="33">
        <v>799</v>
      </c>
      <c r="G2070" s="33">
        <v>33</v>
      </c>
      <c r="H2070" s="13">
        <f t="shared" si="32"/>
        <v>22.828571428571429</v>
      </c>
    </row>
    <row r="2071" spans="1:8" hidden="1" outlineLevel="2">
      <c r="A2071" s="32" t="s">
        <v>22</v>
      </c>
      <c r="B2071" s="32" t="s">
        <v>86</v>
      </c>
      <c r="C2071" s="32" t="s">
        <v>127</v>
      </c>
      <c r="D2071" s="32" t="s">
        <v>233</v>
      </c>
      <c r="E2071" s="33">
        <v>30</v>
      </c>
      <c r="F2071" s="33">
        <v>683</v>
      </c>
      <c r="G2071" s="33">
        <v>28</v>
      </c>
      <c r="H2071" s="13">
        <f t="shared" si="32"/>
        <v>22.766666666666666</v>
      </c>
    </row>
    <row r="2072" spans="1:8" hidden="1" outlineLevel="2">
      <c r="A2072" s="32" t="s">
        <v>22</v>
      </c>
      <c r="B2072" s="32" t="s">
        <v>86</v>
      </c>
      <c r="C2072" s="32" t="s">
        <v>152</v>
      </c>
      <c r="D2072" s="32" t="s">
        <v>642</v>
      </c>
      <c r="E2072" s="33">
        <v>105</v>
      </c>
      <c r="F2072" s="33">
        <v>2372</v>
      </c>
      <c r="G2072" s="33">
        <v>103</v>
      </c>
      <c r="H2072" s="13">
        <f t="shared" si="32"/>
        <v>22.590476190476192</v>
      </c>
    </row>
    <row r="2073" spans="1:8" hidden="1" outlineLevel="2">
      <c r="A2073" s="32" t="s">
        <v>22</v>
      </c>
      <c r="B2073" s="32" t="s">
        <v>86</v>
      </c>
      <c r="C2073" s="32" t="s">
        <v>127</v>
      </c>
      <c r="D2073" s="32" t="s">
        <v>231</v>
      </c>
      <c r="E2073" s="33">
        <v>8</v>
      </c>
      <c r="F2073" s="33">
        <v>180</v>
      </c>
      <c r="G2073" s="33">
        <v>8</v>
      </c>
      <c r="H2073" s="13">
        <f t="shared" si="32"/>
        <v>22.5</v>
      </c>
    </row>
    <row r="2074" spans="1:8" hidden="1" outlineLevel="2">
      <c r="A2074" s="32" t="s">
        <v>22</v>
      </c>
      <c r="B2074" s="32" t="s">
        <v>1858</v>
      </c>
      <c r="C2074" s="32" t="s">
        <v>144</v>
      </c>
      <c r="D2074" s="32" t="s">
        <v>332</v>
      </c>
      <c r="E2074" s="33">
        <v>35</v>
      </c>
      <c r="F2074" s="33">
        <v>783</v>
      </c>
      <c r="G2074" s="33">
        <v>41</v>
      </c>
      <c r="H2074" s="13">
        <f t="shared" si="32"/>
        <v>22.37142857142857</v>
      </c>
    </row>
    <row r="2075" spans="1:8" hidden="1" outlineLevel="2">
      <c r="A2075" s="32" t="s">
        <v>22</v>
      </c>
      <c r="B2075" s="32" t="s">
        <v>1862</v>
      </c>
      <c r="C2075" s="32" t="s">
        <v>97</v>
      </c>
      <c r="D2075" s="32" t="s">
        <v>325</v>
      </c>
      <c r="E2075" s="33">
        <v>30</v>
      </c>
      <c r="F2075" s="33">
        <v>669</v>
      </c>
      <c r="G2075" s="33">
        <v>30</v>
      </c>
      <c r="H2075" s="13">
        <f t="shared" si="32"/>
        <v>22.3</v>
      </c>
    </row>
    <row r="2076" spans="1:8" hidden="1" outlineLevel="2">
      <c r="A2076" s="32" t="s">
        <v>22</v>
      </c>
      <c r="B2076" s="32" t="s">
        <v>1862</v>
      </c>
      <c r="C2076" s="32" t="s">
        <v>97</v>
      </c>
      <c r="D2076" s="32" t="s">
        <v>642</v>
      </c>
      <c r="E2076" s="33">
        <v>112</v>
      </c>
      <c r="F2076" s="33">
        <v>2490</v>
      </c>
      <c r="G2076" s="33">
        <v>110</v>
      </c>
      <c r="H2076" s="13">
        <f t="shared" si="32"/>
        <v>22.232142857142858</v>
      </c>
    </row>
    <row r="2077" spans="1:8" hidden="1" outlineLevel="2">
      <c r="A2077" s="32" t="s">
        <v>22</v>
      </c>
      <c r="B2077" s="32" t="s">
        <v>1858</v>
      </c>
      <c r="C2077" s="32" t="s">
        <v>104</v>
      </c>
      <c r="D2077" s="32" t="s">
        <v>443</v>
      </c>
      <c r="E2077" s="33">
        <v>30</v>
      </c>
      <c r="F2077" s="33">
        <v>664</v>
      </c>
      <c r="G2077" s="33">
        <v>30</v>
      </c>
      <c r="H2077" s="13">
        <f t="shared" si="32"/>
        <v>22.133333333333333</v>
      </c>
    </row>
    <row r="2078" spans="1:8" hidden="1" outlineLevel="2">
      <c r="A2078" s="32" t="s">
        <v>22</v>
      </c>
      <c r="B2078" s="32" t="s">
        <v>86</v>
      </c>
      <c r="C2078" s="32" t="s">
        <v>119</v>
      </c>
      <c r="D2078" s="32" t="s">
        <v>611</v>
      </c>
      <c r="E2078" s="33">
        <v>16</v>
      </c>
      <c r="F2078" s="33">
        <v>354</v>
      </c>
      <c r="G2078" s="33">
        <v>11</v>
      </c>
      <c r="H2078" s="13">
        <f t="shared" si="32"/>
        <v>22.125</v>
      </c>
    </row>
    <row r="2079" spans="1:8" hidden="1" outlineLevel="2">
      <c r="A2079" s="32" t="s">
        <v>22</v>
      </c>
      <c r="B2079" s="32" t="s">
        <v>1862</v>
      </c>
      <c r="C2079" s="32" t="s">
        <v>97</v>
      </c>
      <c r="D2079" s="32" t="s">
        <v>103</v>
      </c>
      <c r="E2079" s="33">
        <v>30</v>
      </c>
      <c r="F2079" s="33">
        <v>663</v>
      </c>
      <c r="G2079" s="33">
        <v>29</v>
      </c>
      <c r="H2079" s="13">
        <f t="shared" si="32"/>
        <v>22.1</v>
      </c>
    </row>
    <row r="2080" spans="1:8" hidden="1" outlineLevel="2">
      <c r="A2080" s="32" t="s">
        <v>22</v>
      </c>
      <c r="B2080" s="32" t="s">
        <v>86</v>
      </c>
      <c r="C2080" s="32" t="s">
        <v>110</v>
      </c>
      <c r="D2080" s="32" t="s">
        <v>523</v>
      </c>
      <c r="E2080" s="33">
        <v>10</v>
      </c>
      <c r="F2080" s="33">
        <v>221</v>
      </c>
      <c r="G2080" s="33">
        <v>9</v>
      </c>
      <c r="H2080" s="13">
        <f t="shared" si="32"/>
        <v>22.1</v>
      </c>
    </row>
    <row r="2081" spans="1:8" hidden="1" outlineLevel="2">
      <c r="A2081" s="32" t="s">
        <v>22</v>
      </c>
      <c r="B2081" s="32" t="s">
        <v>1858</v>
      </c>
      <c r="C2081" s="32" t="s">
        <v>203</v>
      </c>
      <c r="D2081" s="32" t="s">
        <v>488</v>
      </c>
      <c r="E2081" s="33">
        <v>78</v>
      </c>
      <c r="F2081" s="33">
        <v>1708</v>
      </c>
      <c r="G2081" s="33">
        <v>76</v>
      </c>
      <c r="H2081" s="13">
        <f t="shared" si="32"/>
        <v>21.897435897435898</v>
      </c>
    </row>
    <row r="2082" spans="1:8" hidden="1" outlineLevel="2">
      <c r="A2082" s="32" t="s">
        <v>22</v>
      </c>
      <c r="B2082" s="32" t="s">
        <v>1862</v>
      </c>
      <c r="C2082" s="32" t="s">
        <v>97</v>
      </c>
      <c r="D2082" s="32" t="s">
        <v>716</v>
      </c>
      <c r="E2082" s="33">
        <v>30</v>
      </c>
      <c r="F2082" s="33">
        <v>656</v>
      </c>
      <c r="G2082" s="33">
        <v>30</v>
      </c>
      <c r="H2082" s="13">
        <f t="shared" si="32"/>
        <v>21.866666666666667</v>
      </c>
    </row>
    <row r="2083" spans="1:8" hidden="1" outlineLevel="2">
      <c r="A2083" s="32" t="s">
        <v>22</v>
      </c>
      <c r="B2083" s="32" t="s">
        <v>1858</v>
      </c>
      <c r="C2083" s="32" t="s">
        <v>129</v>
      </c>
      <c r="D2083" s="32" t="s">
        <v>130</v>
      </c>
      <c r="E2083" s="33">
        <v>24</v>
      </c>
      <c r="F2083" s="33">
        <v>523</v>
      </c>
      <c r="G2083" s="33">
        <v>25</v>
      </c>
      <c r="H2083" s="13">
        <f t="shared" si="32"/>
        <v>21.791666666666668</v>
      </c>
    </row>
    <row r="2084" spans="1:8" hidden="1" outlineLevel="2">
      <c r="A2084" s="32" t="s">
        <v>22</v>
      </c>
      <c r="B2084" s="32" t="s">
        <v>1858</v>
      </c>
      <c r="C2084" s="32" t="s">
        <v>203</v>
      </c>
      <c r="D2084" s="32" t="s">
        <v>722</v>
      </c>
      <c r="E2084" s="33">
        <v>120</v>
      </c>
      <c r="F2084" s="33">
        <v>2602</v>
      </c>
      <c r="G2084" s="33">
        <v>115</v>
      </c>
      <c r="H2084" s="13">
        <f t="shared" si="32"/>
        <v>21.683333333333334</v>
      </c>
    </row>
    <row r="2085" spans="1:8" hidden="1" outlineLevel="2">
      <c r="A2085" s="32" t="s">
        <v>22</v>
      </c>
      <c r="B2085" s="32" t="s">
        <v>1862</v>
      </c>
      <c r="C2085" s="32" t="s">
        <v>115</v>
      </c>
      <c r="D2085" s="32" t="s">
        <v>299</v>
      </c>
      <c r="E2085" s="33">
        <v>78</v>
      </c>
      <c r="F2085" s="33">
        <v>1686</v>
      </c>
      <c r="G2085" s="33">
        <v>76</v>
      </c>
      <c r="H2085" s="13">
        <f t="shared" si="32"/>
        <v>21.615384615384617</v>
      </c>
    </row>
    <row r="2086" spans="1:8" hidden="1" outlineLevel="2">
      <c r="A2086" s="32" t="s">
        <v>22</v>
      </c>
      <c r="B2086" s="32" t="s">
        <v>1862</v>
      </c>
      <c r="C2086" s="32" t="s">
        <v>108</v>
      </c>
      <c r="D2086" s="32" t="s">
        <v>299</v>
      </c>
      <c r="E2086" s="33">
        <v>50</v>
      </c>
      <c r="F2086" s="33">
        <v>1077</v>
      </c>
      <c r="G2086" s="33">
        <v>57</v>
      </c>
      <c r="H2086" s="13">
        <f t="shared" si="32"/>
        <v>21.54</v>
      </c>
    </row>
    <row r="2087" spans="1:8" hidden="1" outlineLevel="2">
      <c r="A2087" s="32" t="s">
        <v>22</v>
      </c>
      <c r="B2087" s="32" t="s">
        <v>86</v>
      </c>
      <c r="C2087" s="32" t="s">
        <v>127</v>
      </c>
      <c r="D2087" s="32" t="s">
        <v>235</v>
      </c>
      <c r="E2087" s="33">
        <v>28</v>
      </c>
      <c r="F2087" s="33">
        <v>593</v>
      </c>
      <c r="G2087" s="33">
        <v>28</v>
      </c>
      <c r="H2087" s="13">
        <f t="shared" si="32"/>
        <v>21.178571428571427</v>
      </c>
    </row>
    <row r="2088" spans="1:8" hidden="1" outlineLevel="2">
      <c r="A2088" s="32" t="s">
        <v>22</v>
      </c>
      <c r="B2088" s="32" t="s">
        <v>1862</v>
      </c>
      <c r="C2088" s="32" t="s">
        <v>265</v>
      </c>
      <c r="D2088" s="32" t="s">
        <v>260</v>
      </c>
      <c r="E2088" s="33">
        <v>75</v>
      </c>
      <c r="F2088" s="33">
        <v>1586</v>
      </c>
      <c r="G2088" s="33">
        <v>72</v>
      </c>
      <c r="H2088" s="13">
        <f t="shared" si="32"/>
        <v>21.146666666666668</v>
      </c>
    </row>
    <row r="2089" spans="1:8" hidden="1" outlineLevel="2">
      <c r="A2089" s="32" t="s">
        <v>22</v>
      </c>
      <c r="B2089" s="32" t="s">
        <v>86</v>
      </c>
      <c r="C2089" s="32" t="s">
        <v>190</v>
      </c>
      <c r="D2089" s="32" t="s">
        <v>405</v>
      </c>
      <c r="E2089" s="33">
        <v>30</v>
      </c>
      <c r="F2089" s="33">
        <v>633</v>
      </c>
      <c r="G2089" s="33">
        <v>30</v>
      </c>
      <c r="H2089" s="13">
        <f t="shared" si="32"/>
        <v>21.1</v>
      </c>
    </row>
    <row r="2090" spans="1:8" hidden="1" outlineLevel="2">
      <c r="A2090" s="32" t="s">
        <v>22</v>
      </c>
      <c r="B2090" s="32" t="s">
        <v>1862</v>
      </c>
      <c r="C2090" s="32" t="s">
        <v>108</v>
      </c>
      <c r="D2090" s="32" t="s">
        <v>253</v>
      </c>
      <c r="E2090" s="33">
        <v>250</v>
      </c>
      <c r="F2090" s="33">
        <v>5274</v>
      </c>
      <c r="G2090" s="33">
        <v>248</v>
      </c>
      <c r="H2090" s="13">
        <f t="shared" si="32"/>
        <v>21.096</v>
      </c>
    </row>
    <row r="2091" spans="1:8" hidden="1" outlineLevel="2">
      <c r="A2091" s="32" t="s">
        <v>22</v>
      </c>
      <c r="B2091" s="32" t="s">
        <v>1862</v>
      </c>
      <c r="C2091" s="32" t="s">
        <v>97</v>
      </c>
      <c r="D2091" s="32" t="s">
        <v>709</v>
      </c>
      <c r="E2091" s="33">
        <v>25</v>
      </c>
      <c r="F2091" s="33">
        <v>527</v>
      </c>
      <c r="G2091" s="33">
        <v>24</v>
      </c>
      <c r="H2091" s="13">
        <f t="shared" si="32"/>
        <v>21.08</v>
      </c>
    </row>
    <row r="2092" spans="1:8" hidden="1" outlineLevel="2">
      <c r="A2092" s="32" t="s">
        <v>22</v>
      </c>
      <c r="B2092" s="32" t="s">
        <v>86</v>
      </c>
      <c r="C2092" s="32" t="s">
        <v>127</v>
      </c>
      <c r="D2092" s="32" t="s">
        <v>499</v>
      </c>
      <c r="E2092" s="33">
        <v>53</v>
      </c>
      <c r="F2092" s="33">
        <v>1116</v>
      </c>
      <c r="G2092" s="33">
        <v>52</v>
      </c>
      <c r="H2092" s="13">
        <f t="shared" si="32"/>
        <v>21.056603773584907</v>
      </c>
    </row>
    <row r="2093" spans="1:8" hidden="1" outlineLevel="2">
      <c r="A2093" s="32" t="s">
        <v>22</v>
      </c>
      <c r="B2093" s="32" t="s">
        <v>1862</v>
      </c>
      <c r="C2093" s="32" t="s">
        <v>257</v>
      </c>
      <c r="D2093" s="32" t="s">
        <v>632</v>
      </c>
      <c r="E2093" s="33">
        <v>20</v>
      </c>
      <c r="F2093" s="33">
        <v>420</v>
      </c>
      <c r="G2093" s="33">
        <v>19</v>
      </c>
      <c r="H2093" s="13">
        <f t="shared" si="32"/>
        <v>21</v>
      </c>
    </row>
    <row r="2094" spans="1:8" hidden="1" outlineLevel="2">
      <c r="A2094" s="32" t="s">
        <v>22</v>
      </c>
      <c r="B2094" s="32" t="s">
        <v>1862</v>
      </c>
      <c r="C2094" s="32" t="s">
        <v>97</v>
      </c>
      <c r="D2094" s="32" t="s">
        <v>145</v>
      </c>
      <c r="E2094" s="33">
        <v>30</v>
      </c>
      <c r="F2094" s="33">
        <v>629</v>
      </c>
      <c r="G2094" s="33">
        <v>29</v>
      </c>
      <c r="H2094" s="13">
        <f t="shared" si="32"/>
        <v>20.966666666666665</v>
      </c>
    </row>
    <row r="2095" spans="1:8" hidden="1" outlineLevel="2">
      <c r="A2095" s="32" t="s">
        <v>22</v>
      </c>
      <c r="B2095" s="32" t="s">
        <v>86</v>
      </c>
      <c r="C2095" s="32" t="s">
        <v>119</v>
      </c>
      <c r="D2095" s="32" t="s">
        <v>440</v>
      </c>
      <c r="E2095" s="33">
        <v>40</v>
      </c>
      <c r="F2095" s="33">
        <v>838</v>
      </c>
      <c r="G2095" s="33">
        <v>39</v>
      </c>
      <c r="H2095" s="13">
        <f t="shared" si="32"/>
        <v>20.95</v>
      </c>
    </row>
    <row r="2096" spans="1:8" hidden="1" outlineLevel="2">
      <c r="A2096" s="32" t="s">
        <v>22</v>
      </c>
      <c r="B2096" s="32" t="s">
        <v>86</v>
      </c>
      <c r="C2096" s="32" t="s">
        <v>110</v>
      </c>
      <c r="D2096" s="32" t="s">
        <v>608</v>
      </c>
      <c r="E2096" s="33">
        <v>250</v>
      </c>
      <c r="F2096" s="33">
        <v>5233</v>
      </c>
      <c r="G2096" s="33">
        <v>244</v>
      </c>
      <c r="H2096" s="13">
        <f t="shared" si="32"/>
        <v>20.931999999999999</v>
      </c>
    </row>
    <row r="2097" spans="1:8" hidden="1" outlineLevel="2">
      <c r="A2097" s="32" t="s">
        <v>22</v>
      </c>
      <c r="B2097" s="32" t="s">
        <v>86</v>
      </c>
      <c r="C2097" s="32" t="s">
        <v>152</v>
      </c>
      <c r="D2097" s="32" t="s">
        <v>773</v>
      </c>
      <c r="E2097" s="33">
        <v>500</v>
      </c>
      <c r="F2097" s="33">
        <v>10453</v>
      </c>
      <c r="G2097" s="33">
        <v>499</v>
      </c>
      <c r="H2097" s="13">
        <f t="shared" si="32"/>
        <v>20.905999999999999</v>
      </c>
    </row>
    <row r="2098" spans="1:8" hidden="1" outlineLevel="2">
      <c r="A2098" s="32" t="s">
        <v>22</v>
      </c>
      <c r="B2098" s="32" t="s">
        <v>1862</v>
      </c>
      <c r="C2098" s="32" t="s">
        <v>115</v>
      </c>
      <c r="D2098" s="32" t="s">
        <v>126</v>
      </c>
      <c r="E2098" s="33">
        <v>206</v>
      </c>
      <c r="F2098" s="33">
        <v>4305</v>
      </c>
      <c r="G2098" s="33">
        <v>201</v>
      </c>
      <c r="H2098" s="13">
        <f t="shared" si="32"/>
        <v>20.898058252427184</v>
      </c>
    </row>
    <row r="2099" spans="1:8" hidden="1" outlineLevel="2">
      <c r="A2099" s="32" t="s">
        <v>22</v>
      </c>
      <c r="B2099" s="32" t="s">
        <v>86</v>
      </c>
      <c r="C2099" s="32" t="s">
        <v>152</v>
      </c>
      <c r="D2099" s="32" t="s">
        <v>363</v>
      </c>
      <c r="E2099" s="33">
        <v>25</v>
      </c>
      <c r="F2099" s="33">
        <v>522</v>
      </c>
      <c r="G2099" s="33">
        <v>25</v>
      </c>
      <c r="H2099" s="13">
        <f t="shared" si="32"/>
        <v>20.88</v>
      </c>
    </row>
    <row r="2100" spans="1:8" hidden="1" outlineLevel="2">
      <c r="A2100" s="32" t="s">
        <v>22</v>
      </c>
      <c r="B2100" s="32" t="s">
        <v>1862</v>
      </c>
      <c r="C2100" s="32" t="s">
        <v>97</v>
      </c>
      <c r="D2100" s="32" t="s">
        <v>490</v>
      </c>
      <c r="E2100" s="33">
        <v>115</v>
      </c>
      <c r="F2100" s="33">
        <v>2397</v>
      </c>
      <c r="G2100" s="33">
        <v>113</v>
      </c>
      <c r="H2100" s="13">
        <f t="shared" si="32"/>
        <v>20.843478260869563</v>
      </c>
    </row>
    <row r="2101" spans="1:8" hidden="1" outlineLevel="2">
      <c r="A2101" s="32" t="s">
        <v>22</v>
      </c>
      <c r="B2101" s="32" t="s">
        <v>1862</v>
      </c>
      <c r="C2101" s="32" t="s">
        <v>97</v>
      </c>
      <c r="D2101" s="32" t="s">
        <v>609</v>
      </c>
      <c r="E2101" s="33">
        <v>30</v>
      </c>
      <c r="F2101" s="33">
        <v>625</v>
      </c>
      <c r="G2101" s="33">
        <v>30</v>
      </c>
      <c r="H2101" s="13">
        <f t="shared" si="32"/>
        <v>20.833333333333332</v>
      </c>
    </row>
    <row r="2102" spans="1:8" hidden="1" outlineLevel="2">
      <c r="A2102" s="32" t="s">
        <v>22</v>
      </c>
      <c r="B2102" s="32" t="s">
        <v>86</v>
      </c>
      <c r="C2102" s="32" t="s">
        <v>152</v>
      </c>
      <c r="D2102" s="32" t="s">
        <v>301</v>
      </c>
      <c r="E2102" s="33">
        <v>60</v>
      </c>
      <c r="F2102" s="33">
        <v>1225</v>
      </c>
      <c r="G2102" s="33">
        <v>59</v>
      </c>
      <c r="H2102" s="13">
        <f t="shared" si="32"/>
        <v>20.416666666666668</v>
      </c>
    </row>
    <row r="2103" spans="1:8" hidden="1" outlineLevel="2">
      <c r="A2103" s="32" t="s">
        <v>22</v>
      </c>
      <c r="B2103" s="32" t="s">
        <v>1862</v>
      </c>
      <c r="C2103" s="32" t="s">
        <v>97</v>
      </c>
      <c r="D2103" s="32" t="s">
        <v>610</v>
      </c>
      <c r="E2103" s="33">
        <v>60</v>
      </c>
      <c r="F2103" s="33">
        <v>1224</v>
      </c>
      <c r="G2103" s="33">
        <v>60</v>
      </c>
      <c r="H2103" s="13">
        <f t="shared" si="32"/>
        <v>20.399999999999999</v>
      </c>
    </row>
    <row r="2104" spans="1:8" hidden="1" outlineLevel="2">
      <c r="A2104" s="32" t="s">
        <v>22</v>
      </c>
      <c r="B2104" s="32" t="s">
        <v>1862</v>
      </c>
      <c r="C2104" s="32" t="s">
        <v>265</v>
      </c>
      <c r="D2104" s="32" t="s">
        <v>121</v>
      </c>
      <c r="E2104" s="33">
        <v>300</v>
      </c>
      <c r="F2104" s="33">
        <v>6095</v>
      </c>
      <c r="G2104" s="33">
        <v>296</v>
      </c>
      <c r="H2104" s="13">
        <f t="shared" si="32"/>
        <v>20.316666666666666</v>
      </c>
    </row>
    <row r="2105" spans="1:8" hidden="1" outlineLevel="2">
      <c r="A2105" s="32" t="s">
        <v>22</v>
      </c>
      <c r="B2105" s="32" t="s">
        <v>1858</v>
      </c>
      <c r="C2105" s="32" t="s">
        <v>104</v>
      </c>
      <c r="D2105" s="32" t="s">
        <v>750</v>
      </c>
      <c r="E2105" s="33">
        <v>20</v>
      </c>
      <c r="F2105" s="33">
        <v>403</v>
      </c>
      <c r="G2105" s="33">
        <v>20</v>
      </c>
      <c r="H2105" s="13">
        <f t="shared" si="32"/>
        <v>20.149999999999999</v>
      </c>
    </row>
    <row r="2106" spans="1:8" hidden="1" outlineLevel="2">
      <c r="A2106" s="32" t="s">
        <v>22</v>
      </c>
      <c r="B2106" s="32" t="s">
        <v>86</v>
      </c>
      <c r="C2106" s="32" t="s">
        <v>119</v>
      </c>
      <c r="D2106" s="32" t="s">
        <v>489</v>
      </c>
      <c r="E2106" s="33">
        <v>30</v>
      </c>
      <c r="F2106" s="33">
        <v>604</v>
      </c>
      <c r="G2106" s="33">
        <v>29</v>
      </c>
      <c r="H2106" s="13">
        <f t="shared" si="32"/>
        <v>20.133333333333333</v>
      </c>
    </row>
    <row r="2107" spans="1:8" hidden="1" outlineLevel="2">
      <c r="A2107" s="32" t="s">
        <v>22</v>
      </c>
      <c r="B2107" s="32" t="s">
        <v>1862</v>
      </c>
      <c r="C2107" s="32" t="s">
        <v>108</v>
      </c>
      <c r="D2107" s="32" t="s">
        <v>715</v>
      </c>
      <c r="E2107" s="33">
        <v>190</v>
      </c>
      <c r="F2107" s="33">
        <v>3819</v>
      </c>
      <c r="G2107" s="33">
        <v>188</v>
      </c>
      <c r="H2107" s="13">
        <f t="shared" si="32"/>
        <v>20.100000000000001</v>
      </c>
    </row>
    <row r="2108" spans="1:8" hidden="1" outlineLevel="2">
      <c r="A2108" s="32" t="s">
        <v>22</v>
      </c>
      <c r="B2108" s="32" t="s">
        <v>1858</v>
      </c>
      <c r="C2108" s="32" t="s">
        <v>162</v>
      </c>
      <c r="D2108" s="32" t="s">
        <v>592</v>
      </c>
      <c r="E2108" s="33">
        <v>45</v>
      </c>
      <c r="F2108" s="33">
        <v>904</v>
      </c>
      <c r="G2108" s="33">
        <v>45</v>
      </c>
      <c r="H2108" s="13">
        <f t="shared" si="32"/>
        <v>20.088888888888889</v>
      </c>
    </row>
    <row r="2109" spans="1:8" hidden="1" outlineLevel="2">
      <c r="A2109" s="32" t="s">
        <v>22</v>
      </c>
      <c r="B2109" s="32" t="s">
        <v>86</v>
      </c>
      <c r="C2109" s="32" t="s">
        <v>127</v>
      </c>
      <c r="D2109" s="32" t="s">
        <v>229</v>
      </c>
      <c r="E2109" s="33">
        <v>1</v>
      </c>
      <c r="F2109" s="33">
        <v>20</v>
      </c>
      <c r="G2109" s="33">
        <v>1</v>
      </c>
      <c r="H2109" s="13">
        <f t="shared" si="32"/>
        <v>20</v>
      </c>
    </row>
    <row r="2110" spans="1:8" hidden="1" outlineLevel="2">
      <c r="A2110" s="32" t="s">
        <v>22</v>
      </c>
      <c r="B2110" s="32" t="s">
        <v>86</v>
      </c>
      <c r="C2110" s="32" t="s">
        <v>155</v>
      </c>
      <c r="D2110" s="32" t="s">
        <v>164</v>
      </c>
      <c r="E2110" s="33">
        <v>972</v>
      </c>
      <c r="F2110" s="33">
        <v>19316</v>
      </c>
      <c r="G2110" s="33">
        <v>970</v>
      </c>
      <c r="H2110" s="13">
        <f t="shared" si="32"/>
        <v>19.872427983539094</v>
      </c>
    </row>
    <row r="2111" spans="1:8" hidden="1" outlineLevel="2">
      <c r="A2111" s="32" t="s">
        <v>22</v>
      </c>
      <c r="B2111" s="32" t="s">
        <v>86</v>
      </c>
      <c r="C2111" s="32" t="s">
        <v>152</v>
      </c>
      <c r="D2111" s="32" t="s">
        <v>573</v>
      </c>
      <c r="E2111" s="33">
        <v>30</v>
      </c>
      <c r="F2111" s="33">
        <v>595</v>
      </c>
      <c r="G2111" s="33">
        <v>30</v>
      </c>
      <c r="H2111" s="13">
        <f t="shared" si="32"/>
        <v>19.833333333333332</v>
      </c>
    </row>
    <row r="2112" spans="1:8" hidden="1" outlineLevel="2">
      <c r="A2112" s="32" t="s">
        <v>22</v>
      </c>
      <c r="B2112" s="32" t="s">
        <v>1862</v>
      </c>
      <c r="C2112" s="32" t="s">
        <v>97</v>
      </c>
      <c r="D2112" s="32" t="s">
        <v>353</v>
      </c>
      <c r="E2112" s="33">
        <v>60</v>
      </c>
      <c r="F2112" s="33">
        <v>1171</v>
      </c>
      <c r="G2112" s="33">
        <v>60</v>
      </c>
      <c r="H2112" s="13">
        <f t="shared" si="32"/>
        <v>19.516666666666666</v>
      </c>
    </row>
    <row r="2113" spans="1:8" hidden="1" outlineLevel="2">
      <c r="A2113" s="32" t="s">
        <v>22</v>
      </c>
      <c r="B2113" s="32" t="s">
        <v>86</v>
      </c>
      <c r="C2113" s="32" t="s">
        <v>152</v>
      </c>
      <c r="D2113" s="32" t="s">
        <v>537</v>
      </c>
      <c r="E2113" s="33">
        <v>30</v>
      </c>
      <c r="F2113" s="33">
        <v>585</v>
      </c>
      <c r="G2113" s="33">
        <v>30</v>
      </c>
      <c r="H2113" s="13">
        <f t="shared" si="32"/>
        <v>19.5</v>
      </c>
    </row>
    <row r="2114" spans="1:8" hidden="1" outlineLevel="2">
      <c r="A2114" s="32" t="s">
        <v>22</v>
      </c>
      <c r="B2114" s="32" t="s">
        <v>1862</v>
      </c>
      <c r="C2114" s="32" t="s">
        <v>97</v>
      </c>
      <c r="D2114" s="32" t="s">
        <v>587</v>
      </c>
      <c r="E2114" s="33">
        <v>10</v>
      </c>
      <c r="F2114" s="33">
        <v>195</v>
      </c>
      <c r="G2114" s="33">
        <v>9</v>
      </c>
      <c r="H2114" s="13">
        <f t="shared" ref="H2114:H2177" si="33">IFERROR(F2114/E2114,"")</f>
        <v>19.5</v>
      </c>
    </row>
    <row r="2115" spans="1:8" hidden="1" outlineLevel="2">
      <c r="A2115" s="32" t="s">
        <v>22</v>
      </c>
      <c r="B2115" s="32" t="s">
        <v>1862</v>
      </c>
      <c r="C2115" s="32" t="s">
        <v>108</v>
      </c>
      <c r="D2115" s="32" t="s">
        <v>121</v>
      </c>
      <c r="E2115" s="33">
        <v>215</v>
      </c>
      <c r="F2115" s="33">
        <v>4167</v>
      </c>
      <c r="G2115" s="33">
        <v>212</v>
      </c>
      <c r="H2115" s="13">
        <f t="shared" si="33"/>
        <v>19.381395348837209</v>
      </c>
    </row>
    <row r="2116" spans="1:8" hidden="1" outlineLevel="2">
      <c r="A2116" s="32" t="s">
        <v>22</v>
      </c>
      <c r="B2116" s="32" t="s">
        <v>86</v>
      </c>
      <c r="C2116" s="32" t="s">
        <v>119</v>
      </c>
      <c r="D2116" s="32" t="s">
        <v>564</v>
      </c>
      <c r="E2116" s="33">
        <v>45</v>
      </c>
      <c r="F2116" s="33">
        <v>871</v>
      </c>
      <c r="G2116" s="33">
        <v>31</v>
      </c>
      <c r="H2116" s="13">
        <f t="shared" si="33"/>
        <v>19.355555555555554</v>
      </c>
    </row>
    <row r="2117" spans="1:8" hidden="1" outlineLevel="2">
      <c r="A2117" s="32" t="s">
        <v>22</v>
      </c>
      <c r="B2117" s="32" t="s">
        <v>86</v>
      </c>
      <c r="C2117" s="32" t="s">
        <v>127</v>
      </c>
      <c r="D2117" s="32" t="s">
        <v>411</v>
      </c>
      <c r="E2117" s="33">
        <v>120</v>
      </c>
      <c r="F2117" s="33">
        <v>2317</v>
      </c>
      <c r="G2117" s="33">
        <v>119</v>
      </c>
      <c r="H2117" s="13">
        <f t="shared" si="33"/>
        <v>19.308333333333334</v>
      </c>
    </row>
    <row r="2118" spans="1:8" hidden="1" outlineLevel="2">
      <c r="A2118" s="32" t="s">
        <v>22</v>
      </c>
      <c r="B2118" s="32" t="s">
        <v>1862</v>
      </c>
      <c r="C2118" s="32" t="s">
        <v>265</v>
      </c>
      <c r="D2118" s="32" t="s">
        <v>746</v>
      </c>
      <c r="E2118" s="33">
        <v>120</v>
      </c>
      <c r="F2118" s="33">
        <v>2317</v>
      </c>
      <c r="G2118" s="33">
        <v>104</v>
      </c>
      <c r="H2118" s="13">
        <f t="shared" si="33"/>
        <v>19.308333333333334</v>
      </c>
    </row>
    <row r="2119" spans="1:8" hidden="1" outlineLevel="2">
      <c r="A2119" s="32" t="s">
        <v>22</v>
      </c>
      <c r="B2119" s="32" t="s">
        <v>86</v>
      </c>
      <c r="C2119" s="32" t="s">
        <v>152</v>
      </c>
      <c r="D2119" s="32" t="s">
        <v>571</v>
      </c>
      <c r="E2119" s="33">
        <v>20</v>
      </c>
      <c r="F2119" s="33">
        <v>386</v>
      </c>
      <c r="G2119" s="33">
        <v>20</v>
      </c>
      <c r="H2119" s="13">
        <f t="shared" si="33"/>
        <v>19.3</v>
      </c>
    </row>
    <row r="2120" spans="1:8" hidden="1" outlineLevel="2">
      <c r="A2120" s="32" t="s">
        <v>22</v>
      </c>
      <c r="B2120" s="32" t="s">
        <v>1862</v>
      </c>
      <c r="C2120" s="32" t="s">
        <v>97</v>
      </c>
      <c r="D2120" s="32" t="s">
        <v>427</v>
      </c>
      <c r="E2120" s="33">
        <v>70</v>
      </c>
      <c r="F2120" s="33">
        <v>1342</v>
      </c>
      <c r="G2120" s="33">
        <v>69</v>
      </c>
      <c r="H2120" s="13">
        <f t="shared" si="33"/>
        <v>19.171428571428571</v>
      </c>
    </row>
    <row r="2121" spans="1:8" hidden="1" outlineLevel="2">
      <c r="A2121" s="32" t="s">
        <v>22</v>
      </c>
      <c r="B2121" s="32" t="s">
        <v>1862</v>
      </c>
      <c r="C2121" s="32" t="s">
        <v>115</v>
      </c>
      <c r="D2121" s="32" t="s">
        <v>202</v>
      </c>
      <c r="E2121" s="33">
        <v>430</v>
      </c>
      <c r="F2121" s="33">
        <v>8118</v>
      </c>
      <c r="G2121" s="33">
        <v>427</v>
      </c>
      <c r="H2121" s="13">
        <f t="shared" si="33"/>
        <v>18.879069767441859</v>
      </c>
    </row>
    <row r="2122" spans="1:8" hidden="1" outlineLevel="2">
      <c r="A2122" s="32" t="s">
        <v>22</v>
      </c>
      <c r="B2122" s="32" t="s">
        <v>1862</v>
      </c>
      <c r="C2122" s="32" t="s">
        <v>115</v>
      </c>
      <c r="D2122" s="32" t="s">
        <v>291</v>
      </c>
      <c r="E2122" s="33">
        <v>90</v>
      </c>
      <c r="F2122" s="33">
        <v>1693</v>
      </c>
      <c r="G2122" s="33">
        <v>89</v>
      </c>
      <c r="H2122" s="13">
        <f t="shared" si="33"/>
        <v>18.81111111111111</v>
      </c>
    </row>
    <row r="2123" spans="1:8" hidden="1" outlineLevel="2">
      <c r="A2123" s="32" t="s">
        <v>22</v>
      </c>
      <c r="B2123" s="32" t="s">
        <v>86</v>
      </c>
      <c r="C2123" s="32" t="s">
        <v>127</v>
      </c>
      <c r="D2123" s="32" t="s">
        <v>234</v>
      </c>
      <c r="E2123" s="33">
        <v>35</v>
      </c>
      <c r="F2123" s="33">
        <v>649</v>
      </c>
      <c r="G2123" s="33">
        <v>34</v>
      </c>
      <c r="H2123" s="13">
        <f t="shared" si="33"/>
        <v>18.542857142857144</v>
      </c>
    </row>
    <row r="2124" spans="1:8" hidden="1" outlineLevel="2">
      <c r="A2124" s="32" t="s">
        <v>22</v>
      </c>
      <c r="B2124" s="32" t="s">
        <v>1862</v>
      </c>
      <c r="C2124" s="32" t="s">
        <v>115</v>
      </c>
      <c r="D2124" s="32" t="s">
        <v>603</v>
      </c>
      <c r="E2124" s="33">
        <v>175</v>
      </c>
      <c r="F2124" s="33">
        <v>3215</v>
      </c>
      <c r="G2124" s="33">
        <v>171</v>
      </c>
      <c r="H2124" s="13">
        <f t="shared" si="33"/>
        <v>18.37142857142857</v>
      </c>
    </row>
    <row r="2125" spans="1:8" hidden="1" outlineLevel="2">
      <c r="A2125" s="32" t="s">
        <v>22</v>
      </c>
      <c r="B2125" s="32" t="s">
        <v>1862</v>
      </c>
      <c r="C2125" s="32" t="s">
        <v>108</v>
      </c>
      <c r="D2125" s="32" t="s">
        <v>454</v>
      </c>
      <c r="E2125" s="33">
        <v>105</v>
      </c>
      <c r="F2125" s="33">
        <v>1920</v>
      </c>
      <c r="G2125" s="33">
        <v>105</v>
      </c>
      <c r="H2125" s="13">
        <f t="shared" si="33"/>
        <v>18.285714285714285</v>
      </c>
    </row>
    <row r="2126" spans="1:8" hidden="1" outlineLevel="2">
      <c r="A2126" s="32" t="s">
        <v>22</v>
      </c>
      <c r="B2126" s="32" t="s">
        <v>1862</v>
      </c>
      <c r="C2126" s="32" t="s">
        <v>265</v>
      </c>
      <c r="D2126" s="32" t="s">
        <v>253</v>
      </c>
      <c r="E2126" s="33">
        <v>250</v>
      </c>
      <c r="F2126" s="33">
        <v>4549</v>
      </c>
      <c r="G2126" s="33">
        <v>234</v>
      </c>
      <c r="H2126" s="13">
        <f t="shared" si="33"/>
        <v>18.196000000000002</v>
      </c>
    </row>
    <row r="2127" spans="1:8" hidden="1" outlineLevel="2">
      <c r="A2127" s="32" t="s">
        <v>22</v>
      </c>
      <c r="B2127" s="32" t="s">
        <v>1862</v>
      </c>
      <c r="C2127" s="32" t="s">
        <v>97</v>
      </c>
      <c r="D2127" s="32" t="s">
        <v>415</v>
      </c>
      <c r="E2127" s="33">
        <v>15</v>
      </c>
      <c r="F2127" s="33">
        <v>271</v>
      </c>
      <c r="G2127" s="33">
        <v>15</v>
      </c>
      <c r="H2127" s="13">
        <f t="shared" si="33"/>
        <v>18.066666666666666</v>
      </c>
    </row>
    <row r="2128" spans="1:8" hidden="1" outlineLevel="2">
      <c r="A2128" s="32" t="s">
        <v>22</v>
      </c>
      <c r="B2128" s="32" t="s">
        <v>86</v>
      </c>
      <c r="C2128" s="32" t="s">
        <v>119</v>
      </c>
      <c r="D2128" s="32" t="s">
        <v>475</v>
      </c>
      <c r="E2128" s="33">
        <v>145</v>
      </c>
      <c r="F2128" s="33">
        <v>2594</v>
      </c>
      <c r="G2128" s="33">
        <v>142</v>
      </c>
      <c r="H2128" s="13">
        <f t="shared" si="33"/>
        <v>17.889655172413793</v>
      </c>
    </row>
    <row r="2129" spans="1:8" hidden="1" outlineLevel="2">
      <c r="A2129" s="32" t="s">
        <v>22</v>
      </c>
      <c r="B2129" s="32" t="s">
        <v>1862</v>
      </c>
      <c r="C2129" s="32" t="s">
        <v>97</v>
      </c>
      <c r="D2129" s="32" t="s">
        <v>574</v>
      </c>
      <c r="E2129" s="33">
        <v>90</v>
      </c>
      <c r="F2129" s="33">
        <v>1602</v>
      </c>
      <c r="G2129" s="33">
        <v>87</v>
      </c>
      <c r="H2129" s="13">
        <f t="shared" si="33"/>
        <v>17.8</v>
      </c>
    </row>
    <row r="2130" spans="1:8" hidden="1" outlineLevel="2">
      <c r="A2130" s="32" t="s">
        <v>22</v>
      </c>
      <c r="B2130" s="32" t="s">
        <v>1862</v>
      </c>
      <c r="C2130" s="32" t="s">
        <v>115</v>
      </c>
      <c r="D2130" s="32" t="s">
        <v>164</v>
      </c>
      <c r="E2130" s="33">
        <v>500</v>
      </c>
      <c r="F2130" s="33">
        <v>8884</v>
      </c>
      <c r="G2130" s="33">
        <v>498</v>
      </c>
      <c r="H2130" s="13">
        <f t="shared" si="33"/>
        <v>17.768000000000001</v>
      </c>
    </row>
    <row r="2131" spans="1:8" hidden="1" outlineLevel="2">
      <c r="A2131" s="32" t="s">
        <v>22</v>
      </c>
      <c r="B2131" s="32" t="s">
        <v>86</v>
      </c>
      <c r="C2131" s="32" t="s">
        <v>127</v>
      </c>
      <c r="D2131" s="32" t="s">
        <v>228</v>
      </c>
      <c r="E2131" s="33">
        <v>8</v>
      </c>
      <c r="F2131" s="33">
        <v>142</v>
      </c>
      <c r="G2131" s="33">
        <v>8</v>
      </c>
      <c r="H2131" s="13">
        <f t="shared" si="33"/>
        <v>17.75</v>
      </c>
    </row>
    <row r="2132" spans="1:8" hidden="1" outlineLevel="2">
      <c r="A2132" s="32" t="s">
        <v>22</v>
      </c>
      <c r="B2132" s="32" t="s">
        <v>1862</v>
      </c>
      <c r="C2132" s="32" t="s">
        <v>115</v>
      </c>
      <c r="D2132" s="32" t="s">
        <v>275</v>
      </c>
      <c r="E2132" s="33">
        <v>50</v>
      </c>
      <c r="F2132" s="33">
        <v>886</v>
      </c>
      <c r="G2132" s="33">
        <v>50</v>
      </c>
      <c r="H2132" s="13">
        <f t="shared" si="33"/>
        <v>17.72</v>
      </c>
    </row>
    <row r="2133" spans="1:8" hidden="1" outlineLevel="2">
      <c r="A2133" s="32" t="s">
        <v>22</v>
      </c>
      <c r="B2133" s="32" t="s">
        <v>86</v>
      </c>
      <c r="C2133" s="32" t="s">
        <v>119</v>
      </c>
      <c r="D2133" s="32" t="s">
        <v>700</v>
      </c>
      <c r="E2133" s="33">
        <v>155</v>
      </c>
      <c r="F2133" s="33">
        <v>2721</v>
      </c>
      <c r="G2133" s="33">
        <v>154</v>
      </c>
      <c r="H2133" s="13">
        <f t="shared" si="33"/>
        <v>17.554838709677419</v>
      </c>
    </row>
    <row r="2134" spans="1:8" hidden="1" outlineLevel="2">
      <c r="A2134" s="32" t="s">
        <v>22</v>
      </c>
      <c r="B2134" s="32" t="s">
        <v>1858</v>
      </c>
      <c r="C2134" s="32" t="s">
        <v>144</v>
      </c>
      <c r="D2134" s="32" t="s">
        <v>436</v>
      </c>
      <c r="E2134" s="33">
        <v>65</v>
      </c>
      <c r="F2134" s="33">
        <v>1126</v>
      </c>
      <c r="G2134" s="33">
        <v>64</v>
      </c>
      <c r="H2134" s="13">
        <f t="shared" si="33"/>
        <v>17.323076923076922</v>
      </c>
    </row>
    <row r="2135" spans="1:8" hidden="1" outlineLevel="2">
      <c r="A2135" s="32" t="s">
        <v>22</v>
      </c>
      <c r="B2135" s="32" t="s">
        <v>1862</v>
      </c>
      <c r="C2135" s="32" t="s">
        <v>115</v>
      </c>
      <c r="D2135" s="32" t="s">
        <v>466</v>
      </c>
      <c r="E2135" s="33">
        <v>58</v>
      </c>
      <c r="F2135" s="33">
        <v>1002</v>
      </c>
      <c r="G2135" s="33">
        <v>56</v>
      </c>
      <c r="H2135" s="13">
        <f t="shared" si="33"/>
        <v>17.275862068965516</v>
      </c>
    </row>
    <row r="2136" spans="1:8" hidden="1" outlineLevel="2">
      <c r="A2136" s="32" t="s">
        <v>22</v>
      </c>
      <c r="B2136" s="32" t="s">
        <v>86</v>
      </c>
      <c r="C2136" s="32" t="s">
        <v>152</v>
      </c>
      <c r="D2136" s="32" t="s">
        <v>368</v>
      </c>
      <c r="E2136" s="33">
        <v>187</v>
      </c>
      <c r="F2136" s="33">
        <v>3229</v>
      </c>
      <c r="G2136" s="33">
        <v>187</v>
      </c>
      <c r="H2136" s="13">
        <f t="shared" si="33"/>
        <v>17.267379679144383</v>
      </c>
    </row>
    <row r="2137" spans="1:8" hidden="1" outlineLevel="2">
      <c r="A2137" s="32" t="s">
        <v>22</v>
      </c>
      <c r="B2137" s="32" t="s">
        <v>86</v>
      </c>
      <c r="C2137" s="32" t="s">
        <v>155</v>
      </c>
      <c r="D2137" s="32" t="s">
        <v>330</v>
      </c>
      <c r="E2137" s="33">
        <v>10</v>
      </c>
      <c r="F2137" s="33">
        <v>172</v>
      </c>
      <c r="G2137" s="33">
        <v>10</v>
      </c>
      <c r="H2137" s="13">
        <f t="shared" si="33"/>
        <v>17.2</v>
      </c>
    </row>
    <row r="2138" spans="1:8" hidden="1" outlineLevel="2">
      <c r="A2138" s="32" t="s">
        <v>22</v>
      </c>
      <c r="B2138" s="32" t="s">
        <v>86</v>
      </c>
      <c r="C2138" s="32" t="s">
        <v>110</v>
      </c>
      <c r="D2138" s="32" t="s">
        <v>178</v>
      </c>
      <c r="E2138" s="33">
        <v>200</v>
      </c>
      <c r="F2138" s="33">
        <v>3438</v>
      </c>
      <c r="G2138" s="33">
        <v>197</v>
      </c>
      <c r="H2138" s="13">
        <f t="shared" si="33"/>
        <v>17.190000000000001</v>
      </c>
    </row>
    <row r="2139" spans="1:8" hidden="1" outlineLevel="2">
      <c r="A2139" s="32" t="s">
        <v>22</v>
      </c>
      <c r="B2139" s="32" t="s">
        <v>1862</v>
      </c>
      <c r="C2139" s="32" t="s">
        <v>265</v>
      </c>
      <c r="D2139" s="32" t="s">
        <v>299</v>
      </c>
      <c r="E2139" s="33">
        <v>135</v>
      </c>
      <c r="F2139" s="33">
        <v>2315</v>
      </c>
      <c r="G2139" s="33">
        <v>124</v>
      </c>
      <c r="H2139" s="13">
        <f t="shared" si="33"/>
        <v>17.148148148148149</v>
      </c>
    </row>
    <row r="2140" spans="1:8" hidden="1" outlineLevel="2">
      <c r="A2140" s="32" t="s">
        <v>22</v>
      </c>
      <c r="B2140" s="32" t="s">
        <v>86</v>
      </c>
      <c r="C2140" s="32" t="s">
        <v>119</v>
      </c>
      <c r="D2140" s="32" t="s">
        <v>669</v>
      </c>
      <c r="E2140" s="33">
        <v>65</v>
      </c>
      <c r="F2140" s="33">
        <v>1111</v>
      </c>
      <c r="G2140" s="33">
        <v>63</v>
      </c>
      <c r="H2140" s="13">
        <f t="shared" si="33"/>
        <v>17.092307692307692</v>
      </c>
    </row>
    <row r="2141" spans="1:8" hidden="1" outlineLevel="2">
      <c r="A2141" s="32" t="s">
        <v>22</v>
      </c>
      <c r="B2141" s="32" t="s">
        <v>1858</v>
      </c>
      <c r="C2141" s="32" t="s">
        <v>144</v>
      </c>
      <c r="D2141" s="32" t="s">
        <v>559</v>
      </c>
      <c r="E2141" s="33">
        <v>15</v>
      </c>
      <c r="F2141" s="33">
        <v>256</v>
      </c>
      <c r="G2141" s="33">
        <v>14</v>
      </c>
      <c r="H2141" s="13">
        <f t="shared" si="33"/>
        <v>17.066666666666666</v>
      </c>
    </row>
    <row r="2142" spans="1:8" hidden="1" outlineLevel="2">
      <c r="A2142" s="32" t="s">
        <v>22</v>
      </c>
      <c r="B2142" s="32" t="s">
        <v>1858</v>
      </c>
      <c r="C2142" s="32" t="s">
        <v>422</v>
      </c>
      <c r="D2142" s="32" t="s">
        <v>253</v>
      </c>
      <c r="E2142" s="33">
        <v>180</v>
      </c>
      <c r="F2142" s="33">
        <v>3068</v>
      </c>
      <c r="G2142" s="33">
        <v>180</v>
      </c>
      <c r="H2142" s="13">
        <f t="shared" si="33"/>
        <v>17.044444444444444</v>
      </c>
    </row>
    <row r="2143" spans="1:8" hidden="1" outlineLevel="2">
      <c r="A2143" s="32" t="s">
        <v>22</v>
      </c>
      <c r="B2143" s="32" t="s">
        <v>86</v>
      </c>
      <c r="C2143" s="32" t="s">
        <v>127</v>
      </c>
      <c r="D2143" s="32" t="s">
        <v>231</v>
      </c>
      <c r="E2143" s="33">
        <v>50</v>
      </c>
      <c r="F2143" s="33">
        <v>851</v>
      </c>
      <c r="G2143" s="33">
        <v>49</v>
      </c>
      <c r="H2143" s="13">
        <f t="shared" si="33"/>
        <v>17.02</v>
      </c>
    </row>
    <row r="2144" spans="1:8" hidden="1" outlineLevel="2">
      <c r="A2144" s="32" t="s">
        <v>22</v>
      </c>
      <c r="B2144" s="32" t="s">
        <v>1862</v>
      </c>
      <c r="C2144" s="32" t="s">
        <v>115</v>
      </c>
      <c r="D2144" s="32" t="s">
        <v>726</v>
      </c>
      <c r="E2144" s="33">
        <v>80</v>
      </c>
      <c r="F2144" s="33">
        <v>1356</v>
      </c>
      <c r="G2144" s="33">
        <v>90</v>
      </c>
      <c r="H2144" s="13">
        <f t="shared" si="33"/>
        <v>16.95</v>
      </c>
    </row>
    <row r="2145" spans="1:8" hidden="1" outlineLevel="2">
      <c r="A2145" s="32" t="s">
        <v>22</v>
      </c>
      <c r="B2145" s="32" t="s">
        <v>86</v>
      </c>
      <c r="C2145" s="32" t="s">
        <v>152</v>
      </c>
      <c r="D2145" s="32" t="s">
        <v>452</v>
      </c>
      <c r="E2145" s="33">
        <v>30</v>
      </c>
      <c r="F2145" s="33">
        <v>508</v>
      </c>
      <c r="G2145" s="33">
        <v>30</v>
      </c>
      <c r="H2145" s="13">
        <f t="shared" si="33"/>
        <v>16.933333333333334</v>
      </c>
    </row>
    <row r="2146" spans="1:8" hidden="1" outlineLevel="2">
      <c r="A2146" s="32" t="s">
        <v>22</v>
      </c>
      <c r="B2146" s="32" t="s">
        <v>1862</v>
      </c>
      <c r="C2146" s="32" t="s">
        <v>97</v>
      </c>
      <c r="D2146" s="32" t="s">
        <v>761</v>
      </c>
      <c r="E2146" s="33">
        <v>15</v>
      </c>
      <c r="F2146" s="33">
        <v>254</v>
      </c>
      <c r="G2146" s="33">
        <v>16</v>
      </c>
      <c r="H2146" s="13">
        <f t="shared" si="33"/>
        <v>16.933333333333334</v>
      </c>
    </row>
    <row r="2147" spans="1:8" hidden="1" outlineLevel="2">
      <c r="A2147" s="32" t="s">
        <v>22</v>
      </c>
      <c r="B2147" s="32" t="s">
        <v>86</v>
      </c>
      <c r="C2147" s="32" t="s">
        <v>148</v>
      </c>
      <c r="D2147" s="32" t="s">
        <v>486</v>
      </c>
      <c r="E2147" s="33">
        <v>20</v>
      </c>
      <c r="F2147" s="33">
        <v>338</v>
      </c>
      <c r="G2147" s="33">
        <v>20</v>
      </c>
      <c r="H2147" s="13">
        <f t="shared" si="33"/>
        <v>16.899999999999999</v>
      </c>
    </row>
    <row r="2148" spans="1:8" hidden="1" outlineLevel="2">
      <c r="A2148" s="32" t="s">
        <v>22</v>
      </c>
      <c r="B2148" s="32" t="s">
        <v>1862</v>
      </c>
      <c r="C2148" s="32" t="s">
        <v>97</v>
      </c>
      <c r="D2148" s="32" t="s">
        <v>164</v>
      </c>
      <c r="E2148" s="33">
        <v>778</v>
      </c>
      <c r="F2148" s="33">
        <v>13114</v>
      </c>
      <c r="G2148" s="33">
        <v>778</v>
      </c>
      <c r="H2148" s="13">
        <f t="shared" si="33"/>
        <v>16.8560411311054</v>
      </c>
    </row>
    <row r="2149" spans="1:8" hidden="1" outlineLevel="2">
      <c r="A2149" s="32" t="s">
        <v>22</v>
      </c>
      <c r="B2149" s="32" t="s">
        <v>1858</v>
      </c>
      <c r="C2149" s="32" t="s">
        <v>344</v>
      </c>
      <c r="D2149" s="32" t="s">
        <v>345</v>
      </c>
      <c r="E2149" s="33">
        <v>32</v>
      </c>
      <c r="F2149" s="33">
        <v>537</v>
      </c>
      <c r="G2149" s="33">
        <v>31</v>
      </c>
      <c r="H2149" s="13">
        <f t="shared" si="33"/>
        <v>16.78125</v>
      </c>
    </row>
    <row r="2150" spans="1:8" hidden="1" outlineLevel="2">
      <c r="A2150" s="32" t="s">
        <v>22</v>
      </c>
      <c r="B2150" s="32" t="s">
        <v>86</v>
      </c>
      <c r="C2150" s="32" t="s">
        <v>127</v>
      </c>
      <c r="D2150" s="32" t="s">
        <v>231</v>
      </c>
      <c r="E2150" s="33">
        <v>130</v>
      </c>
      <c r="F2150" s="33">
        <v>2176</v>
      </c>
      <c r="G2150" s="33">
        <v>128</v>
      </c>
      <c r="H2150" s="13">
        <f t="shared" si="33"/>
        <v>16.738461538461539</v>
      </c>
    </row>
    <row r="2151" spans="1:8" hidden="1" outlineLevel="2">
      <c r="A2151" s="32" t="s">
        <v>22</v>
      </c>
      <c r="B2151" s="32" t="s">
        <v>86</v>
      </c>
      <c r="C2151" s="32" t="s">
        <v>148</v>
      </c>
      <c r="D2151" s="32" t="s">
        <v>149</v>
      </c>
      <c r="E2151" s="33">
        <v>31</v>
      </c>
      <c r="F2151" s="33">
        <v>518</v>
      </c>
      <c r="G2151" s="33">
        <v>31</v>
      </c>
      <c r="H2151" s="13">
        <f t="shared" si="33"/>
        <v>16.70967741935484</v>
      </c>
    </row>
    <row r="2152" spans="1:8" hidden="1" outlineLevel="2">
      <c r="A2152" s="32" t="s">
        <v>22</v>
      </c>
      <c r="B2152" s="32" t="s">
        <v>86</v>
      </c>
      <c r="C2152" s="32" t="s">
        <v>190</v>
      </c>
      <c r="D2152" s="32" t="s">
        <v>791</v>
      </c>
      <c r="E2152" s="33">
        <v>220</v>
      </c>
      <c r="F2152" s="33">
        <v>3669</v>
      </c>
      <c r="G2152" s="33">
        <v>244</v>
      </c>
      <c r="H2152" s="13">
        <f t="shared" si="33"/>
        <v>16.677272727272726</v>
      </c>
    </row>
    <row r="2153" spans="1:8" hidden="1" outlineLevel="2">
      <c r="A2153" s="32" t="s">
        <v>22</v>
      </c>
      <c r="B2153" s="32" t="s">
        <v>1858</v>
      </c>
      <c r="C2153" s="32" t="s">
        <v>131</v>
      </c>
      <c r="D2153" s="32" t="s">
        <v>693</v>
      </c>
      <c r="E2153" s="33">
        <v>60</v>
      </c>
      <c r="F2153" s="33">
        <v>1000</v>
      </c>
      <c r="G2153" s="33">
        <v>59</v>
      </c>
      <c r="H2153" s="13">
        <f t="shared" si="33"/>
        <v>16.666666666666668</v>
      </c>
    </row>
    <row r="2154" spans="1:8" hidden="1" outlineLevel="2">
      <c r="A2154" s="32" t="s">
        <v>22</v>
      </c>
      <c r="B2154" s="32" t="s">
        <v>1862</v>
      </c>
      <c r="C2154" s="32" t="s">
        <v>97</v>
      </c>
      <c r="D2154" s="32" t="s">
        <v>625</v>
      </c>
      <c r="E2154" s="33">
        <v>30</v>
      </c>
      <c r="F2154" s="33">
        <v>499</v>
      </c>
      <c r="G2154" s="33">
        <v>30</v>
      </c>
      <c r="H2154" s="13">
        <f t="shared" si="33"/>
        <v>16.633333333333333</v>
      </c>
    </row>
    <row r="2155" spans="1:8" hidden="1" outlineLevel="2">
      <c r="A2155" s="32" t="s">
        <v>22</v>
      </c>
      <c r="B2155" s="32" t="s">
        <v>1862</v>
      </c>
      <c r="C2155" s="32" t="s">
        <v>97</v>
      </c>
      <c r="D2155" s="32" t="s">
        <v>165</v>
      </c>
      <c r="E2155" s="33">
        <v>92</v>
      </c>
      <c r="F2155" s="33">
        <v>1518</v>
      </c>
      <c r="G2155" s="33">
        <v>90</v>
      </c>
      <c r="H2155" s="13">
        <f t="shared" si="33"/>
        <v>16.5</v>
      </c>
    </row>
    <row r="2156" spans="1:8" hidden="1" outlineLevel="2">
      <c r="A2156" s="32" t="s">
        <v>22</v>
      </c>
      <c r="B2156" s="32" t="s">
        <v>1862</v>
      </c>
      <c r="C2156" s="32" t="s">
        <v>97</v>
      </c>
      <c r="D2156" s="32" t="s">
        <v>296</v>
      </c>
      <c r="E2156" s="33">
        <v>170</v>
      </c>
      <c r="F2156" s="33">
        <v>2804</v>
      </c>
      <c r="G2156" s="33">
        <v>168</v>
      </c>
      <c r="H2156" s="13">
        <f t="shared" si="33"/>
        <v>16.494117647058822</v>
      </c>
    </row>
    <row r="2157" spans="1:8" hidden="1" outlineLevel="2">
      <c r="A2157" s="32" t="s">
        <v>22</v>
      </c>
      <c r="B2157" s="32" t="s">
        <v>1862</v>
      </c>
      <c r="C2157" s="32" t="s">
        <v>257</v>
      </c>
      <c r="D2157" s="32" t="s">
        <v>751</v>
      </c>
      <c r="E2157" s="33">
        <v>30</v>
      </c>
      <c r="F2157" s="33">
        <v>494</v>
      </c>
      <c r="G2157" s="33">
        <v>34</v>
      </c>
      <c r="H2157" s="13">
        <f t="shared" si="33"/>
        <v>16.466666666666665</v>
      </c>
    </row>
    <row r="2158" spans="1:8" hidden="1" outlineLevel="2">
      <c r="A2158" s="32" t="s">
        <v>22</v>
      </c>
      <c r="B2158" s="32" t="s">
        <v>86</v>
      </c>
      <c r="C2158" s="32" t="s">
        <v>119</v>
      </c>
      <c r="D2158" s="32" t="s">
        <v>505</v>
      </c>
      <c r="E2158" s="33">
        <v>40</v>
      </c>
      <c r="F2158" s="33">
        <v>654</v>
      </c>
      <c r="G2158" s="33">
        <v>40</v>
      </c>
      <c r="H2158" s="13">
        <f t="shared" si="33"/>
        <v>16.350000000000001</v>
      </c>
    </row>
    <row r="2159" spans="1:8" hidden="1" outlineLevel="2">
      <c r="A2159" s="32" t="s">
        <v>22</v>
      </c>
      <c r="B2159" s="32" t="s">
        <v>1858</v>
      </c>
      <c r="C2159" s="32" t="s">
        <v>104</v>
      </c>
      <c r="D2159" s="32" t="s">
        <v>333</v>
      </c>
      <c r="E2159" s="33">
        <v>75</v>
      </c>
      <c r="F2159" s="33">
        <v>1217</v>
      </c>
      <c r="G2159" s="33">
        <v>75</v>
      </c>
      <c r="H2159" s="13">
        <f t="shared" si="33"/>
        <v>16.226666666666667</v>
      </c>
    </row>
    <row r="2160" spans="1:8" hidden="1" outlineLevel="2">
      <c r="A2160" s="32" t="s">
        <v>22</v>
      </c>
      <c r="B2160" s="32" t="s">
        <v>1858</v>
      </c>
      <c r="C2160" s="32" t="s">
        <v>162</v>
      </c>
      <c r="D2160" s="32" t="s">
        <v>591</v>
      </c>
      <c r="E2160" s="33">
        <v>110</v>
      </c>
      <c r="F2160" s="33">
        <v>1777</v>
      </c>
      <c r="G2160" s="33">
        <v>106</v>
      </c>
      <c r="H2160" s="13">
        <f t="shared" si="33"/>
        <v>16.154545454545456</v>
      </c>
    </row>
    <row r="2161" spans="1:8" hidden="1" outlineLevel="2">
      <c r="A2161" s="32" t="s">
        <v>22</v>
      </c>
      <c r="B2161" s="32" t="s">
        <v>86</v>
      </c>
      <c r="C2161" s="32" t="s">
        <v>110</v>
      </c>
      <c r="D2161" s="32" t="s">
        <v>305</v>
      </c>
      <c r="E2161" s="33">
        <v>13</v>
      </c>
      <c r="F2161" s="33">
        <v>210</v>
      </c>
      <c r="G2161" s="33">
        <v>11</v>
      </c>
      <c r="H2161" s="13">
        <f t="shared" si="33"/>
        <v>16.153846153846153</v>
      </c>
    </row>
    <row r="2162" spans="1:8" hidden="1" outlineLevel="2">
      <c r="A2162" s="32" t="s">
        <v>22</v>
      </c>
      <c r="B2162" s="32" t="s">
        <v>1862</v>
      </c>
      <c r="C2162" s="32" t="s">
        <v>115</v>
      </c>
      <c r="D2162" s="32" t="s">
        <v>621</v>
      </c>
      <c r="E2162" s="33">
        <v>90</v>
      </c>
      <c r="F2162" s="33">
        <v>1447</v>
      </c>
      <c r="G2162" s="33">
        <v>89</v>
      </c>
      <c r="H2162" s="13">
        <f t="shared" si="33"/>
        <v>16.077777777777779</v>
      </c>
    </row>
    <row r="2163" spans="1:8" hidden="1" outlineLevel="2">
      <c r="A2163" s="32" t="s">
        <v>22</v>
      </c>
      <c r="B2163" s="32" t="s">
        <v>1862</v>
      </c>
      <c r="C2163" s="32" t="s">
        <v>115</v>
      </c>
      <c r="D2163" s="32" t="s">
        <v>322</v>
      </c>
      <c r="E2163" s="33">
        <v>10</v>
      </c>
      <c r="F2163" s="33">
        <v>160</v>
      </c>
      <c r="G2163" s="33">
        <v>10</v>
      </c>
      <c r="H2163" s="13">
        <f t="shared" si="33"/>
        <v>16</v>
      </c>
    </row>
    <row r="2164" spans="1:8" hidden="1" outlineLevel="2">
      <c r="A2164" s="32" t="s">
        <v>22</v>
      </c>
      <c r="B2164" s="32" t="s">
        <v>1862</v>
      </c>
      <c r="C2164" s="32" t="s">
        <v>97</v>
      </c>
      <c r="D2164" s="32" t="s">
        <v>133</v>
      </c>
      <c r="E2164" s="33">
        <v>390</v>
      </c>
      <c r="F2164" s="33">
        <v>6233</v>
      </c>
      <c r="G2164" s="33">
        <v>389</v>
      </c>
      <c r="H2164" s="13">
        <f t="shared" si="33"/>
        <v>15.982051282051282</v>
      </c>
    </row>
    <row r="2165" spans="1:8" hidden="1" outlineLevel="2">
      <c r="A2165" s="32" t="s">
        <v>22</v>
      </c>
      <c r="B2165" s="32" t="s">
        <v>86</v>
      </c>
      <c r="C2165" s="32" t="s">
        <v>152</v>
      </c>
      <c r="D2165" s="32" t="s">
        <v>222</v>
      </c>
      <c r="E2165" s="33">
        <v>250</v>
      </c>
      <c r="F2165" s="33">
        <v>3987</v>
      </c>
      <c r="G2165" s="33">
        <v>248</v>
      </c>
      <c r="H2165" s="13">
        <f t="shared" si="33"/>
        <v>15.948</v>
      </c>
    </row>
    <row r="2166" spans="1:8" hidden="1" outlineLevel="2">
      <c r="A2166" s="32" t="s">
        <v>22</v>
      </c>
      <c r="B2166" s="32" t="s">
        <v>86</v>
      </c>
      <c r="C2166" s="32" t="s">
        <v>110</v>
      </c>
      <c r="D2166" s="32" t="s">
        <v>568</v>
      </c>
      <c r="E2166" s="33">
        <v>10</v>
      </c>
      <c r="F2166" s="33">
        <v>159</v>
      </c>
      <c r="G2166" s="33">
        <v>5</v>
      </c>
      <c r="H2166" s="13">
        <f t="shared" si="33"/>
        <v>15.9</v>
      </c>
    </row>
    <row r="2167" spans="1:8" hidden="1" outlineLevel="2">
      <c r="A2167" s="32" t="s">
        <v>22</v>
      </c>
      <c r="B2167" s="32" t="s">
        <v>1858</v>
      </c>
      <c r="C2167" s="32" t="s">
        <v>131</v>
      </c>
      <c r="D2167" s="32" t="s">
        <v>133</v>
      </c>
      <c r="E2167" s="33">
        <v>175</v>
      </c>
      <c r="F2167" s="33">
        <v>2777</v>
      </c>
      <c r="G2167" s="33">
        <v>173</v>
      </c>
      <c r="H2167" s="13">
        <f t="shared" si="33"/>
        <v>15.868571428571428</v>
      </c>
    </row>
    <row r="2168" spans="1:8" hidden="1" outlineLevel="2">
      <c r="A2168" s="32" t="s">
        <v>22</v>
      </c>
      <c r="B2168" s="32" t="s">
        <v>1858</v>
      </c>
      <c r="C2168" s="32" t="s">
        <v>104</v>
      </c>
      <c r="D2168" s="32" t="s">
        <v>729</v>
      </c>
      <c r="E2168" s="33">
        <v>20</v>
      </c>
      <c r="F2168" s="33">
        <v>317</v>
      </c>
      <c r="G2168" s="33">
        <v>20</v>
      </c>
      <c r="H2168" s="13">
        <f t="shared" si="33"/>
        <v>15.85</v>
      </c>
    </row>
    <row r="2169" spans="1:8" hidden="1" outlineLevel="2">
      <c r="A2169" s="32" t="s">
        <v>22</v>
      </c>
      <c r="B2169" s="32" t="s">
        <v>86</v>
      </c>
      <c r="C2169" s="32" t="s">
        <v>127</v>
      </c>
      <c r="D2169" s="32" t="s">
        <v>166</v>
      </c>
      <c r="E2169" s="33">
        <v>200</v>
      </c>
      <c r="F2169" s="33">
        <v>3168</v>
      </c>
      <c r="G2169" s="33">
        <v>200</v>
      </c>
      <c r="H2169" s="13">
        <f t="shared" si="33"/>
        <v>15.84</v>
      </c>
    </row>
    <row r="2170" spans="1:8" hidden="1" outlineLevel="2">
      <c r="A2170" s="32" t="s">
        <v>22</v>
      </c>
      <c r="B2170" s="32" t="s">
        <v>1862</v>
      </c>
      <c r="C2170" s="32" t="s">
        <v>265</v>
      </c>
      <c r="D2170" s="32" t="s">
        <v>177</v>
      </c>
      <c r="E2170" s="33">
        <v>330</v>
      </c>
      <c r="F2170" s="33">
        <v>5225</v>
      </c>
      <c r="G2170" s="33">
        <v>305</v>
      </c>
      <c r="H2170" s="13">
        <f t="shared" si="33"/>
        <v>15.833333333333334</v>
      </c>
    </row>
    <row r="2171" spans="1:8" hidden="1" outlineLevel="2">
      <c r="A2171" s="32" t="s">
        <v>22</v>
      </c>
      <c r="B2171" s="32" t="s">
        <v>1862</v>
      </c>
      <c r="C2171" s="32" t="s">
        <v>265</v>
      </c>
      <c r="D2171" s="32" t="s">
        <v>599</v>
      </c>
      <c r="E2171" s="33">
        <v>95</v>
      </c>
      <c r="F2171" s="33">
        <v>1502</v>
      </c>
      <c r="G2171" s="33">
        <v>92</v>
      </c>
      <c r="H2171" s="13">
        <f t="shared" si="33"/>
        <v>15.810526315789474</v>
      </c>
    </row>
    <row r="2172" spans="1:8" hidden="1" outlineLevel="2">
      <c r="A2172" s="32" t="s">
        <v>22</v>
      </c>
      <c r="B2172" s="32" t="s">
        <v>1862</v>
      </c>
      <c r="C2172" s="32" t="s">
        <v>257</v>
      </c>
      <c r="D2172" s="32" t="s">
        <v>469</v>
      </c>
      <c r="E2172" s="33">
        <v>335</v>
      </c>
      <c r="F2172" s="33">
        <v>5291</v>
      </c>
      <c r="G2172" s="33">
        <v>335</v>
      </c>
      <c r="H2172" s="13">
        <f t="shared" si="33"/>
        <v>15.794029850746268</v>
      </c>
    </row>
    <row r="2173" spans="1:8" hidden="1" outlineLevel="2">
      <c r="A2173" s="32" t="s">
        <v>22</v>
      </c>
      <c r="B2173" s="32" t="s">
        <v>86</v>
      </c>
      <c r="C2173" s="32" t="s">
        <v>127</v>
      </c>
      <c r="D2173" s="32" t="s">
        <v>235</v>
      </c>
      <c r="E2173" s="33">
        <v>15</v>
      </c>
      <c r="F2173" s="33">
        <v>236</v>
      </c>
      <c r="G2173" s="33">
        <v>14</v>
      </c>
      <c r="H2173" s="13">
        <f t="shared" si="33"/>
        <v>15.733333333333333</v>
      </c>
    </row>
    <row r="2174" spans="1:8" hidden="1" outlineLevel="2">
      <c r="A2174" s="32" t="s">
        <v>22</v>
      </c>
      <c r="B2174" s="32" t="s">
        <v>1858</v>
      </c>
      <c r="C2174" s="32" t="s">
        <v>144</v>
      </c>
      <c r="D2174" s="32" t="s">
        <v>283</v>
      </c>
      <c r="E2174" s="33">
        <v>158</v>
      </c>
      <c r="F2174" s="33">
        <v>2482</v>
      </c>
      <c r="G2174" s="33">
        <v>157</v>
      </c>
      <c r="H2174" s="13">
        <f t="shared" si="33"/>
        <v>15.708860759493671</v>
      </c>
    </row>
    <row r="2175" spans="1:8" hidden="1" outlineLevel="2">
      <c r="A2175" s="32" t="s">
        <v>22</v>
      </c>
      <c r="B2175" s="32" t="s">
        <v>1858</v>
      </c>
      <c r="C2175" s="32" t="s">
        <v>131</v>
      </c>
      <c r="D2175" s="32" t="s">
        <v>202</v>
      </c>
      <c r="E2175" s="33">
        <v>250</v>
      </c>
      <c r="F2175" s="33">
        <v>3922</v>
      </c>
      <c r="G2175" s="33">
        <v>252</v>
      </c>
      <c r="H2175" s="13">
        <f t="shared" si="33"/>
        <v>15.688000000000001</v>
      </c>
    </row>
    <row r="2176" spans="1:8" hidden="1" outlineLevel="2">
      <c r="A2176" s="32" t="s">
        <v>22</v>
      </c>
      <c r="B2176" s="32" t="s">
        <v>86</v>
      </c>
      <c r="C2176" s="32" t="s">
        <v>119</v>
      </c>
      <c r="D2176" s="32" t="s">
        <v>289</v>
      </c>
      <c r="E2176" s="33">
        <v>15</v>
      </c>
      <c r="F2176" s="33">
        <v>234</v>
      </c>
      <c r="G2176" s="33">
        <v>11</v>
      </c>
      <c r="H2176" s="13">
        <f t="shared" si="33"/>
        <v>15.6</v>
      </c>
    </row>
    <row r="2177" spans="1:8" hidden="1" outlineLevel="2">
      <c r="A2177" s="32" t="s">
        <v>22</v>
      </c>
      <c r="B2177" s="32" t="s">
        <v>86</v>
      </c>
      <c r="C2177" s="32" t="s">
        <v>127</v>
      </c>
      <c r="D2177" s="32" t="s">
        <v>230</v>
      </c>
      <c r="E2177" s="33">
        <v>10</v>
      </c>
      <c r="F2177" s="33">
        <v>155</v>
      </c>
      <c r="G2177" s="33">
        <v>10</v>
      </c>
      <c r="H2177" s="13">
        <f t="shared" si="33"/>
        <v>15.5</v>
      </c>
    </row>
    <row r="2178" spans="1:8" hidden="1" outlineLevel="2">
      <c r="A2178" s="32" t="s">
        <v>22</v>
      </c>
      <c r="B2178" s="32" t="s">
        <v>86</v>
      </c>
      <c r="C2178" s="32" t="s">
        <v>110</v>
      </c>
      <c r="D2178" s="32" t="s">
        <v>671</v>
      </c>
      <c r="E2178" s="33">
        <v>120</v>
      </c>
      <c r="F2178" s="33">
        <v>1855</v>
      </c>
      <c r="G2178" s="33">
        <v>118</v>
      </c>
      <c r="H2178" s="13">
        <f t="shared" ref="H2178:H2241" si="34">IFERROR(F2178/E2178,"")</f>
        <v>15.458333333333334</v>
      </c>
    </row>
    <row r="2179" spans="1:8" hidden="1" outlineLevel="2">
      <c r="A2179" s="32" t="s">
        <v>22</v>
      </c>
      <c r="B2179" s="32" t="s">
        <v>86</v>
      </c>
      <c r="C2179" s="32" t="s">
        <v>127</v>
      </c>
      <c r="D2179" s="32" t="s">
        <v>235</v>
      </c>
      <c r="E2179" s="33">
        <v>53</v>
      </c>
      <c r="F2179" s="33">
        <v>818</v>
      </c>
      <c r="G2179" s="33">
        <v>53</v>
      </c>
      <c r="H2179" s="13">
        <f t="shared" si="34"/>
        <v>15.433962264150944</v>
      </c>
    </row>
    <row r="2180" spans="1:8" hidden="1" outlineLevel="2">
      <c r="A2180" s="32" t="s">
        <v>22</v>
      </c>
      <c r="B2180" s="32" t="s">
        <v>1862</v>
      </c>
      <c r="C2180" s="32" t="s">
        <v>115</v>
      </c>
      <c r="D2180" s="32" t="s">
        <v>360</v>
      </c>
      <c r="E2180" s="33">
        <v>30</v>
      </c>
      <c r="F2180" s="33">
        <v>458</v>
      </c>
      <c r="G2180" s="33">
        <v>27</v>
      </c>
      <c r="H2180" s="13">
        <f t="shared" si="34"/>
        <v>15.266666666666667</v>
      </c>
    </row>
    <row r="2181" spans="1:8" hidden="1" outlineLevel="2">
      <c r="A2181" s="32" t="s">
        <v>22</v>
      </c>
      <c r="B2181" s="32" t="s">
        <v>1858</v>
      </c>
      <c r="C2181" s="32" t="s">
        <v>104</v>
      </c>
      <c r="D2181" s="32" t="s">
        <v>341</v>
      </c>
      <c r="E2181" s="33">
        <v>300</v>
      </c>
      <c r="F2181" s="33">
        <v>4575</v>
      </c>
      <c r="G2181" s="33">
        <v>295</v>
      </c>
      <c r="H2181" s="13">
        <f t="shared" si="34"/>
        <v>15.25</v>
      </c>
    </row>
    <row r="2182" spans="1:8" hidden="1" outlineLevel="2">
      <c r="A2182" s="32" t="s">
        <v>22</v>
      </c>
      <c r="B2182" s="32" t="s">
        <v>86</v>
      </c>
      <c r="C2182" s="32" t="s">
        <v>190</v>
      </c>
      <c r="D2182" s="32" t="s">
        <v>164</v>
      </c>
      <c r="E2182" s="33">
        <v>230</v>
      </c>
      <c r="F2182" s="33">
        <v>3496</v>
      </c>
      <c r="G2182" s="33">
        <v>258</v>
      </c>
      <c r="H2182" s="13">
        <f t="shared" si="34"/>
        <v>15.2</v>
      </c>
    </row>
    <row r="2183" spans="1:8" hidden="1" outlineLevel="2">
      <c r="A2183" s="32" t="s">
        <v>22</v>
      </c>
      <c r="B2183" s="32" t="s">
        <v>1862</v>
      </c>
      <c r="C2183" s="32" t="s">
        <v>99</v>
      </c>
      <c r="D2183" s="32" t="s">
        <v>552</v>
      </c>
      <c r="E2183" s="33">
        <v>300</v>
      </c>
      <c r="F2183" s="33">
        <v>4542</v>
      </c>
      <c r="G2183" s="33">
        <v>289</v>
      </c>
      <c r="H2183" s="13">
        <f t="shared" si="34"/>
        <v>15.14</v>
      </c>
    </row>
    <row r="2184" spans="1:8" hidden="1" outlineLevel="2">
      <c r="A2184" s="32" t="s">
        <v>22</v>
      </c>
      <c r="B2184" s="32" t="s">
        <v>1862</v>
      </c>
      <c r="C2184" s="32" t="s">
        <v>97</v>
      </c>
      <c r="D2184" s="32" t="s">
        <v>543</v>
      </c>
      <c r="E2184" s="33">
        <v>35</v>
      </c>
      <c r="F2184" s="33">
        <v>526</v>
      </c>
      <c r="G2184" s="33">
        <v>35</v>
      </c>
      <c r="H2184" s="13">
        <f t="shared" si="34"/>
        <v>15.028571428571428</v>
      </c>
    </row>
    <row r="2185" spans="1:8" hidden="1" outlineLevel="2">
      <c r="A2185" s="32" t="s">
        <v>22</v>
      </c>
      <c r="B2185" s="32" t="s">
        <v>86</v>
      </c>
      <c r="C2185" s="32" t="s">
        <v>127</v>
      </c>
      <c r="D2185" s="32" t="s">
        <v>234</v>
      </c>
      <c r="E2185" s="33">
        <v>85</v>
      </c>
      <c r="F2185" s="33">
        <v>1274</v>
      </c>
      <c r="G2185" s="33">
        <v>85</v>
      </c>
      <c r="H2185" s="13">
        <f t="shared" si="34"/>
        <v>14.988235294117647</v>
      </c>
    </row>
    <row r="2186" spans="1:8" hidden="1" outlineLevel="2">
      <c r="A2186" s="32" t="s">
        <v>22</v>
      </c>
      <c r="B2186" s="32" t="s">
        <v>1858</v>
      </c>
      <c r="C2186" s="32" t="s">
        <v>131</v>
      </c>
      <c r="D2186" s="32" t="s">
        <v>394</v>
      </c>
      <c r="E2186" s="33">
        <v>70</v>
      </c>
      <c r="F2186" s="33">
        <v>1042</v>
      </c>
      <c r="G2186" s="33">
        <v>67</v>
      </c>
      <c r="H2186" s="13">
        <f t="shared" si="34"/>
        <v>14.885714285714286</v>
      </c>
    </row>
    <row r="2187" spans="1:8" hidden="1" outlineLevel="2">
      <c r="A2187" s="32" t="s">
        <v>22</v>
      </c>
      <c r="B2187" s="32" t="s">
        <v>86</v>
      </c>
      <c r="C2187" s="32" t="s">
        <v>119</v>
      </c>
      <c r="D2187" s="32" t="s">
        <v>296</v>
      </c>
      <c r="E2187" s="33">
        <v>135</v>
      </c>
      <c r="F2187" s="33">
        <v>2009</v>
      </c>
      <c r="G2187" s="33">
        <v>132</v>
      </c>
      <c r="H2187" s="13">
        <f t="shared" si="34"/>
        <v>14.881481481481481</v>
      </c>
    </row>
    <row r="2188" spans="1:8" hidden="1" outlineLevel="2">
      <c r="A2188" s="32" t="s">
        <v>22</v>
      </c>
      <c r="B2188" s="32" t="s">
        <v>1858</v>
      </c>
      <c r="C2188" s="32" t="s">
        <v>104</v>
      </c>
      <c r="D2188" s="32" t="s">
        <v>639</v>
      </c>
      <c r="E2188" s="33">
        <v>15</v>
      </c>
      <c r="F2188" s="33">
        <v>223</v>
      </c>
      <c r="G2188" s="33">
        <v>15</v>
      </c>
      <c r="H2188" s="13">
        <f t="shared" si="34"/>
        <v>14.866666666666667</v>
      </c>
    </row>
    <row r="2189" spans="1:8" hidden="1" outlineLevel="2">
      <c r="A2189" s="32" t="s">
        <v>22</v>
      </c>
      <c r="B2189" s="32" t="s">
        <v>1862</v>
      </c>
      <c r="C2189" s="32" t="s">
        <v>265</v>
      </c>
      <c r="D2189" s="32" t="s">
        <v>327</v>
      </c>
      <c r="E2189" s="33">
        <v>140</v>
      </c>
      <c r="F2189" s="33">
        <v>2067</v>
      </c>
      <c r="G2189" s="33">
        <v>134</v>
      </c>
      <c r="H2189" s="13">
        <f t="shared" si="34"/>
        <v>14.764285714285714</v>
      </c>
    </row>
    <row r="2190" spans="1:8" hidden="1" outlineLevel="2">
      <c r="A2190" s="32" t="s">
        <v>22</v>
      </c>
      <c r="B2190" s="32" t="s">
        <v>1862</v>
      </c>
      <c r="C2190" s="32" t="s">
        <v>97</v>
      </c>
      <c r="D2190" s="32" t="s">
        <v>481</v>
      </c>
      <c r="E2190" s="33">
        <v>80</v>
      </c>
      <c r="F2190" s="33">
        <v>1176</v>
      </c>
      <c r="G2190" s="33">
        <v>79</v>
      </c>
      <c r="H2190" s="13">
        <f t="shared" si="34"/>
        <v>14.7</v>
      </c>
    </row>
    <row r="2191" spans="1:8" hidden="1" outlineLevel="2">
      <c r="A2191" s="32" t="s">
        <v>22</v>
      </c>
      <c r="B2191" s="32" t="s">
        <v>86</v>
      </c>
      <c r="C2191" s="32" t="s">
        <v>119</v>
      </c>
      <c r="D2191" s="32" t="s">
        <v>602</v>
      </c>
      <c r="E2191" s="33">
        <v>24</v>
      </c>
      <c r="F2191" s="33">
        <v>352</v>
      </c>
      <c r="G2191" s="33">
        <v>20</v>
      </c>
      <c r="H2191" s="13">
        <f t="shared" si="34"/>
        <v>14.666666666666666</v>
      </c>
    </row>
    <row r="2192" spans="1:8" hidden="1" outlineLevel="2">
      <c r="A2192" s="32" t="s">
        <v>22</v>
      </c>
      <c r="B2192" s="32" t="s">
        <v>86</v>
      </c>
      <c r="C2192" s="32" t="s">
        <v>127</v>
      </c>
      <c r="D2192" s="32" t="s">
        <v>230</v>
      </c>
      <c r="E2192" s="33">
        <v>8</v>
      </c>
      <c r="F2192" s="33">
        <v>116</v>
      </c>
      <c r="G2192" s="33">
        <v>8</v>
      </c>
      <c r="H2192" s="13">
        <f t="shared" si="34"/>
        <v>14.5</v>
      </c>
    </row>
    <row r="2193" spans="1:8" hidden="1" outlineLevel="2">
      <c r="A2193" s="32" t="s">
        <v>22</v>
      </c>
      <c r="B2193" s="32" t="s">
        <v>1862</v>
      </c>
      <c r="C2193" s="32" t="s">
        <v>97</v>
      </c>
      <c r="D2193" s="32" t="s">
        <v>660</v>
      </c>
      <c r="E2193" s="33">
        <v>30</v>
      </c>
      <c r="F2193" s="33">
        <v>432</v>
      </c>
      <c r="G2193" s="33">
        <v>29</v>
      </c>
      <c r="H2193" s="13">
        <f t="shared" si="34"/>
        <v>14.4</v>
      </c>
    </row>
    <row r="2194" spans="1:8" hidden="1" outlineLevel="2">
      <c r="A2194" s="32" t="s">
        <v>22</v>
      </c>
      <c r="B2194" s="32" t="s">
        <v>1858</v>
      </c>
      <c r="C2194" s="32" t="s">
        <v>445</v>
      </c>
      <c r="D2194" s="32" t="s">
        <v>518</v>
      </c>
      <c r="E2194" s="33">
        <v>95</v>
      </c>
      <c r="F2194" s="33">
        <v>1361</v>
      </c>
      <c r="G2194" s="33">
        <v>94</v>
      </c>
      <c r="H2194" s="13">
        <f t="shared" si="34"/>
        <v>14.326315789473684</v>
      </c>
    </row>
    <row r="2195" spans="1:8" hidden="1" outlineLevel="2">
      <c r="A2195" s="32" t="s">
        <v>22</v>
      </c>
      <c r="B2195" s="32" t="s">
        <v>1862</v>
      </c>
      <c r="C2195" s="32" t="s">
        <v>97</v>
      </c>
      <c r="D2195" s="32" t="s">
        <v>769</v>
      </c>
      <c r="E2195" s="33">
        <v>10</v>
      </c>
      <c r="F2195" s="33">
        <v>143</v>
      </c>
      <c r="G2195" s="33">
        <v>10</v>
      </c>
      <c r="H2195" s="13">
        <f t="shared" si="34"/>
        <v>14.3</v>
      </c>
    </row>
    <row r="2196" spans="1:8" hidden="1" outlineLevel="2">
      <c r="A2196" s="32" t="s">
        <v>22</v>
      </c>
      <c r="B2196" s="32" t="s">
        <v>1862</v>
      </c>
      <c r="C2196" s="32" t="s">
        <v>108</v>
      </c>
      <c r="D2196" s="32" t="s">
        <v>164</v>
      </c>
      <c r="E2196" s="33">
        <v>370</v>
      </c>
      <c r="F2196" s="33">
        <v>5277</v>
      </c>
      <c r="G2196" s="33">
        <v>389</v>
      </c>
      <c r="H2196" s="13">
        <f t="shared" si="34"/>
        <v>14.262162162162163</v>
      </c>
    </row>
    <row r="2197" spans="1:8" hidden="1" outlineLevel="2">
      <c r="A2197" s="32" t="s">
        <v>22</v>
      </c>
      <c r="B2197" s="32" t="s">
        <v>86</v>
      </c>
      <c r="C2197" s="32" t="s">
        <v>110</v>
      </c>
      <c r="D2197" s="32" t="s">
        <v>401</v>
      </c>
      <c r="E2197" s="33">
        <v>37</v>
      </c>
      <c r="F2197" s="33">
        <v>525</v>
      </c>
      <c r="G2197" s="33">
        <v>37</v>
      </c>
      <c r="H2197" s="13">
        <f t="shared" si="34"/>
        <v>14.189189189189189</v>
      </c>
    </row>
    <row r="2198" spans="1:8" hidden="1" outlineLevel="2">
      <c r="A2198" s="32" t="s">
        <v>22</v>
      </c>
      <c r="B2198" s="32" t="s">
        <v>86</v>
      </c>
      <c r="C2198" s="32" t="s">
        <v>127</v>
      </c>
      <c r="D2198" s="32" t="s">
        <v>231</v>
      </c>
      <c r="E2198" s="33">
        <v>40</v>
      </c>
      <c r="F2198" s="33">
        <v>567</v>
      </c>
      <c r="G2198" s="33">
        <v>40</v>
      </c>
      <c r="H2198" s="13">
        <f t="shared" si="34"/>
        <v>14.175000000000001</v>
      </c>
    </row>
    <row r="2199" spans="1:8" hidden="1" outlineLevel="2">
      <c r="A2199" s="32" t="s">
        <v>22</v>
      </c>
      <c r="B2199" s="32" t="s">
        <v>86</v>
      </c>
      <c r="C2199" s="32" t="s">
        <v>127</v>
      </c>
      <c r="D2199" s="32" t="s">
        <v>230</v>
      </c>
      <c r="E2199" s="33">
        <v>20</v>
      </c>
      <c r="F2199" s="33">
        <v>281</v>
      </c>
      <c r="G2199" s="33">
        <v>20</v>
      </c>
      <c r="H2199" s="13">
        <f t="shared" si="34"/>
        <v>14.05</v>
      </c>
    </row>
    <row r="2200" spans="1:8" hidden="1" outlineLevel="2">
      <c r="A2200" s="32" t="s">
        <v>22</v>
      </c>
      <c r="B2200" s="32" t="s">
        <v>86</v>
      </c>
      <c r="C2200" s="32" t="s">
        <v>119</v>
      </c>
      <c r="D2200" s="32" t="s">
        <v>504</v>
      </c>
      <c r="E2200" s="33">
        <v>100</v>
      </c>
      <c r="F2200" s="33">
        <v>1403</v>
      </c>
      <c r="G2200" s="33">
        <v>100</v>
      </c>
      <c r="H2200" s="13">
        <f t="shared" si="34"/>
        <v>14.03</v>
      </c>
    </row>
    <row r="2201" spans="1:8" hidden="1" outlineLevel="2">
      <c r="A2201" s="32" t="s">
        <v>22</v>
      </c>
      <c r="B2201" s="32" t="s">
        <v>86</v>
      </c>
      <c r="C2201" s="32" t="s">
        <v>127</v>
      </c>
      <c r="D2201" s="32" t="s">
        <v>230</v>
      </c>
      <c r="E2201" s="33">
        <v>15</v>
      </c>
      <c r="F2201" s="33">
        <v>206</v>
      </c>
      <c r="G2201" s="33">
        <v>15</v>
      </c>
      <c r="H2201" s="13">
        <f t="shared" si="34"/>
        <v>13.733333333333333</v>
      </c>
    </row>
    <row r="2202" spans="1:8" hidden="1" outlineLevel="2">
      <c r="A2202" s="32" t="s">
        <v>22</v>
      </c>
      <c r="B2202" s="32" t="s">
        <v>1858</v>
      </c>
      <c r="C2202" s="32" t="s">
        <v>162</v>
      </c>
      <c r="D2202" s="32" t="s">
        <v>202</v>
      </c>
      <c r="E2202" s="33">
        <v>170</v>
      </c>
      <c r="F2202" s="33">
        <v>2329</v>
      </c>
      <c r="G2202" s="33">
        <v>169</v>
      </c>
      <c r="H2202" s="13">
        <f t="shared" si="34"/>
        <v>13.7</v>
      </c>
    </row>
    <row r="2203" spans="1:8" hidden="1" outlineLevel="2">
      <c r="A2203" s="32" t="s">
        <v>22</v>
      </c>
      <c r="B2203" s="32" t="s">
        <v>1858</v>
      </c>
      <c r="C2203" s="32" t="s">
        <v>134</v>
      </c>
      <c r="D2203" s="32" t="s">
        <v>136</v>
      </c>
      <c r="E2203" s="33">
        <v>152</v>
      </c>
      <c r="F2203" s="33">
        <v>2047</v>
      </c>
      <c r="G2203" s="33">
        <v>150</v>
      </c>
      <c r="H2203" s="13">
        <f t="shared" si="34"/>
        <v>13.467105263157896</v>
      </c>
    </row>
    <row r="2204" spans="1:8" hidden="1" outlineLevel="2">
      <c r="A2204" s="32" t="s">
        <v>22</v>
      </c>
      <c r="B2204" s="32" t="s">
        <v>86</v>
      </c>
      <c r="C2204" s="32" t="s">
        <v>127</v>
      </c>
      <c r="D2204" s="32" t="s">
        <v>235</v>
      </c>
      <c r="E2204" s="33">
        <v>20</v>
      </c>
      <c r="F2204" s="33">
        <v>266</v>
      </c>
      <c r="G2204" s="33">
        <v>20</v>
      </c>
      <c r="H2204" s="13">
        <f t="shared" si="34"/>
        <v>13.3</v>
      </c>
    </row>
    <row r="2205" spans="1:8" hidden="1" outlineLevel="2">
      <c r="A2205" s="32" t="s">
        <v>22</v>
      </c>
      <c r="B2205" s="32" t="s">
        <v>86</v>
      </c>
      <c r="C2205" s="32" t="s">
        <v>127</v>
      </c>
      <c r="D2205" s="32" t="s">
        <v>228</v>
      </c>
      <c r="E2205" s="33">
        <v>12</v>
      </c>
      <c r="F2205" s="33">
        <v>159</v>
      </c>
      <c r="G2205" s="33">
        <v>12</v>
      </c>
      <c r="H2205" s="13">
        <f t="shared" si="34"/>
        <v>13.25</v>
      </c>
    </row>
    <row r="2206" spans="1:8" hidden="1" outlineLevel="2">
      <c r="A2206" s="32" t="s">
        <v>22</v>
      </c>
      <c r="B2206" s="32" t="s">
        <v>1858</v>
      </c>
      <c r="C2206" s="32" t="s">
        <v>225</v>
      </c>
      <c r="D2206" s="32" t="s">
        <v>407</v>
      </c>
      <c r="E2206" s="33">
        <v>20</v>
      </c>
      <c r="F2206" s="33">
        <v>263</v>
      </c>
      <c r="G2206" s="33">
        <v>19</v>
      </c>
      <c r="H2206" s="13">
        <f t="shared" si="34"/>
        <v>13.15</v>
      </c>
    </row>
    <row r="2207" spans="1:8" hidden="1" outlineLevel="2">
      <c r="A2207" s="32" t="s">
        <v>22</v>
      </c>
      <c r="B2207" s="32" t="s">
        <v>86</v>
      </c>
      <c r="C2207" s="32" t="s">
        <v>119</v>
      </c>
      <c r="D2207" s="32" t="s">
        <v>374</v>
      </c>
      <c r="E2207" s="33">
        <v>185</v>
      </c>
      <c r="F2207" s="33">
        <v>2420</v>
      </c>
      <c r="G2207" s="33">
        <v>183</v>
      </c>
      <c r="H2207" s="13">
        <f t="shared" si="34"/>
        <v>13.081081081081081</v>
      </c>
    </row>
    <row r="2208" spans="1:8" hidden="1" outlineLevel="2">
      <c r="A2208" s="32" t="s">
        <v>22</v>
      </c>
      <c r="B2208" s="32" t="s">
        <v>86</v>
      </c>
      <c r="C2208" s="32" t="s">
        <v>152</v>
      </c>
      <c r="D2208" s="32" t="s">
        <v>458</v>
      </c>
      <c r="E2208" s="33">
        <v>25</v>
      </c>
      <c r="F2208" s="33">
        <v>327</v>
      </c>
      <c r="G2208" s="33">
        <v>25</v>
      </c>
      <c r="H2208" s="13">
        <f t="shared" si="34"/>
        <v>13.08</v>
      </c>
    </row>
    <row r="2209" spans="1:8" hidden="1" outlineLevel="2">
      <c r="A2209" s="32" t="s">
        <v>22</v>
      </c>
      <c r="B2209" s="32" t="s">
        <v>86</v>
      </c>
      <c r="C2209" s="32" t="s">
        <v>119</v>
      </c>
      <c r="D2209" s="32" t="s">
        <v>218</v>
      </c>
      <c r="E2209" s="33">
        <v>95</v>
      </c>
      <c r="F2209" s="33">
        <v>1241</v>
      </c>
      <c r="G2209" s="33">
        <v>93</v>
      </c>
      <c r="H2209" s="13">
        <f t="shared" si="34"/>
        <v>13.063157894736841</v>
      </c>
    </row>
    <row r="2210" spans="1:8" hidden="1" outlineLevel="2">
      <c r="A2210" s="32" t="s">
        <v>22</v>
      </c>
      <c r="B2210" s="32" t="s">
        <v>86</v>
      </c>
      <c r="C2210" s="32" t="s">
        <v>127</v>
      </c>
      <c r="D2210" s="32" t="s">
        <v>497</v>
      </c>
      <c r="E2210" s="33">
        <v>65</v>
      </c>
      <c r="F2210" s="33">
        <v>847</v>
      </c>
      <c r="G2210" s="33">
        <v>65</v>
      </c>
      <c r="H2210" s="13">
        <f t="shared" si="34"/>
        <v>13.030769230769231</v>
      </c>
    </row>
    <row r="2211" spans="1:8" hidden="1" outlineLevel="2">
      <c r="A2211" s="32" t="s">
        <v>22</v>
      </c>
      <c r="B2211" s="32" t="s">
        <v>86</v>
      </c>
      <c r="C2211" s="32" t="s">
        <v>152</v>
      </c>
      <c r="D2211" s="32" t="s">
        <v>367</v>
      </c>
      <c r="E2211" s="33">
        <v>585</v>
      </c>
      <c r="F2211" s="33">
        <v>7614</v>
      </c>
      <c r="G2211" s="33">
        <v>588</v>
      </c>
      <c r="H2211" s="13">
        <f t="shared" si="34"/>
        <v>13.015384615384615</v>
      </c>
    </row>
    <row r="2212" spans="1:8" hidden="1" outlineLevel="2">
      <c r="A2212" s="32" t="s">
        <v>22</v>
      </c>
      <c r="B2212" s="32" t="s">
        <v>1858</v>
      </c>
      <c r="C2212" s="32" t="s">
        <v>239</v>
      </c>
      <c r="D2212" s="32" t="s">
        <v>246</v>
      </c>
      <c r="E2212" s="33">
        <v>177</v>
      </c>
      <c r="F2212" s="33">
        <v>2302</v>
      </c>
      <c r="G2212" s="33">
        <v>175</v>
      </c>
      <c r="H2212" s="13">
        <f t="shared" si="34"/>
        <v>13.005649717514125</v>
      </c>
    </row>
    <row r="2213" spans="1:8" hidden="1" outlineLevel="2">
      <c r="A2213" s="32" t="s">
        <v>22</v>
      </c>
      <c r="B2213" s="32" t="s">
        <v>86</v>
      </c>
      <c r="C2213" s="32" t="s">
        <v>127</v>
      </c>
      <c r="D2213" s="32" t="s">
        <v>229</v>
      </c>
      <c r="E2213" s="33">
        <v>5</v>
      </c>
      <c r="F2213" s="33">
        <v>64</v>
      </c>
      <c r="G2213" s="33">
        <v>5</v>
      </c>
      <c r="H2213" s="13">
        <f t="shared" si="34"/>
        <v>12.8</v>
      </c>
    </row>
    <row r="2214" spans="1:8" hidden="1" outlineLevel="2">
      <c r="A2214" s="32" t="s">
        <v>22</v>
      </c>
      <c r="B2214" s="32" t="s">
        <v>1858</v>
      </c>
      <c r="C2214" s="32" t="s">
        <v>162</v>
      </c>
      <c r="D2214" s="32" t="s">
        <v>260</v>
      </c>
      <c r="E2214" s="33">
        <v>112</v>
      </c>
      <c r="F2214" s="33">
        <v>1433</v>
      </c>
      <c r="G2214" s="33">
        <v>111</v>
      </c>
      <c r="H2214" s="13">
        <f t="shared" si="34"/>
        <v>12.794642857142858</v>
      </c>
    </row>
    <row r="2215" spans="1:8" hidden="1" outlineLevel="2">
      <c r="A2215" s="32" t="s">
        <v>22</v>
      </c>
      <c r="B2215" s="32" t="s">
        <v>1858</v>
      </c>
      <c r="C2215" s="32" t="s">
        <v>131</v>
      </c>
      <c r="D2215" s="32" t="s">
        <v>393</v>
      </c>
      <c r="E2215" s="33">
        <v>70</v>
      </c>
      <c r="F2215" s="33">
        <v>895</v>
      </c>
      <c r="G2215" s="33">
        <v>69</v>
      </c>
      <c r="H2215" s="13">
        <f t="shared" si="34"/>
        <v>12.785714285714286</v>
      </c>
    </row>
    <row r="2216" spans="1:8" hidden="1" outlineLevel="2">
      <c r="A2216" s="32" t="s">
        <v>22</v>
      </c>
      <c r="B2216" s="32" t="s">
        <v>86</v>
      </c>
      <c r="C2216" s="32" t="s">
        <v>794</v>
      </c>
      <c r="D2216" s="32" t="s">
        <v>795</v>
      </c>
      <c r="E2216" s="33">
        <v>30</v>
      </c>
      <c r="F2216" s="33">
        <v>382</v>
      </c>
      <c r="G2216" s="33">
        <v>30</v>
      </c>
      <c r="H2216" s="13">
        <f t="shared" si="34"/>
        <v>12.733333333333333</v>
      </c>
    </row>
    <row r="2217" spans="1:8" hidden="1" outlineLevel="2">
      <c r="A2217" s="32" t="s">
        <v>22</v>
      </c>
      <c r="B2217" s="32" t="s">
        <v>1862</v>
      </c>
      <c r="C2217" s="32" t="s">
        <v>97</v>
      </c>
      <c r="D2217" s="32" t="s">
        <v>648</v>
      </c>
      <c r="E2217" s="33">
        <v>25</v>
      </c>
      <c r="F2217" s="33">
        <v>315</v>
      </c>
      <c r="G2217" s="33">
        <v>24</v>
      </c>
      <c r="H2217" s="13">
        <f t="shared" si="34"/>
        <v>12.6</v>
      </c>
    </row>
    <row r="2218" spans="1:8" hidden="1" outlineLevel="2">
      <c r="A2218" s="32" t="s">
        <v>22</v>
      </c>
      <c r="B2218" s="32" t="s">
        <v>86</v>
      </c>
      <c r="C2218" s="32" t="s">
        <v>148</v>
      </c>
      <c r="D2218" s="32" t="s">
        <v>487</v>
      </c>
      <c r="E2218" s="33">
        <v>24</v>
      </c>
      <c r="F2218" s="33">
        <v>302</v>
      </c>
      <c r="G2218" s="33">
        <v>23</v>
      </c>
      <c r="H2218" s="13">
        <f t="shared" si="34"/>
        <v>12.583333333333334</v>
      </c>
    </row>
    <row r="2219" spans="1:8" hidden="1" outlineLevel="2">
      <c r="A2219" s="32" t="s">
        <v>22</v>
      </c>
      <c r="B2219" s="32" t="s">
        <v>1862</v>
      </c>
      <c r="C2219" s="32" t="s">
        <v>97</v>
      </c>
      <c r="D2219" s="32" t="s">
        <v>629</v>
      </c>
      <c r="E2219" s="33">
        <v>60</v>
      </c>
      <c r="F2219" s="33">
        <v>753</v>
      </c>
      <c r="G2219" s="33">
        <v>59</v>
      </c>
      <c r="H2219" s="13">
        <f t="shared" si="34"/>
        <v>12.55</v>
      </c>
    </row>
    <row r="2220" spans="1:8" hidden="1" outlineLevel="2">
      <c r="A2220" s="32" t="s">
        <v>22</v>
      </c>
      <c r="B2220" s="32" t="s">
        <v>86</v>
      </c>
      <c r="C2220" s="32" t="s">
        <v>110</v>
      </c>
      <c r="D2220" s="32" t="s">
        <v>521</v>
      </c>
      <c r="E2220" s="33">
        <v>10</v>
      </c>
      <c r="F2220" s="33">
        <v>125</v>
      </c>
      <c r="G2220" s="33">
        <v>10</v>
      </c>
      <c r="H2220" s="13">
        <f t="shared" si="34"/>
        <v>12.5</v>
      </c>
    </row>
    <row r="2221" spans="1:8" hidden="1" outlineLevel="2">
      <c r="A2221" s="32" t="s">
        <v>22</v>
      </c>
      <c r="B2221" s="32" t="s">
        <v>86</v>
      </c>
      <c r="C2221" s="32" t="s">
        <v>152</v>
      </c>
      <c r="D2221" s="32" t="s">
        <v>449</v>
      </c>
      <c r="E2221" s="33">
        <v>375</v>
      </c>
      <c r="F2221" s="33">
        <v>4687</v>
      </c>
      <c r="G2221" s="33">
        <v>372</v>
      </c>
      <c r="H2221" s="13">
        <f t="shared" si="34"/>
        <v>12.498666666666667</v>
      </c>
    </row>
    <row r="2222" spans="1:8" hidden="1" outlineLevel="2">
      <c r="A2222" s="32" t="s">
        <v>22</v>
      </c>
      <c r="B2222" s="32" t="s">
        <v>86</v>
      </c>
      <c r="C2222" s="32" t="s">
        <v>119</v>
      </c>
      <c r="D2222" s="32" t="s">
        <v>735</v>
      </c>
      <c r="E2222" s="33">
        <v>50</v>
      </c>
      <c r="F2222" s="33">
        <v>623</v>
      </c>
      <c r="G2222" s="33">
        <v>15</v>
      </c>
      <c r="H2222" s="13">
        <f t="shared" si="34"/>
        <v>12.46</v>
      </c>
    </row>
    <row r="2223" spans="1:8" hidden="1" outlineLevel="2">
      <c r="A2223" s="32" t="s">
        <v>22</v>
      </c>
      <c r="B2223" s="32" t="s">
        <v>1862</v>
      </c>
      <c r="C2223" s="32" t="s">
        <v>108</v>
      </c>
      <c r="D2223" s="32" t="s">
        <v>712</v>
      </c>
      <c r="E2223" s="33">
        <v>32</v>
      </c>
      <c r="F2223" s="33">
        <v>398</v>
      </c>
      <c r="G2223" s="33">
        <v>31</v>
      </c>
      <c r="H2223" s="13">
        <f t="shared" si="34"/>
        <v>12.4375</v>
      </c>
    </row>
    <row r="2224" spans="1:8" hidden="1" outlineLevel="2">
      <c r="A2224" s="32" t="s">
        <v>22</v>
      </c>
      <c r="B2224" s="32" t="s">
        <v>1858</v>
      </c>
      <c r="C2224" s="32" t="s">
        <v>203</v>
      </c>
      <c r="D2224" s="32" t="s">
        <v>204</v>
      </c>
      <c r="E2224" s="33">
        <v>257</v>
      </c>
      <c r="F2224" s="33">
        <v>3182</v>
      </c>
      <c r="G2224" s="33">
        <v>245</v>
      </c>
      <c r="H2224" s="13">
        <f t="shared" si="34"/>
        <v>12.381322957198444</v>
      </c>
    </row>
    <row r="2225" spans="1:8" hidden="1" outlineLevel="2">
      <c r="A2225" s="32" t="s">
        <v>22</v>
      </c>
      <c r="B2225" s="32" t="s">
        <v>1858</v>
      </c>
      <c r="C2225" s="32" t="s">
        <v>144</v>
      </c>
      <c r="D2225" s="32" t="s">
        <v>202</v>
      </c>
      <c r="E2225" s="33">
        <v>305</v>
      </c>
      <c r="F2225" s="33">
        <v>3774</v>
      </c>
      <c r="G2225" s="33">
        <v>305</v>
      </c>
      <c r="H2225" s="13">
        <f t="shared" si="34"/>
        <v>12.373770491803279</v>
      </c>
    </row>
    <row r="2226" spans="1:8" hidden="1" outlineLevel="2">
      <c r="A2226" s="32" t="s">
        <v>22</v>
      </c>
      <c r="B2226" s="32" t="s">
        <v>86</v>
      </c>
      <c r="C2226" s="32" t="s">
        <v>127</v>
      </c>
      <c r="D2226" s="32" t="s">
        <v>169</v>
      </c>
      <c r="E2226" s="33">
        <v>125</v>
      </c>
      <c r="F2226" s="33">
        <v>1542</v>
      </c>
      <c r="G2226" s="33">
        <v>122</v>
      </c>
      <c r="H2226" s="13">
        <f t="shared" si="34"/>
        <v>12.336</v>
      </c>
    </row>
    <row r="2227" spans="1:8" hidden="1" outlineLevel="2">
      <c r="A2227" s="32" t="s">
        <v>22</v>
      </c>
      <c r="B2227" s="32" t="s">
        <v>86</v>
      </c>
      <c r="C2227" s="32" t="s">
        <v>110</v>
      </c>
      <c r="D2227" s="32" t="s">
        <v>180</v>
      </c>
      <c r="E2227" s="33">
        <v>175</v>
      </c>
      <c r="F2227" s="33">
        <v>2153</v>
      </c>
      <c r="G2227" s="33">
        <v>183</v>
      </c>
      <c r="H2227" s="13">
        <f t="shared" si="34"/>
        <v>12.302857142857142</v>
      </c>
    </row>
    <row r="2228" spans="1:8" hidden="1" outlineLevel="2">
      <c r="A2228" s="32" t="s">
        <v>22</v>
      </c>
      <c r="B2228" s="32" t="s">
        <v>1862</v>
      </c>
      <c r="C2228" s="32" t="s">
        <v>97</v>
      </c>
      <c r="D2228" s="32" t="s">
        <v>426</v>
      </c>
      <c r="E2228" s="33">
        <v>170</v>
      </c>
      <c r="F2228" s="33">
        <v>2069</v>
      </c>
      <c r="G2228" s="33">
        <v>169</v>
      </c>
      <c r="H2228" s="13">
        <f t="shared" si="34"/>
        <v>12.170588235294117</v>
      </c>
    </row>
    <row r="2229" spans="1:8" hidden="1" outlineLevel="2">
      <c r="A2229" s="32" t="s">
        <v>22</v>
      </c>
      <c r="B2229" s="32" t="s">
        <v>1862</v>
      </c>
      <c r="C2229" s="32" t="s">
        <v>265</v>
      </c>
      <c r="D2229" s="32" t="s">
        <v>618</v>
      </c>
      <c r="E2229" s="33">
        <v>60</v>
      </c>
      <c r="F2229" s="33">
        <v>721</v>
      </c>
      <c r="G2229" s="33">
        <v>55</v>
      </c>
      <c r="H2229" s="13">
        <f t="shared" si="34"/>
        <v>12.016666666666667</v>
      </c>
    </row>
    <row r="2230" spans="1:8" hidden="1" outlineLevel="2">
      <c r="A2230" s="32" t="s">
        <v>22</v>
      </c>
      <c r="B2230" s="32" t="s">
        <v>86</v>
      </c>
      <c r="C2230" s="32" t="s">
        <v>127</v>
      </c>
      <c r="D2230" s="32" t="s">
        <v>229</v>
      </c>
      <c r="E2230" s="33">
        <v>5</v>
      </c>
      <c r="F2230" s="33">
        <v>60</v>
      </c>
      <c r="G2230" s="33">
        <v>5</v>
      </c>
      <c r="H2230" s="13">
        <f t="shared" si="34"/>
        <v>12</v>
      </c>
    </row>
    <row r="2231" spans="1:8" hidden="1" outlineLevel="2">
      <c r="A2231" s="32" t="s">
        <v>22</v>
      </c>
      <c r="B2231" s="32" t="s">
        <v>1858</v>
      </c>
      <c r="C2231" s="32" t="s">
        <v>104</v>
      </c>
      <c r="D2231" s="32" t="s">
        <v>416</v>
      </c>
      <c r="E2231" s="33">
        <v>30</v>
      </c>
      <c r="F2231" s="33">
        <v>356</v>
      </c>
      <c r="G2231" s="33">
        <v>31</v>
      </c>
      <c r="H2231" s="13">
        <f t="shared" si="34"/>
        <v>11.866666666666667</v>
      </c>
    </row>
    <row r="2232" spans="1:8" hidden="1" outlineLevel="2">
      <c r="A2232" s="32" t="s">
        <v>22</v>
      </c>
      <c r="B2232" s="32" t="s">
        <v>1858</v>
      </c>
      <c r="C2232" s="32" t="s">
        <v>162</v>
      </c>
      <c r="D2232" s="32" t="s">
        <v>163</v>
      </c>
      <c r="E2232" s="33">
        <v>140</v>
      </c>
      <c r="F2232" s="33">
        <v>1659</v>
      </c>
      <c r="G2232" s="33">
        <v>134</v>
      </c>
      <c r="H2232" s="13">
        <f t="shared" si="34"/>
        <v>11.85</v>
      </c>
    </row>
    <row r="2233" spans="1:8" hidden="1" outlineLevel="2">
      <c r="A2233" s="32" t="s">
        <v>22</v>
      </c>
      <c r="B2233" s="32" t="s">
        <v>1862</v>
      </c>
      <c r="C2233" s="32" t="s">
        <v>97</v>
      </c>
      <c r="D2233" s="32" t="s">
        <v>245</v>
      </c>
      <c r="E2233" s="33">
        <v>158</v>
      </c>
      <c r="F2233" s="33">
        <v>1868</v>
      </c>
      <c r="G2233" s="33">
        <v>151</v>
      </c>
      <c r="H2233" s="13">
        <f t="shared" si="34"/>
        <v>11.822784810126583</v>
      </c>
    </row>
    <row r="2234" spans="1:8" hidden="1" outlineLevel="2">
      <c r="A2234" s="32" t="s">
        <v>22</v>
      </c>
      <c r="B2234" s="32" t="s">
        <v>86</v>
      </c>
      <c r="C2234" s="32" t="s">
        <v>119</v>
      </c>
      <c r="D2234" s="32" t="s">
        <v>782</v>
      </c>
      <c r="E2234" s="33">
        <v>30</v>
      </c>
      <c r="F2234" s="33">
        <v>351</v>
      </c>
      <c r="G2234" s="33">
        <v>28</v>
      </c>
      <c r="H2234" s="13">
        <f t="shared" si="34"/>
        <v>11.7</v>
      </c>
    </row>
    <row r="2235" spans="1:8" hidden="1" outlineLevel="2">
      <c r="A2235" s="32" t="s">
        <v>22</v>
      </c>
      <c r="B2235" s="32" t="s">
        <v>86</v>
      </c>
      <c r="C2235" s="32" t="s">
        <v>148</v>
      </c>
      <c r="D2235" s="32" t="s">
        <v>358</v>
      </c>
      <c r="E2235" s="33">
        <v>27</v>
      </c>
      <c r="F2235" s="33">
        <v>315</v>
      </c>
      <c r="G2235" s="33">
        <v>27</v>
      </c>
      <c r="H2235" s="13">
        <f t="shared" si="34"/>
        <v>11.666666666666666</v>
      </c>
    </row>
    <row r="2236" spans="1:8" hidden="1" outlineLevel="2">
      <c r="A2236" s="32" t="s">
        <v>22</v>
      </c>
      <c r="B2236" s="32" t="s">
        <v>86</v>
      </c>
      <c r="C2236" s="32" t="s">
        <v>127</v>
      </c>
      <c r="D2236" s="32" t="s">
        <v>343</v>
      </c>
      <c r="E2236" s="33">
        <v>18</v>
      </c>
      <c r="F2236" s="33">
        <v>209</v>
      </c>
      <c r="G2236" s="33">
        <v>18</v>
      </c>
      <c r="H2236" s="13">
        <f t="shared" si="34"/>
        <v>11.611111111111111</v>
      </c>
    </row>
    <row r="2237" spans="1:8" hidden="1" outlineLevel="2">
      <c r="A2237" s="32" t="s">
        <v>22</v>
      </c>
      <c r="B2237" s="32" t="s">
        <v>1862</v>
      </c>
      <c r="C2237" s="32" t="s">
        <v>108</v>
      </c>
      <c r="D2237" s="32" t="s">
        <v>109</v>
      </c>
      <c r="E2237" s="33">
        <v>122</v>
      </c>
      <c r="F2237" s="33">
        <v>1414</v>
      </c>
      <c r="G2237" s="33">
        <v>119</v>
      </c>
      <c r="H2237" s="13">
        <f t="shared" si="34"/>
        <v>11.590163934426229</v>
      </c>
    </row>
    <row r="2238" spans="1:8" hidden="1" outlineLevel="2">
      <c r="A2238" s="32" t="s">
        <v>22</v>
      </c>
      <c r="B2238" s="32" t="s">
        <v>1858</v>
      </c>
      <c r="C2238" s="32" t="s">
        <v>162</v>
      </c>
      <c r="D2238" s="32" t="s">
        <v>421</v>
      </c>
      <c r="E2238" s="33">
        <v>155</v>
      </c>
      <c r="F2238" s="33">
        <v>1796</v>
      </c>
      <c r="G2238" s="33">
        <v>157</v>
      </c>
      <c r="H2238" s="13">
        <f t="shared" si="34"/>
        <v>11.587096774193549</v>
      </c>
    </row>
    <row r="2239" spans="1:8" hidden="1" outlineLevel="2">
      <c r="A2239" s="32" t="s">
        <v>22</v>
      </c>
      <c r="B2239" s="32" t="s">
        <v>1858</v>
      </c>
      <c r="C2239" s="32" t="s">
        <v>144</v>
      </c>
      <c r="D2239" s="32" t="s">
        <v>284</v>
      </c>
      <c r="E2239" s="33">
        <v>170</v>
      </c>
      <c r="F2239" s="33">
        <v>1947</v>
      </c>
      <c r="G2239" s="33">
        <v>123</v>
      </c>
      <c r="H2239" s="13">
        <f t="shared" si="34"/>
        <v>11.452941176470588</v>
      </c>
    </row>
    <row r="2240" spans="1:8" hidden="1" outlineLevel="2">
      <c r="A2240" s="32" t="s">
        <v>22</v>
      </c>
      <c r="B2240" s="32" t="s">
        <v>86</v>
      </c>
      <c r="C2240" s="32" t="s">
        <v>127</v>
      </c>
      <c r="D2240" s="32" t="s">
        <v>231</v>
      </c>
      <c r="E2240" s="33">
        <v>6</v>
      </c>
      <c r="F2240" s="33">
        <v>68</v>
      </c>
      <c r="G2240" s="33">
        <v>6</v>
      </c>
      <c r="H2240" s="13">
        <f t="shared" si="34"/>
        <v>11.333333333333334</v>
      </c>
    </row>
    <row r="2241" spans="1:8" hidden="1" outlineLevel="2">
      <c r="A2241" s="32" t="s">
        <v>22</v>
      </c>
      <c r="B2241" s="32" t="s">
        <v>86</v>
      </c>
      <c r="C2241" s="32" t="s">
        <v>127</v>
      </c>
      <c r="D2241" s="32" t="s">
        <v>320</v>
      </c>
      <c r="E2241" s="33">
        <v>62</v>
      </c>
      <c r="F2241" s="33">
        <v>696</v>
      </c>
      <c r="G2241" s="33">
        <v>61</v>
      </c>
      <c r="H2241" s="13">
        <f t="shared" si="34"/>
        <v>11.225806451612904</v>
      </c>
    </row>
    <row r="2242" spans="1:8" hidden="1" outlineLevel="2">
      <c r="A2242" s="32" t="s">
        <v>22</v>
      </c>
      <c r="B2242" s="32" t="s">
        <v>1858</v>
      </c>
      <c r="C2242" s="32" t="s">
        <v>131</v>
      </c>
      <c r="D2242" s="32" t="s">
        <v>641</v>
      </c>
      <c r="E2242" s="33">
        <v>192</v>
      </c>
      <c r="F2242" s="33">
        <v>2154</v>
      </c>
      <c r="G2242" s="33">
        <v>189</v>
      </c>
      <c r="H2242" s="13">
        <f t="shared" ref="H2242:H2305" si="35">IFERROR(F2242/E2242,"")</f>
        <v>11.21875</v>
      </c>
    </row>
    <row r="2243" spans="1:8" hidden="1" outlineLevel="2">
      <c r="A2243" s="32" t="s">
        <v>22</v>
      </c>
      <c r="B2243" s="32" t="s">
        <v>1858</v>
      </c>
      <c r="C2243" s="32" t="s">
        <v>131</v>
      </c>
      <c r="D2243" s="32" t="s">
        <v>793</v>
      </c>
      <c r="E2243" s="33">
        <v>52</v>
      </c>
      <c r="F2243" s="33">
        <v>581</v>
      </c>
      <c r="G2243" s="33">
        <v>51</v>
      </c>
      <c r="H2243" s="13">
        <f t="shared" si="35"/>
        <v>11.173076923076923</v>
      </c>
    </row>
    <row r="2244" spans="1:8" hidden="1" outlineLevel="2">
      <c r="A2244" s="32" t="s">
        <v>22</v>
      </c>
      <c r="B2244" s="32" t="s">
        <v>1858</v>
      </c>
      <c r="C2244" s="32" t="s">
        <v>225</v>
      </c>
      <c r="D2244" s="32" t="s">
        <v>226</v>
      </c>
      <c r="E2244" s="33">
        <v>25</v>
      </c>
      <c r="F2244" s="33">
        <v>278</v>
      </c>
      <c r="G2244" s="33">
        <v>25</v>
      </c>
      <c r="H2244" s="13">
        <f t="shared" si="35"/>
        <v>11.12</v>
      </c>
    </row>
    <row r="2245" spans="1:8" hidden="1" outlineLevel="2">
      <c r="A2245" s="32" t="s">
        <v>22</v>
      </c>
      <c r="B2245" s="32" t="s">
        <v>1862</v>
      </c>
      <c r="C2245" s="32" t="s">
        <v>97</v>
      </c>
      <c r="D2245" s="32" t="s">
        <v>439</v>
      </c>
      <c r="E2245" s="33">
        <v>58</v>
      </c>
      <c r="F2245" s="33">
        <v>640</v>
      </c>
      <c r="G2245" s="33">
        <v>55</v>
      </c>
      <c r="H2245" s="13">
        <f t="shared" si="35"/>
        <v>11.03448275862069</v>
      </c>
    </row>
    <row r="2246" spans="1:8" hidden="1" outlineLevel="2">
      <c r="A2246" s="32" t="s">
        <v>22</v>
      </c>
      <c r="B2246" s="32" t="s">
        <v>1862</v>
      </c>
      <c r="C2246" s="32" t="s">
        <v>97</v>
      </c>
      <c r="D2246" s="32" t="s">
        <v>366</v>
      </c>
      <c r="E2246" s="33">
        <v>127</v>
      </c>
      <c r="F2246" s="33">
        <v>1397</v>
      </c>
      <c r="G2246" s="33">
        <v>124</v>
      </c>
      <c r="H2246" s="13">
        <f t="shared" si="35"/>
        <v>11</v>
      </c>
    </row>
    <row r="2247" spans="1:8" hidden="1" outlineLevel="2">
      <c r="A2247" s="32" t="s">
        <v>22</v>
      </c>
      <c r="B2247" s="32" t="s">
        <v>1862</v>
      </c>
      <c r="C2247" s="32" t="s">
        <v>97</v>
      </c>
      <c r="D2247" s="32" t="s">
        <v>653</v>
      </c>
      <c r="E2247" s="33">
        <v>100</v>
      </c>
      <c r="F2247" s="33">
        <v>1099</v>
      </c>
      <c r="G2247" s="33">
        <v>97</v>
      </c>
      <c r="H2247" s="13">
        <f t="shared" si="35"/>
        <v>10.99</v>
      </c>
    </row>
    <row r="2248" spans="1:8" hidden="1" outlineLevel="2">
      <c r="A2248" s="32" t="s">
        <v>22</v>
      </c>
      <c r="B2248" s="32" t="s">
        <v>86</v>
      </c>
      <c r="C2248" s="32" t="s">
        <v>110</v>
      </c>
      <c r="D2248" s="32" t="s">
        <v>673</v>
      </c>
      <c r="E2248" s="33">
        <v>82</v>
      </c>
      <c r="F2248" s="33">
        <v>899</v>
      </c>
      <c r="G2248" s="33">
        <v>80</v>
      </c>
      <c r="H2248" s="13">
        <f t="shared" si="35"/>
        <v>10.963414634146341</v>
      </c>
    </row>
    <row r="2249" spans="1:8" hidden="1" outlineLevel="2">
      <c r="A2249" s="32" t="s">
        <v>22</v>
      </c>
      <c r="B2249" s="32" t="s">
        <v>86</v>
      </c>
      <c r="C2249" s="32" t="s">
        <v>152</v>
      </c>
      <c r="D2249" s="32" t="s">
        <v>579</v>
      </c>
      <c r="E2249" s="33">
        <v>20</v>
      </c>
      <c r="F2249" s="33">
        <v>219</v>
      </c>
      <c r="G2249" s="33">
        <v>15</v>
      </c>
      <c r="H2249" s="13">
        <f t="shared" si="35"/>
        <v>10.95</v>
      </c>
    </row>
    <row r="2250" spans="1:8" hidden="1" outlineLevel="2">
      <c r="A2250" s="32" t="s">
        <v>22</v>
      </c>
      <c r="B2250" s="32" t="s">
        <v>86</v>
      </c>
      <c r="C2250" s="32" t="s">
        <v>378</v>
      </c>
      <c r="D2250" s="32" t="s">
        <v>308</v>
      </c>
      <c r="E2250" s="33">
        <v>55</v>
      </c>
      <c r="F2250" s="33">
        <v>595</v>
      </c>
      <c r="G2250" s="33">
        <v>34</v>
      </c>
      <c r="H2250" s="13">
        <f t="shared" si="35"/>
        <v>10.818181818181818</v>
      </c>
    </row>
    <row r="2251" spans="1:8" hidden="1" outlineLevel="2">
      <c r="A2251" s="32" t="s">
        <v>22</v>
      </c>
      <c r="B2251" s="32" t="s">
        <v>1862</v>
      </c>
      <c r="C2251" s="32" t="s">
        <v>115</v>
      </c>
      <c r="D2251" s="32" t="s">
        <v>125</v>
      </c>
      <c r="E2251" s="33">
        <v>80</v>
      </c>
      <c r="F2251" s="33">
        <v>865</v>
      </c>
      <c r="G2251" s="33">
        <v>79</v>
      </c>
      <c r="H2251" s="13">
        <f t="shared" si="35"/>
        <v>10.8125</v>
      </c>
    </row>
    <row r="2252" spans="1:8" hidden="1" outlineLevel="2">
      <c r="A2252" s="32" t="s">
        <v>22</v>
      </c>
      <c r="B2252" s="32" t="s">
        <v>86</v>
      </c>
      <c r="C2252" s="32" t="s">
        <v>110</v>
      </c>
      <c r="D2252" s="32" t="s">
        <v>403</v>
      </c>
      <c r="E2252" s="33">
        <v>70</v>
      </c>
      <c r="F2252" s="33">
        <v>756</v>
      </c>
      <c r="G2252" s="33">
        <v>68</v>
      </c>
      <c r="H2252" s="13">
        <f t="shared" si="35"/>
        <v>10.8</v>
      </c>
    </row>
    <row r="2253" spans="1:8" hidden="1" outlineLevel="2">
      <c r="A2253" s="32" t="s">
        <v>22</v>
      </c>
      <c r="B2253" s="32" t="s">
        <v>86</v>
      </c>
      <c r="C2253" s="32" t="s">
        <v>148</v>
      </c>
      <c r="D2253" s="32" t="s">
        <v>150</v>
      </c>
      <c r="E2253" s="33">
        <v>27</v>
      </c>
      <c r="F2253" s="33">
        <v>291</v>
      </c>
      <c r="G2253" s="33">
        <v>27</v>
      </c>
      <c r="H2253" s="13">
        <f t="shared" si="35"/>
        <v>10.777777777777779</v>
      </c>
    </row>
    <row r="2254" spans="1:8" hidden="1" outlineLevel="2">
      <c r="A2254" s="32" t="s">
        <v>22</v>
      </c>
      <c r="B2254" s="32" t="s">
        <v>1862</v>
      </c>
      <c r="C2254" s="32" t="s">
        <v>97</v>
      </c>
      <c r="D2254" s="32" t="s">
        <v>544</v>
      </c>
      <c r="E2254" s="33">
        <v>80</v>
      </c>
      <c r="F2254" s="33">
        <v>856</v>
      </c>
      <c r="G2254" s="33">
        <v>79</v>
      </c>
      <c r="H2254" s="13">
        <f t="shared" si="35"/>
        <v>10.7</v>
      </c>
    </row>
    <row r="2255" spans="1:8" hidden="1" outlineLevel="2">
      <c r="A2255" s="32" t="s">
        <v>22</v>
      </c>
      <c r="B2255" s="32" t="s">
        <v>86</v>
      </c>
      <c r="C2255" s="32" t="s">
        <v>119</v>
      </c>
      <c r="D2255" s="32" t="s">
        <v>667</v>
      </c>
      <c r="E2255" s="33">
        <v>300</v>
      </c>
      <c r="F2255" s="33">
        <v>3203</v>
      </c>
      <c r="G2255" s="33">
        <v>297</v>
      </c>
      <c r="H2255" s="13">
        <f t="shared" si="35"/>
        <v>10.676666666666666</v>
      </c>
    </row>
    <row r="2256" spans="1:8" hidden="1" outlineLevel="2">
      <c r="A2256" s="32" t="s">
        <v>22</v>
      </c>
      <c r="B2256" s="32" t="s">
        <v>1858</v>
      </c>
      <c r="C2256" s="32" t="s">
        <v>203</v>
      </c>
      <c r="D2256" s="32" t="s">
        <v>519</v>
      </c>
      <c r="E2256" s="33">
        <v>101</v>
      </c>
      <c r="F2256" s="33">
        <v>1073</v>
      </c>
      <c r="G2256" s="33">
        <v>99</v>
      </c>
      <c r="H2256" s="13">
        <f t="shared" si="35"/>
        <v>10.623762376237623</v>
      </c>
    </row>
    <row r="2257" spans="1:8" hidden="1" outlineLevel="2">
      <c r="A2257" s="32" t="s">
        <v>22</v>
      </c>
      <c r="B2257" s="32" t="s">
        <v>1862</v>
      </c>
      <c r="C2257" s="32" t="s">
        <v>97</v>
      </c>
      <c r="D2257" s="32" t="s">
        <v>645</v>
      </c>
      <c r="E2257" s="33">
        <v>20</v>
      </c>
      <c r="F2257" s="33">
        <v>211</v>
      </c>
      <c r="G2257" s="33">
        <v>20</v>
      </c>
      <c r="H2257" s="13">
        <f t="shared" si="35"/>
        <v>10.55</v>
      </c>
    </row>
    <row r="2258" spans="1:8" hidden="1" outlineLevel="2">
      <c r="A2258" s="32" t="s">
        <v>22</v>
      </c>
      <c r="B2258" s="32" t="s">
        <v>86</v>
      </c>
      <c r="C2258" s="32" t="s">
        <v>110</v>
      </c>
      <c r="D2258" s="32" t="s">
        <v>755</v>
      </c>
      <c r="E2258" s="33">
        <v>15</v>
      </c>
      <c r="F2258" s="33">
        <v>158</v>
      </c>
      <c r="G2258" s="33">
        <v>6</v>
      </c>
      <c r="H2258" s="13">
        <f t="shared" si="35"/>
        <v>10.533333333333333</v>
      </c>
    </row>
    <row r="2259" spans="1:8" hidden="1" outlineLevel="2">
      <c r="A2259" s="32" t="s">
        <v>22</v>
      </c>
      <c r="B2259" s="32" t="s">
        <v>86</v>
      </c>
      <c r="C2259" s="32" t="s">
        <v>127</v>
      </c>
      <c r="D2259" s="32" t="s">
        <v>235</v>
      </c>
      <c r="E2259" s="33">
        <v>20</v>
      </c>
      <c r="F2259" s="33">
        <v>208</v>
      </c>
      <c r="G2259" s="33">
        <v>20</v>
      </c>
      <c r="H2259" s="13">
        <f t="shared" si="35"/>
        <v>10.4</v>
      </c>
    </row>
    <row r="2260" spans="1:8" hidden="1" outlineLevel="2">
      <c r="A2260" s="32" t="s">
        <v>22</v>
      </c>
      <c r="B2260" s="32" t="s">
        <v>1858</v>
      </c>
      <c r="C2260" s="32" t="s">
        <v>104</v>
      </c>
      <c r="D2260" s="32" t="s">
        <v>159</v>
      </c>
      <c r="E2260" s="33">
        <v>320</v>
      </c>
      <c r="F2260" s="33">
        <v>3312</v>
      </c>
      <c r="G2260" s="33">
        <v>320</v>
      </c>
      <c r="H2260" s="13">
        <f t="shared" si="35"/>
        <v>10.35</v>
      </c>
    </row>
    <row r="2261" spans="1:8" hidden="1" outlineLevel="2">
      <c r="A2261" s="32" t="s">
        <v>22</v>
      </c>
      <c r="B2261" s="32" t="s">
        <v>86</v>
      </c>
      <c r="C2261" s="32" t="s">
        <v>127</v>
      </c>
      <c r="D2261" s="32" t="s">
        <v>413</v>
      </c>
      <c r="E2261" s="33">
        <v>30</v>
      </c>
      <c r="F2261" s="33">
        <v>308</v>
      </c>
      <c r="G2261" s="33">
        <v>30</v>
      </c>
      <c r="H2261" s="13">
        <f t="shared" si="35"/>
        <v>10.266666666666667</v>
      </c>
    </row>
    <row r="2262" spans="1:8" hidden="1" outlineLevel="2">
      <c r="A2262" s="32" t="s">
        <v>22</v>
      </c>
      <c r="B2262" s="32" t="s">
        <v>86</v>
      </c>
      <c r="C2262" s="32" t="s">
        <v>119</v>
      </c>
      <c r="D2262" s="32" t="s">
        <v>174</v>
      </c>
      <c r="E2262" s="33">
        <v>20</v>
      </c>
      <c r="F2262" s="33">
        <v>205</v>
      </c>
      <c r="G2262" s="33">
        <v>11</v>
      </c>
      <c r="H2262" s="13">
        <f t="shared" si="35"/>
        <v>10.25</v>
      </c>
    </row>
    <row r="2263" spans="1:8" hidden="1" outlineLevel="2">
      <c r="A2263" s="32" t="s">
        <v>22</v>
      </c>
      <c r="B2263" s="32" t="s">
        <v>86</v>
      </c>
      <c r="C2263" s="32" t="s">
        <v>152</v>
      </c>
      <c r="D2263" s="32" t="s">
        <v>366</v>
      </c>
      <c r="E2263" s="33">
        <v>340</v>
      </c>
      <c r="F2263" s="33">
        <v>3411</v>
      </c>
      <c r="G2263" s="33">
        <v>341</v>
      </c>
      <c r="H2263" s="13">
        <f t="shared" si="35"/>
        <v>10.032352941176471</v>
      </c>
    </row>
    <row r="2264" spans="1:8" hidden="1" outlineLevel="2">
      <c r="A2264" s="32" t="s">
        <v>22</v>
      </c>
      <c r="B2264" s="32" t="s">
        <v>1858</v>
      </c>
      <c r="C2264" s="32" t="s">
        <v>203</v>
      </c>
      <c r="D2264" s="32" t="s">
        <v>205</v>
      </c>
      <c r="E2264" s="33">
        <v>50</v>
      </c>
      <c r="F2264" s="33">
        <v>500</v>
      </c>
      <c r="G2264" s="33">
        <v>49</v>
      </c>
      <c r="H2264" s="13">
        <f t="shared" si="35"/>
        <v>10</v>
      </c>
    </row>
    <row r="2265" spans="1:8" hidden="1" outlineLevel="2">
      <c r="A2265" s="32" t="s">
        <v>22</v>
      </c>
      <c r="B2265" s="32" t="s">
        <v>1858</v>
      </c>
      <c r="C2265" s="32" t="s">
        <v>134</v>
      </c>
      <c r="D2265" s="32" t="s">
        <v>177</v>
      </c>
      <c r="E2265" s="33">
        <v>333</v>
      </c>
      <c r="F2265" s="33">
        <v>3312</v>
      </c>
      <c r="G2265" s="33">
        <v>331</v>
      </c>
      <c r="H2265" s="13">
        <f t="shared" si="35"/>
        <v>9.9459459459459456</v>
      </c>
    </row>
    <row r="2266" spans="1:8" hidden="1" outlineLevel="2">
      <c r="A2266" s="32" t="s">
        <v>22</v>
      </c>
      <c r="B2266" s="32" t="s">
        <v>1858</v>
      </c>
      <c r="C2266" s="32" t="s">
        <v>131</v>
      </c>
      <c r="D2266" s="32" t="s">
        <v>201</v>
      </c>
      <c r="E2266" s="33">
        <v>90</v>
      </c>
      <c r="F2266" s="33">
        <v>890</v>
      </c>
      <c r="G2266" s="33">
        <v>89</v>
      </c>
      <c r="H2266" s="13">
        <f t="shared" si="35"/>
        <v>9.8888888888888893</v>
      </c>
    </row>
    <row r="2267" spans="1:8" hidden="1" outlineLevel="2">
      <c r="A2267" s="32" t="s">
        <v>22</v>
      </c>
      <c r="B2267" s="32" t="s">
        <v>1858</v>
      </c>
      <c r="C2267" s="32" t="s">
        <v>302</v>
      </c>
      <c r="D2267" s="32" t="s">
        <v>619</v>
      </c>
      <c r="E2267" s="33">
        <v>35</v>
      </c>
      <c r="F2267" s="33">
        <v>344</v>
      </c>
      <c r="G2267" s="33">
        <v>33</v>
      </c>
      <c r="H2267" s="13">
        <f t="shared" si="35"/>
        <v>9.8285714285714292</v>
      </c>
    </row>
    <row r="2268" spans="1:8" hidden="1" outlineLevel="2">
      <c r="A2268" s="32" t="s">
        <v>22</v>
      </c>
      <c r="B2268" s="32" t="s">
        <v>1862</v>
      </c>
      <c r="C2268" s="32" t="s">
        <v>257</v>
      </c>
      <c r="D2268" s="32" t="s">
        <v>647</v>
      </c>
      <c r="E2268" s="33">
        <v>15</v>
      </c>
      <c r="F2268" s="33">
        <v>147</v>
      </c>
      <c r="G2268" s="33">
        <v>15</v>
      </c>
      <c r="H2268" s="13">
        <f t="shared" si="35"/>
        <v>9.8000000000000007</v>
      </c>
    </row>
    <row r="2269" spans="1:8" hidden="1" outlineLevel="2">
      <c r="A2269" s="32" t="s">
        <v>22</v>
      </c>
      <c r="B2269" s="32" t="s">
        <v>86</v>
      </c>
      <c r="C2269" s="32" t="s">
        <v>110</v>
      </c>
      <c r="D2269" s="32" t="s">
        <v>734</v>
      </c>
      <c r="E2269" s="33">
        <v>105</v>
      </c>
      <c r="F2269" s="33">
        <v>1020</v>
      </c>
      <c r="G2269" s="33">
        <v>102</v>
      </c>
      <c r="H2269" s="13">
        <f t="shared" si="35"/>
        <v>9.7142857142857135</v>
      </c>
    </row>
    <row r="2270" spans="1:8" hidden="1" outlineLevel="2">
      <c r="A2270" s="32" t="s">
        <v>22</v>
      </c>
      <c r="B2270" s="32" t="s">
        <v>86</v>
      </c>
      <c r="C2270" s="32" t="s">
        <v>138</v>
      </c>
      <c r="D2270" s="32" t="s">
        <v>688</v>
      </c>
      <c r="E2270" s="33">
        <v>140</v>
      </c>
      <c r="F2270" s="33">
        <v>1356</v>
      </c>
      <c r="G2270" s="33">
        <v>139</v>
      </c>
      <c r="H2270" s="13">
        <f t="shared" si="35"/>
        <v>9.6857142857142851</v>
      </c>
    </row>
    <row r="2271" spans="1:8" hidden="1" outlineLevel="2">
      <c r="A2271" s="32" t="s">
        <v>22</v>
      </c>
      <c r="B2271" s="32" t="s">
        <v>1862</v>
      </c>
      <c r="C2271" s="32" t="s">
        <v>99</v>
      </c>
      <c r="D2271" s="32" t="s">
        <v>338</v>
      </c>
      <c r="E2271" s="33">
        <v>190</v>
      </c>
      <c r="F2271" s="33">
        <v>1836</v>
      </c>
      <c r="G2271" s="33">
        <v>177</v>
      </c>
      <c r="H2271" s="13">
        <f t="shared" si="35"/>
        <v>9.6631578947368428</v>
      </c>
    </row>
    <row r="2272" spans="1:8" hidden="1" outlineLevel="2">
      <c r="A2272" s="32" t="s">
        <v>22</v>
      </c>
      <c r="B2272" s="32" t="s">
        <v>1858</v>
      </c>
      <c r="C2272" s="32" t="s">
        <v>134</v>
      </c>
      <c r="D2272" s="32" t="s">
        <v>208</v>
      </c>
      <c r="E2272" s="33">
        <v>60</v>
      </c>
      <c r="F2272" s="33">
        <v>579</v>
      </c>
      <c r="G2272" s="33">
        <v>60</v>
      </c>
      <c r="H2272" s="13">
        <f t="shared" si="35"/>
        <v>9.65</v>
      </c>
    </row>
    <row r="2273" spans="1:8" hidden="1" outlineLevel="2">
      <c r="A2273" s="32" t="s">
        <v>22</v>
      </c>
      <c r="B2273" s="32" t="s">
        <v>1862</v>
      </c>
      <c r="C2273" s="32" t="s">
        <v>115</v>
      </c>
      <c r="D2273" s="32" t="s">
        <v>432</v>
      </c>
      <c r="E2273" s="33">
        <v>90</v>
      </c>
      <c r="F2273" s="33">
        <v>863</v>
      </c>
      <c r="G2273" s="33">
        <v>89</v>
      </c>
      <c r="H2273" s="13">
        <f t="shared" si="35"/>
        <v>9.5888888888888886</v>
      </c>
    </row>
    <row r="2274" spans="1:8" hidden="1" outlineLevel="2">
      <c r="A2274" s="32" t="s">
        <v>22</v>
      </c>
      <c r="B2274" s="32" t="s">
        <v>86</v>
      </c>
      <c r="C2274" s="32" t="s">
        <v>127</v>
      </c>
      <c r="D2274" s="32" t="s">
        <v>701</v>
      </c>
      <c r="E2274" s="33">
        <v>125</v>
      </c>
      <c r="F2274" s="33">
        <v>1195</v>
      </c>
      <c r="G2274" s="33">
        <v>125</v>
      </c>
      <c r="H2274" s="13">
        <f t="shared" si="35"/>
        <v>9.56</v>
      </c>
    </row>
    <row r="2275" spans="1:8" hidden="1" outlineLevel="2">
      <c r="A2275" s="32" t="s">
        <v>22</v>
      </c>
      <c r="B2275" s="32" t="s">
        <v>86</v>
      </c>
      <c r="C2275" s="32" t="s">
        <v>155</v>
      </c>
      <c r="D2275" s="32" t="s">
        <v>704</v>
      </c>
      <c r="E2275" s="33">
        <v>25</v>
      </c>
      <c r="F2275" s="33">
        <v>239</v>
      </c>
      <c r="G2275" s="33">
        <v>25</v>
      </c>
      <c r="H2275" s="13">
        <f t="shared" si="35"/>
        <v>9.56</v>
      </c>
    </row>
    <row r="2276" spans="1:8" hidden="1" outlineLevel="2">
      <c r="A2276" s="32" t="s">
        <v>22</v>
      </c>
      <c r="B2276" s="32" t="s">
        <v>1862</v>
      </c>
      <c r="C2276" s="32" t="s">
        <v>108</v>
      </c>
      <c r="D2276" s="32" t="s">
        <v>335</v>
      </c>
      <c r="E2276" s="33">
        <v>27</v>
      </c>
      <c r="F2276" s="33">
        <v>258</v>
      </c>
      <c r="G2276" s="33">
        <v>25</v>
      </c>
      <c r="H2276" s="13">
        <f t="shared" si="35"/>
        <v>9.5555555555555554</v>
      </c>
    </row>
    <row r="2277" spans="1:8" hidden="1" outlineLevel="2">
      <c r="A2277" s="32" t="s">
        <v>22</v>
      </c>
      <c r="B2277" s="32" t="s">
        <v>1862</v>
      </c>
      <c r="C2277" s="32" t="s">
        <v>97</v>
      </c>
      <c r="D2277" s="32" t="s">
        <v>294</v>
      </c>
      <c r="E2277" s="33">
        <v>20</v>
      </c>
      <c r="F2277" s="33">
        <v>191</v>
      </c>
      <c r="G2277" s="33">
        <v>20</v>
      </c>
      <c r="H2277" s="13">
        <f t="shared" si="35"/>
        <v>9.5500000000000007</v>
      </c>
    </row>
    <row r="2278" spans="1:8" hidden="1" outlineLevel="2">
      <c r="A2278" s="32" t="s">
        <v>22</v>
      </c>
      <c r="B2278" s="32" t="s">
        <v>86</v>
      </c>
      <c r="C2278" s="32" t="s">
        <v>119</v>
      </c>
      <c r="D2278" s="32" t="s">
        <v>288</v>
      </c>
      <c r="E2278" s="33">
        <v>20</v>
      </c>
      <c r="F2278" s="33">
        <v>189</v>
      </c>
      <c r="G2278" s="33">
        <v>17</v>
      </c>
      <c r="H2278" s="13">
        <f t="shared" si="35"/>
        <v>9.4499999999999993</v>
      </c>
    </row>
    <row r="2279" spans="1:8" hidden="1" outlineLevel="2">
      <c r="A2279" s="32" t="s">
        <v>22</v>
      </c>
      <c r="B2279" s="32" t="s">
        <v>1858</v>
      </c>
      <c r="C2279" s="32" t="s">
        <v>144</v>
      </c>
      <c r="D2279" s="32" t="s">
        <v>636</v>
      </c>
      <c r="E2279" s="33">
        <v>32</v>
      </c>
      <c r="F2279" s="33">
        <v>300</v>
      </c>
      <c r="G2279" s="33">
        <v>32</v>
      </c>
      <c r="H2279" s="13">
        <f t="shared" si="35"/>
        <v>9.375</v>
      </c>
    </row>
    <row r="2280" spans="1:8" hidden="1" outlineLevel="2">
      <c r="A2280" s="32" t="s">
        <v>22</v>
      </c>
      <c r="B2280" s="32" t="s">
        <v>1862</v>
      </c>
      <c r="C2280" s="32" t="s">
        <v>115</v>
      </c>
      <c r="D2280" s="32" t="s">
        <v>273</v>
      </c>
      <c r="E2280" s="33">
        <v>90</v>
      </c>
      <c r="F2280" s="33">
        <v>834</v>
      </c>
      <c r="G2280" s="33">
        <v>90</v>
      </c>
      <c r="H2280" s="13">
        <f t="shared" si="35"/>
        <v>9.2666666666666675</v>
      </c>
    </row>
    <row r="2281" spans="1:8" hidden="1" outlineLevel="2">
      <c r="A2281" s="32" t="s">
        <v>22</v>
      </c>
      <c r="B2281" s="32" t="s">
        <v>86</v>
      </c>
      <c r="C2281" s="32" t="s">
        <v>127</v>
      </c>
      <c r="D2281" s="32" t="s">
        <v>414</v>
      </c>
      <c r="E2281" s="33">
        <v>120</v>
      </c>
      <c r="F2281" s="33">
        <v>1098</v>
      </c>
      <c r="G2281" s="33">
        <v>118</v>
      </c>
      <c r="H2281" s="13">
        <f t="shared" si="35"/>
        <v>9.15</v>
      </c>
    </row>
    <row r="2282" spans="1:8" hidden="1" outlineLevel="2">
      <c r="A2282" s="32" t="s">
        <v>22</v>
      </c>
      <c r="B2282" s="32" t="s">
        <v>86</v>
      </c>
      <c r="C2282" s="32" t="s">
        <v>127</v>
      </c>
      <c r="D2282" s="32" t="s">
        <v>530</v>
      </c>
      <c r="E2282" s="33">
        <v>36</v>
      </c>
      <c r="F2282" s="33">
        <v>329</v>
      </c>
      <c r="G2282" s="33">
        <v>36</v>
      </c>
      <c r="H2282" s="13">
        <f t="shared" si="35"/>
        <v>9.1388888888888893</v>
      </c>
    </row>
    <row r="2283" spans="1:8" hidden="1" outlineLevel="2">
      <c r="A2283" s="32" t="s">
        <v>22</v>
      </c>
      <c r="B2283" s="32" t="s">
        <v>86</v>
      </c>
      <c r="C2283" s="32" t="s">
        <v>152</v>
      </c>
      <c r="D2283" s="32" t="s">
        <v>770</v>
      </c>
      <c r="E2283" s="33">
        <v>30</v>
      </c>
      <c r="F2283" s="33">
        <v>272</v>
      </c>
      <c r="G2283" s="33">
        <v>29</v>
      </c>
      <c r="H2283" s="13">
        <f t="shared" si="35"/>
        <v>9.0666666666666664</v>
      </c>
    </row>
    <row r="2284" spans="1:8" hidden="1" outlineLevel="2">
      <c r="A2284" s="32" t="s">
        <v>22</v>
      </c>
      <c r="B2284" s="32" t="s">
        <v>86</v>
      </c>
      <c r="C2284" s="32" t="s">
        <v>190</v>
      </c>
      <c r="D2284" s="32" t="s">
        <v>762</v>
      </c>
      <c r="E2284" s="33">
        <v>220</v>
      </c>
      <c r="F2284" s="33">
        <v>1982</v>
      </c>
      <c r="G2284" s="33">
        <v>239</v>
      </c>
      <c r="H2284" s="13">
        <f t="shared" si="35"/>
        <v>9.0090909090909097</v>
      </c>
    </row>
    <row r="2285" spans="1:8" hidden="1" outlineLevel="2">
      <c r="A2285" s="32" t="s">
        <v>22</v>
      </c>
      <c r="B2285" s="32" t="s">
        <v>1862</v>
      </c>
      <c r="C2285" s="32" t="s">
        <v>108</v>
      </c>
      <c r="D2285" s="32" t="s">
        <v>296</v>
      </c>
      <c r="E2285" s="33">
        <v>210</v>
      </c>
      <c r="F2285" s="33">
        <v>1878</v>
      </c>
      <c r="G2285" s="33">
        <v>208</v>
      </c>
      <c r="H2285" s="13">
        <f t="shared" si="35"/>
        <v>8.9428571428571431</v>
      </c>
    </row>
    <row r="2286" spans="1:8" hidden="1" outlineLevel="2">
      <c r="A2286" s="32" t="s">
        <v>22</v>
      </c>
      <c r="B2286" s="32" t="s">
        <v>1862</v>
      </c>
      <c r="C2286" s="32" t="s">
        <v>115</v>
      </c>
      <c r="D2286" s="32" t="s">
        <v>433</v>
      </c>
      <c r="E2286" s="33">
        <v>650</v>
      </c>
      <c r="F2286" s="33">
        <v>5776</v>
      </c>
      <c r="G2286" s="33">
        <v>647</v>
      </c>
      <c r="H2286" s="13">
        <f t="shared" si="35"/>
        <v>8.8861538461538458</v>
      </c>
    </row>
    <row r="2287" spans="1:8" hidden="1" outlineLevel="2">
      <c r="A2287" s="32" t="s">
        <v>22</v>
      </c>
      <c r="B2287" s="32" t="s">
        <v>1862</v>
      </c>
      <c r="C2287" s="32" t="s">
        <v>97</v>
      </c>
      <c r="D2287" s="32" t="s">
        <v>255</v>
      </c>
      <c r="E2287" s="33">
        <v>66</v>
      </c>
      <c r="F2287" s="33">
        <v>585</v>
      </c>
      <c r="G2287" s="33">
        <v>66</v>
      </c>
      <c r="H2287" s="13">
        <f t="shared" si="35"/>
        <v>8.8636363636363633</v>
      </c>
    </row>
    <row r="2288" spans="1:8" hidden="1" outlineLevel="2">
      <c r="A2288" s="32" t="s">
        <v>22</v>
      </c>
      <c r="B2288" s="32" t="s">
        <v>86</v>
      </c>
      <c r="C2288" s="32" t="s">
        <v>127</v>
      </c>
      <c r="D2288" s="32" t="s">
        <v>414</v>
      </c>
      <c r="E2288" s="33">
        <v>120</v>
      </c>
      <c r="F2288" s="33">
        <v>1053</v>
      </c>
      <c r="G2288" s="33">
        <v>118</v>
      </c>
      <c r="H2288" s="13">
        <f t="shared" si="35"/>
        <v>8.7750000000000004</v>
      </c>
    </row>
    <row r="2289" spans="1:8" hidden="1" outlineLevel="2">
      <c r="A2289" s="32" t="s">
        <v>22</v>
      </c>
      <c r="B2289" s="32" t="s">
        <v>86</v>
      </c>
      <c r="C2289" s="32" t="s">
        <v>127</v>
      </c>
      <c r="D2289" s="32" t="s">
        <v>229</v>
      </c>
      <c r="E2289" s="33">
        <v>8</v>
      </c>
      <c r="F2289" s="33">
        <v>69</v>
      </c>
      <c r="G2289" s="33">
        <v>8</v>
      </c>
      <c r="H2289" s="13">
        <f t="shared" si="35"/>
        <v>8.625</v>
      </c>
    </row>
    <row r="2290" spans="1:8" hidden="1" outlineLevel="2">
      <c r="A2290" s="32" t="s">
        <v>22</v>
      </c>
      <c r="B2290" s="32" t="s">
        <v>86</v>
      </c>
      <c r="C2290" s="32" t="s">
        <v>127</v>
      </c>
      <c r="D2290" s="32" t="s">
        <v>228</v>
      </c>
      <c r="E2290" s="33">
        <v>5</v>
      </c>
      <c r="F2290" s="33">
        <v>43</v>
      </c>
      <c r="G2290" s="33">
        <v>5</v>
      </c>
      <c r="H2290" s="13">
        <f t="shared" si="35"/>
        <v>8.6</v>
      </c>
    </row>
    <row r="2291" spans="1:8" hidden="1" outlineLevel="2">
      <c r="A2291" s="32" t="s">
        <v>22</v>
      </c>
      <c r="B2291" s="32" t="s">
        <v>86</v>
      </c>
      <c r="C2291" s="32" t="s">
        <v>110</v>
      </c>
      <c r="D2291" s="32" t="s">
        <v>506</v>
      </c>
      <c r="E2291" s="33">
        <v>106</v>
      </c>
      <c r="F2291" s="33">
        <v>903</v>
      </c>
      <c r="G2291" s="33">
        <v>105</v>
      </c>
      <c r="H2291" s="13">
        <f t="shared" si="35"/>
        <v>8.5188679245283012</v>
      </c>
    </row>
    <row r="2292" spans="1:8" hidden="1" outlineLevel="2">
      <c r="A2292" s="32" t="s">
        <v>22</v>
      </c>
      <c r="B2292" s="32" t="s">
        <v>1858</v>
      </c>
      <c r="C2292" s="32" t="s">
        <v>144</v>
      </c>
      <c r="D2292" s="32" t="s">
        <v>145</v>
      </c>
      <c r="E2292" s="33">
        <v>35</v>
      </c>
      <c r="F2292" s="33">
        <v>298</v>
      </c>
      <c r="G2292" s="33">
        <v>35</v>
      </c>
      <c r="H2292" s="13">
        <f t="shared" si="35"/>
        <v>8.5142857142857142</v>
      </c>
    </row>
    <row r="2293" spans="1:8" hidden="1" outlineLevel="2">
      <c r="A2293" s="32" t="s">
        <v>22</v>
      </c>
      <c r="B2293" s="32" t="s">
        <v>86</v>
      </c>
      <c r="C2293" s="32" t="s">
        <v>148</v>
      </c>
      <c r="D2293" s="32" t="s">
        <v>721</v>
      </c>
      <c r="E2293" s="33">
        <v>16</v>
      </c>
      <c r="F2293" s="33">
        <v>136</v>
      </c>
      <c r="G2293" s="33">
        <v>16</v>
      </c>
      <c r="H2293" s="13">
        <f t="shared" si="35"/>
        <v>8.5</v>
      </c>
    </row>
    <row r="2294" spans="1:8" hidden="1" outlineLevel="2">
      <c r="A2294" s="32" t="s">
        <v>22</v>
      </c>
      <c r="B2294" s="32" t="s">
        <v>1862</v>
      </c>
      <c r="C2294" s="32" t="s">
        <v>115</v>
      </c>
      <c r="D2294" s="32" t="s">
        <v>467</v>
      </c>
      <c r="E2294" s="33">
        <v>136</v>
      </c>
      <c r="F2294" s="33">
        <v>1153</v>
      </c>
      <c r="G2294" s="33">
        <v>134</v>
      </c>
      <c r="H2294" s="13">
        <f t="shared" si="35"/>
        <v>8.4779411764705888</v>
      </c>
    </row>
    <row r="2295" spans="1:8" hidden="1" outlineLevel="2">
      <c r="A2295" s="32" t="s">
        <v>22</v>
      </c>
      <c r="B2295" s="32" t="s">
        <v>86</v>
      </c>
      <c r="C2295" s="32" t="s">
        <v>119</v>
      </c>
      <c r="D2295" s="32" t="s">
        <v>575</v>
      </c>
      <c r="E2295" s="33">
        <v>25</v>
      </c>
      <c r="F2295" s="33">
        <v>208</v>
      </c>
      <c r="G2295" s="33">
        <v>25</v>
      </c>
      <c r="H2295" s="13">
        <f t="shared" si="35"/>
        <v>8.32</v>
      </c>
    </row>
    <row r="2296" spans="1:8" hidden="1" outlineLevel="2">
      <c r="A2296" s="32" t="s">
        <v>22</v>
      </c>
      <c r="B2296" s="32" t="s">
        <v>86</v>
      </c>
      <c r="C2296" s="32" t="s">
        <v>119</v>
      </c>
      <c r="D2296" s="32" t="s">
        <v>456</v>
      </c>
      <c r="E2296" s="33">
        <v>10</v>
      </c>
      <c r="F2296" s="33">
        <v>83</v>
      </c>
      <c r="G2296" s="33">
        <v>10</v>
      </c>
      <c r="H2296" s="13">
        <f t="shared" si="35"/>
        <v>8.3000000000000007</v>
      </c>
    </row>
    <row r="2297" spans="1:8" hidden="1" outlineLevel="2">
      <c r="A2297" s="32" t="s">
        <v>22</v>
      </c>
      <c r="B2297" s="32" t="s">
        <v>1858</v>
      </c>
      <c r="C2297" s="32" t="s">
        <v>239</v>
      </c>
      <c r="D2297" s="32" t="s">
        <v>296</v>
      </c>
      <c r="E2297" s="33">
        <v>110</v>
      </c>
      <c r="F2297" s="33">
        <v>910</v>
      </c>
      <c r="G2297" s="33">
        <v>135</v>
      </c>
      <c r="H2297" s="13">
        <f t="shared" si="35"/>
        <v>8.2727272727272734</v>
      </c>
    </row>
    <row r="2298" spans="1:8" hidden="1" outlineLevel="2">
      <c r="A2298" s="32" t="s">
        <v>22</v>
      </c>
      <c r="B2298" s="32" t="s">
        <v>86</v>
      </c>
      <c r="C2298" s="32" t="s">
        <v>127</v>
      </c>
      <c r="D2298" s="32" t="s">
        <v>230</v>
      </c>
      <c r="E2298" s="33">
        <v>20</v>
      </c>
      <c r="F2298" s="33">
        <v>165</v>
      </c>
      <c r="G2298" s="33">
        <v>19</v>
      </c>
      <c r="H2298" s="13">
        <f t="shared" si="35"/>
        <v>8.25</v>
      </c>
    </row>
    <row r="2299" spans="1:8" hidden="1" outlineLevel="2">
      <c r="A2299" s="32" t="s">
        <v>22</v>
      </c>
      <c r="B2299" s="32" t="s">
        <v>1862</v>
      </c>
      <c r="C2299" s="32" t="s">
        <v>97</v>
      </c>
      <c r="D2299" s="32" t="s">
        <v>565</v>
      </c>
      <c r="E2299" s="33">
        <v>90</v>
      </c>
      <c r="F2299" s="33">
        <v>731</v>
      </c>
      <c r="G2299" s="33">
        <v>88</v>
      </c>
      <c r="H2299" s="13">
        <f t="shared" si="35"/>
        <v>8.1222222222222218</v>
      </c>
    </row>
    <row r="2300" spans="1:8" hidden="1" outlineLevel="2">
      <c r="A2300" s="32" t="s">
        <v>22</v>
      </c>
      <c r="B2300" s="32" t="s">
        <v>1858</v>
      </c>
      <c r="C2300" s="32" t="s">
        <v>144</v>
      </c>
      <c r="D2300" s="32" t="s">
        <v>285</v>
      </c>
      <c r="E2300" s="33">
        <v>153</v>
      </c>
      <c r="F2300" s="33">
        <v>1241</v>
      </c>
      <c r="G2300" s="33">
        <v>157</v>
      </c>
      <c r="H2300" s="13">
        <f t="shared" si="35"/>
        <v>8.1111111111111107</v>
      </c>
    </row>
    <row r="2301" spans="1:8" hidden="1" outlineLevel="2">
      <c r="A2301" s="32" t="s">
        <v>22</v>
      </c>
      <c r="B2301" s="32" t="s">
        <v>1862</v>
      </c>
      <c r="C2301" s="32" t="s">
        <v>97</v>
      </c>
      <c r="D2301" s="32" t="s">
        <v>460</v>
      </c>
      <c r="E2301" s="33">
        <v>100</v>
      </c>
      <c r="F2301" s="33">
        <v>809</v>
      </c>
      <c r="G2301" s="33">
        <v>113</v>
      </c>
      <c r="H2301" s="13">
        <f t="shared" si="35"/>
        <v>8.09</v>
      </c>
    </row>
    <row r="2302" spans="1:8" hidden="1" outlineLevel="2">
      <c r="A2302" s="32" t="s">
        <v>22</v>
      </c>
      <c r="B2302" s="32" t="s">
        <v>1862</v>
      </c>
      <c r="C2302" s="32" t="s">
        <v>108</v>
      </c>
      <c r="D2302" s="32" t="s">
        <v>112</v>
      </c>
      <c r="E2302" s="33">
        <v>25</v>
      </c>
      <c r="F2302" s="33">
        <v>200</v>
      </c>
      <c r="G2302" s="33">
        <v>22</v>
      </c>
      <c r="H2302" s="13">
        <f t="shared" si="35"/>
        <v>8</v>
      </c>
    </row>
    <row r="2303" spans="1:8" hidden="1" outlineLevel="2">
      <c r="A2303" s="32" t="s">
        <v>22</v>
      </c>
      <c r="B2303" s="32" t="s">
        <v>86</v>
      </c>
      <c r="C2303" s="32" t="s">
        <v>127</v>
      </c>
      <c r="D2303" s="32" t="s">
        <v>230</v>
      </c>
      <c r="E2303" s="33">
        <v>37</v>
      </c>
      <c r="F2303" s="33">
        <v>296</v>
      </c>
      <c r="G2303" s="33">
        <v>37</v>
      </c>
      <c r="H2303" s="13">
        <f t="shared" si="35"/>
        <v>8</v>
      </c>
    </row>
    <row r="2304" spans="1:8" hidden="1" outlineLevel="2">
      <c r="A2304" s="32" t="s">
        <v>22</v>
      </c>
      <c r="B2304" s="32" t="s">
        <v>1862</v>
      </c>
      <c r="C2304" s="32" t="s">
        <v>97</v>
      </c>
      <c r="D2304" s="32" t="s">
        <v>308</v>
      </c>
      <c r="E2304" s="33">
        <v>60</v>
      </c>
      <c r="F2304" s="33">
        <v>474</v>
      </c>
      <c r="G2304" s="33">
        <v>57</v>
      </c>
      <c r="H2304" s="13">
        <f t="shared" si="35"/>
        <v>7.9</v>
      </c>
    </row>
    <row r="2305" spans="1:8" hidden="1" outlineLevel="2">
      <c r="A2305" s="32" t="s">
        <v>22</v>
      </c>
      <c r="B2305" s="32" t="s">
        <v>1862</v>
      </c>
      <c r="C2305" s="32" t="s">
        <v>108</v>
      </c>
      <c r="D2305" s="32" t="s">
        <v>449</v>
      </c>
      <c r="E2305" s="33">
        <v>300</v>
      </c>
      <c r="F2305" s="33">
        <v>2362</v>
      </c>
      <c r="G2305" s="33">
        <v>292</v>
      </c>
      <c r="H2305" s="13">
        <f t="shared" si="35"/>
        <v>7.8733333333333331</v>
      </c>
    </row>
    <row r="2306" spans="1:8" hidden="1" outlineLevel="2">
      <c r="A2306" s="32" t="s">
        <v>22</v>
      </c>
      <c r="B2306" s="32" t="s">
        <v>1862</v>
      </c>
      <c r="C2306" s="32" t="s">
        <v>97</v>
      </c>
      <c r="D2306" s="32" t="s">
        <v>760</v>
      </c>
      <c r="E2306" s="33">
        <v>130</v>
      </c>
      <c r="F2306" s="33">
        <v>1022</v>
      </c>
      <c r="G2306" s="33">
        <v>126</v>
      </c>
      <c r="H2306" s="13">
        <f t="shared" ref="H2306:H2369" si="36">IFERROR(F2306/E2306,"")</f>
        <v>7.8615384615384611</v>
      </c>
    </row>
    <row r="2307" spans="1:8" hidden="1" outlineLevel="2">
      <c r="A2307" s="32" t="s">
        <v>22</v>
      </c>
      <c r="B2307" s="32" t="s">
        <v>86</v>
      </c>
      <c r="C2307" s="32" t="s">
        <v>127</v>
      </c>
      <c r="D2307" s="32" t="s">
        <v>230</v>
      </c>
      <c r="E2307" s="33">
        <v>19</v>
      </c>
      <c r="F2307" s="33">
        <v>149</v>
      </c>
      <c r="G2307" s="33">
        <v>19</v>
      </c>
      <c r="H2307" s="13">
        <f t="shared" si="36"/>
        <v>7.8421052631578947</v>
      </c>
    </row>
    <row r="2308" spans="1:8" hidden="1" outlineLevel="2">
      <c r="A2308" s="32" t="s">
        <v>22</v>
      </c>
      <c r="B2308" s="32" t="s">
        <v>1858</v>
      </c>
      <c r="C2308" s="32" t="s">
        <v>144</v>
      </c>
      <c r="D2308" s="32" t="s">
        <v>146</v>
      </c>
      <c r="E2308" s="33">
        <v>135</v>
      </c>
      <c r="F2308" s="33">
        <v>1052</v>
      </c>
      <c r="G2308" s="33">
        <v>132</v>
      </c>
      <c r="H2308" s="13">
        <f t="shared" si="36"/>
        <v>7.7925925925925927</v>
      </c>
    </row>
    <row r="2309" spans="1:8" hidden="1" outlineLevel="2">
      <c r="A2309" s="32" t="s">
        <v>22</v>
      </c>
      <c r="B2309" s="32" t="s">
        <v>1862</v>
      </c>
      <c r="C2309" s="32" t="s">
        <v>108</v>
      </c>
      <c r="D2309" s="32" t="s">
        <v>711</v>
      </c>
      <c r="E2309" s="33">
        <v>32</v>
      </c>
      <c r="F2309" s="33">
        <v>249</v>
      </c>
      <c r="G2309" s="33">
        <v>30</v>
      </c>
      <c r="H2309" s="13">
        <f t="shared" si="36"/>
        <v>7.78125</v>
      </c>
    </row>
    <row r="2310" spans="1:8" hidden="1" outlineLevel="2">
      <c r="A2310" s="32" t="s">
        <v>22</v>
      </c>
      <c r="B2310" s="32" t="s">
        <v>86</v>
      </c>
      <c r="C2310" s="32" t="s">
        <v>127</v>
      </c>
      <c r="D2310" s="32" t="s">
        <v>775</v>
      </c>
      <c r="E2310" s="33">
        <v>60</v>
      </c>
      <c r="F2310" s="33">
        <v>464</v>
      </c>
      <c r="G2310" s="33">
        <v>60</v>
      </c>
      <c r="H2310" s="13">
        <f t="shared" si="36"/>
        <v>7.7333333333333334</v>
      </c>
    </row>
    <row r="2311" spans="1:8" hidden="1" outlineLevel="2">
      <c r="A2311" s="32" t="s">
        <v>22</v>
      </c>
      <c r="B2311" s="32" t="s">
        <v>86</v>
      </c>
      <c r="C2311" s="32" t="s">
        <v>119</v>
      </c>
      <c r="D2311" s="32" t="s">
        <v>373</v>
      </c>
      <c r="E2311" s="33">
        <v>70</v>
      </c>
      <c r="F2311" s="33">
        <v>541</v>
      </c>
      <c r="G2311" s="33">
        <v>67</v>
      </c>
      <c r="H2311" s="13">
        <f t="shared" si="36"/>
        <v>7.7285714285714286</v>
      </c>
    </row>
    <row r="2312" spans="1:8" hidden="1" outlineLevel="2">
      <c r="A2312" s="32" t="s">
        <v>22</v>
      </c>
      <c r="B2312" s="32" t="s">
        <v>1862</v>
      </c>
      <c r="C2312" s="32" t="s">
        <v>97</v>
      </c>
      <c r="D2312" s="32" t="s">
        <v>292</v>
      </c>
      <c r="E2312" s="33">
        <v>35</v>
      </c>
      <c r="F2312" s="33">
        <v>270</v>
      </c>
      <c r="G2312" s="33">
        <v>34</v>
      </c>
      <c r="H2312" s="13">
        <f t="shared" si="36"/>
        <v>7.7142857142857144</v>
      </c>
    </row>
    <row r="2313" spans="1:8" hidden="1" outlineLevel="2">
      <c r="A2313" s="32" t="s">
        <v>22</v>
      </c>
      <c r="B2313" s="32" t="s">
        <v>86</v>
      </c>
      <c r="C2313" s="32" t="s">
        <v>127</v>
      </c>
      <c r="D2313" s="32" t="s">
        <v>583</v>
      </c>
      <c r="E2313" s="33">
        <v>14</v>
      </c>
      <c r="F2313" s="33">
        <v>108</v>
      </c>
      <c r="G2313" s="33">
        <v>13</v>
      </c>
      <c r="H2313" s="13">
        <f t="shared" si="36"/>
        <v>7.7142857142857144</v>
      </c>
    </row>
    <row r="2314" spans="1:8" hidden="1" outlineLevel="2">
      <c r="A2314" s="32" t="s">
        <v>22</v>
      </c>
      <c r="B2314" s="32" t="s">
        <v>1858</v>
      </c>
      <c r="C2314" s="32" t="s">
        <v>131</v>
      </c>
      <c r="D2314" s="32" t="s">
        <v>459</v>
      </c>
      <c r="E2314" s="33">
        <v>130</v>
      </c>
      <c r="F2314" s="33">
        <v>1001</v>
      </c>
      <c r="G2314" s="33">
        <v>126</v>
      </c>
      <c r="H2314" s="13">
        <f t="shared" si="36"/>
        <v>7.7</v>
      </c>
    </row>
    <row r="2315" spans="1:8" hidden="1" outlineLevel="2">
      <c r="A2315" s="32" t="s">
        <v>22</v>
      </c>
      <c r="B2315" s="32" t="s">
        <v>1858</v>
      </c>
      <c r="C2315" s="32" t="s">
        <v>89</v>
      </c>
      <c r="D2315" s="32" t="s">
        <v>91</v>
      </c>
      <c r="E2315" s="33">
        <v>55</v>
      </c>
      <c r="F2315" s="33">
        <v>423</v>
      </c>
      <c r="G2315" s="33">
        <v>55</v>
      </c>
      <c r="H2315" s="13">
        <f t="shared" si="36"/>
        <v>7.6909090909090905</v>
      </c>
    </row>
    <row r="2316" spans="1:8" hidden="1" outlineLevel="2">
      <c r="A2316" s="32" t="s">
        <v>22</v>
      </c>
      <c r="B2316" s="32" t="s">
        <v>1858</v>
      </c>
      <c r="C2316" s="32" t="s">
        <v>445</v>
      </c>
      <c r="D2316" s="32" t="s">
        <v>695</v>
      </c>
      <c r="E2316" s="33">
        <v>72</v>
      </c>
      <c r="F2316" s="33">
        <v>550</v>
      </c>
      <c r="G2316" s="33">
        <v>71</v>
      </c>
      <c r="H2316" s="13">
        <f t="shared" si="36"/>
        <v>7.6388888888888893</v>
      </c>
    </row>
    <row r="2317" spans="1:8" hidden="1" outlineLevel="2">
      <c r="A2317" s="32" t="s">
        <v>22</v>
      </c>
      <c r="B2317" s="32" t="s">
        <v>1862</v>
      </c>
      <c r="C2317" s="32" t="s">
        <v>562</v>
      </c>
      <c r="D2317" s="32" t="s">
        <v>640</v>
      </c>
      <c r="E2317" s="33">
        <v>110</v>
      </c>
      <c r="F2317" s="33">
        <v>827</v>
      </c>
      <c r="G2317" s="33">
        <v>113</v>
      </c>
      <c r="H2317" s="13">
        <f t="shared" si="36"/>
        <v>7.5181818181818185</v>
      </c>
    </row>
    <row r="2318" spans="1:8" hidden="1" outlineLevel="2">
      <c r="A2318" s="32" t="s">
        <v>22</v>
      </c>
      <c r="B2318" s="32" t="s">
        <v>1862</v>
      </c>
      <c r="C2318" s="32" t="s">
        <v>108</v>
      </c>
      <c r="D2318" s="32" t="s">
        <v>165</v>
      </c>
      <c r="E2318" s="33">
        <v>130</v>
      </c>
      <c r="F2318" s="33">
        <v>975</v>
      </c>
      <c r="G2318" s="33">
        <v>168</v>
      </c>
      <c r="H2318" s="13">
        <f t="shared" si="36"/>
        <v>7.5</v>
      </c>
    </row>
    <row r="2319" spans="1:8" hidden="1" outlineLevel="2">
      <c r="A2319" s="32" t="s">
        <v>22</v>
      </c>
      <c r="B2319" s="32" t="s">
        <v>1862</v>
      </c>
      <c r="C2319" s="32" t="s">
        <v>97</v>
      </c>
      <c r="D2319" s="32" t="s">
        <v>644</v>
      </c>
      <c r="E2319" s="33">
        <v>35</v>
      </c>
      <c r="F2319" s="33">
        <v>262</v>
      </c>
      <c r="G2319" s="33">
        <v>34</v>
      </c>
      <c r="H2319" s="13">
        <f t="shared" si="36"/>
        <v>7.4857142857142858</v>
      </c>
    </row>
    <row r="2320" spans="1:8" hidden="1" outlineLevel="2">
      <c r="A2320" s="32" t="s">
        <v>22</v>
      </c>
      <c r="B2320" s="32" t="s">
        <v>1858</v>
      </c>
      <c r="C2320" s="32" t="s">
        <v>144</v>
      </c>
      <c r="D2320" s="32" t="s">
        <v>594</v>
      </c>
      <c r="E2320" s="33">
        <v>244</v>
      </c>
      <c r="F2320" s="33">
        <v>1816</v>
      </c>
      <c r="G2320" s="33">
        <v>237</v>
      </c>
      <c r="H2320" s="13">
        <f t="shared" si="36"/>
        <v>7.442622950819672</v>
      </c>
    </row>
    <row r="2321" spans="1:8" hidden="1" outlineLevel="2">
      <c r="A2321" s="32" t="s">
        <v>22</v>
      </c>
      <c r="B2321" s="32" t="s">
        <v>1862</v>
      </c>
      <c r="C2321" s="32" t="s">
        <v>115</v>
      </c>
      <c r="D2321" s="32" t="s">
        <v>118</v>
      </c>
      <c r="E2321" s="33">
        <v>50</v>
      </c>
      <c r="F2321" s="33">
        <v>370</v>
      </c>
      <c r="G2321" s="33">
        <v>47</v>
      </c>
      <c r="H2321" s="13">
        <f t="shared" si="36"/>
        <v>7.4</v>
      </c>
    </row>
    <row r="2322" spans="1:8" hidden="1" outlineLevel="2">
      <c r="A2322" s="32" t="s">
        <v>22</v>
      </c>
      <c r="B2322" s="32" t="s">
        <v>86</v>
      </c>
      <c r="C2322" s="32" t="s">
        <v>127</v>
      </c>
      <c r="D2322" s="32" t="s">
        <v>229</v>
      </c>
      <c r="E2322" s="33">
        <v>8</v>
      </c>
      <c r="F2322" s="33">
        <v>59</v>
      </c>
      <c r="G2322" s="33">
        <v>8</v>
      </c>
      <c r="H2322" s="13">
        <f t="shared" si="36"/>
        <v>7.375</v>
      </c>
    </row>
    <row r="2323" spans="1:8" hidden="1" outlineLevel="2">
      <c r="A2323" s="32" t="s">
        <v>22</v>
      </c>
      <c r="B2323" s="32" t="s">
        <v>86</v>
      </c>
      <c r="C2323" s="32" t="s">
        <v>127</v>
      </c>
      <c r="D2323" s="32" t="s">
        <v>584</v>
      </c>
      <c r="E2323" s="33">
        <v>61</v>
      </c>
      <c r="F2323" s="33">
        <v>449</v>
      </c>
      <c r="G2323" s="33">
        <v>59</v>
      </c>
      <c r="H2323" s="13">
        <f t="shared" si="36"/>
        <v>7.360655737704918</v>
      </c>
    </row>
    <row r="2324" spans="1:8" hidden="1" outlineLevel="2">
      <c r="A2324" s="32" t="s">
        <v>22</v>
      </c>
      <c r="B2324" s="32" t="s">
        <v>86</v>
      </c>
      <c r="C2324" s="32" t="s">
        <v>127</v>
      </c>
      <c r="D2324" s="32" t="s">
        <v>408</v>
      </c>
      <c r="E2324" s="33">
        <v>11</v>
      </c>
      <c r="F2324" s="33">
        <v>80</v>
      </c>
      <c r="G2324" s="33">
        <v>11</v>
      </c>
      <c r="H2324" s="13">
        <f t="shared" si="36"/>
        <v>7.2727272727272725</v>
      </c>
    </row>
    <row r="2325" spans="1:8" hidden="1" outlineLevel="2">
      <c r="A2325" s="32" t="s">
        <v>22</v>
      </c>
      <c r="B2325" s="32" t="s">
        <v>1858</v>
      </c>
      <c r="C2325" s="32" t="s">
        <v>129</v>
      </c>
      <c r="D2325" s="32" t="s">
        <v>154</v>
      </c>
      <c r="E2325" s="33">
        <v>15</v>
      </c>
      <c r="F2325" s="33">
        <v>109</v>
      </c>
      <c r="G2325" s="33">
        <v>16</v>
      </c>
      <c r="H2325" s="13">
        <f t="shared" si="36"/>
        <v>7.2666666666666666</v>
      </c>
    </row>
    <row r="2326" spans="1:8" hidden="1" outlineLevel="2">
      <c r="A2326" s="32" t="s">
        <v>22</v>
      </c>
      <c r="B2326" s="32" t="s">
        <v>1862</v>
      </c>
      <c r="C2326" s="32" t="s">
        <v>108</v>
      </c>
      <c r="D2326" s="32" t="s">
        <v>295</v>
      </c>
      <c r="E2326" s="33">
        <v>130</v>
      </c>
      <c r="F2326" s="33">
        <v>942</v>
      </c>
      <c r="G2326" s="33">
        <v>124</v>
      </c>
      <c r="H2326" s="13">
        <f t="shared" si="36"/>
        <v>7.2461538461538462</v>
      </c>
    </row>
    <row r="2327" spans="1:8" hidden="1" outlineLevel="2">
      <c r="A2327" s="32" t="s">
        <v>22</v>
      </c>
      <c r="B2327" s="32" t="s">
        <v>86</v>
      </c>
      <c r="C2327" s="32" t="s">
        <v>190</v>
      </c>
      <c r="D2327" s="32" t="s">
        <v>478</v>
      </c>
      <c r="E2327" s="33">
        <v>15</v>
      </c>
      <c r="F2327" s="33">
        <v>108</v>
      </c>
      <c r="G2327" s="33">
        <v>14</v>
      </c>
      <c r="H2327" s="13">
        <f t="shared" si="36"/>
        <v>7.2</v>
      </c>
    </row>
    <row r="2328" spans="1:8" hidden="1" outlineLevel="2">
      <c r="A2328" s="32" t="s">
        <v>22</v>
      </c>
      <c r="B2328" s="32" t="s">
        <v>1862</v>
      </c>
      <c r="C2328" s="32" t="s">
        <v>97</v>
      </c>
      <c r="D2328" s="32" t="s">
        <v>309</v>
      </c>
      <c r="E2328" s="33">
        <v>180</v>
      </c>
      <c r="F2328" s="33">
        <v>1286</v>
      </c>
      <c r="G2328" s="33">
        <v>176</v>
      </c>
      <c r="H2328" s="13">
        <f t="shared" si="36"/>
        <v>7.1444444444444448</v>
      </c>
    </row>
    <row r="2329" spans="1:8" hidden="1" outlineLevel="2">
      <c r="A2329" s="32" t="s">
        <v>22</v>
      </c>
      <c r="B2329" s="32" t="s">
        <v>1858</v>
      </c>
      <c r="C2329" s="32" t="s">
        <v>131</v>
      </c>
      <c r="D2329" s="32" t="s">
        <v>245</v>
      </c>
      <c r="E2329" s="33">
        <v>130</v>
      </c>
      <c r="F2329" s="33">
        <v>921</v>
      </c>
      <c r="G2329" s="33">
        <v>130</v>
      </c>
      <c r="H2329" s="13">
        <f t="shared" si="36"/>
        <v>7.0846153846153843</v>
      </c>
    </row>
    <row r="2330" spans="1:8" hidden="1" outlineLevel="2">
      <c r="A2330" s="32" t="s">
        <v>22</v>
      </c>
      <c r="B2330" s="32" t="s">
        <v>86</v>
      </c>
      <c r="C2330" s="32" t="s">
        <v>152</v>
      </c>
      <c r="D2330" s="32" t="s">
        <v>364</v>
      </c>
      <c r="E2330" s="33">
        <v>25</v>
      </c>
      <c r="F2330" s="33">
        <v>177</v>
      </c>
      <c r="G2330" s="33">
        <v>25</v>
      </c>
      <c r="H2330" s="13">
        <f t="shared" si="36"/>
        <v>7.08</v>
      </c>
    </row>
    <row r="2331" spans="1:8" hidden="1" outlineLevel="2">
      <c r="A2331" s="32" t="s">
        <v>22</v>
      </c>
      <c r="B2331" s="32" t="s">
        <v>86</v>
      </c>
      <c r="C2331" s="32" t="s">
        <v>127</v>
      </c>
      <c r="D2331" s="32" t="s">
        <v>167</v>
      </c>
      <c r="E2331" s="33">
        <v>40</v>
      </c>
      <c r="F2331" s="33">
        <v>282</v>
      </c>
      <c r="G2331" s="33">
        <v>40</v>
      </c>
      <c r="H2331" s="13">
        <f t="shared" si="36"/>
        <v>7.05</v>
      </c>
    </row>
    <row r="2332" spans="1:8" hidden="1" outlineLevel="2">
      <c r="A2332" s="32" t="s">
        <v>22</v>
      </c>
      <c r="B2332" s="32" t="s">
        <v>86</v>
      </c>
      <c r="C2332" s="32" t="s">
        <v>119</v>
      </c>
      <c r="D2332" s="32" t="s">
        <v>180</v>
      </c>
      <c r="E2332" s="33">
        <v>520</v>
      </c>
      <c r="F2332" s="33">
        <v>3628</v>
      </c>
      <c r="G2332" s="33">
        <v>506</v>
      </c>
      <c r="H2332" s="13">
        <f t="shared" si="36"/>
        <v>6.976923076923077</v>
      </c>
    </row>
    <row r="2333" spans="1:8" hidden="1" outlineLevel="2">
      <c r="A2333" s="32" t="s">
        <v>22</v>
      </c>
      <c r="B2333" s="32" t="s">
        <v>1862</v>
      </c>
      <c r="C2333" s="32" t="s">
        <v>115</v>
      </c>
      <c r="D2333" s="32" t="s">
        <v>474</v>
      </c>
      <c r="E2333" s="33">
        <v>114</v>
      </c>
      <c r="F2333" s="33">
        <v>788</v>
      </c>
      <c r="G2333" s="33">
        <v>112</v>
      </c>
      <c r="H2333" s="13">
        <f t="shared" si="36"/>
        <v>6.9122807017543861</v>
      </c>
    </row>
    <row r="2334" spans="1:8" hidden="1" outlineLevel="2">
      <c r="A2334" s="32" t="s">
        <v>22</v>
      </c>
      <c r="B2334" s="32" t="s">
        <v>86</v>
      </c>
      <c r="C2334" s="32" t="s">
        <v>390</v>
      </c>
      <c r="D2334" s="32" t="s">
        <v>468</v>
      </c>
      <c r="E2334" s="33">
        <v>10</v>
      </c>
      <c r="F2334" s="33">
        <v>69</v>
      </c>
      <c r="G2334" s="33">
        <v>4</v>
      </c>
      <c r="H2334" s="13">
        <f t="shared" si="36"/>
        <v>6.9</v>
      </c>
    </row>
    <row r="2335" spans="1:8" hidden="1" outlineLevel="2">
      <c r="A2335" s="32" t="s">
        <v>22</v>
      </c>
      <c r="B2335" s="32" t="s">
        <v>1858</v>
      </c>
      <c r="C2335" s="32" t="s">
        <v>134</v>
      </c>
      <c r="D2335" s="32" t="s">
        <v>245</v>
      </c>
      <c r="E2335" s="33">
        <v>114</v>
      </c>
      <c r="F2335" s="33">
        <v>783</v>
      </c>
      <c r="G2335" s="33">
        <v>111</v>
      </c>
      <c r="H2335" s="13">
        <f t="shared" si="36"/>
        <v>6.8684210526315788</v>
      </c>
    </row>
    <row r="2336" spans="1:8" hidden="1" outlineLevel="2">
      <c r="A2336" s="32" t="s">
        <v>22</v>
      </c>
      <c r="B2336" s="32" t="s">
        <v>1862</v>
      </c>
      <c r="C2336" s="32" t="s">
        <v>115</v>
      </c>
      <c r="D2336" s="32" t="s">
        <v>597</v>
      </c>
      <c r="E2336" s="33">
        <v>250</v>
      </c>
      <c r="F2336" s="33">
        <v>1704</v>
      </c>
      <c r="G2336" s="33">
        <v>248</v>
      </c>
      <c r="H2336" s="13">
        <f t="shared" si="36"/>
        <v>6.8159999999999998</v>
      </c>
    </row>
    <row r="2337" spans="1:8" hidden="1" outlineLevel="2">
      <c r="A2337" s="32" t="s">
        <v>22</v>
      </c>
      <c r="B2337" s="32" t="s">
        <v>1858</v>
      </c>
      <c r="C2337" s="32" t="s">
        <v>203</v>
      </c>
      <c r="D2337" s="32" t="s">
        <v>620</v>
      </c>
      <c r="E2337" s="33">
        <v>32</v>
      </c>
      <c r="F2337" s="33">
        <v>218</v>
      </c>
      <c r="G2337" s="33">
        <v>32</v>
      </c>
      <c r="H2337" s="13">
        <f t="shared" si="36"/>
        <v>6.8125</v>
      </c>
    </row>
    <row r="2338" spans="1:8" hidden="1" outlineLevel="2">
      <c r="A2338" s="32" t="s">
        <v>22</v>
      </c>
      <c r="B2338" s="32" t="s">
        <v>86</v>
      </c>
      <c r="C2338" s="32" t="s">
        <v>119</v>
      </c>
      <c r="D2338" s="32" t="s">
        <v>290</v>
      </c>
      <c r="E2338" s="33">
        <v>10</v>
      </c>
      <c r="F2338" s="33">
        <v>68</v>
      </c>
      <c r="G2338" s="33">
        <v>2</v>
      </c>
      <c r="H2338" s="13">
        <f t="shared" si="36"/>
        <v>6.8</v>
      </c>
    </row>
    <row r="2339" spans="1:8" hidden="1" outlineLevel="2">
      <c r="A2339" s="32" t="s">
        <v>22</v>
      </c>
      <c r="B2339" s="32" t="s">
        <v>86</v>
      </c>
      <c r="C2339" s="32" t="s">
        <v>138</v>
      </c>
      <c r="D2339" s="32" t="s">
        <v>570</v>
      </c>
      <c r="E2339" s="33">
        <v>50</v>
      </c>
      <c r="F2339" s="33">
        <v>340</v>
      </c>
      <c r="G2339" s="33">
        <v>53</v>
      </c>
      <c r="H2339" s="13">
        <f t="shared" si="36"/>
        <v>6.8</v>
      </c>
    </row>
    <row r="2340" spans="1:8" hidden="1" outlineLevel="2">
      <c r="A2340" s="32" t="s">
        <v>22</v>
      </c>
      <c r="B2340" s="32" t="s">
        <v>1862</v>
      </c>
      <c r="C2340" s="32" t="s">
        <v>97</v>
      </c>
      <c r="D2340" s="32" t="s">
        <v>745</v>
      </c>
      <c r="E2340" s="33">
        <v>57</v>
      </c>
      <c r="F2340" s="33">
        <v>387</v>
      </c>
      <c r="G2340" s="33">
        <v>57</v>
      </c>
      <c r="H2340" s="13">
        <f t="shared" si="36"/>
        <v>6.7894736842105265</v>
      </c>
    </row>
    <row r="2341" spans="1:8" hidden="1" outlineLevel="2">
      <c r="A2341" s="32" t="s">
        <v>22</v>
      </c>
      <c r="B2341" s="32" t="s">
        <v>1862</v>
      </c>
      <c r="C2341" s="32" t="s">
        <v>533</v>
      </c>
      <c r="D2341" s="32" t="s">
        <v>727</v>
      </c>
      <c r="E2341" s="33">
        <v>35</v>
      </c>
      <c r="F2341" s="33">
        <v>237</v>
      </c>
      <c r="G2341" s="33">
        <v>38</v>
      </c>
      <c r="H2341" s="13">
        <f t="shared" si="36"/>
        <v>6.7714285714285714</v>
      </c>
    </row>
    <row r="2342" spans="1:8" hidden="1" outlineLevel="2">
      <c r="A2342" s="32" t="s">
        <v>22</v>
      </c>
      <c r="B2342" s="32" t="s">
        <v>86</v>
      </c>
      <c r="C2342" s="32" t="s">
        <v>127</v>
      </c>
      <c r="D2342" s="32" t="s">
        <v>666</v>
      </c>
      <c r="E2342" s="33">
        <v>30</v>
      </c>
      <c r="F2342" s="33">
        <v>202</v>
      </c>
      <c r="G2342" s="33">
        <v>29</v>
      </c>
      <c r="H2342" s="13">
        <f t="shared" si="36"/>
        <v>6.7333333333333334</v>
      </c>
    </row>
    <row r="2343" spans="1:8" hidden="1" outlineLevel="2">
      <c r="A2343" s="32" t="s">
        <v>22</v>
      </c>
      <c r="B2343" s="32" t="s">
        <v>86</v>
      </c>
      <c r="C2343" s="32" t="s">
        <v>127</v>
      </c>
      <c r="D2343" s="32" t="s">
        <v>168</v>
      </c>
      <c r="E2343" s="33">
        <v>70</v>
      </c>
      <c r="F2343" s="33">
        <v>471</v>
      </c>
      <c r="G2343" s="33">
        <v>70</v>
      </c>
      <c r="H2343" s="13">
        <f t="shared" si="36"/>
        <v>6.7285714285714286</v>
      </c>
    </row>
    <row r="2344" spans="1:8" hidden="1" outlineLevel="2">
      <c r="A2344" s="32" t="s">
        <v>22</v>
      </c>
      <c r="B2344" s="32" t="s">
        <v>1858</v>
      </c>
      <c r="C2344" s="32" t="s">
        <v>144</v>
      </c>
      <c r="D2344" s="32" t="s">
        <v>438</v>
      </c>
      <c r="E2344" s="33">
        <v>125</v>
      </c>
      <c r="F2344" s="33">
        <v>837</v>
      </c>
      <c r="G2344" s="33">
        <v>123</v>
      </c>
      <c r="H2344" s="13">
        <f t="shared" si="36"/>
        <v>6.6959999999999997</v>
      </c>
    </row>
    <row r="2345" spans="1:8" hidden="1" outlineLevel="2">
      <c r="A2345" s="32" t="s">
        <v>22</v>
      </c>
      <c r="B2345" s="32" t="s">
        <v>1862</v>
      </c>
      <c r="C2345" s="32" t="s">
        <v>265</v>
      </c>
      <c r="D2345" s="32" t="s">
        <v>551</v>
      </c>
      <c r="E2345" s="33">
        <v>120</v>
      </c>
      <c r="F2345" s="33">
        <v>801</v>
      </c>
      <c r="G2345" s="33">
        <v>108</v>
      </c>
      <c r="H2345" s="13">
        <f t="shared" si="36"/>
        <v>6.6749999999999998</v>
      </c>
    </row>
    <row r="2346" spans="1:8" hidden="1" outlineLevel="2">
      <c r="A2346" s="32" t="s">
        <v>22</v>
      </c>
      <c r="B2346" s="32" t="s">
        <v>86</v>
      </c>
      <c r="C2346" s="32" t="s">
        <v>138</v>
      </c>
      <c r="D2346" s="32" t="s">
        <v>684</v>
      </c>
      <c r="E2346" s="33">
        <v>55</v>
      </c>
      <c r="F2346" s="33">
        <v>365</v>
      </c>
      <c r="G2346" s="33">
        <v>54</v>
      </c>
      <c r="H2346" s="13">
        <f t="shared" si="36"/>
        <v>6.6363636363636367</v>
      </c>
    </row>
    <row r="2347" spans="1:8" hidden="1" outlineLevel="2">
      <c r="A2347" s="32" t="s">
        <v>22</v>
      </c>
      <c r="B2347" s="32" t="s">
        <v>86</v>
      </c>
      <c r="C2347" s="32" t="s">
        <v>127</v>
      </c>
      <c r="D2347" s="32" t="s">
        <v>235</v>
      </c>
      <c r="E2347" s="33">
        <v>190</v>
      </c>
      <c r="F2347" s="33">
        <v>1257</v>
      </c>
      <c r="G2347" s="33">
        <v>189</v>
      </c>
      <c r="H2347" s="13">
        <f t="shared" si="36"/>
        <v>6.6157894736842104</v>
      </c>
    </row>
    <row r="2348" spans="1:8" hidden="1" outlineLevel="2">
      <c r="A2348" s="32" t="s">
        <v>22</v>
      </c>
      <c r="B2348" s="32" t="s">
        <v>86</v>
      </c>
      <c r="C2348" s="32" t="s">
        <v>119</v>
      </c>
      <c r="D2348" s="32" t="s">
        <v>699</v>
      </c>
      <c r="E2348" s="33">
        <v>20</v>
      </c>
      <c r="F2348" s="33">
        <v>132</v>
      </c>
      <c r="G2348" s="33">
        <v>19</v>
      </c>
      <c r="H2348" s="13">
        <f t="shared" si="36"/>
        <v>6.6</v>
      </c>
    </row>
    <row r="2349" spans="1:8" hidden="1" outlineLevel="2">
      <c r="A2349" s="32" t="s">
        <v>22</v>
      </c>
      <c r="B2349" s="32" t="s">
        <v>86</v>
      </c>
      <c r="C2349" s="32" t="s">
        <v>110</v>
      </c>
      <c r="D2349" s="32" t="s">
        <v>731</v>
      </c>
      <c r="E2349" s="33">
        <v>25</v>
      </c>
      <c r="F2349" s="33">
        <v>165</v>
      </c>
      <c r="G2349" s="33">
        <v>29</v>
      </c>
      <c r="H2349" s="13">
        <f t="shared" si="36"/>
        <v>6.6</v>
      </c>
    </row>
    <row r="2350" spans="1:8" hidden="1" outlineLevel="2">
      <c r="A2350" s="32" t="s">
        <v>22</v>
      </c>
      <c r="B2350" s="32" t="s">
        <v>86</v>
      </c>
      <c r="C2350" s="32" t="s">
        <v>190</v>
      </c>
      <c r="D2350" s="32" t="s">
        <v>459</v>
      </c>
      <c r="E2350" s="33">
        <v>90</v>
      </c>
      <c r="F2350" s="33">
        <v>589</v>
      </c>
      <c r="G2350" s="33">
        <v>82</v>
      </c>
      <c r="H2350" s="13">
        <f t="shared" si="36"/>
        <v>6.5444444444444443</v>
      </c>
    </row>
    <row r="2351" spans="1:8" hidden="1" outlineLevel="2">
      <c r="A2351" s="32" t="s">
        <v>22</v>
      </c>
      <c r="B2351" s="32" t="s">
        <v>1862</v>
      </c>
      <c r="C2351" s="32" t="s">
        <v>108</v>
      </c>
      <c r="D2351" s="32" t="s">
        <v>476</v>
      </c>
      <c r="E2351" s="33">
        <v>120</v>
      </c>
      <c r="F2351" s="33">
        <v>785</v>
      </c>
      <c r="G2351" s="33">
        <v>127</v>
      </c>
      <c r="H2351" s="13">
        <f t="shared" si="36"/>
        <v>6.541666666666667</v>
      </c>
    </row>
    <row r="2352" spans="1:8" hidden="1" outlineLevel="2">
      <c r="A2352" s="32" t="s">
        <v>22</v>
      </c>
      <c r="B2352" s="32" t="s">
        <v>1862</v>
      </c>
      <c r="C2352" s="32" t="s">
        <v>265</v>
      </c>
      <c r="D2352" s="32" t="s">
        <v>165</v>
      </c>
      <c r="E2352" s="33">
        <v>90</v>
      </c>
      <c r="F2352" s="33">
        <v>583</v>
      </c>
      <c r="G2352" s="33">
        <v>75</v>
      </c>
      <c r="H2352" s="13">
        <f t="shared" si="36"/>
        <v>6.4777777777777779</v>
      </c>
    </row>
    <row r="2353" spans="1:8" hidden="1" outlineLevel="2">
      <c r="A2353" s="32" t="s">
        <v>22</v>
      </c>
      <c r="B2353" s="32" t="s">
        <v>86</v>
      </c>
      <c r="C2353" s="32" t="s">
        <v>390</v>
      </c>
      <c r="D2353" s="32" t="s">
        <v>165</v>
      </c>
      <c r="E2353" s="33">
        <v>20</v>
      </c>
      <c r="F2353" s="33">
        <v>129</v>
      </c>
      <c r="G2353" s="33">
        <v>12</v>
      </c>
      <c r="H2353" s="13">
        <f t="shared" si="36"/>
        <v>6.45</v>
      </c>
    </row>
    <row r="2354" spans="1:8" hidden="1" outlineLevel="2">
      <c r="A2354" s="32" t="s">
        <v>22</v>
      </c>
      <c r="B2354" s="32" t="s">
        <v>86</v>
      </c>
      <c r="C2354" s="32" t="s">
        <v>110</v>
      </c>
      <c r="D2354" s="32" t="s">
        <v>396</v>
      </c>
      <c r="E2354" s="33">
        <v>75</v>
      </c>
      <c r="F2354" s="33">
        <v>475</v>
      </c>
      <c r="G2354" s="33">
        <v>75</v>
      </c>
      <c r="H2354" s="13">
        <f t="shared" si="36"/>
        <v>6.333333333333333</v>
      </c>
    </row>
    <row r="2355" spans="1:8" hidden="1" outlineLevel="2">
      <c r="A2355" s="32" t="s">
        <v>22</v>
      </c>
      <c r="B2355" s="32" t="s">
        <v>86</v>
      </c>
      <c r="C2355" s="32" t="s">
        <v>119</v>
      </c>
      <c r="D2355" s="32" t="s">
        <v>698</v>
      </c>
      <c r="E2355" s="33">
        <v>30</v>
      </c>
      <c r="F2355" s="33">
        <v>190</v>
      </c>
      <c r="G2355" s="33">
        <v>30</v>
      </c>
      <c r="H2355" s="13">
        <f t="shared" si="36"/>
        <v>6.333333333333333</v>
      </c>
    </row>
    <row r="2356" spans="1:8" hidden="1" outlineLevel="2">
      <c r="A2356" s="32" t="s">
        <v>22</v>
      </c>
      <c r="B2356" s="32" t="s">
        <v>1858</v>
      </c>
      <c r="C2356" s="32" t="s">
        <v>162</v>
      </c>
      <c r="D2356" s="32" t="s">
        <v>703</v>
      </c>
      <c r="E2356" s="33">
        <v>80</v>
      </c>
      <c r="F2356" s="33">
        <v>505</v>
      </c>
      <c r="G2356" s="33">
        <v>76</v>
      </c>
      <c r="H2356" s="13">
        <f t="shared" si="36"/>
        <v>6.3125</v>
      </c>
    </row>
    <row r="2357" spans="1:8" hidden="1" outlineLevel="2">
      <c r="A2357" s="32" t="s">
        <v>22</v>
      </c>
      <c r="B2357" s="32" t="s">
        <v>1862</v>
      </c>
      <c r="C2357" s="32" t="s">
        <v>115</v>
      </c>
      <c r="D2357" s="32" t="s">
        <v>165</v>
      </c>
      <c r="E2357" s="33">
        <v>160</v>
      </c>
      <c r="F2357" s="33">
        <v>1009</v>
      </c>
      <c r="G2357" s="33">
        <v>156</v>
      </c>
      <c r="H2357" s="13">
        <f t="shared" si="36"/>
        <v>6.3062500000000004</v>
      </c>
    </row>
    <row r="2358" spans="1:8" hidden="1" outlineLevel="2">
      <c r="A2358" s="32" t="s">
        <v>22</v>
      </c>
      <c r="B2358" s="32" t="s">
        <v>1858</v>
      </c>
      <c r="C2358" s="32" t="s">
        <v>134</v>
      </c>
      <c r="D2358" s="32" t="s">
        <v>627</v>
      </c>
      <c r="E2358" s="33">
        <v>65</v>
      </c>
      <c r="F2358" s="33">
        <v>409</v>
      </c>
      <c r="G2358" s="33">
        <v>59</v>
      </c>
      <c r="H2358" s="13">
        <f t="shared" si="36"/>
        <v>6.2923076923076922</v>
      </c>
    </row>
    <row r="2359" spans="1:8" hidden="1" outlineLevel="2">
      <c r="A2359" s="32" t="s">
        <v>22</v>
      </c>
      <c r="B2359" s="32" t="s">
        <v>1858</v>
      </c>
      <c r="C2359" s="32" t="s">
        <v>162</v>
      </c>
      <c r="D2359" s="32" t="s">
        <v>164</v>
      </c>
      <c r="E2359" s="33">
        <v>420</v>
      </c>
      <c r="F2359" s="33">
        <v>2629</v>
      </c>
      <c r="G2359" s="33">
        <v>417</v>
      </c>
      <c r="H2359" s="13">
        <f t="shared" si="36"/>
        <v>6.2595238095238095</v>
      </c>
    </row>
    <row r="2360" spans="1:8" hidden="1" outlineLevel="2">
      <c r="A2360" s="32" t="s">
        <v>22</v>
      </c>
      <c r="B2360" s="32" t="s">
        <v>1858</v>
      </c>
      <c r="C2360" s="32" t="s">
        <v>144</v>
      </c>
      <c r="D2360" s="32" t="s">
        <v>164</v>
      </c>
      <c r="E2360" s="33">
        <v>665</v>
      </c>
      <c r="F2360" s="33">
        <v>4157</v>
      </c>
      <c r="G2360" s="33">
        <v>671</v>
      </c>
      <c r="H2360" s="13">
        <f t="shared" si="36"/>
        <v>6.2511278195488718</v>
      </c>
    </row>
    <row r="2361" spans="1:8" hidden="1" outlineLevel="2">
      <c r="A2361" s="32" t="s">
        <v>22</v>
      </c>
      <c r="B2361" s="32" t="s">
        <v>86</v>
      </c>
      <c r="C2361" s="32" t="s">
        <v>138</v>
      </c>
      <c r="D2361" s="32" t="s">
        <v>622</v>
      </c>
      <c r="E2361" s="33">
        <v>10</v>
      </c>
      <c r="F2361" s="33">
        <v>62</v>
      </c>
      <c r="G2361" s="33">
        <v>6</v>
      </c>
      <c r="H2361" s="13">
        <f t="shared" si="36"/>
        <v>6.2</v>
      </c>
    </row>
    <row r="2362" spans="1:8" hidden="1" outlineLevel="2">
      <c r="A2362" s="32" t="s">
        <v>22</v>
      </c>
      <c r="B2362" s="32" t="s">
        <v>1858</v>
      </c>
      <c r="C2362" s="32" t="s">
        <v>225</v>
      </c>
      <c r="D2362" s="32" t="s">
        <v>392</v>
      </c>
      <c r="E2362" s="33">
        <v>255</v>
      </c>
      <c r="F2362" s="33">
        <v>1578</v>
      </c>
      <c r="G2362" s="33">
        <v>254</v>
      </c>
      <c r="H2362" s="13">
        <f t="shared" si="36"/>
        <v>6.1882352941176473</v>
      </c>
    </row>
    <row r="2363" spans="1:8" hidden="1" outlineLevel="2">
      <c r="A2363" s="32" t="s">
        <v>22</v>
      </c>
      <c r="B2363" s="32" t="s">
        <v>86</v>
      </c>
      <c r="C2363" s="32" t="s">
        <v>119</v>
      </c>
      <c r="D2363" s="32" t="s">
        <v>781</v>
      </c>
      <c r="E2363" s="33">
        <v>40</v>
      </c>
      <c r="F2363" s="33">
        <v>246</v>
      </c>
      <c r="G2363" s="33">
        <v>38</v>
      </c>
      <c r="H2363" s="13">
        <f t="shared" si="36"/>
        <v>6.15</v>
      </c>
    </row>
    <row r="2364" spans="1:8" hidden="1" outlineLevel="2">
      <c r="A2364" s="32" t="s">
        <v>22</v>
      </c>
      <c r="B2364" s="32" t="s">
        <v>1862</v>
      </c>
      <c r="C2364" s="32" t="s">
        <v>97</v>
      </c>
      <c r="D2364" s="32" t="s">
        <v>256</v>
      </c>
      <c r="E2364" s="33">
        <v>57</v>
      </c>
      <c r="F2364" s="33">
        <v>350</v>
      </c>
      <c r="G2364" s="33">
        <v>50</v>
      </c>
      <c r="H2364" s="13">
        <f t="shared" si="36"/>
        <v>6.1403508771929829</v>
      </c>
    </row>
    <row r="2365" spans="1:8" hidden="1" outlineLevel="2">
      <c r="A2365" s="32" t="s">
        <v>22</v>
      </c>
      <c r="B2365" s="32" t="s">
        <v>1862</v>
      </c>
      <c r="C2365" s="32" t="s">
        <v>97</v>
      </c>
      <c r="D2365" s="32" t="s">
        <v>546</v>
      </c>
      <c r="E2365" s="33">
        <v>188</v>
      </c>
      <c r="F2365" s="33">
        <v>1142</v>
      </c>
      <c r="G2365" s="33">
        <v>183</v>
      </c>
      <c r="H2365" s="13">
        <f t="shared" si="36"/>
        <v>6.0744680851063828</v>
      </c>
    </row>
    <row r="2366" spans="1:8" hidden="1" outlineLevel="2">
      <c r="A2366" s="32" t="s">
        <v>22</v>
      </c>
      <c r="B2366" s="32" t="s">
        <v>1862</v>
      </c>
      <c r="C2366" s="32" t="s">
        <v>115</v>
      </c>
      <c r="D2366" s="32" t="s">
        <v>274</v>
      </c>
      <c r="E2366" s="33">
        <v>240</v>
      </c>
      <c r="F2366" s="33">
        <v>1448</v>
      </c>
      <c r="G2366" s="33">
        <v>297</v>
      </c>
      <c r="H2366" s="13">
        <f t="shared" si="36"/>
        <v>6.0333333333333332</v>
      </c>
    </row>
    <row r="2367" spans="1:8" hidden="1" outlineLevel="2">
      <c r="A2367" s="32" t="s">
        <v>22</v>
      </c>
      <c r="B2367" s="32" t="s">
        <v>1858</v>
      </c>
      <c r="C2367" s="32" t="s">
        <v>144</v>
      </c>
      <c r="D2367" s="32" t="s">
        <v>638</v>
      </c>
      <c r="E2367" s="33">
        <v>40</v>
      </c>
      <c r="F2367" s="33">
        <v>241</v>
      </c>
      <c r="G2367" s="33">
        <v>38</v>
      </c>
      <c r="H2367" s="13">
        <f t="shared" si="36"/>
        <v>6.0250000000000004</v>
      </c>
    </row>
    <row r="2368" spans="1:8" hidden="1" outlineLevel="2">
      <c r="A2368" s="32" t="s">
        <v>22</v>
      </c>
      <c r="B2368" s="32" t="s">
        <v>86</v>
      </c>
      <c r="C2368" s="32" t="s">
        <v>152</v>
      </c>
      <c r="D2368" s="32" t="s">
        <v>308</v>
      </c>
      <c r="E2368" s="33">
        <v>255</v>
      </c>
      <c r="F2368" s="33">
        <v>1535</v>
      </c>
      <c r="G2368" s="33">
        <v>255</v>
      </c>
      <c r="H2368" s="13">
        <f t="shared" si="36"/>
        <v>6.0196078431372548</v>
      </c>
    </row>
    <row r="2369" spans="1:8" hidden="1" outlineLevel="2">
      <c r="A2369" s="32" t="s">
        <v>22</v>
      </c>
      <c r="B2369" s="32" t="s">
        <v>86</v>
      </c>
      <c r="C2369" s="32" t="s">
        <v>127</v>
      </c>
      <c r="D2369" s="32" t="s">
        <v>413</v>
      </c>
      <c r="E2369" s="33">
        <v>100</v>
      </c>
      <c r="F2369" s="33">
        <v>601</v>
      </c>
      <c r="G2369" s="33">
        <v>99</v>
      </c>
      <c r="H2369" s="13">
        <f t="shared" si="36"/>
        <v>6.01</v>
      </c>
    </row>
    <row r="2370" spans="1:8" hidden="1" outlineLevel="2">
      <c r="A2370" s="32" t="s">
        <v>22</v>
      </c>
      <c r="B2370" s="32" t="s">
        <v>86</v>
      </c>
      <c r="C2370" s="32" t="s">
        <v>152</v>
      </c>
      <c r="D2370" s="32" t="s">
        <v>464</v>
      </c>
      <c r="E2370" s="33">
        <v>250</v>
      </c>
      <c r="F2370" s="33">
        <v>1500</v>
      </c>
      <c r="G2370" s="33">
        <v>247</v>
      </c>
      <c r="H2370" s="13">
        <f t="shared" ref="H2370:H2433" si="37">IFERROR(F2370/E2370,"")</f>
        <v>6</v>
      </c>
    </row>
    <row r="2371" spans="1:8" hidden="1" outlineLevel="2">
      <c r="A2371" s="32" t="s">
        <v>22</v>
      </c>
      <c r="B2371" s="32" t="s">
        <v>1862</v>
      </c>
      <c r="C2371" s="32" t="s">
        <v>108</v>
      </c>
      <c r="D2371" s="32" t="s">
        <v>473</v>
      </c>
      <c r="E2371" s="33">
        <v>70</v>
      </c>
      <c r="F2371" s="33">
        <v>413</v>
      </c>
      <c r="G2371" s="33">
        <v>66</v>
      </c>
      <c r="H2371" s="13">
        <f t="shared" si="37"/>
        <v>5.9</v>
      </c>
    </row>
    <row r="2372" spans="1:8" hidden="1" outlineLevel="2">
      <c r="A2372" s="32" t="s">
        <v>22</v>
      </c>
      <c r="B2372" s="32" t="s">
        <v>1858</v>
      </c>
      <c r="C2372" s="32" t="s">
        <v>422</v>
      </c>
      <c r="D2372" s="32" t="s">
        <v>540</v>
      </c>
      <c r="E2372" s="33">
        <v>140</v>
      </c>
      <c r="F2372" s="33">
        <v>826</v>
      </c>
      <c r="G2372" s="33">
        <v>135</v>
      </c>
      <c r="H2372" s="13">
        <f t="shared" si="37"/>
        <v>5.9</v>
      </c>
    </row>
    <row r="2373" spans="1:8" hidden="1" outlineLevel="2">
      <c r="A2373" s="32" t="s">
        <v>22</v>
      </c>
      <c r="B2373" s="32" t="s">
        <v>1862</v>
      </c>
      <c r="C2373" s="32" t="s">
        <v>97</v>
      </c>
      <c r="D2373" s="32" t="s">
        <v>547</v>
      </c>
      <c r="E2373" s="33">
        <v>29</v>
      </c>
      <c r="F2373" s="33">
        <v>170</v>
      </c>
      <c r="G2373" s="33">
        <v>29</v>
      </c>
      <c r="H2373" s="13">
        <f t="shared" si="37"/>
        <v>5.8620689655172411</v>
      </c>
    </row>
    <row r="2374" spans="1:8" hidden="1" outlineLevel="2">
      <c r="A2374" s="32" t="s">
        <v>22</v>
      </c>
      <c r="B2374" s="32" t="s">
        <v>86</v>
      </c>
      <c r="C2374" s="32" t="s">
        <v>152</v>
      </c>
      <c r="D2374" s="32" t="s">
        <v>165</v>
      </c>
      <c r="E2374" s="33">
        <v>570</v>
      </c>
      <c r="F2374" s="33">
        <v>3333</v>
      </c>
      <c r="G2374" s="33">
        <v>568</v>
      </c>
      <c r="H2374" s="13">
        <f t="shared" si="37"/>
        <v>5.8473684210526313</v>
      </c>
    </row>
    <row r="2375" spans="1:8" hidden="1" outlineLevel="2">
      <c r="A2375" s="32" t="s">
        <v>22</v>
      </c>
      <c r="B2375" s="32" t="s">
        <v>1862</v>
      </c>
      <c r="C2375" s="32" t="s">
        <v>115</v>
      </c>
      <c r="D2375" s="32" t="s">
        <v>322</v>
      </c>
      <c r="E2375" s="33">
        <v>60</v>
      </c>
      <c r="F2375" s="33">
        <v>350</v>
      </c>
      <c r="G2375" s="33">
        <v>57</v>
      </c>
      <c r="H2375" s="13">
        <f t="shared" si="37"/>
        <v>5.833333333333333</v>
      </c>
    </row>
    <row r="2376" spans="1:8" hidden="1" outlineLevel="2">
      <c r="A2376" s="32" t="s">
        <v>22</v>
      </c>
      <c r="B2376" s="32" t="s">
        <v>86</v>
      </c>
      <c r="C2376" s="32" t="s">
        <v>190</v>
      </c>
      <c r="D2376" s="32" t="s">
        <v>192</v>
      </c>
      <c r="E2376" s="33">
        <v>100</v>
      </c>
      <c r="F2376" s="33">
        <v>582</v>
      </c>
      <c r="G2376" s="33">
        <v>89</v>
      </c>
      <c r="H2376" s="13">
        <f t="shared" si="37"/>
        <v>5.82</v>
      </c>
    </row>
    <row r="2377" spans="1:8" hidden="1" outlineLevel="2">
      <c r="A2377" s="32" t="s">
        <v>22</v>
      </c>
      <c r="B2377" s="32" t="s">
        <v>1862</v>
      </c>
      <c r="C2377" s="32" t="s">
        <v>108</v>
      </c>
      <c r="D2377" s="32" t="s">
        <v>327</v>
      </c>
      <c r="E2377" s="33">
        <v>200</v>
      </c>
      <c r="F2377" s="33">
        <v>1157</v>
      </c>
      <c r="G2377" s="33">
        <v>198</v>
      </c>
      <c r="H2377" s="13">
        <f t="shared" si="37"/>
        <v>5.7850000000000001</v>
      </c>
    </row>
    <row r="2378" spans="1:8" hidden="1" outlineLevel="2">
      <c r="A2378" s="32" t="s">
        <v>22</v>
      </c>
      <c r="B2378" s="32" t="s">
        <v>1862</v>
      </c>
      <c r="C2378" s="32" t="s">
        <v>97</v>
      </c>
      <c r="D2378" s="32" t="s">
        <v>470</v>
      </c>
      <c r="E2378" s="33">
        <v>30</v>
      </c>
      <c r="F2378" s="33">
        <v>173</v>
      </c>
      <c r="G2378" s="33">
        <v>30</v>
      </c>
      <c r="H2378" s="13">
        <f t="shared" si="37"/>
        <v>5.7666666666666666</v>
      </c>
    </row>
    <row r="2379" spans="1:8" hidden="1" outlineLevel="2">
      <c r="A2379" s="32" t="s">
        <v>22</v>
      </c>
      <c r="B2379" s="32" t="s">
        <v>1862</v>
      </c>
      <c r="C2379" s="32" t="s">
        <v>265</v>
      </c>
      <c r="D2379" s="32" t="s">
        <v>430</v>
      </c>
      <c r="E2379" s="33">
        <v>84</v>
      </c>
      <c r="F2379" s="33">
        <v>484</v>
      </c>
      <c r="G2379" s="33">
        <v>67</v>
      </c>
      <c r="H2379" s="13">
        <f t="shared" si="37"/>
        <v>5.7619047619047619</v>
      </c>
    </row>
    <row r="2380" spans="1:8" hidden="1" outlineLevel="2">
      <c r="A2380" s="32" t="s">
        <v>22</v>
      </c>
      <c r="B2380" s="32" t="s">
        <v>1862</v>
      </c>
      <c r="C2380" s="32" t="s">
        <v>108</v>
      </c>
      <c r="D2380" s="32" t="s">
        <v>648</v>
      </c>
      <c r="E2380" s="33">
        <v>65</v>
      </c>
      <c r="F2380" s="33">
        <v>373</v>
      </c>
      <c r="G2380" s="33">
        <v>63</v>
      </c>
      <c r="H2380" s="13">
        <f t="shared" si="37"/>
        <v>5.7384615384615385</v>
      </c>
    </row>
    <row r="2381" spans="1:8" hidden="1" outlineLevel="2">
      <c r="A2381" s="32" t="s">
        <v>22</v>
      </c>
      <c r="B2381" s="32" t="s">
        <v>1862</v>
      </c>
      <c r="C2381" s="32" t="s">
        <v>108</v>
      </c>
      <c r="D2381" s="32" t="s">
        <v>337</v>
      </c>
      <c r="E2381" s="33">
        <v>32</v>
      </c>
      <c r="F2381" s="33">
        <v>182</v>
      </c>
      <c r="G2381" s="33">
        <v>27</v>
      </c>
      <c r="H2381" s="13">
        <f t="shared" si="37"/>
        <v>5.6875</v>
      </c>
    </row>
    <row r="2382" spans="1:8" hidden="1" outlineLevel="2">
      <c r="A2382" s="32" t="s">
        <v>22</v>
      </c>
      <c r="B2382" s="32" t="s">
        <v>1862</v>
      </c>
      <c r="C2382" s="32" t="s">
        <v>108</v>
      </c>
      <c r="D2382" s="32" t="s">
        <v>336</v>
      </c>
      <c r="E2382" s="33">
        <v>25</v>
      </c>
      <c r="F2382" s="33">
        <v>142</v>
      </c>
      <c r="G2382" s="33">
        <v>22</v>
      </c>
      <c r="H2382" s="13">
        <f t="shared" si="37"/>
        <v>5.68</v>
      </c>
    </row>
    <row r="2383" spans="1:8" hidden="1" outlineLevel="2">
      <c r="A2383" s="32" t="s">
        <v>22</v>
      </c>
      <c r="B2383" s="32" t="s">
        <v>1862</v>
      </c>
      <c r="C2383" s="32" t="s">
        <v>97</v>
      </c>
      <c r="D2383" s="32" t="s">
        <v>548</v>
      </c>
      <c r="E2383" s="33">
        <v>34</v>
      </c>
      <c r="F2383" s="33">
        <v>193</v>
      </c>
      <c r="G2383" s="33">
        <v>31</v>
      </c>
      <c r="H2383" s="13">
        <f t="shared" si="37"/>
        <v>5.6764705882352944</v>
      </c>
    </row>
    <row r="2384" spans="1:8" hidden="1" outlineLevel="2">
      <c r="A2384" s="32" t="s">
        <v>22</v>
      </c>
      <c r="B2384" s="32" t="s">
        <v>86</v>
      </c>
      <c r="C2384" s="32" t="s">
        <v>138</v>
      </c>
      <c r="D2384" s="32" t="s">
        <v>680</v>
      </c>
      <c r="E2384" s="33">
        <v>320</v>
      </c>
      <c r="F2384" s="33">
        <v>1803</v>
      </c>
      <c r="G2384" s="33">
        <v>318</v>
      </c>
      <c r="H2384" s="13">
        <f t="shared" si="37"/>
        <v>5.6343750000000004</v>
      </c>
    </row>
    <row r="2385" spans="1:8" hidden="1" outlineLevel="2">
      <c r="A2385" s="32" t="s">
        <v>22</v>
      </c>
      <c r="B2385" s="32" t="s">
        <v>86</v>
      </c>
      <c r="C2385" s="32" t="s">
        <v>190</v>
      </c>
      <c r="D2385" s="32" t="s">
        <v>191</v>
      </c>
      <c r="E2385" s="33">
        <v>100</v>
      </c>
      <c r="F2385" s="33">
        <v>563</v>
      </c>
      <c r="G2385" s="33">
        <v>91</v>
      </c>
      <c r="H2385" s="13">
        <f t="shared" si="37"/>
        <v>5.63</v>
      </c>
    </row>
    <row r="2386" spans="1:8" hidden="1" outlineLevel="2">
      <c r="A2386" s="32" t="s">
        <v>22</v>
      </c>
      <c r="B2386" s="32" t="s">
        <v>86</v>
      </c>
      <c r="C2386" s="32" t="s">
        <v>127</v>
      </c>
      <c r="D2386" s="32" t="s">
        <v>408</v>
      </c>
      <c r="E2386" s="33">
        <v>5</v>
      </c>
      <c r="F2386" s="33">
        <v>28</v>
      </c>
      <c r="G2386" s="33">
        <v>5</v>
      </c>
      <c r="H2386" s="13">
        <f t="shared" si="37"/>
        <v>5.6</v>
      </c>
    </row>
    <row r="2387" spans="1:8" hidden="1" outlineLevel="2">
      <c r="A2387" s="32" t="s">
        <v>22</v>
      </c>
      <c r="B2387" s="32" t="s">
        <v>86</v>
      </c>
      <c r="C2387" s="32" t="s">
        <v>119</v>
      </c>
      <c r="D2387" s="32" t="s">
        <v>255</v>
      </c>
      <c r="E2387" s="33">
        <v>165</v>
      </c>
      <c r="F2387" s="33">
        <v>919</v>
      </c>
      <c r="G2387" s="33">
        <v>164</v>
      </c>
      <c r="H2387" s="13">
        <f t="shared" si="37"/>
        <v>5.5696969696969694</v>
      </c>
    </row>
    <row r="2388" spans="1:8" hidden="1" outlineLevel="2">
      <c r="A2388" s="32" t="s">
        <v>22</v>
      </c>
      <c r="B2388" s="32" t="s">
        <v>86</v>
      </c>
      <c r="C2388" s="32" t="s">
        <v>138</v>
      </c>
      <c r="D2388" s="32" t="s">
        <v>185</v>
      </c>
      <c r="E2388" s="33">
        <v>30</v>
      </c>
      <c r="F2388" s="33">
        <v>165</v>
      </c>
      <c r="G2388" s="33">
        <v>26</v>
      </c>
      <c r="H2388" s="13">
        <f t="shared" si="37"/>
        <v>5.5</v>
      </c>
    </row>
    <row r="2389" spans="1:8" hidden="1" outlineLevel="2">
      <c r="A2389" s="32" t="s">
        <v>22</v>
      </c>
      <c r="B2389" s="32" t="s">
        <v>1862</v>
      </c>
      <c r="C2389" s="32" t="s">
        <v>97</v>
      </c>
      <c r="D2389" s="32" t="s">
        <v>577</v>
      </c>
      <c r="E2389" s="33">
        <v>75</v>
      </c>
      <c r="F2389" s="33">
        <v>411</v>
      </c>
      <c r="G2389" s="33">
        <v>73</v>
      </c>
      <c r="H2389" s="13">
        <f t="shared" si="37"/>
        <v>5.48</v>
      </c>
    </row>
    <row r="2390" spans="1:8" hidden="1" outlineLevel="2">
      <c r="A2390" s="32" t="s">
        <v>22</v>
      </c>
      <c r="B2390" s="32" t="s">
        <v>1862</v>
      </c>
      <c r="C2390" s="32" t="s">
        <v>108</v>
      </c>
      <c r="D2390" s="32" t="s">
        <v>355</v>
      </c>
      <c r="E2390" s="33">
        <v>75</v>
      </c>
      <c r="F2390" s="33">
        <v>410</v>
      </c>
      <c r="G2390" s="33">
        <v>84</v>
      </c>
      <c r="H2390" s="13">
        <f t="shared" si="37"/>
        <v>5.4666666666666668</v>
      </c>
    </row>
    <row r="2391" spans="1:8" hidden="1" outlineLevel="2">
      <c r="A2391" s="32" t="s">
        <v>22</v>
      </c>
      <c r="B2391" s="32" t="s">
        <v>1858</v>
      </c>
      <c r="C2391" s="32" t="s">
        <v>131</v>
      </c>
      <c r="D2391" s="32" t="s">
        <v>296</v>
      </c>
      <c r="E2391" s="33">
        <v>175</v>
      </c>
      <c r="F2391" s="33">
        <v>948</v>
      </c>
      <c r="G2391" s="33">
        <v>172</v>
      </c>
      <c r="H2391" s="13">
        <f t="shared" si="37"/>
        <v>5.4171428571428573</v>
      </c>
    </row>
    <row r="2392" spans="1:8" hidden="1" outlineLevel="2">
      <c r="A2392" s="32" t="s">
        <v>22</v>
      </c>
      <c r="B2392" s="32" t="s">
        <v>86</v>
      </c>
      <c r="C2392" s="32" t="s">
        <v>127</v>
      </c>
      <c r="D2392" s="32" t="s">
        <v>371</v>
      </c>
      <c r="E2392" s="33">
        <v>70</v>
      </c>
      <c r="F2392" s="33">
        <v>379</v>
      </c>
      <c r="G2392" s="33">
        <v>69</v>
      </c>
      <c r="H2392" s="13">
        <f t="shared" si="37"/>
        <v>5.4142857142857146</v>
      </c>
    </row>
    <row r="2393" spans="1:8" hidden="1" outlineLevel="2">
      <c r="A2393" s="32" t="s">
        <v>22</v>
      </c>
      <c r="B2393" s="32" t="s">
        <v>1862</v>
      </c>
      <c r="C2393" s="32" t="s">
        <v>562</v>
      </c>
      <c r="D2393" s="32" t="s">
        <v>563</v>
      </c>
      <c r="E2393" s="33">
        <v>180</v>
      </c>
      <c r="F2393" s="33">
        <v>973</v>
      </c>
      <c r="G2393" s="33">
        <v>177</v>
      </c>
      <c r="H2393" s="13">
        <f t="shared" si="37"/>
        <v>5.4055555555555559</v>
      </c>
    </row>
    <row r="2394" spans="1:8" hidden="1" outlineLevel="2">
      <c r="A2394" s="32" t="s">
        <v>22</v>
      </c>
      <c r="B2394" s="32" t="s">
        <v>1862</v>
      </c>
      <c r="C2394" s="32" t="s">
        <v>257</v>
      </c>
      <c r="D2394" s="32" t="s">
        <v>258</v>
      </c>
      <c r="E2394" s="33">
        <v>20</v>
      </c>
      <c r="F2394" s="33">
        <v>108</v>
      </c>
      <c r="G2394" s="33">
        <v>21</v>
      </c>
      <c r="H2394" s="13">
        <f t="shared" si="37"/>
        <v>5.4</v>
      </c>
    </row>
    <row r="2395" spans="1:8" hidden="1" outlineLevel="2">
      <c r="A2395" s="32" t="s">
        <v>22</v>
      </c>
      <c r="B2395" s="32" t="s">
        <v>1862</v>
      </c>
      <c r="C2395" s="32" t="s">
        <v>97</v>
      </c>
      <c r="D2395" s="32" t="s">
        <v>744</v>
      </c>
      <c r="E2395" s="33">
        <v>20</v>
      </c>
      <c r="F2395" s="33">
        <v>108</v>
      </c>
      <c r="G2395" s="33">
        <v>20</v>
      </c>
      <c r="H2395" s="13">
        <f t="shared" si="37"/>
        <v>5.4</v>
      </c>
    </row>
    <row r="2396" spans="1:8" hidden="1" outlineLevel="2">
      <c r="A2396" s="32" t="s">
        <v>22</v>
      </c>
      <c r="B2396" s="32" t="s">
        <v>86</v>
      </c>
      <c r="C2396" s="32" t="s">
        <v>190</v>
      </c>
      <c r="D2396" s="32" t="s">
        <v>308</v>
      </c>
      <c r="E2396" s="33">
        <v>50</v>
      </c>
      <c r="F2396" s="33">
        <v>268</v>
      </c>
      <c r="G2396" s="33">
        <v>35</v>
      </c>
      <c r="H2396" s="13">
        <f t="shared" si="37"/>
        <v>5.36</v>
      </c>
    </row>
    <row r="2397" spans="1:8" hidden="1" outlineLevel="2">
      <c r="A2397" s="32" t="s">
        <v>22</v>
      </c>
      <c r="B2397" s="32" t="s">
        <v>1862</v>
      </c>
      <c r="C2397" s="32" t="s">
        <v>108</v>
      </c>
      <c r="D2397" s="32" t="s">
        <v>308</v>
      </c>
      <c r="E2397" s="33">
        <v>65</v>
      </c>
      <c r="F2397" s="33">
        <v>348</v>
      </c>
      <c r="G2397" s="33">
        <v>60</v>
      </c>
      <c r="H2397" s="13">
        <f t="shared" si="37"/>
        <v>5.3538461538461535</v>
      </c>
    </row>
    <row r="2398" spans="1:8" hidden="1" outlineLevel="2">
      <c r="A2398" s="32" t="s">
        <v>22</v>
      </c>
      <c r="B2398" s="32" t="s">
        <v>1858</v>
      </c>
      <c r="C2398" s="32" t="s">
        <v>225</v>
      </c>
      <c r="D2398" s="32" t="s">
        <v>164</v>
      </c>
      <c r="E2398" s="33">
        <v>530</v>
      </c>
      <c r="F2398" s="33">
        <v>2826</v>
      </c>
      <c r="G2398" s="33">
        <v>529</v>
      </c>
      <c r="H2398" s="13">
        <f t="shared" si="37"/>
        <v>5.3320754716981131</v>
      </c>
    </row>
    <row r="2399" spans="1:8" hidden="1" outlineLevel="2">
      <c r="A2399" s="32" t="s">
        <v>22</v>
      </c>
      <c r="B2399" s="32" t="s">
        <v>86</v>
      </c>
      <c r="C2399" s="32" t="s">
        <v>138</v>
      </c>
      <c r="D2399" s="32" t="s">
        <v>718</v>
      </c>
      <c r="E2399" s="33">
        <v>10</v>
      </c>
      <c r="F2399" s="33">
        <v>53</v>
      </c>
      <c r="G2399" s="33">
        <v>9</v>
      </c>
      <c r="H2399" s="13">
        <f t="shared" si="37"/>
        <v>5.3</v>
      </c>
    </row>
    <row r="2400" spans="1:8" hidden="1" outlineLevel="2">
      <c r="A2400" s="32" t="s">
        <v>22</v>
      </c>
      <c r="B2400" s="32" t="s">
        <v>1858</v>
      </c>
      <c r="C2400" s="32" t="s">
        <v>134</v>
      </c>
      <c r="D2400" s="32" t="s">
        <v>648</v>
      </c>
      <c r="E2400" s="33">
        <v>62</v>
      </c>
      <c r="F2400" s="33">
        <v>326</v>
      </c>
      <c r="G2400" s="33">
        <v>62</v>
      </c>
      <c r="H2400" s="13">
        <f t="shared" si="37"/>
        <v>5.258064516129032</v>
      </c>
    </row>
    <row r="2401" spans="1:8" hidden="1" outlineLevel="2">
      <c r="A2401" s="32" t="s">
        <v>22</v>
      </c>
      <c r="B2401" s="32" t="s">
        <v>86</v>
      </c>
      <c r="C2401" s="32" t="s">
        <v>110</v>
      </c>
      <c r="D2401" s="32" t="s">
        <v>764</v>
      </c>
      <c r="E2401" s="33">
        <v>10</v>
      </c>
      <c r="F2401" s="33">
        <v>52</v>
      </c>
      <c r="G2401" s="33">
        <v>10</v>
      </c>
      <c r="H2401" s="13">
        <f t="shared" si="37"/>
        <v>5.2</v>
      </c>
    </row>
    <row r="2402" spans="1:8" hidden="1" outlineLevel="2">
      <c r="A2402" s="32" t="s">
        <v>22</v>
      </c>
      <c r="B2402" s="32" t="s">
        <v>86</v>
      </c>
      <c r="C2402" s="32" t="s">
        <v>138</v>
      </c>
      <c r="D2402" s="32" t="s">
        <v>483</v>
      </c>
      <c r="E2402" s="33">
        <v>150</v>
      </c>
      <c r="F2402" s="33">
        <v>779</v>
      </c>
      <c r="G2402" s="33">
        <v>145</v>
      </c>
      <c r="H2402" s="13">
        <f t="shared" si="37"/>
        <v>5.1933333333333334</v>
      </c>
    </row>
    <row r="2403" spans="1:8" hidden="1" outlineLevel="2">
      <c r="A2403" s="32" t="s">
        <v>22</v>
      </c>
      <c r="B2403" s="32" t="s">
        <v>86</v>
      </c>
      <c r="C2403" s="32" t="s">
        <v>127</v>
      </c>
      <c r="D2403" s="32" t="s">
        <v>778</v>
      </c>
      <c r="E2403" s="33">
        <v>52</v>
      </c>
      <c r="F2403" s="33">
        <v>270</v>
      </c>
      <c r="G2403" s="33">
        <v>51</v>
      </c>
      <c r="H2403" s="13">
        <f t="shared" si="37"/>
        <v>5.1923076923076925</v>
      </c>
    </row>
    <row r="2404" spans="1:8" hidden="1" outlineLevel="2">
      <c r="A2404" s="32" t="s">
        <v>22</v>
      </c>
      <c r="B2404" s="32" t="s">
        <v>86</v>
      </c>
      <c r="C2404" s="32" t="s">
        <v>110</v>
      </c>
      <c r="D2404" s="32" t="s">
        <v>397</v>
      </c>
      <c r="E2404" s="33">
        <v>55</v>
      </c>
      <c r="F2404" s="33">
        <v>284</v>
      </c>
      <c r="G2404" s="33">
        <v>59</v>
      </c>
      <c r="H2404" s="13">
        <f t="shared" si="37"/>
        <v>5.163636363636364</v>
      </c>
    </row>
    <row r="2405" spans="1:8" hidden="1" outlineLevel="2">
      <c r="A2405" s="32" t="s">
        <v>22</v>
      </c>
      <c r="B2405" s="32" t="s">
        <v>86</v>
      </c>
      <c r="C2405" s="32" t="s">
        <v>119</v>
      </c>
      <c r="D2405" s="32" t="s">
        <v>216</v>
      </c>
      <c r="E2405" s="33">
        <v>40</v>
      </c>
      <c r="F2405" s="33">
        <v>206</v>
      </c>
      <c r="G2405" s="33">
        <v>10</v>
      </c>
      <c r="H2405" s="13">
        <f t="shared" si="37"/>
        <v>5.15</v>
      </c>
    </row>
    <row r="2406" spans="1:8" hidden="1" outlineLevel="2">
      <c r="A2406" s="32" t="s">
        <v>22</v>
      </c>
      <c r="B2406" s="32" t="s">
        <v>86</v>
      </c>
      <c r="C2406" s="32" t="s">
        <v>138</v>
      </c>
      <c r="D2406" s="32" t="s">
        <v>141</v>
      </c>
      <c r="E2406" s="33">
        <v>30</v>
      </c>
      <c r="F2406" s="33">
        <v>154</v>
      </c>
      <c r="G2406" s="33">
        <v>28</v>
      </c>
      <c r="H2406" s="13">
        <f t="shared" si="37"/>
        <v>5.1333333333333337</v>
      </c>
    </row>
    <row r="2407" spans="1:8" hidden="1" outlineLevel="2">
      <c r="A2407" s="32" t="s">
        <v>22</v>
      </c>
      <c r="B2407" s="32" t="s">
        <v>1858</v>
      </c>
      <c r="C2407" s="32" t="s">
        <v>422</v>
      </c>
      <c r="D2407" s="32" t="s">
        <v>296</v>
      </c>
      <c r="E2407" s="33">
        <v>210</v>
      </c>
      <c r="F2407" s="33">
        <v>1075</v>
      </c>
      <c r="G2407" s="33">
        <v>198</v>
      </c>
      <c r="H2407" s="13">
        <f t="shared" si="37"/>
        <v>5.1190476190476186</v>
      </c>
    </row>
    <row r="2408" spans="1:8" hidden="1" outlineLevel="2">
      <c r="A2408" s="32" t="s">
        <v>22</v>
      </c>
      <c r="B2408" s="32" t="s">
        <v>86</v>
      </c>
      <c r="C2408" s="32" t="s">
        <v>119</v>
      </c>
      <c r="D2408" s="32" t="s">
        <v>170</v>
      </c>
      <c r="E2408" s="33">
        <v>40</v>
      </c>
      <c r="F2408" s="33">
        <v>204</v>
      </c>
      <c r="G2408" s="33">
        <v>38</v>
      </c>
      <c r="H2408" s="13">
        <f t="shared" si="37"/>
        <v>5.0999999999999996</v>
      </c>
    </row>
    <row r="2409" spans="1:8" hidden="1" outlineLevel="2">
      <c r="A2409" s="32" t="s">
        <v>22</v>
      </c>
      <c r="B2409" s="32" t="s">
        <v>1858</v>
      </c>
      <c r="C2409" s="32" t="s">
        <v>422</v>
      </c>
      <c r="D2409" s="32" t="s">
        <v>165</v>
      </c>
      <c r="E2409" s="33">
        <v>155</v>
      </c>
      <c r="F2409" s="33">
        <v>790</v>
      </c>
      <c r="G2409" s="33">
        <v>151</v>
      </c>
      <c r="H2409" s="13">
        <f t="shared" si="37"/>
        <v>5.096774193548387</v>
      </c>
    </row>
    <row r="2410" spans="1:8" hidden="1" outlineLevel="2">
      <c r="A2410" s="32" t="s">
        <v>22</v>
      </c>
      <c r="B2410" s="32" t="s">
        <v>86</v>
      </c>
      <c r="C2410" s="32" t="s">
        <v>119</v>
      </c>
      <c r="D2410" s="32" t="s">
        <v>340</v>
      </c>
      <c r="E2410" s="33">
        <v>85</v>
      </c>
      <c r="F2410" s="33">
        <v>433</v>
      </c>
      <c r="G2410" s="33">
        <v>83</v>
      </c>
      <c r="H2410" s="13">
        <f t="shared" si="37"/>
        <v>5.0941176470588232</v>
      </c>
    </row>
    <row r="2411" spans="1:8" hidden="1" outlineLevel="2">
      <c r="A2411" s="32" t="s">
        <v>22</v>
      </c>
      <c r="B2411" s="32" t="s">
        <v>1862</v>
      </c>
      <c r="C2411" s="32" t="s">
        <v>97</v>
      </c>
      <c r="D2411" s="32" t="s">
        <v>463</v>
      </c>
      <c r="E2411" s="33">
        <v>35</v>
      </c>
      <c r="F2411" s="33">
        <v>178</v>
      </c>
      <c r="G2411" s="33">
        <v>33</v>
      </c>
      <c r="H2411" s="13">
        <f t="shared" si="37"/>
        <v>5.0857142857142854</v>
      </c>
    </row>
    <row r="2412" spans="1:8" hidden="1" outlineLevel="2">
      <c r="A2412" s="32" t="s">
        <v>22</v>
      </c>
      <c r="B2412" s="32" t="s">
        <v>86</v>
      </c>
      <c r="C2412" s="32" t="s">
        <v>127</v>
      </c>
      <c r="D2412" s="32" t="s">
        <v>741</v>
      </c>
      <c r="E2412" s="33">
        <v>15</v>
      </c>
      <c r="F2412" s="33">
        <v>76</v>
      </c>
      <c r="G2412" s="33">
        <v>15</v>
      </c>
      <c r="H2412" s="13">
        <f t="shared" si="37"/>
        <v>5.0666666666666664</v>
      </c>
    </row>
    <row r="2413" spans="1:8" hidden="1" outlineLevel="2">
      <c r="A2413" s="32" t="s">
        <v>22</v>
      </c>
      <c r="B2413" s="32" t="s">
        <v>1862</v>
      </c>
      <c r="C2413" s="32" t="s">
        <v>97</v>
      </c>
      <c r="D2413" s="32" t="s">
        <v>462</v>
      </c>
      <c r="E2413" s="33">
        <v>65</v>
      </c>
      <c r="F2413" s="33">
        <v>329</v>
      </c>
      <c r="G2413" s="33">
        <v>64</v>
      </c>
      <c r="H2413" s="13">
        <f t="shared" si="37"/>
        <v>5.0615384615384613</v>
      </c>
    </row>
    <row r="2414" spans="1:8" hidden="1" outlineLevel="2">
      <c r="A2414" s="32" t="s">
        <v>22</v>
      </c>
      <c r="B2414" s="32" t="s">
        <v>1862</v>
      </c>
      <c r="C2414" s="32" t="s">
        <v>108</v>
      </c>
      <c r="D2414" s="32" t="s">
        <v>720</v>
      </c>
      <c r="E2414" s="33">
        <v>160</v>
      </c>
      <c r="F2414" s="33">
        <v>808</v>
      </c>
      <c r="G2414" s="33">
        <v>157</v>
      </c>
      <c r="H2414" s="13">
        <f t="shared" si="37"/>
        <v>5.05</v>
      </c>
    </row>
    <row r="2415" spans="1:8" hidden="1" outlineLevel="2">
      <c r="A2415" s="32" t="s">
        <v>22</v>
      </c>
      <c r="B2415" s="32" t="s">
        <v>86</v>
      </c>
      <c r="C2415" s="32" t="s">
        <v>127</v>
      </c>
      <c r="D2415" s="32" t="s">
        <v>408</v>
      </c>
      <c r="E2415" s="33">
        <v>15</v>
      </c>
      <c r="F2415" s="33">
        <v>75</v>
      </c>
      <c r="G2415" s="33">
        <v>15</v>
      </c>
      <c r="H2415" s="13">
        <f t="shared" si="37"/>
        <v>5</v>
      </c>
    </row>
    <row r="2416" spans="1:8" hidden="1" outlineLevel="2">
      <c r="A2416" s="32" t="s">
        <v>22</v>
      </c>
      <c r="B2416" s="32" t="s">
        <v>1862</v>
      </c>
      <c r="C2416" s="32" t="s">
        <v>97</v>
      </c>
      <c r="D2416" s="32" t="s">
        <v>461</v>
      </c>
      <c r="E2416" s="33">
        <v>185</v>
      </c>
      <c r="F2416" s="33">
        <v>916</v>
      </c>
      <c r="G2416" s="33">
        <v>189</v>
      </c>
      <c r="H2416" s="13">
        <f t="shared" si="37"/>
        <v>4.9513513513513514</v>
      </c>
    </row>
    <row r="2417" spans="1:8" hidden="1" outlineLevel="2">
      <c r="A2417" s="32" t="s">
        <v>22</v>
      </c>
      <c r="B2417" s="32" t="s">
        <v>86</v>
      </c>
      <c r="C2417" s="32" t="s">
        <v>138</v>
      </c>
      <c r="D2417" s="32" t="s">
        <v>510</v>
      </c>
      <c r="E2417" s="33">
        <v>20</v>
      </c>
      <c r="F2417" s="33">
        <v>99</v>
      </c>
      <c r="G2417" s="33">
        <v>18</v>
      </c>
      <c r="H2417" s="13">
        <f t="shared" si="37"/>
        <v>4.95</v>
      </c>
    </row>
    <row r="2418" spans="1:8" hidden="1" outlineLevel="2">
      <c r="A2418" s="32" t="s">
        <v>22</v>
      </c>
      <c r="B2418" s="32" t="s">
        <v>1862</v>
      </c>
      <c r="C2418" s="32" t="s">
        <v>115</v>
      </c>
      <c r="D2418" s="32" t="s">
        <v>598</v>
      </c>
      <c r="E2418" s="33">
        <v>90</v>
      </c>
      <c r="F2418" s="33">
        <v>445</v>
      </c>
      <c r="G2418" s="33">
        <v>89</v>
      </c>
      <c r="H2418" s="13">
        <f t="shared" si="37"/>
        <v>4.9444444444444446</v>
      </c>
    </row>
    <row r="2419" spans="1:8" hidden="1" outlineLevel="2">
      <c r="A2419" s="32" t="s">
        <v>22</v>
      </c>
      <c r="B2419" s="32" t="s">
        <v>86</v>
      </c>
      <c r="C2419" s="32" t="s">
        <v>138</v>
      </c>
      <c r="D2419" s="32" t="s">
        <v>184</v>
      </c>
      <c r="E2419" s="33">
        <v>35</v>
      </c>
      <c r="F2419" s="33">
        <v>173</v>
      </c>
      <c r="G2419" s="33">
        <v>33</v>
      </c>
      <c r="H2419" s="13">
        <f t="shared" si="37"/>
        <v>4.9428571428571431</v>
      </c>
    </row>
    <row r="2420" spans="1:8" hidden="1" outlineLevel="2">
      <c r="A2420" s="32" t="s">
        <v>22</v>
      </c>
      <c r="B2420" s="32" t="s">
        <v>1858</v>
      </c>
      <c r="C2420" s="32" t="s">
        <v>239</v>
      </c>
      <c r="D2420" s="32" t="s">
        <v>180</v>
      </c>
      <c r="E2420" s="33">
        <v>152</v>
      </c>
      <c r="F2420" s="33">
        <v>750</v>
      </c>
      <c r="G2420" s="33">
        <v>143</v>
      </c>
      <c r="H2420" s="13">
        <f t="shared" si="37"/>
        <v>4.9342105263157894</v>
      </c>
    </row>
    <row r="2421" spans="1:8" hidden="1" outlineLevel="2">
      <c r="A2421" s="32" t="s">
        <v>22</v>
      </c>
      <c r="B2421" s="32" t="s">
        <v>1862</v>
      </c>
      <c r="C2421" s="32" t="s">
        <v>108</v>
      </c>
      <c r="D2421" s="32" t="s">
        <v>450</v>
      </c>
      <c r="E2421" s="33">
        <v>90</v>
      </c>
      <c r="F2421" s="33">
        <v>442</v>
      </c>
      <c r="G2421" s="33">
        <v>87</v>
      </c>
      <c r="H2421" s="13">
        <f t="shared" si="37"/>
        <v>4.9111111111111114</v>
      </c>
    </row>
    <row r="2422" spans="1:8" hidden="1" outlineLevel="2">
      <c r="A2422" s="32" t="s">
        <v>22</v>
      </c>
      <c r="B2422" s="32" t="s">
        <v>86</v>
      </c>
      <c r="C2422" s="32" t="s">
        <v>190</v>
      </c>
      <c r="D2422" s="32" t="s">
        <v>654</v>
      </c>
      <c r="E2422" s="33">
        <v>120</v>
      </c>
      <c r="F2422" s="33">
        <v>589</v>
      </c>
      <c r="G2422" s="33">
        <v>119</v>
      </c>
      <c r="H2422" s="13">
        <f t="shared" si="37"/>
        <v>4.9083333333333332</v>
      </c>
    </row>
    <row r="2423" spans="1:8" hidden="1" outlineLevel="2">
      <c r="A2423" s="32" t="s">
        <v>22</v>
      </c>
      <c r="B2423" s="32" t="s">
        <v>86</v>
      </c>
      <c r="C2423" s="32" t="s">
        <v>138</v>
      </c>
      <c r="D2423" s="32" t="s">
        <v>509</v>
      </c>
      <c r="E2423" s="33">
        <v>10</v>
      </c>
      <c r="F2423" s="33">
        <v>49</v>
      </c>
      <c r="G2423" s="33">
        <v>5</v>
      </c>
      <c r="H2423" s="13">
        <f t="shared" si="37"/>
        <v>4.9000000000000004</v>
      </c>
    </row>
    <row r="2424" spans="1:8" hidden="1" outlineLevel="2">
      <c r="A2424" s="32" t="s">
        <v>22</v>
      </c>
      <c r="B2424" s="32" t="s">
        <v>86</v>
      </c>
      <c r="C2424" s="32" t="s">
        <v>138</v>
      </c>
      <c r="D2424" s="32" t="s">
        <v>512</v>
      </c>
      <c r="E2424" s="33">
        <v>10</v>
      </c>
      <c r="F2424" s="33">
        <v>49</v>
      </c>
      <c r="G2424" s="33">
        <v>6</v>
      </c>
      <c r="H2424" s="13">
        <f t="shared" si="37"/>
        <v>4.9000000000000004</v>
      </c>
    </row>
    <row r="2425" spans="1:8" hidden="1" outlineLevel="2">
      <c r="A2425" s="32" t="s">
        <v>22</v>
      </c>
      <c r="B2425" s="32" t="s">
        <v>86</v>
      </c>
      <c r="C2425" s="32" t="s">
        <v>190</v>
      </c>
      <c r="D2425" s="32" t="s">
        <v>513</v>
      </c>
      <c r="E2425" s="33">
        <v>110</v>
      </c>
      <c r="F2425" s="33">
        <v>539</v>
      </c>
      <c r="G2425" s="33">
        <v>101</v>
      </c>
      <c r="H2425" s="13">
        <f t="shared" si="37"/>
        <v>4.9000000000000004</v>
      </c>
    </row>
    <row r="2426" spans="1:8" hidden="1" outlineLevel="2">
      <c r="A2426" s="32" t="s">
        <v>22</v>
      </c>
      <c r="B2426" s="32" t="s">
        <v>86</v>
      </c>
      <c r="C2426" s="32" t="s">
        <v>138</v>
      </c>
      <c r="D2426" s="32" t="s">
        <v>686</v>
      </c>
      <c r="E2426" s="33">
        <v>30</v>
      </c>
      <c r="F2426" s="33">
        <v>147</v>
      </c>
      <c r="G2426" s="33">
        <v>29</v>
      </c>
      <c r="H2426" s="13">
        <f t="shared" si="37"/>
        <v>4.9000000000000004</v>
      </c>
    </row>
    <row r="2427" spans="1:8" hidden="1" outlineLevel="2">
      <c r="A2427" s="32" t="s">
        <v>22</v>
      </c>
      <c r="B2427" s="32" t="s">
        <v>1858</v>
      </c>
      <c r="C2427" s="32" t="s">
        <v>144</v>
      </c>
      <c r="D2427" s="32" t="s">
        <v>637</v>
      </c>
      <c r="E2427" s="33">
        <v>30</v>
      </c>
      <c r="F2427" s="33">
        <v>146</v>
      </c>
      <c r="G2427" s="33">
        <v>29</v>
      </c>
      <c r="H2427" s="13">
        <f t="shared" si="37"/>
        <v>4.8666666666666663</v>
      </c>
    </row>
    <row r="2428" spans="1:8" hidden="1" outlineLevel="2">
      <c r="A2428" s="32" t="s">
        <v>22</v>
      </c>
      <c r="B2428" s="32" t="s">
        <v>1862</v>
      </c>
      <c r="C2428" s="32" t="s">
        <v>97</v>
      </c>
      <c r="D2428" s="32" t="s">
        <v>254</v>
      </c>
      <c r="E2428" s="33">
        <v>95</v>
      </c>
      <c r="F2428" s="33">
        <v>462</v>
      </c>
      <c r="G2428" s="33">
        <v>90</v>
      </c>
      <c r="H2428" s="13">
        <f t="shared" si="37"/>
        <v>4.8631578947368421</v>
      </c>
    </row>
    <row r="2429" spans="1:8" hidden="1" outlineLevel="2">
      <c r="A2429" s="32" t="s">
        <v>22</v>
      </c>
      <c r="B2429" s="32" t="s">
        <v>1862</v>
      </c>
      <c r="C2429" s="32" t="s">
        <v>108</v>
      </c>
      <c r="D2429" s="32" t="s">
        <v>334</v>
      </c>
      <c r="E2429" s="33">
        <v>32</v>
      </c>
      <c r="F2429" s="33">
        <v>154</v>
      </c>
      <c r="G2429" s="33">
        <v>27</v>
      </c>
      <c r="H2429" s="13">
        <f t="shared" si="37"/>
        <v>4.8125</v>
      </c>
    </row>
    <row r="2430" spans="1:8" hidden="1" outlineLevel="2">
      <c r="A2430" s="32" t="s">
        <v>22</v>
      </c>
      <c r="B2430" s="32" t="s">
        <v>86</v>
      </c>
      <c r="C2430" s="32" t="s">
        <v>138</v>
      </c>
      <c r="D2430" s="32" t="s">
        <v>354</v>
      </c>
      <c r="E2430" s="33">
        <v>10</v>
      </c>
      <c r="F2430" s="33">
        <v>48</v>
      </c>
      <c r="G2430" s="33">
        <v>9</v>
      </c>
      <c r="H2430" s="13">
        <f t="shared" si="37"/>
        <v>4.8</v>
      </c>
    </row>
    <row r="2431" spans="1:8" hidden="1" outlineLevel="2">
      <c r="A2431" s="32" t="s">
        <v>22</v>
      </c>
      <c r="B2431" s="32" t="s">
        <v>86</v>
      </c>
      <c r="C2431" s="32" t="s">
        <v>138</v>
      </c>
      <c r="D2431" s="32" t="s">
        <v>613</v>
      </c>
      <c r="E2431" s="33">
        <v>30</v>
      </c>
      <c r="F2431" s="33">
        <v>144</v>
      </c>
      <c r="G2431" s="33">
        <v>28</v>
      </c>
      <c r="H2431" s="13">
        <f t="shared" si="37"/>
        <v>4.8</v>
      </c>
    </row>
    <row r="2432" spans="1:8" hidden="1" outlineLevel="2">
      <c r="A2432" s="32" t="s">
        <v>22</v>
      </c>
      <c r="B2432" s="32" t="s">
        <v>86</v>
      </c>
      <c r="C2432" s="32" t="s">
        <v>138</v>
      </c>
      <c r="D2432" s="32" t="s">
        <v>387</v>
      </c>
      <c r="E2432" s="33">
        <v>20</v>
      </c>
      <c r="F2432" s="33">
        <v>95</v>
      </c>
      <c r="G2432" s="33">
        <v>16</v>
      </c>
      <c r="H2432" s="13">
        <f t="shared" si="37"/>
        <v>4.75</v>
      </c>
    </row>
    <row r="2433" spans="1:8" hidden="1" outlineLevel="2">
      <c r="A2433" s="32" t="s">
        <v>22</v>
      </c>
      <c r="B2433" s="32" t="s">
        <v>1858</v>
      </c>
      <c r="C2433" s="32" t="s">
        <v>131</v>
      </c>
      <c r="D2433" s="32" t="s">
        <v>200</v>
      </c>
      <c r="E2433" s="33">
        <v>115</v>
      </c>
      <c r="F2433" s="33">
        <v>545</v>
      </c>
      <c r="G2433" s="33">
        <v>111</v>
      </c>
      <c r="H2433" s="13">
        <f t="shared" si="37"/>
        <v>4.7391304347826084</v>
      </c>
    </row>
    <row r="2434" spans="1:8" hidden="1" outlineLevel="2">
      <c r="A2434" s="32" t="s">
        <v>22</v>
      </c>
      <c r="B2434" s="32" t="s">
        <v>86</v>
      </c>
      <c r="C2434" s="32" t="s">
        <v>119</v>
      </c>
      <c r="D2434" s="32" t="s">
        <v>503</v>
      </c>
      <c r="E2434" s="33">
        <v>30</v>
      </c>
      <c r="F2434" s="33">
        <v>142</v>
      </c>
      <c r="G2434" s="33">
        <v>3</v>
      </c>
      <c r="H2434" s="13">
        <f t="shared" ref="H2434:H2497" si="38">IFERROR(F2434/E2434,"")</f>
        <v>4.7333333333333334</v>
      </c>
    </row>
    <row r="2435" spans="1:8" hidden="1" outlineLevel="2">
      <c r="A2435" s="32" t="s">
        <v>22</v>
      </c>
      <c r="B2435" s="32" t="s">
        <v>1858</v>
      </c>
      <c r="C2435" s="32" t="s">
        <v>144</v>
      </c>
      <c r="D2435" s="32" t="s">
        <v>435</v>
      </c>
      <c r="E2435" s="33">
        <v>40</v>
      </c>
      <c r="F2435" s="33">
        <v>189</v>
      </c>
      <c r="G2435" s="33">
        <v>44</v>
      </c>
      <c r="H2435" s="13">
        <f t="shared" si="38"/>
        <v>4.7249999999999996</v>
      </c>
    </row>
    <row r="2436" spans="1:8" hidden="1" outlineLevel="2">
      <c r="A2436" s="32" t="s">
        <v>22</v>
      </c>
      <c r="B2436" s="32" t="s">
        <v>1862</v>
      </c>
      <c r="C2436" s="32" t="s">
        <v>108</v>
      </c>
      <c r="D2436" s="32" t="s">
        <v>114</v>
      </c>
      <c r="E2436" s="33">
        <v>25</v>
      </c>
      <c r="F2436" s="33">
        <v>118</v>
      </c>
      <c r="G2436" s="33">
        <v>15</v>
      </c>
      <c r="H2436" s="13">
        <f t="shared" si="38"/>
        <v>4.72</v>
      </c>
    </row>
    <row r="2437" spans="1:8" hidden="1" outlineLevel="2">
      <c r="A2437" s="32" t="s">
        <v>22</v>
      </c>
      <c r="B2437" s="32" t="s">
        <v>86</v>
      </c>
      <c r="C2437" s="32" t="s">
        <v>152</v>
      </c>
      <c r="D2437" s="32" t="s">
        <v>437</v>
      </c>
      <c r="E2437" s="33">
        <v>175</v>
      </c>
      <c r="F2437" s="33">
        <v>825</v>
      </c>
      <c r="G2437" s="33">
        <v>171</v>
      </c>
      <c r="H2437" s="13">
        <f t="shared" si="38"/>
        <v>4.7142857142857144</v>
      </c>
    </row>
    <row r="2438" spans="1:8" hidden="1" outlineLevel="2">
      <c r="A2438" s="32" t="s">
        <v>22</v>
      </c>
      <c r="B2438" s="32" t="s">
        <v>86</v>
      </c>
      <c r="C2438" s="32" t="s">
        <v>119</v>
      </c>
      <c r="D2438" s="32" t="s">
        <v>173</v>
      </c>
      <c r="E2438" s="33">
        <v>390</v>
      </c>
      <c r="F2438" s="33">
        <v>1834</v>
      </c>
      <c r="G2438" s="33">
        <v>387</v>
      </c>
      <c r="H2438" s="13">
        <f t="shared" si="38"/>
        <v>4.7025641025641027</v>
      </c>
    </row>
    <row r="2439" spans="1:8" hidden="1" outlineLevel="2">
      <c r="A2439" s="32" t="s">
        <v>22</v>
      </c>
      <c r="B2439" s="32" t="s">
        <v>86</v>
      </c>
      <c r="C2439" s="32" t="s">
        <v>127</v>
      </c>
      <c r="D2439" s="32" t="s">
        <v>128</v>
      </c>
      <c r="E2439" s="33">
        <v>13</v>
      </c>
      <c r="F2439" s="33">
        <v>61</v>
      </c>
      <c r="G2439" s="33">
        <v>13</v>
      </c>
      <c r="H2439" s="13">
        <f t="shared" si="38"/>
        <v>4.6923076923076925</v>
      </c>
    </row>
    <row r="2440" spans="1:8" hidden="1" outlineLevel="2">
      <c r="A2440" s="32" t="s">
        <v>22</v>
      </c>
      <c r="B2440" s="32" t="s">
        <v>86</v>
      </c>
      <c r="C2440" s="32" t="s">
        <v>119</v>
      </c>
      <c r="D2440" s="32" t="s">
        <v>122</v>
      </c>
      <c r="E2440" s="33">
        <v>120</v>
      </c>
      <c r="F2440" s="33">
        <v>562</v>
      </c>
      <c r="G2440" s="33">
        <v>119</v>
      </c>
      <c r="H2440" s="13">
        <f t="shared" si="38"/>
        <v>4.6833333333333336</v>
      </c>
    </row>
    <row r="2441" spans="1:8" hidden="1" outlineLevel="2">
      <c r="A2441" s="32" t="s">
        <v>22</v>
      </c>
      <c r="B2441" s="32" t="s">
        <v>86</v>
      </c>
      <c r="C2441" s="32" t="s">
        <v>127</v>
      </c>
      <c r="D2441" s="32" t="s">
        <v>230</v>
      </c>
      <c r="E2441" s="33">
        <v>95</v>
      </c>
      <c r="F2441" s="33">
        <v>440</v>
      </c>
      <c r="G2441" s="33">
        <v>92</v>
      </c>
      <c r="H2441" s="13">
        <f t="shared" si="38"/>
        <v>4.6315789473684212</v>
      </c>
    </row>
    <row r="2442" spans="1:8" hidden="1" outlineLevel="2">
      <c r="A2442" s="32" t="s">
        <v>22</v>
      </c>
      <c r="B2442" s="32" t="s">
        <v>86</v>
      </c>
      <c r="C2442" s="32" t="s">
        <v>119</v>
      </c>
      <c r="D2442" s="32" t="s">
        <v>779</v>
      </c>
      <c r="E2442" s="33">
        <v>230</v>
      </c>
      <c r="F2442" s="33">
        <v>1061</v>
      </c>
      <c r="G2442" s="33">
        <v>152</v>
      </c>
      <c r="H2442" s="13">
        <f t="shared" si="38"/>
        <v>4.6130434782608694</v>
      </c>
    </row>
    <row r="2443" spans="1:8" hidden="1" outlineLevel="2">
      <c r="A2443" s="32" t="s">
        <v>22</v>
      </c>
      <c r="B2443" s="32" t="s">
        <v>86</v>
      </c>
      <c r="C2443" s="32" t="s">
        <v>138</v>
      </c>
      <c r="D2443" s="32" t="s">
        <v>676</v>
      </c>
      <c r="E2443" s="33">
        <v>10</v>
      </c>
      <c r="F2443" s="33">
        <v>46</v>
      </c>
      <c r="G2443" s="33">
        <v>6</v>
      </c>
      <c r="H2443" s="13">
        <f t="shared" si="38"/>
        <v>4.5999999999999996</v>
      </c>
    </row>
    <row r="2444" spans="1:8" hidden="1" outlineLevel="2">
      <c r="A2444" s="32" t="s">
        <v>22</v>
      </c>
      <c r="B2444" s="32" t="s">
        <v>1862</v>
      </c>
      <c r="C2444" s="32" t="s">
        <v>265</v>
      </c>
      <c r="D2444" s="32" t="s">
        <v>754</v>
      </c>
      <c r="E2444" s="33">
        <v>55</v>
      </c>
      <c r="F2444" s="33">
        <v>252</v>
      </c>
      <c r="G2444" s="33">
        <v>51</v>
      </c>
      <c r="H2444" s="13">
        <f t="shared" si="38"/>
        <v>4.581818181818182</v>
      </c>
    </row>
    <row r="2445" spans="1:8" hidden="1" outlineLevel="2">
      <c r="A2445" s="32" t="s">
        <v>22</v>
      </c>
      <c r="B2445" s="32" t="s">
        <v>86</v>
      </c>
      <c r="C2445" s="32" t="s">
        <v>119</v>
      </c>
      <c r="D2445" s="32" t="s">
        <v>477</v>
      </c>
      <c r="E2445" s="33">
        <v>257</v>
      </c>
      <c r="F2445" s="33">
        <v>1174</v>
      </c>
      <c r="G2445" s="33">
        <v>254</v>
      </c>
      <c r="H2445" s="13">
        <f t="shared" si="38"/>
        <v>4.5680933852140075</v>
      </c>
    </row>
    <row r="2446" spans="1:8" hidden="1" outlineLevel="2">
      <c r="A2446" s="32" t="s">
        <v>22</v>
      </c>
      <c r="B2446" s="32" t="s">
        <v>1862</v>
      </c>
      <c r="C2446" s="32" t="s">
        <v>97</v>
      </c>
      <c r="D2446" s="32" t="s">
        <v>631</v>
      </c>
      <c r="E2446" s="33">
        <v>34</v>
      </c>
      <c r="F2446" s="33">
        <v>155</v>
      </c>
      <c r="G2446" s="33">
        <v>29</v>
      </c>
      <c r="H2446" s="13">
        <f t="shared" si="38"/>
        <v>4.5588235294117645</v>
      </c>
    </row>
    <row r="2447" spans="1:8" hidden="1" outlineLevel="2">
      <c r="A2447" s="32" t="s">
        <v>22</v>
      </c>
      <c r="B2447" s="32" t="s">
        <v>1862</v>
      </c>
      <c r="C2447" s="32" t="s">
        <v>108</v>
      </c>
      <c r="D2447" s="32" t="s">
        <v>113</v>
      </c>
      <c r="E2447" s="33">
        <v>27</v>
      </c>
      <c r="F2447" s="33">
        <v>122</v>
      </c>
      <c r="G2447" s="33">
        <v>22</v>
      </c>
      <c r="H2447" s="13">
        <f t="shared" si="38"/>
        <v>4.5185185185185182</v>
      </c>
    </row>
    <row r="2448" spans="1:8" hidden="1" outlineLevel="2">
      <c r="A2448" s="32" t="s">
        <v>22</v>
      </c>
      <c r="B2448" s="32" t="s">
        <v>1858</v>
      </c>
      <c r="C2448" s="32" t="s">
        <v>162</v>
      </c>
      <c r="D2448" s="32" t="s">
        <v>423</v>
      </c>
      <c r="E2448" s="33">
        <v>80</v>
      </c>
      <c r="F2448" s="33">
        <v>358</v>
      </c>
      <c r="G2448" s="33">
        <v>76</v>
      </c>
      <c r="H2448" s="13">
        <f t="shared" si="38"/>
        <v>4.4749999999999996</v>
      </c>
    </row>
    <row r="2449" spans="1:8" hidden="1" outlineLevel="2">
      <c r="A2449" s="32" t="s">
        <v>22</v>
      </c>
      <c r="B2449" s="32" t="s">
        <v>1862</v>
      </c>
      <c r="C2449" s="32" t="s">
        <v>108</v>
      </c>
      <c r="D2449" s="32" t="s">
        <v>111</v>
      </c>
      <c r="E2449" s="33">
        <v>32</v>
      </c>
      <c r="F2449" s="33">
        <v>143</v>
      </c>
      <c r="G2449" s="33">
        <v>29</v>
      </c>
      <c r="H2449" s="13">
        <f t="shared" si="38"/>
        <v>4.46875</v>
      </c>
    </row>
    <row r="2450" spans="1:8" hidden="1" outlineLevel="2">
      <c r="A2450" s="32" t="s">
        <v>22</v>
      </c>
      <c r="B2450" s="32" t="s">
        <v>86</v>
      </c>
      <c r="C2450" s="32" t="s">
        <v>152</v>
      </c>
      <c r="D2450" s="32" t="s">
        <v>496</v>
      </c>
      <c r="E2450" s="33">
        <v>18</v>
      </c>
      <c r="F2450" s="33">
        <v>80</v>
      </c>
      <c r="G2450" s="33">
        <v>18</v>
      </c>
      <c r="H2450" s="13">
        <f t="shared" si="38"/>
        <v>4.4444444444444446</v>
      </c>
    </row>
    <row r="2451" spans="1:8" hidden="1" outlineLevel="2">
      <c r="A2451" s="32" t="s">
        <v>22</v>
      </c>
      <c r="B2451" s="32" t="s">
        <v>86</v>
      </c>
      <c r="C2451" s="32" t="s">
        <v>138</v>
      </c>
      <c r="D2451" s="32" t="s">
        <v>681</v>
      </c>
      <c r="E2451" s="33">
        <v>45</v>
      </c>
      <c r="F2451" s="33">
        <v>200</v>
      </c>
      <c r="G2451" s="33">
        <v>41</v>
      </c>
      <c r="H2451" s="13">
        <f t="shared" si="38"/>
        <v>4.4444444444444446</v>
      </c>
    </row>
    <row r="2452" spans="1:8" hidden="1" outlineLevel="2">
      <c r="A2452" s="32" t="s">
        <v>22</v>
      </c>
      <c r="B2452" s="32" t="s">
        <v>1862</v>
      </c>
      <c r="C2452" s="32" t="s">
        <v>115</v>
      </c>
      <c r="D2452" s="32" t="s">
        <v>321</v>
      </c>
      <c r="E2452" s="33">
        <v>40</v>
      </c>
      <c r="F2452" s="33">
        <v>177</v>
      </c>
      <c r="G2452" s="33">
        <v>31</v>
      </c>
      <c r="H2452" s="13">
        <f t="shared" si="38"/>
        <v>4.4249999999999998</v>
      </c>
    </row>
    <row r="2453" spans="1:8" hidden="1" outlineLevel="2">
      <c r="A2453" s="32" t="s">
        <v>22</v>
      </c>
      <c r="B2453" s="32" t="s">
        <v>1862</v>
      </c>
      <c r="C2453" s="32" t="s">
        <v>108</v>
      </c>
      <c r="D2453" s="32" t="s">
        <v>423</v>
      </c>
      <c r="E2453" s="33">
        <v>145</v>
      </c>
      <c r="F2453" s="33">
        <v>640</v>
      </c>
      <c r="G2453" s="33">
        <v>152</v>
      </c>
      <c r="H2453" s="13">
        <f t="shared" si="38"/>
        <v>4.4137931034482758</v>
      </c>
    </row>
    <row r="2454" spans="1:8" hidden="1" outlineLevel="2">
      <c r="A2454" s="32" t="s">
        <v>22</v>
      </c>
      <c r="B2454" s="32" t="s">
        <v>1858</v>
      </c>
      <c r="C2454" s="32" t="s">
        <v>131</v>
      </c>
      <c r="D2454" s="32" t="s">
        <v>255</v>
      </c>
      <c r="E2454" s="33">
        <v>70</v>
      </c>
      <c r="F2454" s="33">
        <v>308</v>
      </c>
      <c r="G2454" s="33">
        <v>69</v>
      </c>
      <c r="H2454" s="13">
        <f t="shared" si="38"/>
        <v>4.4000000000000004</v>
      </c>
    </row>
    <row r="2455" spans="1:8" hidden="1" outlineLevel="2">
      <c r="A2455" s="32" t="s">
        <v>22</v>
      </c>
      <c r="B2455" s="32" t="s">
        <v>86</v>
      </c>
      <c r="C2455" s="32" t="s">
        <v>138</v>
      </c>
      <c r="D2455" s="32" t="s">
        <v>511</v>
      </c>
      <c r="E2455" s="33">
        <v>15</v>
      </c>
      <c r="F2455" s="33">
        <v>66</v>
      </c>
      <c r="G2455" s="33">
        <v>8</v>
      </c>
      <c r="H2455" s="13">
        <f t="shared" si="38"/>
        <v>4.4000000000000004</v>
      </c>
    </row>
    <row r="2456" spans="1:8" hidden="1" outlineLevel="2">
      <c r="A2456" s="32" t="s">
        <v>22</v>
      </c>
      <c r="B2456" s="32" t="s">
        <v>1862</v>
      </c>
      <c r="C2456" s="32" t="s">
        <v>265</v>
      </c>
      <c r="D2456" s="32" t="s">
        <v>256</v>
      </c>
      <c r="E2456" s="33">
        <v>80</v>
      </c>
      <c r="F2456" s="33">
        <v>351</v>
      </c>
      <c r="G2456" s="33">
        <v>70</v>
      </c>
      <c r="H2456" s="13">
        <f t="shared" si="38"/>
        <v>4.3875000000000002</v>
      </c>
    </row>
    <row r="2457" spans="1:8" hidden="1" outlineLevel="2">
      <c r="A2457" s="32" t="s">
        <v>22</v>
      </c>
      <c r="B2457" s="32" t="s">
        <v>1858</v>
      </c>
      <c r="C2457" s="32" t="s">
        <v>533</v>
      </c>
      <c r="D2457" s="32" t="s">
        <v>534</v>
      </c>
      <c r="E2457" s="33">
        <v>30</v>
      </c>
      <c r="F2457" s="33">
        <v>131</v>
      </c>
      <c r="G2457" s="33">
        <v>28</v>
      </c>
      <c r="H2457" s="13">
        <f t="shared" si="38"/>
        <v>4.3666666666666663</v>
      </c>
    </row>
    <row r="2458" spans="1:8" hidden="1" outlineLevel="2">
      <c r="A2458" s="32" t="s">
        <v>22</v>
      </c>
      <c r="B2458" s="32" t="s">
        <v>86</v>
      </c>
      <c r="C2458" s="32" t="s">
        <v>119</v>
      </c>
      <c r="D2458" s="32" t="s">
        <v>590</v>
      </c>
      <c r="E2458" s="33">
        <v>150</v>
      </c>
      <c r="F2458" s="33">
        <v>652</v>
      </c>
      <c r="G2458" s="33">
        <v>150</v>
      </c>
      <c r="H2458" s="13">
        <f t="shared" si="38"/>
        <v>4.3466666666666667</v>
      </c>
    </row>
    <row r="2459" spans="1:8" hidden="1" outlineLevel="2">
      <c r="A2459" s="32" t="s">
        <v>22</v>
      </c>
      <c r="B2459" s="32" t="s">
        <v>86</v>
      </c>
      <c r="C2459" s="32" t="s">
        <v>138</v>
      </c>
      <c r="D2459" s="32" t="s">
        <v>189</v>
      </c>
      <c r="E2459" s="33">
        <v>15</v>
      </c>
      <c r="F2459" s="33">
        <v>65</v>
      </c>
      <c r="G2459" s="33">
        <v>10</v>
      </c>
      <c r="H2459" s="13">
        <f t="shared" si="38"/>
        <v>4.333333333333333</v>
      </c>
    </row>
    <row r="2460" spans="1:8" hidden="1" outlineLevel="2">
      <c r="A2460" s="32" t="s">
        <v>22</v>
      </c>
      <c r="B2460" s="32" t="s">
        <v>1862</v>
      </c>
      <c r="C2460" s="32" t="s">
        <v>108</v>
      </c>
      <c r="D2460" s="32" t="s">
        <v>612</v>
      </c>
      <c r="E2460" s="33">
        <v>70</v>
      </c>
      <c r="F2460" s="33">
        <v>302</v>
      </c>
      <c r="G2460" s="33">
        <v>58</v>
      </c>
      <c r="H2460" s="13">
        <f t="shared" si="38"/>
        <v>4.3142857142857141</v>
      </c>
    </row>
    <row r="2461" spans="1:8" hidden="1" outlineLevel="2">
      <c r="A2461" s="32" t="s">
        <v>22</v>
      </c>
      <c r="B2461" s="32" t="s">
        <v>1862</v>
      </c>
      <c r="C2461" s="32" t="s">
        <v>97</v>
      </c>
      <c r="D2461" s="32" t="s">
        <v>448</v>
      </c>
      <c r="E2461" s="33">
        <v>58</v>
      </c>
      <c r="F2461" s="33">
        <v>248</v>
      </c>
      <c r="G2461" s="33">
        <v>55</v>
      </c>
      <c r="H2461" s="13">
        <f t="shared" si="38"/>
        <v>4.2758620689655169</v>
      </c>
    </row>
    <row r="2462" spans="1:8" hidden="1" outlineLevel="2">
      <c r="A2462" s="32" t="s">
        <v>22</v>
      </c>
      <c r="B2462" s="32" t="s">
        <v>86</v>
      </c>
      <c r="C2462" s="32" t="s">
        <v>119</v>
      </c>
      <c r="D2462" s="32" t="s">
        <v>120</v>
      </c>
      <c r="E2462" s="33">
        <v>345</v>
      </c>
      <c r="F2462" s="33">
        <v>1475</v>
      </c>
      <c r="G2462" s="33">
        <v>341</v>
      </c>
      <c r="H2462" s="13">
        <f t="shared" si="38"/>
        <v>4.27536231884058</v>
      </c>
    </row>
    <row r="2463" spans="1:8" hidden="1" outlineLevel="2">
      <c r="A2463" s="32" t="s">
        <v>22</v>
      </c>
      <c r="B2463" s="32" t="s">
        <v>1862</v>
      </c>
      <c r="C2463" s="32" t="s">
        <v>108</v>
      </c>
      <c r="D2463" s="32" t="s">
        <v>255</v>
      </c>
      <c r="E2463" s="33">
        <v>95</v>
      </c>
      <c r="F2463" s="33">
        <v>406</v>
      </c>
      <c r="G2463" s="33">
        <v>95</v>
      </c>
      <c r="H2463" s="13">
        <f t="shared" si="38"/>
        <v>4.2736842105263158</v>
      </c>
    </row>
    <row r="2464" spans="1:8" hidden="1" outlineLevel="2">
      <c r="A2464" s="32" t="s">
        <v>22</v>
      </c>
      <c r="B2464" s="32" t="s">
        <v>86</v>
      </c>
      <c r="C2464" s="32" t="s">
        <v>119</v>
      </c>
      <c r="D2464" s="32" t="s">
        <v>737</v>
      </c>
      <c r="E2464" s="33">
        <v>70</v>
      </c>
      <c r="F2464" s="33">
        <v>296</v>
      </c>
      <c r="G2464" s="33">
        <v>69</v>
      </c>
      <c r="H2464" s="13">
        <f t="shared" si="38"/>
        <v>4.2285714285714286</v>
      </c>
    </row>
    <row r="2465" spans="1:8" hidden="1" outlineLevel="2">
      <c r="A2465" s="32" t="s">
        <v>22</v>
      </c>
      <c r="B2465" s="32" t="s">
        <v>1858</v>
      </c>
      <c r="C2465" s="32" t="s">
        <v>144</v>
      </c>
      <c r="D2465" s="32" t="s">
        <v>165</v>
      </c>
      <c r="E2465" s="33">
        <v>160</v>
      </c>
      <c r="F2465" s="33">
        <v>676</v>
      </c>
      <c r="G2465" s="33">
        <v>156</v>
      </c>
      <c r="H2465" s="13">
        <f t="shared" si="38"/>
        <v>4.2249999999999996</v>
      </c>
    </row>
    <row r="2466" spans="1:8" hidden="1" outlineLevel="2">
      <c r="A2466" s="32" t="s">
        <v>22</v>
      </c>
      <c r="B2466" s="32" t="s">
        <v>1858</v>
      </c>
      <c r="C2466" s="32" t="s">
        <v>144</v>
      </c>
      <c r="D2466" s="32" t="s">
        <v>627</v>
      </c>
      <c r="E2466" s="33">
        <v>110</v>
      </c>
      <c r="F2466" s="33">
        <v>464</v>
      </c>
      <c r="G2466" s="33">
        <v>107</v>
      </c>
      <c r="H2466" s="13">
        <f t="shared" si="38"/>
        <v>4.2181818181818178</v>
      </c>
    </row>
    <row r="2467" spans="1:8" hidden="1" outlineLevel="2">
      <c r="A2467" s="32" t="s">
        <v>22</v>
      </c>
      <c r="B2467" s="32" t="s">
        <v>86</v>
      </c>
      <c r="C2467" s="32" t="s">
        <v>127</v>
      </c>
      <c r="D2467" s="32" t="s">
        <v>370</v>
      </c>
      <c r="E2467" s="33">
        <v>35</v>
      </c>
      <c r="F2467" s="33">
        <v>147</v>
      </c>
      <c r="G2467" s="33">
        <v>32</v>
      </c>
      <c r="H2467" s="13">
        <f t="shared" si="38"/>
        <v>4.2</v>
      </c>
    </row>
    <row r="2468" spans="1:8" hidden="1" outlineLevel="2">
      <c r="A2468" s="32" t="s">
        <v>22</v>
      </c>
      <c r="B2468" s="32" t="s">
        <v>1858</v>
      </c>
      <c r="C2468" s="32" t="s">
        <v>131</v>
      </c>
      <c r="D2468" s="32" t="s">
        <v>165</v>
      </c>
      <c r="E2468" s="33">
        <v>140</v>
      </c>
      <c r="F2468" s="33">
        <v>586</v>
      </c>
      <c r="G2468" s="33">
        <v>139</v>
      </c>
      <c r="H2468" s="13">
        <f t="shared" si="38"/>
        <v>4.1857142857142859</v>
      </c>
    </row>
    <row r="2469" spans="1:8" hidden="1" outlineLevel="2">
      <c r="A2469" s="32" t="s">
        <v>22</v>
      </c>
      <c r="B2469" s="32" t="s">
        <v>86</v>
      </c>
      <c r="C2469" s="32" t="s">
        <v>190</v>
      </c>
      <c r="D2469" s="32" t="s">
        <v>451</v>
      </c>
      <c r="E2469" s="33">
        <v>75</v>
      </c>
      <c r="F2469" s="33">
        <v>313</v>
      </c>
      <c r="G2469" s="33">
        <v>52</v>
      </c>
      <c r="H2469" s="13">
        <f t="shared" si="38"/>
        <v>4.1733333333333329</v>
      </c>
    </row>
    <row r="2470" spans="1:8" hidden="1" outlineLevel="2">
      <c r="A2470" s="32" t="s">
        <v>22</v>
      </c>
      <c r="B2470" s="32" t="s">
        <v>1858</v>
      </c>
      <c r="C2470" s="32" t="s">
        <v>131</v>
      </c>
      <c r="D2470" s="32" t="s">
        <v>517</v>
      </c>
      <c r="E2470" s="33">
        <v>45</v>
      </c>
      <c r="F2470" s="33">
        <v>187</v>
      </c>
      <c r="G2470" s="33">
        <v>43</v>
      </c>
      <c r="H2470" s="13">
        <f t="shared" si="38"/>
        <v>4.1555555555555559</v>
      </c>
    </row>
    <row r="2471" spans="1:8" hidden="1" outlineLevel="2">
      <c r="A2471" s="32" t="s">
        <v>22</v>
      </c>
      <c r="B2471" s="32" t="s">
        <v>86</v>
      </c>
      <c r="C2471" s="32" t="s">
        <v>138</v>
      </c>
      <c r="D2471" s="32" t="s">
        <v>139</v>
      </c>
      <c r="E2471" s="33">
        <v>20</v>
      </c>
      <c r="F2471" s="33">
        <v>83</v>
      </c>
      <c r="G2471" s="33">
        <v>19</v>
      </c>
      <c r="H2471" s="13">
        <f t="shared" si="38"/>
        <v>4.1500000000000004</v>
      </c>
    </row>
    <row r="2472" spans="1:8" hidden="1" outlineLevel="2">
      <c r="A2472" s="32" t="s">
        <v>22</v>
      </c>
      <c r="B2472" s="32" t="s">
        <v>86</v>
      </c>
      <c r="C2472" s="32" t="s">
        <v>110</v>
      </c>
      <c r="D2472" s="32" t="s">
        <v>179</v>
      </c>
      <c r="E2472" s="33">
        <v>135</v>
      </c>
      <c r="F2472" s="33">
        <v>559</v>
      </c>
      <c r="G2472" s="33">
        <v>130</v>
      </c>
      <c r="H2472" s="13">
        <f t="shared" si="38"/>
        <v>4.1407407407407408</v>
      </c>
    </row>
    <row r="2473" spans="1:8" hidden="1" outlineLevel="2">
      <c r="A2473" s="32" t="s">
        <v>22</v>
      </c>
      <c r="B2473" s="32" t="s">
        <v>86</v>
      </c>
      <c r="C2473" s="32" t="s">
        <v>138</v>
      </c>
      <c r="D2473" s="32" t="s">
        <v>788</v>
      </c>
      <c r="E2473" s="33">
        <v>10</v>
      </c>
      <c r="F2473" s="33">
        <v>41</v>
      </c>
      <c r="G2473" s="33">
        <v>4</v>
      </c>
      <c r="H2473" s="13">
        <f t="shared" si="38"/>
        <v>4.0999999999999996</v>
      </c>
    </row>
    <row r="2474" spans="1:8" hidden="1" outlineLevel="2">
      <c r="A2474" s="32" t="s">
        <v>22</v>
      </c>
      <c r="B2474" s="32" t="s">
        <v>1858</v>
      </c>
      <c r="C2474" s="32" t="s">
        <v>134</v>
      </c>
      <c r="D2474" s="32" t="s">
        <v>437</v>
      </c>
      <c r="E2474" s="33">
        <v>56</v>
      </c>
      <c r="F2474" s="33">
        <v>229</v>
      </c>
      <c r="G2474" s="33">
        <v>55</v>
      </c>
      <c r="H2474" s="13">
        <f t="shared" si="38"/>
        <v>4.0892857142857144</v>
      </c>
    </row>
    <row r="2475" spans="1:8" hidden="1" outlineLevel="2">
      <c r="A2475" s="32" t="s">
        <v>22</v>
      </c>
      <c r="B2475" s="32" t="s">
        <v>86</v>
      </c>
      <c r="C2475" s="32" t="s">
        <v>119</v>
      </c>
      <c r="D2475" s="32" t="s">
        <v>738</v>
      </c>
      <c r="E2475" s="33">
        <v>60</v>
      </c>
      <c r="F2475" s="33">
        <v>244</v>
      </c>
      <c r="G2475" s="33">
        <v>59</v>
      </c>
      <c r="H2475" s="13">
        <f t="shared" si="38"/>
        <v>4.0666666666666664</v>
      </c>
    </row>
    <row r="2476" spans="1:8" hidden="1" outlineLevel="2">
      <c r="A2476" s="32" t="s">
        <v>22</v>
      </c>
      <c r="B2476" s="32" t="s">
        <v>86</v>
      </c>
      <c r="C2476" s="32" t="s">
        <v>119</v>
      </c>
      <c r="D2476" s="32" t="s">
        <v>375</v>
      </c>
      <c r="E2476" s="33">
        <v>20</v>
      </c>
      <c r="F2476" s="33">
        <v>81</v>
      </c>
      <c r="G2476" s="33">
        <v>6</v>
      </c>
      <c r="H2476" s="13">
        <f t="shared" si="38"/>
        <v>4.05</v>
      </c>
    </row>
    <row r="2477" spans="1:8" hidden="1" outlineLevel="2">
      <c r="A2477" s="32" t="s">
        <v>22</v>
      </c>
      <c r="B2477" s="32" t="s">
        <v>1858</v>
      </c>
      <c r="C2477" s="32" t="s">
        <v>162</v>
      </c>
      <c r="D2477" s="32" t="s">
        <v>546</v>
      </c>
      <c r="E2477" s="33">
        <v>80</v>
      </c>
      <c r="F2477" s="33">
        <v>323</v>
      </c>
      <c r="G2477" s="33">
        <v>76</v>
      </c>
      <c r="H2477" s="13">
        <f t="shared" si="38"/>
        <v>4.0374999999999996</v>
      </c>
    </row>
    <row r="2478" spans="1:8" hidden="1" outlineLevel="2">
      <c r="A2478" s="32" t="s">
        <v>22</v>
      </c>
      <c r="B2478" s="32" t="s">
        <v>86</v>
      </c>
      <c r="C2478" s="32" t="s">
        <v>138</v>
      </c>
      <c r="D2478" s="32" t="s">
        <v>182</v>
      </c>
      <c r="E2478" s="33">
        <v>30</v>
      </c>
      <c r="F2478" s="33">
        <v>121</v>
      </c>
      <c r="G2478" s="33">
        <v>29</v>
      </c>
      <c r="H2478" s="13">
        <f t="shared" si="38"/>
        <v>4.0333333333333332</v>
      </c>
    </row>
    <row r="2479" spans="1:8" hidden="1" outlineLevel="2">
      <c r="A2479" s="32" t="s">
        <v>22</v>
      </c>
      <c r="B2479" s="32" t="s">
        <v>86</v>
      </c>
      <c r="C2479" s="32" t="s">
        <v>138</v>
      </c>
      <c r="D2479" s="32" t="s">
        <v>382</v>
      </c>
      <c r="E2479" s="33">
        <v>30</v>
      </c>
      <c r="F2479" s="33">
        <v>121</v>
      </c>
      <c r="G2479" s="33">
        <v>28</v>
      </c>
      <c r="H2479" s="13">
        <f t="shared" si="38"/>
        <v>4.0333333333333332</v>
      </c>
    </row>
    <row r="2480" spans="1:8" hidden="1" outlineLevel="2">
      <c r="A2480" s="32" t="s">
        <v>22</v>
      </c>
      <c r="B2480" s="32" t="s">
        <v>1862</v>
      </c>
      <c r="C2480" s="32" t="s">
        <v>115</v>
      </c>
      <c r="D2480" s="32" t="s">
        <v>297</v>
      </c>
      <c r="E2480" s="33">
        <v>85</v>
      </c>
      <c r="F2480" s="33">
        <v>341</v>
      </c>
      <c r="G2480" s="33">
        <v>83</v>
      </c>
      <c r="H2480" s="13">
        <f t="shared" si="38"/>
        <v>4.0117647058823529</v>
      </c>
    </row>
    <row r="2481" spans="1:8" hidden="1" outlineLevel="2">
      <c r="A2481" s="32" t="s">
        <v>22</v>
      </c>
      <c r="B2481" s="32" t="s">
        <v>86</v>
      </c>
      <c r="C2481" s="32" t="s">
        <v>119</v>
      </c>
      <c r="D2481" s="32" t="s">
        <v>306</v>
      </c>
      <c r="E2481" s="33">
        <v>10</v>
      </c>
      <c r="F2481" s="33">
        <v>40</v>
      </c>
      <c r="G2481" s="33">
        <v>10</v>
      </c>
      <c r="H2481" s="13">
        <f t="shared" si="38"/>
        <v>4</v>
      </c>
    </row>
    <row r="2482" spans="1:8" hidden="1" outlineLevel="2">
      <c r="A2482" s="32" t="s">
        <v>22</v>
      </c>
      <c r="B2482" s="32" t="s">
        <v>86</v>
      </c>
      <c r="C2482" s="32" t="s">
        <v>138</v>
      </c>
      <c r="D2482" s="32" t="s">
        <v>677</v>
      </c>
      <c r="E2482" s="33">
        <v>30</v>
      </c>
      <c r="F2482" s="33">
        <v>119</v>
      </c>
      <c r="G2482" s="33">
        <v>28</v>
      </c>
      <c r="H2482" s="13">
        <f t="shared" si="38"/>
        <v>3.9666666666666668</v>
      </c>
    </row>
    <row r="2483" spans="1:8" hidden="1" outlineLevel="2">
      <c r="A2483" s="32" t="s">
        <v>22</v>
      </c>
      <c r="B2483" s="32" t="s">
        <v>86</v>
      </c>
      <c r="C2483" s="32" t="s">
        <v>119</v>
      </c>
      <c r="D2483" s="32" t="s">
        <v>171</v>
      </c>
      <c r="E2483" s="33">
        <v>80</v>
      </c>
      <c r="F2483" s="33">
        <v>317</v>
      </c>
      <c r="G2483" s="33">
        <v>77</v>
      </c>
      <c r="H2483" s="13">
        <f t="shared" si="38"/>
        <v>3.9624999999999999</v>
      </c>
    </row>
    <row r="2484" spans="1:8" hidden="1" outlineLevel="2">
      <c r="A2484" s="32" t="s">
        <v>22</v>
      </c>
      <c r="B2484" s="32" t="s">
        <v>86</v>
      </c>
      <c r="C2484" s="32" t="s">
        <v>127</v>
      </c>
      <c r="D2484" s="32" t="s">
        <v>535</v>
      </c>
      <c r="E2484" s="33">
        <v>25</v>
      </c>
      <c r="F2484" s="33">
        <v>99</v>
      </c>
      <c r="G2484" s="33">
        <v>25</v>
      </c>
      <c r="H2484" s="13">
        <f t="shared" si="38"/>
        <v>3.96</v>
      </c>
    </row>
    <row r="2485" spans="1:8" hidden="1" outlineLevel="2">
      <c r="A2485" s="32" t="s">
        <v>22</v>
      </c>
      <c r="B2485" s="32" t="s">
        <v>86</v>
      </c>
      <c r="C2485" s="32" t="s">
        <v>138</v>
      </c>
      <c r="D2485" s="32" t="s">
        <v>381</v>
      </c>
      <c r="E2485" s="33">
        <v>15</v>
      </c>
      <c r="F2485" s="33">
        <v>59</v>
      </c>
      <c r="G2485" s="33">
        <v>13</v>
      </c>
      <c r="H2485" s="13">
        <f t="shared" si="38"/>
        <v>3.9333333333333331</v>
      </c>
    </row>
    <row r="2486" spans="1:8" hidden="1" outlineLevel="2">
      <c r="A2486" s="32" t="s">
        <v>22</v>
      </c>
      <c r="B2486" s="32" t="s">
        <v>1858</v>
      </c>
      <c r="C2486" s="32" t="s">
        <v>134</v>
      </c>
      <c r="D2486" s="32" t="s">
        <v>752</v>
      </c>
      <c r="E2486" s="33">
        <v>30</v>
      </c>
      <c r="F2486" s="33">
        <v>118</v>
      </c>
      <c r="G2486" s="33">
        <v>0</v>
      </c>
      <c r="H2486" s="13">
        <f t="shared" si="38"/>
        <v>3.9333333333333331</v>
      </c>
    </row>
    <row r="2487" spans="1:8" hidden="1" outlineLevel="2">
      <c r="A2487" s="32" t="s">
        <v>22</v>
      </c>
      <c r="B2487" s="32" t="s">
        <v>86</v>
      </c>
      <c r="C2487" s="32" t="s">
        <v>119</v>
      </c>
      <c r="D2487" s="32" t="s">
        <v>780</v>
      </c>
      <c r="E2487" s="33">
        <v>60</v>
      </c>
      <c r="F2487" s="33">
        <v>236</v>
      </c>
      <c r="G2487" s="33">
        <v>60</v>
      </c>
      <c r="H2487" s="13">
        <f t="shared" si="38"/>
        <v>3.9333333333333331</v>
      </c>
    </row>
    <row r="2488" spans="1:8" hidden="1" outlineLevel="2">
      <c r="A2488" s="32" t="s">
        <v>22</v>
      </c>
      <c r="B2488" s="32" t="s">
        <v>86</v>
      </c>
      <c r="C2488" s="32" t="s">
        <v>138</v>
      </c>
      <c r="D2488" s="32" t="s">
        <v>679</v>
      </c>
      <c r="E2488" s="33">
        <v>20</v>
      </c>
      <c r="F2488" s="33">
        <v>78</v>
      </c>
      <c r="G2488" s="33">
        <v>19</v>
      </c>
      <c r="H2488" s="13">
        <f t="shared" si="38"/>
        <v>3.9</v>
      </c>
    </row>
    <row r="2489" spans="1:8" hidden="1" outlineLevel="2">
      <c r="A2489" s="32" t="s">
        <v>22</v>
      </c>
      <c r="B2489" s="32" t="s">
        <v>1862</v>
      </c>
      <c r="C2489" s="32" t="s">
        <v>97</v>
      </c>
      <c r="D2489" s="32" t="s">
        <v>578</v>
      </c>
      <c r="E2489" s="33">
        <v>35</v>
      </c>
      <c r="F2489" s="33">
        <v>135</v>
      </c>
      <c r="G2489" s="33">
        <v>35</v>
      </c>
      <c r="H2489" s="13">
        <f t="shared" si="38"/>
        <v>3.8571428571428572</v>
      </c>
    </row>
    <row r="2490" spans="1:8" hidden="1" outlineLevel="2">
      <c r="A2490" s="32" t="s">
        <v>22</v>
      </c>
      <c r="B2490" s="32" t="s">
        <v>1858</v>
      </c>
      <c r="C2490" s="32" t="s">
        <v>134</v>
      </c>
      <c r="D2490" s="32" t="s">
        <v>256</v>
      </c>
      <c r="E2490" s="33">
        <v>78</v>
      </c>
      <c r="F2490" s="33">
        <v>300</v>
      </c>
      <c r="G2490" s="33">
        <v>72</v>
      </c>
      <c r="H2490" s="13">
        <f t="shared" si="38"/>
        <v>3.8461538461538463</v>
      </c>
    </row>
    <row r="2491" spans="1:8" hidden="1" outlineLevel="2">
      <c r="A2491" s="32" t="s">
        <v>22</v>
      </c>
      <c r="B2491" s="32" t="s">
        <v>86</v>
      </c>
      <c r="C2491" s="32" t="s">
        <v>138</v>
      </c>
      <c r="D2491" s="32" t="s">
        <v>386</v>
      </c>
      <c r="E2491" s="33">
        <v>90</v>
      </c>
      <c r="F2491" s="33">
        <v>344</v>
      </c>
      <c r="G2491" s="33">
        <v>76</v>
      </c>
      <c r="H2491" s="13">
        <f t="shared" si="38"/>
        <v>3.8222222222222224</v>
      </c>
    </row>
    <row r="2492" spans="1:8" hidden="1" outlineLevel="2">
      <c r="A2492" s="32" t="s">
        <v>22</v>
      </c>
      <c r="B2492" s="32" t="s">
        <v>86</v>
      </c>
      <c r="C2492" s="32" t="s">
        <v>127</v>
      </c>
      <c r="D2492" s="32" t="s">
        <v>318</v>
      </c>
      <c r="E2492" s="33">
        <v>19</v>
      </c>
      <c r="F2492" s="33">
        <v>72</v>
      </c>
      <c r="G2492" s="33">
        <v>19</v>
      </c>
      <c r="H2492" s="13">
        <f t="shared" si="38"/>
        <v>3.7894736842105261</v>
      </c>
    </row>
    <row r="2493" spans="1:8" hidden="1" outlineLevel="2">
      <c r="A2493" s="32" t="s">
        <v>22</v>
      </c>
      <c r="B2493" s="32" t="s">
        <v>86</v>
      </c>
      <c r="C2493" s="32" t="s">
        <v>127</v>
      </c>
      <c r="D2493" s="32" t="s">
        <v>408</v>
      </c>
      <c r="E2493" s="33">
        <v>52</v>
      </c>
      <c r="F2493" s="33">
        <v>196</v>
      </c>
      <c r="G2493" s="33">
        <v>51</v>
      </c>
      <c r="H2493" s="13">
        <f t="shared" si="38"/>
        <v>3.7692307692307692</v>
      </c>
    </row>
    <row r="2494" spans="1:8" hidden="1" outlineLevel="2">
      <c r="A2494" s="32" t="s">
        <v>22</v>
      </c>
      <c r="B2494" s="32" t="s">
        <v>86</v>
      </c>
      <c r="C2494" s="32" t="s">
        <v>148</v>
      </c>
      <c r="D2494" s="32" t="s">
        <v>151</v>
      </c>
      <c r="E2494" s="33">
        <v>20</v>
      </c>
      <c r="F2494" s="33">
        <v>75</v>
      </c>
      <c r="G2494" s="33">
        <v>18</v>
      </c>
      <c r="H2494" s="13">
        <f t="shared" si="38"/>
        <v>3.75</v>
      </c>
    </row>
    <row r="2495" spans="1:8" hidden="1" outlineLevel="2">
      <c r="A2495" s="32" t="s">
        <v>22</v>
      </c>
      <c r="B2495" s="32" t="s">
        <v>1858</v>
      </c>
      <c r="C2495" s="32" t="s">
        <v>144</v>
      </c>
      <c r="D2495" s="32" t="s">
        <v>437</v>
      </c>
      <c r="E2495" s="33">
        <v>115</v>
      </c>
      <c r="F2495" s="33">
        <v>430</v>
      </c>
      <c r="G2495" s="33">
        <v>111</v>
      </c>
      <c r="H2495" s="13">
        <f t="shared" si="38"/>
        <v>3.7391304347826089</v>
      </c>
    </row>
    <row r="2496" spans="1:8" hidden="1" outlineLevel="2">
      <c r="A2496" s="32" t="s">
        <v>22</v>
      </c>
      <c r="B2496" s="32" t="s">
        <v>86</v>
      </c>
      <c r="C2496" s="32" t="s">
        <v>190</v>
      </c>
      <c r="D2496" s="32" t="s">
        <v>757</v>
      </c>
      <c r="E2496" s="33">
        <v>120</v>
      </c>
      <c r="F2496" s="33">
        <v>448</v>
      </c>
      <c r="G2496" s="33">
        <v>118</v>
      </c>
      <c r="H2496" s="13">
        <f t="shared" si="38"/>
        <v>3.7333333333333334</v>
      </c>
    </row>
    <row r="2497" spans="1:8" hidden="1" outlineLevel="2">
      <c r="A2497" s="32" t="s">
        <v>22</v>
      </c>
      <c r="B2497" s="32" t="s">
        <v>86</v>
      </c>
      <c r="C2497" s="32" t="s">
        <v>138</v>
      </c>
      <c r="D2497" s="32" t="s">
        <v>783</v>
      </c>
      <c r="E2497" s="33">
        <v>150</v>
      </c>
      <c r="F2497" s="33">
        <v>558</v>
      </c>
      <c r="G2497" s="33">
        <v>148</v>
      </c>
      <c r="H2497" s="13">
        <f t="shared" si="38"/>
        <v>3.72</v>
      </c>
    </row>
    <row r="2498" spans="1:8" hidden="1" outlineLevel="2">
      <c r="A2498" s="32" t="s">
        <v>22</v>
      </c>
      <c r="B2498" s="32" t="s">
        <v>86</v>
      </c>
      <c r="C2498" s="32" t="s">
        <v>127</v>
      </c>
      <c r="D2498" s="32" t="s">
        <v>766</v>
      </c>
      <c r="E2498" s="33">
        <v>7</v>
      </c>
      <c r="F2498" s="33">
        <v>26</v>
      </c>
      <c r="G2498" s="33">
        <v>4</v>
      </c>
      <c r="H2498" s="13">
        <f t="shared" ref="H2498:H2561" si="39">IFERROR(F2498/E2498,"")</f>
        <v>3.7142857142857144</v>
      </c>
    </row>
    <row r="2499" spans="1:8" hidden="1" outlineLevel="2">
      <c r="A2499" s="32" t="s">
        <v>22</v>
      </c>
      <c r="B2499" s="32" t="s">
        <v>86</v>
      </c>
      <c r="C2499" s="32" t="s">
        <v>110</v>
      </c>
      <c r="D2499" s="32" t="s">
        <v>482</v>
      </c>
      <c r="E2499" s="33">
        <v>37</v>
      </c>
      <c r="F2499" s="33">
        <v>137</v>
      </c>
      <c r="G2499" s="33">
        <v>36</v>
      </c>
      <c r="H2499" s="13">
        <f t="shared" si="39"/>
        <v>3.7027027027027026</v>
      </c>
    </row>
    <row r="2500" spans="1:8" hidden="1" outlineLevel="2">
      <c r="A2500" s="32" t="s">
        <v>22</v>
      </c>
      <c r="B2500" s="32" t="s">
        <v>86</v>
      </c>
      <c r="C2500" s="32" t="s">
        <v>138</v>
      </c>
      <c r="D2500" s="32" t="s">
        <v>379</v>
      </c>
      <c r="E2500" s="33">
        <v>10</v>
      </c>
      <c r="F2500" s="33">
        <v>37</v>
      </c>
      <c r="G2500" s="33">
        <v>7</v>
      </c>
      <c r="H2500" s="13">
        <f t="shared" si="39"/>
        <v>3.7</v>
      </c>
    </row>
    <row r="2501" spans="1:8" hidden="1" outlineLevel="2">
      <c r="A2501" s="32" t="s">
        <v>22</v>
      </c>
      <c r="B2501" s="32" t="s">
        <v>86</v>
      </c>
      <c r="C2501" s="32" t="s">
        <v>138</v>
      </c>
      <c r="D2501" s="32" t="s">
        <v>786</v>
      </c>
      <c r="E2501" s="33">
        <v>10</v>
      </c>
      <c r="F2501" s="33">
        <v>37</v>
      </c>
      <c r="G2501" s="33">
        <v>5</v>
      </c>
      <c r="H2501" s="13">
        <f t="shared" si="39"/>
        <v>3.7</v>
      </c>
    </row>
    <row r="2502" spans="1:8" hidden="1" outlineLevel="2">
      <c r="A2502" s="32" t="s">
        <v>22</v>
      </c>
      <c r="B2502" s="32" t="s">
        <v>86</v>
      </c>
      <c r="C2502" s="32" t="s">
        <v>119</v>
      </c>
      <c r="D2502" s="32" t="s">
        <v>176</v>
      </c>
      <c r="E2502" s="33">
        <v>35</v>
      </c>
      <c r="F2502" s="33">
        <v>129</v>
      </c>
      <c r="G2502" s="33">
        <v>15</v>
      </c>
      <c r="H2502" s="13">
        <f t="shared" si="39"/>
        <v>3.6857142857142855</v>
      </c>
    </row>
    <row r="2503" spans="1:8" hidden="1" outlineLevel="2">
      <c r="A2503" s="32" t="s">
        <v>22</v>
      </c>
      <c r="B2503" s="32" t="s">
        <v>86</v>
      </c>
      <c r="C2503" s="32" t="s">
        <v>127</v>
      </c>
      <c r="D2503" s="32" t="s">
        <v>658</v>
      </c>
      <c r="E2503" s="33">
        <v>111</v>
      </c>
      <c r="F2503" s="33">
        <v>409</v>
      </c>
      <c r="G2503" s="33">
        <v>111</v>
      </c>
      <c r="H2503" s="13">
        <f t="shared" si="39"/>
        <v>3.6846846846846848</v>
      </c>
    </row>
    <row r="2504" spans="1:8" hidden="1" outlineLevel="2">
      <c r="A2504" s="32" t="s">
        <v>22</v>
      </c>
      <c r="B2504" s="32" t="s">
        <v>86</v>
      </c>
      <c r="C2504" s="32" t="s">
        <v>110</v>
      </c>
      <c r="D2504" s="32" t="s">
        <v>525</v>
      </c>
      <c r="E2504" s="33">
        <v>40</v>
      </c>
      <c r="F2504" s="33">
        <v>147</v>
      </c>
      <c r="G2504" s="33">
        <v>40</v>
      </c>
      <c r="H2504" s="13">
        <f t="shared" si="39"/>
        <v>3.6749999999999998</v>
      </c>
    </row>
    <row r="2505" spans="1:8" hidden="1" outlineLevel="2">
      <c r="A2505" s="32" t="s">
        <v>22</v>
      </c>
      <c r="B2505" s="32" t="s">
        <v>1862</v>
      </c>
      <c r="C2505" s="32" t="s">
        <v>97</v>
      </c>
      <c r="D2505" s="32" t="s">
        <v>293</v>
      </c>
      <c r="E2505" s="33">
        <v>15</v>
      </c>
      <c r="F2505" s="33">
        <v>55</v>
      </c>
      <c r="G2505" s="33">
        <v>15</v>
      </c>
      <c r="H2505" s="13">
        <f t="shared" si="39"/>
        <v>3.6666666666666665</v>
      </c>
    </row>
    <row r="2506" spans="1:8" hidden="1" outlineLevel="2">
      <c r="A2506" s="32" t="s">
        <v>22</v>
      </c>
      <c r="B2506" s="32" t="s">
        <v>86</v>
      </c>
      <c r="C2506" s="32" t="s">
        <v>190</v>
      </c>
      <c r="D2506" s="32" t="s">
        <v>389</v>
      </c>
      <c r="E2506" s="33">
        <v>150</v>
      </c>
      <c r="F2506" s="33">
        <v>548</v>
      </c>
      <c r="G2506" s="33">
        <v>140</v>
      </c>
      <c r="H2506" s="13">
        <f t="shared" si="39"/>
        <v>3.6533333333333333</v>
      </c>
    </row>
    <row r="2507" spans="1:8" hidden="1" outlineLevel="2">
      <c r="A2507" s="32" t="s">
        <v>22</v>
      </c>
      <c r="B2507" s="32" t="s">
        <v>86</v>
      </c>
      <c r="C2507" s="32" t="s">
        <v>138</v>
      </c>
      <c r="D2507" s="32" t="s">
        <v>717</v>
      </c>
      <c r="E2507" s="33">
        <v>25</v>
      </c>
      <c r="F2507" s="33">
        <v>91</v>
      </c>
      <c r="G2507" s="33">
        <v>25</v>
      </c>
      <c r="H2507" s="13">
        <f t="shared" si="39"/>
        <v>3.64</v>
      </c>
    </row>
    <row r="2508" spans="1:8" hidden="1" outlineLevel="2">
      <c r="A2508" s="32" t="s">
        <v>22</v>
      </c>
      <c r="B2508" s="32" t="s">
        <v>86</v>
      </c>
      <c r="C2508" s="32" t="s">
        <v>138</v>
      </c>
      <c r="D2508" s="32" t="s">
        <v>188</v>
      </c>
      <c r="E2508" s="33">
        <v>110</v>
      </c>
      <c r="F2508" s="33">
        <v>400</v>
      </c>
      <c r="G2508" s="33">
        <v>106</v>
      </c>
      <c r="H2508" s="13">
        <f t="shared" si="39"/>
        <v>3.6363636363636362</v>
      </c>
    </row>
    <row r="2509" spans="1:8" hidden="1" outlineLevel="2">
      <c r="A2509" s="32" t="s">
        <v>22</v>
      </c>
      <c r="B2509" s="32" t="s">
        <v>1862</v>
      </c>
      <c r="C2509" s="32" t="s">
        <v>108</v>
      </c>
      <c r="D2509" s="32" t="s">
        <v>596</v>
      </c>
      <c r="E2509" s="33">
        <v>25</v>
      </c>
      <c r="F2509" s="33">
        <v>90</v>
      </c>
      <c r="G2509" s="33">
        <v>21</v>
      </c>
      <c r="H2509" s="13">
        <f t="shared" si="39"/>
        <v>3.6</v>
      </c>
    </row>
    <row r="2510" spans="1:8" hidden="1" outlineLevel="2">
      <c r="A2510" s="32" t="s">
        <v>22</v>
      </c>
      <c r="B2510" s="32" t="s">
        <v>86</v>
      </c>
      <c r="C2510" s="32" t="s">
        <v>119</v>
      </c>
      <c r="D2510" s="32" t="s">
        <v>651</v>
      </c>
      <c r="E2510" s="33">
        <v>25</v>
      </c>
      <c r="F2510" s="33">
        <v>90</v>
      </c>
      <c r="G2510" s="33">
        <v>24</v>
      </c>
      <c r="H2510" s="13">
        <f t="shared" si="39"/>
        <v>3.6</v>
      </c>
    </row>
    <row r="2511" spans="1:8" hidden="1" outlineLevel="2">
      <c r="A2511" s="32" t="s">
        <v>22</v>
      </c>
      <c r="B2511" s="32" t="s">
        <v>86</v>
      </c>
      <c r="C2511" s="32" t="s">
        <v>138</v>
      </c>
      <c r="D2511" s="32" t="s">
        <v>678</v>
      </c>
      <c r="E2511" s="33">
        <v>15</v>
      </c>
      <c r="F2511" s="33">
        <v>54</v>
      </c>
      <c r="G2511" s="33">
        <v>12</v>
      </c>
      <c r="H2511" s="13">
        <f t="shared" si="39"/>
        <v>3.6</v>
      </c>
    </row>
    <row r="2512" spans="1:8" hidden="1" outlineLevel="2">
      <c r="A2512" s="32" t="s">
        <v>22</v>
      </c>
      <c r="B2512" s="32" t="s">
        <v>86</v>
      </c>
      <c r="C2512" s="32" t="s">
        <v>138</v>
      </c>
      <c r="D2512" s="32" t="s">
        <v>682</v>
      </c>
      <c r="E2512" s="33">
        <v>15</v>
      </c>
      <c r="F2512" s="33">
        <v>54</v>
      </c>
      <c r="G2512" s="33">
        <v>13</v>
      </c>
      <c r="H2512" s="13">
        <f t="shared" si="39"/>
        <v>3.6</v>
      </c>
    </row>
    <row r="2513" spans="1:8" hidden="1" outlineLevel="2">
      <c r="A2513" s="32" t="s">
        <v>22</v>
      </c>
      <c r="B2513" s="32" t="s">
        <v>86</v>
      </c>
      <c r="C2513" s="32" t="s">
        <v>138</v>
      </c>
      <c r="D2513" s="32" t="s">
        <v>687</v>
      </c>
      <c r="E2513" s="33">
        <v>10</v>
      </c>
      <c r="F2513" s="33">
        <v>36</v>
      </c>
      <c r="G2513" s="33">
        <v>4</v>
      </c>
      <c r="H2513" s="13">
        <f t="shared" si="39"/>
        <v>3.6</v>
      </c>
    </row>
    <row r="2514" spans="1:8" hidden="1" outlineLevel="2">
      <c r="A2514" s="32" t="s">
        <v>22</v>
      </c>
      <c r="B2514" s="32" t="s">
        <v>86</v>
      </c>
      <c r="C2514" s="32" t="s">
        <v>390</v>
      </c>
      <c r="D2514" s="32" t="s">
        <v>652</v>
      </c>
      <c r="E2514" s="33">
        <v>20</v>
      </c>
      <c r="F2514" s="33">
        <v>71</v>
      </c>
      <c r="G2514" s="33">
        <v>2</v>
      </c>
      <c r="H2514" s="13">
        <f t="shared" si="39"/>
        <v>3.55</v>
      </c>
    </row>
    <row r="2515" spans="1:8" hidden="1" outlineLevel="2">
      <c r="A2515" s="32" t="s">
        <v>22</v>
      </c>
      <c r="B2515" s="32" t="s">
        <v>86</v>
      </c>
      <c r="C2515" s="32" t="s">
        <v>119</v>
      </c>
      <c r="D2515" s="32" t="s">
        <v>736</v>
      </c>
      <c r="E2515" s="33">
        <v>40</v>
      </c>
      <c r="F2515" s="33">
        <v>142</v>
      </c>
      <c r="G2515" s="33">
        <v>39</v>
      </c>
      <c r="H2515" s="13">
        <f t="shared" si="39"/>
        <v>3.55</v>
      </c>
    </row>
    <row r="2516" spans="1:8" hidden="1" outlineLevel="2">
      <c r="A2516" s="32" t="s">
        <v>22</v>
      </c>
      <c r="B2516" s="32" t="s">
        <v>86</v>
      </c>
      <c r="C2516" s="32" t="s">
        <v>138</v>
      </c>
      <c r="D2516" s="32" t="s">
        <v>674</v>
      </c>
      <c r="E2516" s="33">
        <v>15</v>
      </c>
      <c r="F2516" s="33">
        <v>53</v>
      </c>
      <c r="G2516" s="33">
        <v>15</v>
      </c>
      <c r="H2516" s="13">
        <f t="shared" si="39"/>
        <v>3.5333333333333332</v>
      </c>
    </row>
    <row r="2517" spans="1:8" hidden="1" outlineLevel="2">
      <c r="A2517" s="32" t="s">
        <v>22</v>
      </c>
      <c r="B2517" s="32" t="s">
        <v>86</v>
      </c>
      <c r="C2517" s="32" t="s">
        <v>138</v>
      </c>
      <c r="D2517" s="32" t="s">
        <v>298</v>
      </c>
      <c r="E2517" s="33">
        <v>10</v>
      </c>
      <c r="F2517" s="33">
        <v>35</v>
      </c>
      <c r="G2517" s="33">
        <v>4</v>
      </c>
      <c r="H2517" s="13">
        <f t="shared" si="39"/>
        <v>3.5</v>
      </c>
    </row>
    <row r="2518" spans="1:8" hidden="1" outlineLevel="2">
      <c r="A2518" s="32" t="s">
        <v>22</v>
      </c>
      <c r="B2518" s="32" t="s">
        <v>86</v>
      </c>
      <c r="C2518" s="32" t="s">
        <v>138</v>
      </c>
      <c r="D2518" s="32" t="s">
        <v>388</v>
      </c>
      <c r="E2518" s="33">
        <v>10</v>
      </c>
      <c r="F2518" s="33">
        <v>35</v>
      </c>
      <c r="G2518" s="33">
        <v>5</v>
      </c>
      <c r="H2518" s="13">
        <f t="shared" si="39"/>
        <v>3.5</v>
      </c>
    </row>
    <row r="2519" spans="1:8" hidden="1" outlineLevel="2">
      <c r="A2519" s="32" t="s">
        <v>22</v>
      </c>
      <c r="B2519" s="32" t="s">
        <v>86</v>
      </c>
      <c r="C2519" s="32" t="s">
        <v>138</v>
      </c>
      <c r="D2519" s="32" t="s">
        <v>685</v>
      </c>
      <c r="E2519" s="33">
        <v>10</v>
      </c>
      <c r="F2519" s="33">
        <v>35</v>
      </c>
      <c r="G2519" s="33">
        <v>5</v>
      </c>
      <c r="H2519" s="13">
        <f t="shared" si="39"/>
        <v>3.5</v>
      </c>
    </row>
    <row r="2520" spans="1:8" hidden="1" outlineLevel="2">
      <c r="A2520" s="32" t="s">
        <v>22</v>
      </c>
      <c r="B2520" s="32" t="s">
        <v>86</v>
      </c>
      <c r="C2520" s="32" t="s">
        <v>190</v>
      </c>
      <c r="D2520" s="32" t="s">
        <v>517</v>
      </c>
      <c r="E2520" s="33">
        <v>30</v>
      </c>
      <c r="F2520" s="33">
        <v>103</v>
      </c>
      <c r="G2520" s="33">
        <v>13</v>
      </c>
      <c r="H2520" s="13">
        <f t="shared" si="39"/>
        <v>3.4333333333333331</v>
      </c>
    </row>
    <row r="2521" spans="1:8" hidden="1" outlineLevel="2">
      <c r="A2521" s="32" t="s">
        <v>22</v>
      </c>
      <c r="B2521" s="32" t="s">
        <v>1858</v>
      </c>
      <c r="C2521" s="32" t="s">
        <v>131</v>
      </c>
      <c r="D2521" s="32" t="s">
        <v>256</v>
      </c>
      <c r="E2521" s="33">
        <v>95</v>
      </c>
      <c r="F2521" s="33">
        <v>323</v>
      </c>
      <c r="G2521" s="33">
        <v>73</v>
      </c>
      <c r="H2521" s="13">
        <f t="shared" si="39"/>
        <v>3.4</v>
      </c>
    </row>
    <row r="2522" spans="1:8" hidden="1" outlineLevel="2">
      <c r="A2522" s="32" t="s">
        <v>22</v>
      </c>
      <c r="B2522" s="32" t="s">
        <v>86</v>
      </c>
      <c r="C2522" s="32" t="s">
        <v>138</v>
      </c>
      <c r="D2522" s="32" t="s">
        <v>784</v>
      </c>
      <c r="E2522" s="33">
        <v>10</v>
      </c>
      <c r="F2522" s="33">
        <v>34</v>
      </c>
      <c r="G2522" s="33">
        <v>10</v>
      </c>
      <c r="H2522" s="13">
        <f t="shared" si="39"/>
        <v>3.4</v>
      </c>
    </row>
    <row r="2523" spans="1:8" hidden="1" outlineLevel="2">
      <c r="A2523" s="32" t="s">
        <v>22</v>
      </c>
      <c r="B2523" s="32" t="s">
        <v>86</v>
      </c>
      <c r="C2523" s="32" t="s">
        <v>119</v>
      </c>
      <c r="D2523" s="32" t="s">
        <v>372</v>
      </c>
      <c r="E2523" s="33">
        <v>55</v>
      </c>
      <c r="F2523" s="33">
        <v>186</v>
      </c>
      <c r="G2523" s="33">
        <v>40</v>
      </c>
      <c r="H2523" s="13">
        <f t="shared" si="39"/>
        <v>3.3818181818181818</v>
      </c>
    </row>
    <row r="2524" spans="1:8" hidden="1" outlineLevel="2">
      <c r="A2524" s="32" t="s">
        <v>22</v>
      </c>
      <c r="B2524" s="32" t="s">
        <v>86</v>
      </c>
      <c r="C2524" s="32" t="s">
        <v>127</v>
      </c>
      <c r="D2524" s="32" t="s">
        <v>229</v>
      </c>
      <c r="E2524" s="33">
        <v>68</v>
      </c>
      <c r="F2524" s="33">
        <v>225</v>
      </c>
      <c r="G2524" s="33">
        <v>68</v>
      </c>
      <c r="H2524" s="13">
        <f t="shared" si="39"/>
        <v>3.3088235294117645</v>
      </c>
    </row>
    <row r="2525" spans="1:8" hidden="1" outlineLevel="2">
      <c r="A2525" s="32" t="s">
        <v>22</v>
      </c>
      <c r="B2525" s="32" t="s">
        <v>86</v>
      </c>
      <c r="C2525" s="32" t="s">
        <v>190</v>
      </c>
      <c r="D2525" s="32" t="s">
        <v>224</v>
      </c>
      <c r="E2525" s="33">
        <v>30</v>
      </c>
      <c r="F2525" s="33">
        <v>99</v>
      </c>
      <c r="G2525" s="33">
        <v>20</v>
      </c>
      <c r="H2525" s="13">
        <f t="shared" si="39"/>
        <v>3.3</v>
      </c>
    </row>
    <row r="2526" spans="1:8" hidden="1" outlineLevel="2">
      <c r="A2526" s="32" t="s">
        <v>22</v>
      </c>
      <c r="B2526" s="32" t="s">
        <v>86</v>
      </c>
      <c r="C2526" s="32" t="s">
        <v>127</v>
      </c>
      <c r="D2526" s="32" t="s">
        <v>536</v>
      </c>
      <c r="E2526" s="33">
        <v>30</v>
      </c>
      <c r="F2526" s="33">
        <v>98</v>
      </c>
      <c r="G2526" s="33">
        <v>30</v>
      </c>
      <c r="H2526" s="13">
        <f t="shared" si="39"/>
        <v>3.2666666666666666</v>
      </c>
    </row>
    <row r="2527" spans="1:8" hidden="1" outlineLevel="2">
      <c r="A2527" s="32" t="s">
        <v>22</v>
      </c>
      <c r="B2527" s="32" t="s">
        <v>86</v>
      </c>
      <c r="C2527" s="32" t="s">
        <v>138</v>
      </c>
      <c r="D2527" s="32" t="s">
        <v>186</v>
      </c>
      <c r="E2527" s="33">
        <v>20</v>
      </c>
      <c r="F2527" s="33">
        <v>65</v>
      </c>
      <c r="G2527" s="33">
        <v>17</v>
      </c>
      <c r="H2527" s="13">
        <f t="shared" si="39"/>
        <v>3.25</v>
      </c>
    </row>
    <row r="2528" spans="1:8" hidden="1" outlineLevel="2">
      <c r="A2528" s="32" t="s">
        <v>22</v>
      </c>
      <c r="B2528" s="32" t="s">
        <v>86</v>
      </c>
      <c r="C2528" s="32" t="s">
        <v>119</v>
      </c>
      <c r="D2528" s="32" t="s">
        <v>500</v>
      </c>
      <c r="E2528" s="33">
        <v>40</v>
      </c>
      <c r="F2528" s="33">
        <v>130</v>
      </c>
      <c r="G2528" s="33">
        <v>39</v>
      </c>
      <c r="H2528" s="13">
        <f t="shared" si="39"/>
        <v>3.25</v>
      </c>
    </row>
    <row r="2529" spans="1:8" hidden="1" outlineLevel="2">
      <c r="A2529" s="32" t="s">
        <v>22</v>
      </c>
      <c r="B2529" s="32" t="s">
        <v>86</v>
      </c>
      <c r="C2529" s="32" t="s">
        <v>138</v>
      </c>
      <c r="D2529" s="32" t="s">
        <v>140</v>
      </c>
      <c r="E2529" s="33">
        <v>60</v>
      </c>
      <c r="F2529" s="33">
        <v>194</v>
      </c>
      <c r="G2529" s="33">
        <v>44</v>
      </c>
      <c r="H2529" s="13">
        <f t="shared" si="39"/>
        <v>3.2333333333333334</v>
      </c>
    </row>
    <row r="2530" spans="1:8" hidden="1" outlineLevel="2">
      <c r="A2530" s="32" t="s">
        <v>22</v>
      </c>
      <c r="B2530" s="32" t="s">
        <v>86</v>
      </c>
      <c r="C2530" s="32" t="s">
        <v>119</v>
      </c>
      <c r="D2530" s="32" t="s">
        <v>501</v>
      </c>
      <c r="E2530" s="33">
        <v>70</v>
      </c>
      <c r="F2530" s="33">
        <v>226</v>
      </c>
      <c r="G2530" s="33">
        <v>69</v>
      </c>
      <c r="H2530" s="13">
        <f t="shared" si="39"/>
        <v>3.2285714285714286</v>
      </c>
    </row>
    <row r="2531" spans="1:8" hidden="1" outlineLevel="2">
      <c r="A2531" s="32" t="s">
        <v>22</v>
      </c>
      <c r="B2531" s="32" t="s">
        <v>86</v>
      </c>
      <c r="C2531" s="32" t="s">
        <v>138</v>
      </c>
      <c r="D2531" s="32" t="s">
        <v>383</v>
      </c>
      <c r="E2531" s="33">
        <v>25</v>
      </c>
      <c r="F2531" s="33">
        <v>80</v>
      </c>
      <c r="G2531" s="33">
        <v>22</v>
      </c>
      <c r="H2531" s="13">
        <f t="shared" si="39"/>
        <v>3.2</v>
      </c>
    </row>
    <row r="2532" spans="1:8" hidden="1" outlineLevel="2">
      <c r="A2532" s="32" t="s">
        <v>22</v>
      </c>
      <c r="B2532" s="32" t="s">
        <v>86</v>
      </c>
      <c r="C2532" s="32" t="s">
        <v>119</v>
      </c>
      <c r="D2532" s="32" t="s">
        <v>586</v>
      </c>
      <c r="E2532" s="33">
        <v>25</v>
      </c>
      <c r="F2532" s="33">
        <v>80</v>
      </c>
      <c r="G2532" s="33">
        <v>22</v>
      </c>
      <c r="H2532" s="13">
        <f t="shared" si="39"/>
        <v>3.2</v>
      </c>
    </row>
    <row r="2533" spans="1:8" hidden="1" outlineLevel="2">
      <c r="A2533" s="32" t="s">
        <v>22</v>
      </c>
      <c r="B2533" s="32" t="s">
        <v>86</v>
      </c>
      <c r="C2533" s="32" t="s">
        <v>138</v>
      </c>
      <c r="D2533" s="32" t="s">
        <v>690</v>
      </c>
      <c r="E2533" s="33">
        <v>10</v>
      </c>
      <c r="F2533" s="33">
        <v>32</v>
      </c>
      <c r="G2533" s="33">
        <v>6</v>
      </c>
      <c r="H2533" s="13">
        <f t="shared" si="39"/>
        <v>3.2</v>
      </c>
    </row>
    <row r="2534" spans="1:8" hidden="1" outlineLevel="2">
      <c r="A2534" s="32" t="s">
        <v>22</v>
      </c>
      <c r="B2534" s="32" t="s">
        <v>86</v>
      </c>
      <c r="C2534" s="32" t="s">
        <v>138</v>
      </c>
      <c r="D2534" s="32" t="s">
        <v>785</v>
      </c>
      <c r="E2534" s="33">
        <v>15</v>
      </c>
      <c r="F2534" s="33">
        <v>48</v>
      </c>
      <c r="G2534" s="33">
        <v>14</v>
      </c>
      <c r="H2534" s="13">
        <f t="shared" si="39"/>
        <v>3.2</v>
      </c>
    </row>
    <row r="2535" spans="1:8" hidden="1" outlineLevel="2">
      <c r="A2535" s="32" t="s">
        <v>22</v>
      </c>
      <c r="B2535" s="32" t="s">
        <v>86</v>
      </c>
      <c r="C2535" s="32" t="s">
        <v>138</v>
      </c>
      <c r="D2535" s="32" t="s">
        <v>187</v>
      </c>
      <c r="E2535" s="33">
        <v>20</v>
      </c>
      <c r="F2535" s="33">
        <v>63</v>
      </c>
      <c r="G2535" s="33">
        <v>16</v>
      </c>
      <c r="H2535" s="13">
        <f t="shared" si="39"/>
        <v>3.15</v>
      </c>
    </row>
    <row r="2536" spans="1:8" hidden="1" outlineLevel="2">
      <c r="A2536" s="32" t="s">
        <v>22</v>
      </c>
      <c r="B2536" s="32" t="s">
        <v>86</v>
      </c>
      <c r="C2536" s="32" t="s">
        <v>127</v>
      </c>
      <c r="D2536" s="32" t="s">
        <v>536</v>
      </c>
      <c r="E2536" s="33">
        <v>30</v>
      </c>
      <c r="F2536" s="33">
        <v>94</v>
      </c>
      <c r="G2536" s="33">
        <v>28</v>
      </c>
      <c r="H2536" s="13">
        <f t="shared" si="39"/>
        <v>3.1333333333333333</v>
      </c>
    </row>
    <row r="2537" spans="1:8" hidden="1" outlineLevel="2">
      <c r="A2537" s="32" t="s">
        <v>22</v>
      </c>
      <c r="B2537" s="32" t="s">
        <v>86</v>
      </c>
      <c r="C2537" s="32" t="s">
        <v>152</v>
      </c>
      <c r="D2537" s="32" t="s">
        <v>465</v>
      </c>
      <c r="E2537" s="33">
        <v>1500</v>
      </c>
      <c r="F2537" s="33">
        <v>4608</v>
      </c>
      <c r="G2537" s="33">
        <v>2187</v>
      </c>
      <c r="H2537" s="13">
        <f t="shared" si="39"/>
        <v>3.0720000000000001</v>
      </c>
    </row>
    <row r="2538" spans="1:8" hidden="1" outlineLevel="2">
      <c r="A2538" s="32" t="s">
        <v>22</v>
      </c>
      <c r="B2538" s="32" t="s">
        <v>1862</v>
      </c>
      <c r="C2538" s="32" t="s">
        <v>108</v>
      </c>
      <c r="D2538" s="32" t="s">
        <v>595</v>
      </c>
      <c r="E2538" s="33">
        <v>25</v>
      </c>
      <c r="F2538" s="33">
        <v>74</v>
      </c>
      <c r="G2538" s="33">
        <v>6</v>
      </c>
      <c r="H2538" s="13">
        <f t="shared" si="39"/>
        <v>2.96</v>
      </c>
    </row>
    <row r="2539" spans="1:8" hidden="1" outlineLevel="2">
      <c r="A2539" s="32" t="s">
        <v>22</v>
      </c>
      <c r="B2539" s="32" t="s">
        <v>86</v>
      </c>
      <c r="C2539" s="32" t="s">
        <v>138</v>
      </c>
      <c r="D2539" s="32" t="s">
        <v>683</v>
      </c>
      <c r="E2539" s="33">
        <v>25</v>
      </c>
      <c r="F2539" s="33">
        <v>74</v>
      </c>
      <c r="G2539" s="33">
        <v>22</v>
      </c>
      <c r="H2539" s="13">
        <f t="shared" si="39"/>
        <v>2.96</v>
      </c>
    </row>
    <row r="2540" spans="1:8" hidden="1" outlineLevel="2">
      <c r="A2540" s="32" t="s">
        <v>22</v>
      </c>
      <c r="B2540" s="32" t="s">
        <v>86</v>
      </c>
      <c r="C2540" s="32" t="s">
        <v>119</v>
      </c>
      <c r="D2540" s="32" t="s">
        <v>339</v>
      </c>
      <c r="E2540" s="33">
        <v>90</v>
      </c>
      <c r="F2540" s="33">
        <v>264</v>
      </c>
      <c r="G2540" s="33">
        <v>88</v>
      </c>
      <c r="H2540" s="13">
        <f t="shared" si="39"/>
        <v>2.9333333333333331</v>
      </c>
    </row>
    <row r="2541" spans="1:8" hidden="1" outlineLevel="2">
      <c r="A2541" s="32" t="s">
        <v>22</v>
      </c>
      <c r="B2541" s="32" t="s">
        <v>86</v>
      </c>
      <c r="C2541" s="32" t="s">
        <v>119</v>
      </c>
      <c r="D2541" s="32" t="s">
        <v>172</v>
      </c>
      <c r="E2541" s="33">
        <v>55</v>
      </c>
      <c r="F2541" s="33">
        <v>158</v>
      </c>
      <c r="G2541" s="33">
        <v>47</v>
      </c>
      <c r="H2541" s="13">
        <f t="shared" si="39"/>
        <v>2.8727272727272726</v>
      </c>
    </row>
    <row r="2542" spans="1:8" hidden="1" outlineLevel="2">
      <c r="A2542" s="32" t="s">
        <v>22</v>
      </c>
      <c r="B2542" s="32" t="s">
        <v>1858</v>
      </c>
      <c r="C2542" s="32" t="s">
        <v>89</v>
      </c>
      <c r="D2542" s="32" t="s">
        <v>286</v>
      </c>
      <c r="E2542" s="33">
        <v>160</v>
      </c>
      <c r="F2542" s="33">
        <v>454</v>
      </c>
      <c r="G2542" s="33">
        <v>160</v>
      </c>
      <c r="H2542" s="13">
        <f t="shared" si="39"/>
        <v>2.8374999999999999</v>
      </c>
    </row>
    <row r="2543" spans="1:8" hidden="1" outlineLevel="2">
      <c r="A2543" s="32" t="s">
        <v>22</v>
      </c>
      <c r="B2543" s="32" t="s">
        <v>86</v>
      </c>
      <c r="C2543" s="32" t="s">
        <v>138</v>
      </c>
      <c r="D2543" s="32" t="s">
        <v>675</v>
      </c>
      <c r="E2543" s="33">
        <v>15</v>
      </c>
      <c r="F2543" s="33">
        <v>42</v>
      </c>
      <c r="G2543" s="33">
        <v>12</v>
      </c>
      <c r="H2543" s="13">
        <f t="shared" si="39"/>
        <v>2.8</v>
      </c>
    </row>
    <row r="2544" spans="1:8" hidden="1" outlineLevel="2">
      <c r="A2544" s="32" t="s">
        <v>22</v>
      </c>
      <c r="B2544" s="32" t="s">
        <v>86</v>
      </c>
      <c r="C2544" s="32" t="s">
        <v>138</v>
      </c>
      <c r="D2544" s="32" t="s">
        <v>181</v>
      </c>
      <c r="E2544" s="33">
        <v>65</v>
      </c>
      <c r="F2544" s="33">
        <v>181</v>
      </c>
      <c r="G2544" s="33">
        <v>63</v>
      </c>
      <c r="H2544" s="13">
        <f t="shared" si="39"/>
        <v>2.7846153846153845</v>
      </c>
    </row>
    <row r="2545" spans="1:8" hidden="1" outlineLevel="2">
      <c r="A2545" s="32" t="s">
        <v>22</v>
      </c>
      <c r="B2545" s="32" t="s">
        <v>1862</v>
      </c>
      <c r="C2545" s="32" t="s">
        <v>418</v>
      </c>
      <c r="D2545" s="32" t="s">
        <v>419</v>
      </c>
      <c r="E2545" s="33">
        <v>60</v>
      </c>
      <c r="F2545" s="33">
        <v>167</v>
      </c>
      <c r="G2545" s="33">
        <v>56</v>
      </c>
      <c r="H2545" s="13">
        <f t="shared" si="39"/>
        <v>2.7833333333333332</v>
      </c>
    </row>
    <row r="2546" spans="1:8" hidden="1" outlineLevel="2">
      <c r="A2546" s="32" t="s">
        <v>22</v>
      </c>
      <c r="B2546" s="32" t="s">
        <v>86</v>
      </c>
      <c r="C2546" s="32" t="s">
        <v>119</v>
      </c>
      <c r="D2546" s="32" t="s">
        <v>217</v>
      </c>
      <c r="E2546" s="33">
        <v>20</v>
      </c>
      <c r="F2546" s="33">
        <v>55</v>
      </c>
      <c r="G2546" s="33">
        <v>9</v>
      </c>
      <c r="H2546" s="13">
        <f t="shared" si="39"/>
        <v>2.75</v>
      </c>
    </row>
    <row r="2547" spans="1:8" hidden="1" outlineLevel="2">
      <c r="A2547" s="32" t="s">
        <v>22</v>
      </c>
      <c r="B2547" s="32" t="s">
        <v>86</v>
      </c>
      <c r="C2547" s="32" t="s">
        <v>138</v>
      </c>
      <c r="D2547" s="32" t="s">
        <v>689</v>
      </c>
      <c r="E2547" s="33">
        <v>50</v>
      </c>
      <c r="F2547" s="33">
        <v>136</v>
      </c>
      <c r="G2547" s="33">
        <v>47</v>
      </c>
      <c r="H2547" s="13">
        <f t="shared" si="39"/>
        <v>2.72</v>
      </c>
    </row>
    <row r="2548" spans="1:8" hidden="1" outlineLevel="2">
      <c r="A2548" s="32" t="s">
        <v>22</v>
      </c>
      <c r="B2548" s="32" t="s">
        <v>86</v>
      </c>
      <c r="C2548" s="32" t="s">
        <v>138</v>
      </c>
      <c r="D2548" s="32" t="s">
        <v>384</v>
      </c>
      <c r="E2548" s="33">
        <v>10</v>
      </c>
      <c r="F2548" s="33">
        <v>26</v>
      </c>
      <c r="G2548" s="33">
        <v>7</v>
      </c>
      <c r="H2548" s="13">
        <f t="shared" si="39"/>
        <v>2.6</v>
      </c>
    </row>
    <row r="2549" spans="1:8" hidden="1" outlineLevel="2">
      <c r="A2549" s="32" t="s">
        <v>22</v>
      </c>
      <c r="B2549" s="32" t="s">
        <v>86</v>
      </c>
      <c r="C2549" s="32" t="s">
        <v>138</v>
      </c>
      <c r="D2549" s="32" t="s">
        <v>787</v>
      </c>
      <c r="E2549" s="33">
        <v>10</v>
      </c>
      <c r="F2549" s="33">
        <v>26</v>
      </c>
      <c r="G2549" s="33">
        <v>3</v>
      </c>
      <c r="H2549" s="13">
        <f t="shared" si="39"/>
        <v>2.6</v>
      </c>
    </row>
    <row r="2550" spans="1:8" hidden="1" outlineLevel="2">
      <c r="A2550" s="32" t="s">
        <v>22</v>
      </c>
      <c r="B2550" s="32" t="s">
        <v>86</v>
      </c>
      <c r="C2550" s="32" t="s">
        <v>119</v>
      </c>
      <c r="D2550" s="32" t="s">
        <v>502</v>
      </c>
      <c r="E2550" s="33">
        <v>55</v>
      </c>
      <c r="F2550" s="33">
        <v>141</v>
      </c>
      <c r="G2550" s="33">
        <v>53</v>
      </c>
      <c r="H2550" s="13">
        <f t="shared" si="39"/>
        <v>2.5636363636363635</v>
      </c>
    </row>
    <row r="2551" spans="1:8" hidden="1" outlineLevel="2">
      <c r="A2551" s="32" t="s">
        <v>22</v>
      </c>
      <c r="B2551" s="32" t="s">
        <v>86</v>
      </c>
      <c r="C2551" s="32" t="s">
        <v>190</v>
      </c>
      <c r="D2551" s="32" t="s">
        <v>790</v>
      </c>
      <c r="E2551" s="33">
        <v>110</v>
      </c>
      <c r="F2551" s="33">
        <v>270</v>
      </c>
      <c r="G2551" s="33">
        <v>42</v>
      </c>
      <c r="H2551" s="13">
        <f t="shared" si="39"/>
        <v>2.4545454545454546</v>
      </c>
    </row>
    <row r="2552" spans="1:8" hidden="1" outlineLevel="2">
      <c r="A2552" s="32" t="s">
        <v>22</v>
      </c>
      <c r="B2552" s="32" t="s">
        <v>86</v>
      </c>
      <c r="C2552" s="32" t="s">
        <v>138</v>
      </c>
      <c r="D2552" s="32" t="s">
        <v>385</v>
      </c>
      <c r="E2552" s="33">
        <v>10</v>
      </c>
      <c r="F2552" s="33">
        <v>24</v>
      </c>
      <c r="G2552" s="33">
        <v>3</v>
      </c>
      <c r="H2552" s="13">
        <f t="shared" si="39"/>
        <v>2.4</v>
      </c>
    </row>
    <row r="2553" spans="1:8" hidden="1" outlineLevel="2">
      <c r="A2553" s="32" t="s">
        <v>22</v>
      </c>
      <c r="B2553" s="32" t="s">
        <v>86</v>
      </c>
      <c r="C2553" s="32" t="s">
        <v>119</v>
      </c>
      <c r="D2553" s="32" t="s">
        <v>668</v>
      </c>
      <c r="E2553" s="33">
        <v>140</v>
      </c>
      <c r="F2553" s="33">
        <v>331</v>
      </c>
      <c r="G2553" s="33">
        <v>124</v>
      </c>
      <c r="H2553" s="13">
        <f t="shared" si="39"/>
        <v>2.3642857142857143</v>
      </c>
    </row>
    <row r="2554" spans="1:8" hidden="1" outlineLevel="2">
      <c r="A2554" s="32" t="s">
        <v>22</v>
      </c>
      <c r="B2554" s="32" t="s">
        <v>86</v>
      </c>
      <c r="C2554" s="32" t="s">
        <v>190</v>
      </c>
      <c r="D2554" s="32" t="s">
        <v>514</v>
      </c>
      <c r="E2554" s="33">
        <v>120</v>
      </c>
      <c r="F2554" s="33">
        <v>241</v>
      </c>
      <c r="G2554" s="33">
        <v>35</v>
      </c>
      <c r="H2554" s="13">
        <f t="shared" si="39"/>
        <v>2.0083333333333333</v>
      </c>
    </row>
    <row r="2555" spans="1:8" hidden="1" outlineLevel="2">
      <c r="A2555" s="32" t="s">
        <v>22</v>
      </c>
      <c r="B2555" s="32" t="s">
        <v>86</v>
      </c>
      <c r="C2555" s="32" t="s">
        <v>138</v>
      </c>
      <c r="D2555" s="32" t="s">
        <v>380</v>
      </c>
      <c r="E2555" s="33">
        <v>10</v>
      </c>
      <c r="F2555" s="33">
        <v>18</v>
      </c>
      <c r="G2555" s="33">
        <v>0</v>
      </c>
      <c r="H2555" s="13">
        <f t="shared" si="39"/>
        <v>1.8</v>
      </c>
    </row>
    <row r="2556" spans="1:8" hidden="1" outlineLevel="2">
      <c r="A2556" s="32" t="s">
        <v>22</v>
      </c>
      <c r="B2556" s="32" t="s">
        <v>86</v>
      </c>
      <c r="C2556" s="32" t="s">
        <v>85</v>
      </c>
      <c r="D2556" s="32" t="s">
        <v>87</v>
      </c>
      <c r="E2556" s="33">
        <v>50</v>
      </c>
      <c r="F2556" s="33">
        <v>86</v>
      </c>
      <c r="G2556" s="33">
        <v>10</v>
      </c>
      <c r="H2556" s="13">
        <f t="shared" si="39"/>
        <v>1.72</v>
      </c>
    </row>
    <row r="2557" spans="1:8" hidden="1" outlineLevel="2">
      <c r="A2557" s="32" t="s">
        <v>22</v>
      </c>
      <c r="B2557" s="32" t="s">
        <v>86</v>
      </c>
      <c r="C2557" s="32" t="s">
        <v>138</v>
      </c>
      <c r="D2557" s="32" t="s">
        <v>183</v>
      </c>
      <c r="E2557" s="33">
        <v>10</v>
      </c>
      <c r="F2557" s="33">
        <v>17</v>
      </c>
      <c r="G2557" s="33">
        <v>3</v>
      </c>
      <c r="H2557" s="13">
        <f t="shared" si="39"/>
        <v>1.7</v>
      </c>
    </row>
    <row r="2558" spans="1:8" hidden="1" outlineLevel="2">
      <c r="A2558" s="32" t="s">
        <v>22</v>
      </c>
      <c r="B2558" s="32" t="s">
        <v>86</v>
      </c>
      <c r="C2558" s="32" t="s">
        <v>190</v>
      </c>
      <c r="D2558" s="32" t="s">
        <v>442</v>
      </c>
      <c r="E2558" s="33">
        <v>30</v>
      </c>
      <c r="F2558" s="33">
        <v>44</v>
      </c>
      <c r="G2558" s="33">
        <v>6</v>
      </c>
      <c r="H2558" s="13">
        <f t="shared" si="39"/>
        <v>1.4666666666666666</v>
      </c>
    </row>
    <row r="2559" spans="1:8" hidden="1" outlineLevel="2">
      <c r="A2559" s="32" t="s">
        <v>22</v>
      </c>
      <c r="B2559" s="32" t="s">
        <v>86</v>
      </c>
      <c r="C2559" s="32" t="s">
        <v>190</v>
      </c>
      <c r="D2559" s="32" t="s">
        <v>789</v>
      </c>
      <c r="E2559" s="33">
        <v>60</v>
      </c>
      <c r="F2559" s="33">
        <v>77</v>
      </c>
      <c r="G2559" s="33">
        <v>11</v>
      </c>
      <c r="H2559" s="13">
        <f t="shared" si="39"/>
        <v>1.2833333333333334</v>
      </c>
    </row>
    <row r="2560" spans="1:8" outlineLevel="1" collapsed="1">
      <c r="A2560" s="37" t="s">
        <v>1884</v>
      </c>
      <c r="B2560" s="37"/>
      <c r="C2560" s="37"/>
      <c r="D2560" s="37"/>
      <c r="E2560" s="38">
        <f>SUBTOTAL(9,E1839:E2559)</f>
        <v>62105</v>
      </c>
      <c r="F2560" s="38">
        <f>SUBTOTAL(9,F1839:F2559)</f>
        <v>1089458</v>
      </c>
      <c r="G2560" s="38">
        <f>SUBTOTAL(9,G1839:G2559)</f>
        <v>61103</v>
      </c>
      <c r="H2560" s="39">
        <f t="shared" si="39"/>
        <v>17.542194670316398</v>
      </c>
    </row>
    <row r="2561" spans="1:8" hidden="1" outlineLevel="2">
      <c r="A2561" s="32" t="s">
        <v>101</v>
      </c>
      <c r="B2561" s="32" t="s">
        <v>86</v>
      </c>
      <c r="C2561" s="32" t="s">
        <v>119</v>
      </c>
      <c r="D2561" s="32" t="s">
        <v>220</v>
      </c>
      <c r="E2561" s="33">
        <v>5</v>
      </c>
      <c r="F2561" s="33">
        <v>2233</v>
      </c>
      <c r="G2561" s="33">
        <v>5</v>
      </c>
      <c r="H2561" s="13">
        <f t="shared" si="39"/>
        <v>446.6</v>
      </c>
    </row>
    <row r="2562" spans="1:8" hidden="1" outlineLevel="2">
      <c r="A2562" s="32" t="s">
        <v>101</v>
      </c>
      <c r="B2562" s="32" t="s">
        <v>86</v>
      </c>
      <c r="C2562" s="32" t="s">
        <v>119</v>
      </c>
      <c r="D2562" s="32" t="s">
        <v>404</v>
      </c>
      <c r="E2562" s="33">
        <v>5</v>
      </c>
      <c r="F2562" s="33">
        <v>2053</v>
      </c>
      <c r="G2562" s="33">
        <v>5</v>
      </c>
      <c r="H2562" s="13">
        <f t="shared" ref="H2562:H2625" si="40">IFERROR(F2562/E2562,"")</f>
        <v>410.6</v>
      </c>
    </row>
    <row r="2563" spans="1:8" hidden="1" outlineLevel="2">
      <c r="A2563" s="32" t="s">
        <v>101</v>
      </c>
      <c r="B2563" s="32" t="s">
        <v>86</v>
      </c>
      <c r="C2563" s="32" t="s">
        <v>110</v>
      </c>
      <c r="D2563" s="32" t="s">
        <v>508</v>
      </c>
      <c r="E2563" s="33">
        <v>15</v>
      </c>
      <c r="F2563" s="33">
        <v>4458</v>
      </c>
      <c r="G2563" s="33">
        <v>15</v>
      </c>
      <c r="H2563" s="13">
        <f t="shared" si="40"/>
        <v>297.2</v>
      </c>
    </row>
    <row r="2564" spans="1:8" hidden="1" outlineLevel="2">
      <c r="A2564" s="32" t="s">
        <v>101</v>
      </c>
      <c r="B2564" s="32" t="s">
        <v>86</v>
      </c>
      <c r="C2564" s="32" t="s">
        <v>119</v>
      </c>
      <c r="D2564" s="32" t="s">
        <v>221</v>
      </c>
      <c r="E2564" s="33">
        <v>15</v>
      </c>
      <c r="F2564" s="33">
        <v>2797</v>
      </c>
      <c r="G2564" s="33">
        <v>13</v>
      </c>
      <c r="H2564" s="13">
        <f t="shared" si="40"/>
        <v>186.46666666666667</v>
      </c>
    </row>
    <row r="2565" spans="1:8" hidden="1" outlineLevel="2">
      <c r="A2565" s="32" t="s">
        <v>101</v>
      </c>
      <c r="B2565" s="32" t="s">
        <v>86</v>
      </c>
      <c r="C2565" s="32" t="s">
        <v>110</v>
      </c>
      <c r="D2565" s="32" t="s">
        <v>102</v>
      </c>
      <c r="E2565" s="33">
        <v>40</v>
      </c>
      <c r="F2565" s="33">
        <v>7039</v>
      </c>
      <c r="G2565" s="33">
        <v>40</v>
      </c>
      <c r="H2565" s="13">
        <f t="shared" si="40"/>
        <v>175.97499999999999</v>
      </c>
    </row>
    <row r="2566" spans="1:8" hidden="1" outlineLevel="2">
      <c r="A2566" s="32" t="s">
        <v>101</v>
      </c>
      <c r="B2566" s="32" t="s">
        <v>1862</v>
      </c>
      <c r="C2566" s="32" t="s">
        <v>97</v>
      </c>
      <c r="D2566" s="32" t="s">
        <v>545</v>
      </c>
      <c r="E2566" s="33">
        <v>35</v>
      </c>
      <c r="F2566" s="33">
        <v>5981</v>
      </c>
      <c r="G2566" s="33">
        <v>35</v>
      </c>
      <c r="H2566" s="13">
        <f t="shared" si="40"/>
        <v>170.88571428571427</v>
      </c>
    </row>
    <row r="2567" spans="1:8" hidden="1" outlineLevel="2">
      <c r="A2567" s="32" t="s">
        <v>101</v>
      </c>
      <c r="B2567" s="32" t="s">
        <v>86</v>
      </c>
      <c r="C2567" s="32" t="s">
        <v>119</v>
      </c>
      <c r="D2567" s="32" t="s">
        <v>700</v>
      </c>
      <c r="E2567" s="33">
        <v>5</v>
      </c>
      <c r="F2567" s="33">
        <v>814</v>
      </c>
      <c r="G2567" s="33">
        <v>5</v>
      </c>
      <c r="H2567" s="13">
        <f t="shared" si="40"/>
        <v>162.80000000000001</v>
      </c>
    </row>
    <row r="2568" spans="1:8" hidden="1" outlineLevel="2">
      <c r="A2568" s="32" t="s">
        <v>101</v>
      </c>
      <c r="B2568" s="32" t="s">
        <v>86</v>
      </c>
      <c r="C2568" s="32" t="s">
        <v>110</v>
      </c>
      <c r="D2568" s="32" t="s">
        <v>377</v>
      </c>
      <c r="E2568" s="33">
        <v>6</v>
      </c>
      <c r="F2568" s="33">
        <v>855</v>
      </c>
      <c r="G2568" s="33">
        <v>6</v>
      </c>
      <c r="H2568" s="13">
        <f t="shared" si="40"/>
        <v>142.5</v>
      </c>
    </row>
    <row r="2569" spans="1:8" hidden="1" outlineLevel="2">
      <c r="A2569" s="32" t="s">
        <v>101</v>
      </c>
      <c r="B2569" s="32" t="s">
        <v>1862</v>
      </c>
      <c r="C2569" s="32" t="s">
        <v>99</v>
      </c>
      <c r="D2569" s="32" t="s">
        <v>102</v>
      </c>
      <c r="E2569" s="33">
        <v>30</v>
      </c>
      <c r="F2569" s="33">
        <v>4179</v>
      </c>
      <c r="G2569" s="33">
        <v>30</v>
      </c>
      <c r="H2569" s="13">
        <f t="shared" si="40"/>
        <v>139.30000000000001</v>
      </c>
    </row>
    <row r="2570" spans="1:8" hidden="1" outlineLevel="2">
      <c r="A2570" s="32" t="s">
        <v>101</v>
      </c>
      <c r="B2570" s="32" t="s">
        <v>86</v>
      </c>
      <c r="C2570" s="32" t="s">
        <v>119</v>
      </c>
      <c r="D2570" s="32" t="s">
        <v>219</v>
      </c>
      <c r="E2570" s="33">
        <v>5</v>
      </c>
      <c r="F2570" s="33">
        <v>630</v>
      </c>
      <c r="G2570" s="33">
        <v>6</v>
      </c>
      <c r="H2570" s="13">
        <f t="shared" si="40"/>
        <v>126</v>
      </c>
    </row>
    <row r="2571" spans="1:8" hidden="1" outlineLevel="2">
      <c r="A2571" s="32" t="s">
        <v>101</v>
      </c>
      <c r="B2571" s="32" t="s">
        <v>1862</v>
      </c>
      <c r="C2571" s="32" t="s">
        <v>115</v>
      </c>
      <c r="D2571" s="32" t="s">
        <v>117</v>
      </c>
      <c r="E2571" s="33">
        <v>30</v>
      </c>
      <c r="F2571" s="33">
        <v>3342</v>
      </c>
      <c r="G2571" s="33">
        <v>30</v>
      </c>
      <c r="H2571" s="13">
        <f t="shared" si="40"/>
        <v>111.4</v>
      </c>
    </row>
    <row r="2572" spans="1:8" hidden="1" outlineLevel="2">
      <c r="A2572" s="32" t="s">
        <v>101</v>
      </c>
      <c r="B2572" s="32" t="s">
        <v>86</v>
      </c>
      <c r="C2572" s="32" t="s">
        <v>110</v>
      </c>
      <c r="D2572" s="32" t="s">
        <v>137</v>
      </c>
      <c r="E2572" s="33">
        <v>80</v>
      </c>
      <c r="F2572" s="33">
        <v>8170</v>
      </c>
      <c r="G2572" s="33">
        <v>80</v>
      </c>
      <c r="H2572" s="13">
        <f t="shared" si="40"/>
        <v>102.125</v>
      </c>
    </row>
    <row r="2573" spans="1:8" hidden="1" outlineLevel="2">
      <c r="A2573" s="32" t="s">
        <v>101</v>
      </c>
      <c r="B2573" s="32" t="s">
        <v>1858</v>
      </c>
      <c r="C2573" s="32" t="s">
        <v>104</v>
      </c>
      <c r="D2573" s="32" t="s">
        <v>539</v>
      </c>
      <c r="E2573" s="33">
        <v>15</v>
      </c>
      <c r="F2573" s="33">
        <v>1487</v>
      </c>
      <c r="G2573" s="33">
        <v>16</v>
      </c>
      <c r="H2573" s="13">
        <f t="shared" si="40"/>
        <v>99.13333333333334</v>
      </c>
    </row>
    <row r="2574" spans="1:8" hidden="1" outlineLevel="2">
      <c r="A2574" s="32" t="s">
        <v>101</v>
      </c>
      <c r="B2574" s="32" t="s">
        <v>86</v>
      </c>
      <c r="C2574" s="32" t="s">
        <v>110</v>
      </c>
      <c r="D2574" s="32" t="s">
        <v>315</v>
      </c>
      <c r="E2574" s="33">
        <v>24</v>
      </c>
      <c r="F2574" s="33">
        <v>2289</v>
      </c>
      <c r="G2574" s="33">
        <v>24</v>
      </c>
      <c r="H2574" s="13">
        <f t="shared" si="40"/>
        <v>95.375</v>
      </c>
    </row>
    <row r="2575" spans="1:8" hidden="1" outlineLevel="2">
      <c r="A2575" s="32" t="s">
        <v>101</v>
      </c>
      <c r="B2575" s="32" t="s">
        <v>1862</v>
      </c>
      <c r="C2575" s="32" t="s">
        <v>115</v>
      </c>
      <c r="D2575" s="32" t="s">
        <v>126</v>
      </c>
      <c r="E2575" s="33">
        <v>25</v>
      </c>
      <c r="F2575" s="33">
        <v>2326</v>
      </c>
      <c r="G2575" s="33">
        <v>25</v>
      </c>
      <c r="H2575" s="13">
        <f t="shared" si="40"/>
        <v>93.04</v>
      </c>
    </row>
    <row r="2576" spans="1:8" hidden="1" outlineLevel="2">
      <c r="A2576" s="32" t="s">
        <v>101</v>
      </c>
      <c r="B2576" s="32" t="s">
        <v>86</v>
      </c>
      <c r="C2576" s="32" t="s">
        <v>110</v>
      </c>
      <c r="D2576" s="32" t="s">
        <v>376</v>
      </c>
      <c r="E2576" s="33">
        <v>10</v>
      </c>
      <c r="F2576" s="33">
        <v>889</v>
      </c>
      <c r="G2576" s="33">
        <v>10</v>
      </c>
      <c r="H2576" s="13">
        <f t="shared" si="40"/>
        <v>88.9</v>
      </c>
    </row>
    <row r="2577" spans="1:8" hidden="1" outlineLevel="2">
      <c r="A2577" s="32" t="s">
        <v>101</v>
      </c>
      <c r="B2577" s="32" t="s">
        <v>86</v>
      </c>
      <c r="C2577" s="32" t="s">
        <v>110</v>
      </c>
      <c r="D2577" s="32" t="s">
        <v>608</v>
      </c>
      <c r="E2577" s="33">
        <v>25</v>
      </c>
      <c r="F2577" s="33">
        <v>2151</v>
      </c>
      <c r="G2577" s="33">
        <v>24</v>
      </c>
      <c r="H2577" s="13">
        <f t="shared" si="40"/>
        <v>86.04</v>
      </c>
    </row>
    <row r="2578" spans="1:8" hidden="1" outlineLevel="2">
      <c r="A2578" s="32" t="s">
        <v>101</v>
      </c>
      <c r="B2578" s="32" t="s">
        <v>1858</v>
      </c>
      <c r="C2578" s="32" t="s">
        <v>104</v>
      </c>
      <c r="D2578" s="32" t="s">
        <v>341</v>
      </c>
      <c r="E2578" s="33">
        <v>30</v>
      </c>
      <c r="F2578" s="33">
        <v>2544</v>
      </c>
      <c r="G2578" s="33">
        <v>28</v>
      </c>
      <c r="H2578" s="13">
        <f t="shared" si="40"/>
        <v>84.8</v>
      </c>
    </row>
    <row r="2579" spans="1:8" hidden="1" outlineLevel="2">
      <c r="A2579" s="32" t="s">
        <v>101</v>
      </c>
      <c r="B2579" s="32" t="s">
        <v>1862</v>
      </c>
      <c r="C2579" s="32" t="s">
        <v>115</v>
      </c>
      <c r="D2579" s="32" t="s">
        <v>603</v>
      </c>
      <c r="E2579" s="33">
        <v>30</v>
      </c>
      <c r="F2579" s="33">
        <v>2498</v>
      </c>
      <c r="G2579" s="33">
        <v>29</v>
      </c>
      <c r="H2579" s="13">
        <f t="shared" si="40"/>
        <v>83.266666666666666</v>
      </c>
    </row>
    <row r="2580" spans="1:8" hidden="1" outlineLevel="2">
      <c r="A2580" s="32" t="s">
        <v>101</v>
      </c>
      <c r="B2580" s="32" t="s">
        <v>1862</v>
      </c>
      <c r="C2580" s="32" t="s">
        <v>97</v>
      </c>
      <c r="D2580" s="32" t="s">
        <v>133</v>
      </c>
      <c r="E2580" s="33">
        <v>35</v>
      </c>
      <c r="F2580" s="33">
        <v>2902</v>
      </c>
      <c r="G2580" s="33">
        <v>34</v>
      </c>
      <c r="H2580" s="13">
        <f t="shared" si="40"/>
        <v>82.914285714285711</v>
      </c>
    </row>
    <row r="2581" spans="1:8" hidden="1" outlineLevel="2">
      <c r="A2581" s="32" t="s">
        <v>101</v>
      </c>
      <c r="B2581" s="32" t="s">
        <v>86</v>
      </c>
      <c r="C2581" s="32" t="s">
        <v>110</v>
      </c>
      <c r="D2581" s="32" t="s">
        <v>124</v>
      </c>
      <c r="E2581" s="33">
        <v>100</v>
      </c>
      <c r="F2581" s="33">
        <v>7910</v>
      </c>
      <c r="G2581" s="33">
        <v>100</v>
      </c>
      <c r="H2581" s="13">
        <f t="shared" si="40"/>
        <v>79.099999999999994</v>
      </c>
    </row>
    <row r="2582" spans="1:8" hidden="1" outlineLevel="2">
      <c r="A2582" s="32" t="s">
        <v>101</v>
      </c>
      <c r="B2582" s="32" t="s">
        <v>1858</v>
      </c>
      <c r="C2582" s="32" t="s">
        <v>104</v>
      </c>
      <c r="D2582" s="32" t="s">
        <v>159</v>
      </c>
      <c r="E2582" s="33">
        <v>20</v>
      </c>
      <c r="F2582" s="33">
        <v>1485</v>
      </c>
      <c r="G2582" s="33">
        <v>20</v>
      </c>
      <c r="H2582" s="13">
        <f t="shared" si="40"/>
        <v>74.25</v>
      </c>
    </row>
    <row r="2583" spans="1:8" hidden="1" outlineLevel="2">
      <c r="A2583" s="32" t="s">
        <v>101</v>
      </c>
      <c r="B2583" s="32" t="s">
        <v>86</v>
      </c>
      <c r="C2583" s="32" t="s">
        <v>110</v>
      </c>
      <c r="D2583" s="32" t="s">
        <v>214</v>
      </c>
      <c r="E2583" s="33">
        <v>15</v>
      </c>
      <c r="F2583" s="33">
        <v>1110</v>
      </c>
      <c r="G2583" s="33">
        <v>15</v>
      </c>
      <c r="H2583" s="13">
        <f t="shared" si="40"/>
        <v>74</v>
      </c>
    </row>
    <row r="2584" spans="1:8" hidden="1" outlineLevel="2">
      <c r="A2584" s="32" t="s">
        <v>101</v>
      </c>
      <c r="B2584" s="32" t="s">
        <v>86</v>
      </c>
      <c r="C2584" s="32" t="s">
        <v>110</v>
      </c>
      <c r="D2584" s="32" t="s">
        <v>121</v>
      </c>
      <c r="E2584" s="33">
        <v>32</v>
      </c>
      <c r="F2584" s="33">
        <v>2341</v>
      </c>
      <c r="G2584" s="33">
        <v>31</v>
      </c>
      <c r="H2584" s="13">
        <f t="shared" si="40"/>
        <v>73.15625</v>
      </c>
    </row>
    <row r="2585" spans="1:8" hidden="1" outlineLevel="2">
      <c r="A2585" s="32" t="s">
        <v>101</v>
      </c>
      <c r="B2585" s="32" t="s">
        <v>1858</v>
      </c>
      <c r="C2585" s="32" t="s">
        <v>203</v>
      </c>
      <c r="D2585" s="32" t="s">
        <v>204</v>
      </c>
      <c r="E2585" s="33">
        <v>30</v>
      </c>
      <c r="F2585" s="33">
        <v>2142</v>
      </c>
      <c r="G2585" s="33">
        <v>29</v>
      </c>
      <c r="H2585" s="13">
        <f t="shared" si="40"/>
        <v>71.400000000000006</v>
      </c>
    </row>
    <row r="2586" spans="1:8" hidden="1" outlineLevel="2">
      <c r="A2586" s="32" t="s">
        <v>101</v>
      </c>
      <c r="B2586" s="32" t="s">
        <v>86</v>
      </c>
      <c r="C2586" s="32" t="s">
        <v>110</v>
      </c>
      <c r="D2586" s="32" t="s">
        <v>177</v>
      </c>
      <c r="E2586" s="33">
        <v>40</v>
      </c>
      <c r="F2586" s="33">
        <v>2855</v>
      </c>
      <c r="G2586" s="33">
        <v>39</v>
      </c>
      <c r="H2586" s="13">
        <f t="shared" si="40"/>
        <v>71.375</v>
      </c>
    </row>
    <row r="2587" spans="1:8" hidden="1" outlineLevel="2">
      <c r="A2587" s="32" t="s">
        <v>101</v>
      </c>
      <c r="B2587" s="32" t="s">
        <v>86</v>
      </c>
      <c r="C2587" s="32" t="s">
        <v>110</v>
      </c>
      <c r="D2587" s="32" t="s">
        <v>672</v>
      </c>
      <c r="E2587" s="33">
        <v>30</v>
      </c>
      <c r="F2587" s="33">
        <v>2127</v>
      </c>
      <c r="G2587" s="33">
        <v>30</v>
      </c>
      <c r="H2587" s="13">
        <f t="shared" si="40"/>
        <v>70.900000000000006</v>
      </c>
    </row>
    <row r="2588" spans="1:8" hidden="1" outlineLevel="2">
      <c r="A2588" s="32" t="s">
        <v>101</v>
      </c>
      <c r="B2588" s="32" t="s">
        <v>86</v>
      </c>
      <c r="C2588" s="32" t="s">
        <v>110</v>
      </c>
      <c r="D2588" s="32" t="s">
        <v>356</v>
      </c>
      <c r="E2588" s="33">
        <v>10</v>
      </c>
      <c r="F2588" s="33">
        <v>662</v>
      </c>
      <c r="G2588" s="33">
        <v>10</v>
      </c>
      <c r="H2588" s="13">
        <f t="shared" si="40"/>
        <v>66.2</v>
      </c>
    </row>
    <row r="2589" spans="1:8" hidden="1" outlineLevel="2">
      <c r="A2589" s="32" t="s">
        <v>101</v>
      </c>
      <c r="B2589" s="32" t="s">
        <v>1862</v>
      </c>
      <c r="C2589" s="32" t="s">
        <v>99</v>
      </c>
      <c r="D2589" s="32" t="s">
        <v>338</v>
      </c>
      <c r="E2589" s="33">
        <v>30</v>
      </c>
      <c r="F2589" s="33">
        <v>1923</v>
      </c>
      <c r="G2589" s="33">
        <v>30</v>
      </c>
      <c r="H2589" s="13">
        <f t="shared" si="40"/>
        <v>64.099999999999994</v>
      </c>
    </row>
    <row r="2590" spans="1:8" hidden="1" outlineLevel="2">
      <c r="A2590" s="32" t="s">
        <v>101</v>
      </c>
      <c r="B2590" s="32" t="s">
        <v>1862</v>
      </c>
      <c r="C2590" s="32" t="s">
        <v>265</v>
      </c>
      <c r="D2590" s="32" t="s">
        <v>599</v>
      </c>
      <c r="E2590" s="33">
        <v>15</v>
      </c>
      <c r="F2590" s="33">
        <v>961</v>
      </c>
      <c r="G2590" s="33">
        <v>14</v>
      </c>
      <c r="H2590" s="13">
        <f t="shared" si="40"/>
        <v>64.066666666666663</v>
      </c>
    </row>
    <row r="2591" spans="1:8" hidden="1" outlineLevel="2">
      <c r="A2591" s="32" t="s">
        <v>101</v>
      </c>
      <c r="B2591" s="32" t="s">
        <v>1858</v>
      </c>
      <c r="C2591" s="32" t="s">
        <v>239</v>
      </c>
      <c r="D2591" s="32" t="s">
        <v>246</v>
      </c>
      <c r="E2591" s="33">
        <v>7</v>
      </c>
      <c r="F2591" s="33">
        <v>441</v>
      </c>
      <c r="G2591" s="33">
        <v>7</v>
      </c>
      <c r="H2591" s="13">
        <f t="shared" si="40"/>
        <v>63</v>
      </c>
    </row>
    <row r="2592" spans="1:8" hidden="1" outlineLevel="2">
      <c r="A2592" s="32" t="s">
        <v>101</v>
      </c>
      <c r="B2592" s="32" t="s">
        <v>1858</v>
      </c>
      <c r="C2592" s="32" t="s">
        <v>203</v>
      </c>
      <c r="D2592" s="32" t="s">
        <v>519</v>
      </c>
      <c r="E2592" s="33">
        <v>10</v>
      </c>
      <c r="F2592" s="33">
        <v>624</v>
      </c>
      <c r="G2592" s="33">
        <v>10</v>
      </c>
      <c r="H2592" s="13">
        <f t="shared" si="40"/>
        <v>62.4</v>
      </c>
    </row>
    <row r="2593" spans="1:8" hidden="1" outlineLevel="2">
      <c r="A2593" s="32" t="s">
        <v>101</v>
      </c>
      <c r="B2593" s="32" t="s">
        <v>86</v>
      </c>
      <c r="C2593" s="32" t="s">
        <v>119</v>
      </c>
      <c r="D2593" s="32" t="s">
        <v>526</v>
      </c>
      <c r="E2593" s="33">
        <v>100</v>
      </c>
      <c r="F2593" s="33">
        <v>6133</v>
      </c>
      <c r="G2593" s="33">
        <v>100</v>
      </c>
      <c r="H2593" s="13">
        <f t="shared" si="40"/>
        <v>61.33</v>
      </c>
    </row>
    <row r="2594" spans="1:8" hidden="1" outlineLevel="2">
      <c r="A2594" s="32" t="s">
        <v>101</v>
      </c>
      <c r="B2594" s="32" t="s">
        <v>1858</v>
      </c>
      <c r="C2594" s="32" t="s">
        <v>131</v>
      </c>
      <c r="D2594" s="32" t="s">
        <v>133</v>
      </c>
      <c r="E2594" s="33">
        <v>25</v>
      </c>
      <c r="F2594" s="33">
        <v>1489</v>
      </c>
      <c r="G2594" s="33">
        <v>25</v>
      </c>
      <c r="H2594" s="13">
        <f t="shared" si="40"/>
        <v>59.56</v>
      </c>
    </row>
    <row r="2595" spans="1:8" hidden="1" outlineLevel="2">
      <c r="A2595" s="32" t="s">
        <v>101</v>
      </c>
      <c r="B2595" s="32" t="s">
        <v>1858</v>
      </c>
      <c r="C2595" s="32" t="s">
        <v>239</v>
      </c>
      <c r="D2595" s="32" t="s">
        <v>180</v>
      </c>
      <c r="E2595" s="33">
        <v>2</v>
      </c>
      <c r="F2595" s="33">
        <v>116</v>
      </c>
      <c r="G2595" s="33">
        <v>2</v>
      </c>
      <c r="H2595" s="13">
        <f t="shared" si="40"/>
        <v>58</v>
      </c>
    </row>
    <row r="2596" spans="1:8" hidden="1" outlineLevel="2">
      <c r="A2596" s="32" t="s">
        <v>101</v>
      </c>
      <c r="B2596" s="32" t="s">
        <v>1858</v>
      </c>
      <c r="C2596" s="32" t="s">
        <v>104</v>
      </c>
      <c r="D2596" s="32" t="s">
        <v>123</v>
      </c>
      <c r="E2596" s="33">
        <v>15</v>
      </c>
      <c r="F2596" s="33">
        <v>851</v>
      </c>
      <c r="G2596" s="33">
        <v>21</v>
      </c>
      <c r="H2596" s="13">
        <f t="shared" si="40"/>
        <v>56.733333333333334</v>
      </c>
    </row>
    <row r="2597" spans="1:8" hidden="1" outlineLevel="2">
      <c r="A2597" s="32" t="s">
        <v>101</v>
      </c>
      <c r="B2597" s="32" t="s">
        <v>86</v>
      </c>
      <c r="C2597" s="32" t="s">
        <v>110</v>
      </c>
      <c r="D2597" s="32" t="s">
        <v>178</v>
      </c>
      <c r="E2597" s="33">
        <v>19</v>
      </c>
      <c r="F2597" s="33">
        <v>1007</v>
      </c>
      <c r="G2597" s="33">
        <v>19</v>
      </c>
      <c r="H2597" s="13">
        <f t="shared" si="40"/>
        <v>53</v>
      </c>
    </row>
    <row r="2598" spans="1:8" hidden="1" outlineLevel="2">
      <c r="A2598" s="32" t="s">
        <v>101</v>
      </c>
      <c r="B2598" s="32" t="s">
        <v>86</v>
      </c>
      <c r="C2598" s="32" t="s">
        <v>119</v>
      </c>
      <c r="D2598" s="32" t="s">
        <v>475</v>
      </c>
      <c r="E2598" s="33">
        <v>17</v>
      </c>
      <c r="F2598" s="33">
        <v>896</v>
      </c>
      <c r="G2598" s="33">
        <v>16</v>
      </c>
      <c r="H2598" s="13">
        <f t="shared" si="40"/>
        <v>52.705882352941174</v>
      </c>
    </row>
    <row r="2599" spans="1:8" hidden="1" outlineLevel="2">
      <c r="A2599" s="32" t="s">
        <v>101</v>
      </c>
      <c r="B2599" s="32" t="s">
        <v>1862</v>
      </c>
      <c r="C2599" s="32" t="s">
        <v>108</v>
      </c>
      <c r="D2599" s="32" t="s">
        <v>121</v>
      </c>
      <c r="E2599" s="33">
        <v>15</v>
      </c>
      <c r="F2599" s="33">
        <v>789</v>
      </c>
      <c r="G2599" s="33">
        <v>15</v>
      </c>
      <c r="H2599" s="13">
        <f t="shared" si="40"/>
        <v>52.6</v>
      </c>
    </row>
    <row r="2600" spans="1:8" hidden="1" outlineLevel="2">
      <c r="A2600" s="32" t="s">
        <v>101</v>
      </c>
      <c r="B2600" s="32" t="s">
        <v>1862</v>
      </c>
      <c r="C2600" s="32" t="s">
        <v>97</v>
      </c>
      <c r="D2600" s="32" t="s">
        <v>346</v>
      </c>
      <c r="E2600" s="33">
        <v>35</v>
      </c>
      <c r="F2600" s="33">
        <v>1839</v>
      </c>
      <c r="G2600" s="33">
        <v>35</v>
      </c>
      <c r="H2600" s="13">
        <f t="shared" si="40"/>
        <v>52.542857142857144</v>
      </c>
    </row>
    <row r="2601" spans="1:8" hidden="1" outlineLevel="2">
      <c r="A2601" s="32" t="s">
        <v>101</v>
      </c>
      <c r="B2601" s="32" t="s">
        <v>1858</v>
      </c>
      <c r="C2601" s="32" t="s">
        <v>104</v>
      </c>
      <c r="D2601" s="32" t="s">
        <v>121</v>
      </c>
      <c r="E2601" s="33">
        <v>20</v>
      </c>
      <c r="F2601" s="33">
        <v>999</v>
      </c>
      <c r="G2601" s="33">
        <v>19</v>
      </c>
      <c r="H2601" s="13">
        <f t="shared" si="40"/>
        <v>49.95</v>
      </c>
    </row>
    <row r="2602" spans="1:8" hidden="1" outlineLevel="2">
      <c r="A2602" s="32" t="s">
        <v>101</v>
      </c>
      <c r="B2602" s="32" t="s">
        <v>1858</v>
      </c>
      <c r="C2602" s="32" t="s">
        <v>134</v>
      </c>
      <c r="D2602" s="32" t="s">
        <v>136</v>
      </c>
      <c r="E2602" s="33">
        <v>9</v>
      </c>
      <c r="F2602" s="33">
        <v>436</v>
      </c>
      <c r="G2602" s="33">
        <v>9</v>
      </c>
      <c r="H2602" s="13">
        <f t="shared" si="40"/>
        <v>48.444444444444443</v>
      </c>
    </row>
    <row r="2603" spans="1:8" hidden="1" outlineLevel="2">
      <c r="A2603" s="32" t="s">
        <v>101</v>
      </c>
      <c r="B2603" s="32" t="s">
        <v>86</v>
      </c>
      <c r="C2603" s="32" t="s">
        <v>110</v>
      </c>
      <c r="D2603" s="32" t="s">
        <v>133</v>
      </c>
      <c r="E2603" s="33">
        <v>80</v>
      </c>
      <c r="F2603" s="33">
        <v>3820</v>
      </c>
      <c r="G2603" s="33">
        <v>80</v>
      </c>
      <c r="H2603" s="13">
        <f t="shared" si="40"/>
        <v>47.75</v>
      </c>
    </row>
    <row r="2604" spans="1:8" hidden="1" outlineLevel="2">
      <c r="A2604" s="32" t="s">
        <v>101</v>
      </c>
      <c r="B2604" s="32" t="s">
        <v>1862</v>
      </c>
      <c r="C2604" s="32" t="s">
        <v>99</v>
      </c>
      <c r="D2604" s="32" t="s">
        <v>552</v>
      </c>
      <c r="E2604" s="33">
        <v>60</v>
      </c>
      <c r="F2604" s="33">
        <v>2847</v>
      </c>
      <c r="G2604" s="33">
        <v>59</v>
      </c>
      <c r="H2604" s="13">
        <f t="shared" si="40"/>
        <v>47.45</v>
      </c>
    </row>
    <row r="2605" spans="1:8" hidden="1" outlineLevel="2">
      <c r="A2605" s="32" t="s">
        <v>101</v>
      </c>
      <c r="B2605" s="32" t="s">
        <v>1858</v>
      </c>
      <c r="C2605" s="32" t="s">
        <v>242</v>
      </c>
      <c r="D2605" s="32" t="s">
        <v>531</v>
      </c>
      <c r="E2605" s="33">
        <v>15</v>
      </c>
      <c r="F2605" s="33">
        <v>709</v>
      </c>
      <c r="G2605" s="33">
        <v>18</v>
      </c>
      <c r="H2605" s="13">
        <f t="shared" si="40"/>
        <v>47.266666666666666</v>
      </c>
    </row>
    <row r="2606" spans="1:8" hidden="1" outlineLevel="2">
      <c r="A2606" s="32" t="s">
        <v>101</v>
      </c>
      <c r="B2606" s="32" t="s">
        <v>1858</v>
      </c>
      <c r="C2606" s="32" t="s">
        <v>131</v>
      </c>
      <c r="D2606" s="32" t="s">
        <v>485</v>
      </c>
      <c r="E2606" s="33">
        <v>10</v>
      </c>
      <c r="F2606" s="33">
        <v>447</v>
      </c>
      <c r="G2606" s="33">
        <v>9</v>
      </c>
      <c r="H2606" s="13">
        <f t="shared" si="40"/>
        <v>44.7</v>
      </c>
    </row>
    <row r="2607" spans="1:8" hidden="1" outlineLevel="2">
      <c r="A2607" s="32" t="s">
        <v>101</v>
      </c>
      <c r="B2607" s="32" t="s">
        <v>1858</v>
      </c>
      <c r="C2607" s="32" t="s">
        <v>162</v>
      </c>
      <c r="D2607" s="32" t="s">
        <v>163</v>
      </c>
      <c r="E2607" s="33">
        <v>30</v>
      </c>
      <c r="F2607" s="33">
        <v>1302</v>
      </c>
      <c r="G2607" s="33">
        <v>30</v>
      </c>
      <c r="H2607" s="13">
        <f t="shared" si="40"/>
        <v>43.4</v>
      </c>
    </row>
    <row r="2608" spans="1:8" hidden="1" outlineLevel="2">
      <c r="A2608" s="32" t="s">
        <v>101</v>
      </c>
      <c r="B2608" s="32" t="s">
        <v>1858</v>
      </c>
      <c r="C2608" s="32" t="s">
        <v>104</v>
      </c>
      <c r="D2608" s="32" t="s">
        <v>469</v>
      </c>
      <c r="E2608" s="33">
        <v>20</v>
      </c>
      <c r="F2608" s="33">
        <v>867</v>
      </c>
      <c r="G2608" s="33">
        <v>19</v>
      </c>
      <c r="H2608" s="13">
        <f t="shared" si="40"/>
        <v>43.35</v>
      </c>
    </row>
    <row r="2609" spans="1:8" hidden="1" outlineLevel="2">
      <c r="A2609" s="32" t="s">
        <v>101</v>
      </c>
      <c r="B2609" s="32" t="s">
        <v>1862</v>
      </c>
      <c r="C2609" s="32" t="s">
        <v>265</v>
      </c>
      <c r="D2609" s="32" t="s">
        <v>121</v>
      </c>
      <c r="E2609" s="33">
        <v>30</v>
      </c>
      <c r="F2609" s="33">
        <v>1282</v>
      </c>
      <c r="G2609" s="33">
        <v>30</v>
      </c>
      <c r="H2609" s="13">
        <f t="shared" si="40"/>
        <v>42.733333333333334</v>
      </c>
    </row>
    <row r="2610" spans="1:8" hidden="1" outlineLevel="2">
      <c r="A2610" s="32" t="s">
        <v>101</v>
      </c>
      <c r="B2610" s="32" t="s">
        <v>1862</v>
      </c>
      <c r="C2610" s="32" t="s">
        <v>265</v>
      </c>
      <c r="D2610" s="32" t="s">
        <v>177</v>
      </c>
      <c r="E2610" s="33">
        <v>30</v>
      </c>
      <c r="F2610" s="33">
        <v>1266</v>
      </c>
      <c r="G2610" s="33">
        <v>29</v>
      </c>
      <c r="H2610" s="13">
        <f t="shared" si="40"/>
        <v>42.2</v>
      </c>
    </row>
    <row r="2611" spans="1:8" hidden="1" outlineLevel="2">
      <c r="A2611" s="32" t="s">
        <v>101</v>
      </c>
      <c r="B2611" s="32" t="s">
        <v>86</v>
      </c>
      <c r="C2611" s="32" t="s">
        <v>119</v>
      </c>
      <c r="D2611" s="32" t="s">
        <v>218</v>
      </c>
      <c r="E2611" s="33">
        <v>15</v>
      </c>
      <c r="F2611" s="33">
        <v>614</v>
      </c>
      <c r="G2611" s="33">
        <v>14</v>
      </c>
      <c r="H2611" s="13">
        <f t="shared" si="40"/>
        <v>40.93333333333333</v>
      </c>
    </row>
    <row r="2612" spans="1:8" hidden="1" outlineLevel="2">
      <c r="A2612" s="32" t="s">
        <v>101</v>
      </c>
      <c r="B2612" s="32" t="s">
        <v>1862</v>
      </c>
      <c r="C2612" s="32" t="s">
        <v>115</v>
      </c>
      <c r="D2612" s="32" t="s">
        <v>315</v>
      </c>
      <c r="E2612" s="33">
        <v>30</v>
      </c>
      <c r="F2612" s="33">
        <v>1179</v>
      </c>
      <c r="G2612" s="33">
        <v>25</v>
      </c>
      <c r="H2612" s="13">
        <f t="shared" si="40"/>
        <v>39.299999999999997</v>
      </c>
    </row>
    <row r="2613" spans="1:8" hidden="1" outlineLevel="2">
      <c r="A2613" s="32" t="s">
        <v>101</v>
      </c>
      <c r="B2613" s="32" t="s">
        <v>1858</v>
      </c>
      <c r="C2613" s="32" t="s">
        <v>131</v>
      </c>
      <c r="D2613" s="32" t="s">
        <v>614</v>
      </c>
      <c r="E2613" s="33">
        <v>10</v>
      </c>
      <c r="F2613" s="33">
        <v>388</v>
      </c>
      <c r="G2613" s="33">
        <v>10</v>
      </c>
      <c r="H2613" s="13">
        <f t="shared" si="40"/>
        <v>38.799999999999997</v>
      </c>
    </row>
    <row r="2614" spans="1:8" hidden="1" outlineLevel="2">
      <c r="A2614" s="32" t="s">
        <v>101</v>
      </c>
      <c r="B2614" s="32" t="s">
        <v>1858</v>
      </c>
      <c r="C2614" s="32" t="s">
        <v>134</v>
      </c>
      <c r="D2614" s="32" t="s">
        <v>616</v>
      </c>
      <c r="E2614" s="33">
        <v>56</v>
      </c>
      <c r="F2614" s="33">
        <v>2151</v>
      </c>
      <c r="G2614" s="33">
        <v>56</v>
      </c>
      <c r="H2614" s="13">
        <f t="shared" si="40"/>
        <v>38.410714285714285</v>
      </c>
    </row>
    <row r="2615" spans="1:8" hidden="1" outlineLevel="2">
      <c r="A2615" s="32" t="s">
        <v>101</v>
      </c>
      <c r="B2615" s="32" t="s">
        <v>1862</v>
      </c>
      <c r="C2615" s="32" t="s">
        <v>99</v>
      </c>
      <c r="D2615" s="32" t="s">
        <v>606</v>
      </c>
      <c r="E2615" s="33">
        <v>150</v>
      </c>
      <c r="F2615" s="33">
        <v>5729</v>
      </c>
      <c r="G2615" s="33">
        <v>155</v>
      </c>
      <c r="H2615" s="13">
        <f t="shared" si="40"/>
        <v>38.193333333333335</v>
      </c>
    </row>
    <row r="2616" spans="1:8" hidden="1" outlineLevel="2">
      <c r="A2616" s="32" t="s">
        <v>101</v>
      </c>
      <c r="B2616" s="32" t="s">
        <v>1858</v>
      </c>
      <c r="C2616" s="32" t="s">
        <v>203</v>
      </c>
      <c r="D2616" s="32" t="s">
        <v>722</v>
      </c>
      <c r="E2616" s="33">
        <v>25</v>
      </c>
      <c r="F2616" s="33">
        <v>948</v>
      </c>
      <c r="G2616" s="33">
        <v>25</v>
      </c>
      <c r="H2616" s="13">
        <f t="shared" si="40"/>
        <v>37.92</v>
      </c>
    </row>
    <row r="2617" spans="1:8" hidden="1" outlineLevel="2">
      <c r="A2617" s="32" t="s">
        <v>101</v>
      </c>
      <c r="B2617" s="32" t="s">
        <v>1862</v>
      </c>
      <c r="C2617" s="32" t="s">
        <v>115</v>
      </c>
      <c r="D2617" s="32" t="s">
        <v>319</v>
      </c>
      <c r="E2617" s="33">
        <v>30</v>
      </c>
      <c r="F2617" s="33">
        <v>1032</v>
      </c>
      <c r="G2617" s="33">
        <v>28</v>
      </c>
      <c r="H2617" s="13">
        <f t="shared" si="40"/>
        <v>34.4</v>
      </c>
    </row>
    <row r="2618" spans="1:8" hidden="1" outlineLevel="2">
      <c r="A2618" s="32" t="s">
        <v>101</v>
      </c>
      <c r="B2618" s="32" t="s">
        <v>1862</v>
      </c>
      <c r="C2618" s="32" t="s">
        <v>115</v>
      </c>
      <c r="D2618" s="32" t="s">
        <v>433</v>
      </c>
      <c r="E2618" s="33">
        <v>40</v>
      </c>
      <c r="F2618" s="33">
        <v>1355</v>
      </c>
      <c r="G2618" s="33">
        <v>40</v>
      </c>
      <c r="H2618" s="13">
        <f t="shared" si="40"/>
        <v>33.875</v>
      </c>
    </row>
    <row r="2619" spans="1:8" hidden="1" outlineLevel="2">
      <c r="A2619" s="32" t="s">
        <v>101</v>
      </c>
      <c r="B2619" s="32" t="s">
        <v>1862</v>
      </c>
      <c r="C2619" s="32" t="s">
        <v>115</v>
      </c>
      <c r="D2619" s="32" t="s">
        <v>600</v>
      </c>
      <c r="E2619" s="33">
        <v>40</v>
      </c>
      <c r="F2619" s="33">
        <v>1309</v>
      </c>
      <c r="G2619" s="33">
        <v>40</v>
      </c>
      <c r="H2619" s="13">
        <f t="shared" si="40"/>
        <v>32.725000000000001</v>
      </c>
    </row>
    <row r="2620" spans="1:8" hidden="1" outlineLevel="2">
      <c r="A2620" s="32" t="s">
        <v>101</v>
      </c>
      <c r="B2620" s="32" t="s">
        <v>1858</v>
      </c>
      <c r="C2620" s="32" t="s">
        <v>144</v>
      </c>
      <c r="D2620" s="32" t="s">
        <v>147</v>
      </c>
      <c r="E2620" s="33">
        <v>30</v>
      </c>
      <c r="F2620" s="33">
        <v>937</v>
      </c>
      <c r="G2620" s="33">
        <v>29</v>
      </c>
      <c r="H2620" s="13">
        <f t="shared" si="40"/>
        <v>31.233333333333334</v>
      </c>
    </row>
    <row r="2621" spans="1:8" hidden="1" outlineLevel="2">
      <c r="A2621" s="32" t="s">
        <v>101</v>
      </c>
      <c r="B2621" s="32" t="s">
        <v>86</v>
      </c>
      <c r="C2621" s="32" t="s">
        <v>138</v>
      </c>
      <c r="D2621" s="32" t="s">
        <v>483</v>
      </c>
      <c r="E2621" s="33">
        <v>15</v>
      </c>
      <c r="F2621" s="33">
        <v>464</v>
      </c>
      <c r="G2621" s="33">
        <v>12</v>
      </c>
      <c r="H2621" s="13">
        <f t="shared" si="40"/>
        <v>30.933333333333334</v>
      </c>
    </row>
    <row r="2622" spans="1:8" hidden="1" outlineLevel="2">
      <c r="A2622" s="32" t="s">
        <v>101</v>
      </c>
      <c r="B2622" s="32" t="s">
        <v>1858</v>
      </c>
      <c r="C2622" s="32" t="s">
        <v>104</v>
      </c>
      <c r="D2622" s="32" t="s">
        <v>333</v>
      </c>
      <c r="E2622" s="33">
        <v>30</v>
      </c>
      <c r="F2622" s="33">
        <v>898</v>
      </c>
      <c r="G2622" s="33">
        <v>30</v>
      </c>
      <c r="H2622" s="13">
        <f t="shared" si="40"/>
        <v>29.933333333333334</v>
      </c>
    </row>
    <row r="2623" spans="1:8" hidden="1" outlineLevel="2">
      <c r="A2623" s="32" t="s">
        <v>101</v>
      </c>
      <c r="B2623" s="32" t="s">
        <v>86</v>
      </c>
      <c r="C2623" s="32" t="s">
        <v>110</v>
      </c>
      <c r="D2623" s="32" t="s">
        <v>396</v>
      </c>
      <c r="E2623" s="33">
        <v>10</v>
      </c>
      <c r="F2623" s="33">
        <v>286</v>
      </c>
      <c r="G2623" s="33">
        <v>9</v>
      </c>
      <c r="H2623" s="13">
        <f t="shared" si="40"/>
        <v>28.6</v>
      </c>
    </row>
    <row r="2624" spans="1:8" hidden="1" outlineLevel="2">
      <c r="A2624" s="32" t="s">
        <v>101</v>
      </c>
      <c r="B2624" s="32" t="s">
        <v>1858</v>
      </c>
      <c r="C2624" s="32" t="s">
        <v>203</v>
      </c>
      <c r="D2624" s="32" t="s">
        <v>488</v>
      </c>
      <c r="E2624" s="33">
        <v>15</v>
      </c>
      <c r="F2624" s="33">
        <v>406</v>
      </c>
      <c r="G2624" s="33">
        <v>15</v>
      </c>
      <c r="H2624" s="13">
        <f t="shared" si="40"/>
        <v>27.066666666666666</v>
      </c>
    </row>
    <row r="2625" spans="1:8" hidden="1" outlineLevel="2">
      <c r="A2625" s="32" t="s">
        <v>101</v>
      </c>
      <c r="B2625" s="32" t="s">
        <v>1858</v>
      </c>
      <c r="C2625" s="32" t="s">
        <v>134</v>
      </c>
      <c r="D2625" s="32" t="s">
        <v>457</v>
      </c>
      <c r="E2625" s="33">
        <v>10</v>
      </c>
      <c r="F2625" s="33">
        <v>252</v>
      </c>
      <c r="G2625" s="33">
        <v>10</v>
      </c>
      <c r="H2625" s="13">
        <f t="shared" si="40"/>
        <v>25.2</v>
      </c>
    </row>
    <row r="2626" spans="1:8" hidden="1" outlineLevel="2">
      <c r="A2626" s="32" t="s">
        <v>101</v>
      </c>
      <c r="B2626" s="32" t="s">
        <v>1862</v>
      </c>
      <c r="C2626" s="32" t="s">
        <v>108</v>
      </c>
      <c r="D2626" s="32" t="s">
        <v>450</v>
      </c>
      <c r="E2626" s="33">
        <v>10</v>
      </c>
      <c r="F2626" s="33">
        <v>248</v>
      </c>
      <c r="G2626" s="33">
        <v>10</v>
      </c>
      <c r="H2626" s="13">
        <f t="shared" ref="H2626:H2689" si="41">IFERROR(F2626/E2626,"")</f>
        <v>24.8</v>
      </c>
    </row>
    <row r="2627" spans="1:8" hidden="1" outlineLevel="2">
      <c r="A2627" s="32" t="s">
        <v>101</v>
      </c>
      <c r="B2627" s="32" t="s">
        <v>86</v>
      </c>
      <c r="C2627" s="32" t="s">
        <v>110</v>
      </c>
      <c r="D2627" s="32" t="s">
        <v>403</v>
      </c>
      <c r="E2627" s="33">
        <v>30</v>
      </c>
      <c r="F2627" s="33">
        <v>715</v>
      </c>
      <c r="G2627" s="33">
        <v>30</v>
      </c>
      <c r="H2627" s="13">
        <f t="shared" si="41"/>
        <v>23.833333333333332</v>
      </c>
    </row>
    <row r="2628" spans="1:8" hidden="1" outlineLevel="2">
      <c r="A2628" s="32" t="s">
        <v>101</v>
      </c>
      <c r="B2628" s="32" t="s">
        <v>86</v>
      </c>
      <c r="C2628" s="32" t="s">
        <v>119</v>
      </c>
      <c r="D2628" s="32" t="s">
        <v>340</v>
      </c>
      <c r="E2628" s="33">
        <v>15</v>
      </c>
      <c r="F2628" s="33">
        <v>328</v>
      </c>
      <c r="G2628" s="33">
        <v>15</v>
      </c>
      <c r="H2628" s="13">
        <f t="shared" si="41"/>
        <v>21.866666666666667</v>
      </c>
    </row>
    <row r="2629" spans="1:8" hidden="1" outlineLevel="2">
      <c r="A2629" s="32" t="s">
        <v>101</v>
      </c>
      <c r="B2629" s="32" t="s">
        <v>86</v>
      </c>
      <c r="C2629" s="32" t="s">
        <v>110</v>
      </c>
      <c r="D2629" s="32" t="s">
        <v>180</v>
      </c>
      <c r="E2629" s="33">
        <v>20</v>
      </c>
      <c r="F2629" s="33">
        <v>434</v>
      </c>
      <c r="G2629" s="33">
        <v>20</v>
      </c>
      <c r="H2629" s="13">
        <f t="shared" si="41"/>
        <v>21.7</v>
      </c>
    </row>
    <row r="2630" spans="1:8" hidden="1" outlineLevel="2">
      <c r="A2630" s="32" t="s">
        <v>101</v>
      </c>
      <c r="B2630" s="32" t="s">
        <v>86</v>
      </c>
      <c r="C2630" s="32" t="s">
        <v>119</v>
      </c>
      <c r="D2630" s="32" t="s">
        <v>477</v>
      </c>
      <c r="E2630" s="33">
        <v>17</v>
      </c>
      <c r="F2630" s="33">
        <v>360</v>
      </c>
      <c r="G2630" s="33">
        <v>14</v>
      </c>
      <c r="H2630" s="13">
        <f t="shared" si="41"/>
        <v>21.176470588235293</v>
      </c>
    </row>
    <row r="2631" spans="1:8" hidden="1" outlineLevel="2">
      <c r="A2631" s="32" t="s">
        <v>101</v>
      </c>
      <c r="B2631" s="32" t="s">
        <v>1862</v>
      </c>
      <c r="C2631" s="32" t="s">
        <v>115</v>
      </c>
      <c r="D2631" s="32" t="s">
        <v>713</v>
      </c>
      <c r="E2631" s="33">
        <v>40</v>
      </c>
      <c r="F2631" s="33">
        <v>835</v>
      </c>
      <c r="G2631" s="33">
        <v>38</v>
      </c>
      <c r="H2631" s="13">
        <f t="shared" si="41"/>
        <v>20.875</v>
      </c>
    </row>
    <row r="2632" spans="1:8" hidden="1" outlineLevel="2">
      <c r="A2632" s="32" t="s">
        <v>101</v>
      </c>
      <c r="B2632" s="32" t="s">
        <v>1858</v>
      </c>
      <c r="C2632" s="32" t="s">
        <v>242</v>
      </c>
      <c r="D2632" s="32" t="s">
        <v>410</v>
      </c>
      <c r="E2632" s="33">
        <v>15</v>
      </c>
      <c r="F2632" s="33">
        <v>307</v>
      </c>
      <c r="G2632" s="33">
        <v>15</v>
      </c>
      <c r="H2632" s="13">
        <f t="shared" si="41"/>
        <v>20.466666666666665</v>
      </c>
    </row>
    <row r="2633" spans="1:8" hidden="1" outlineLevel="2">
      <c r="A2633" s="32" t="s">
        <v>101</v>
      </c>
      <c r="B2633" s="32" t="s">
        <v>1858</v>
      </c>
      <c r="C2633" s="32" t="s">
        <v>144</v>
      </c>
      <c r="D2633" s="32" t="s">
        <v>357</v>
      </c>
      <c r="E2633" s="33">
        <v>20</v>
      </c>
      <c r="F2633" s="33">
        <v>407</v>
      </c>
      <c r="G2633" s="33">
        <v>20</v>
      </c>
      <c r="H2633" s="13">
        <f t="shared" si="41"/>
        <v>20.350000000000001</v>
      </c>
    </row>
    <row r="2634" spans="1:8" hidden="1" outlineLevel="2">
      <c r="A2634" s="32" t="s">
        <v>101</v>
      </c>
      <c r="B2634" s="32" t="s">
        <v>86</v>
      </c>
      <c r="C2634" s="32" t="s">
        <v>138</v>
      </c>
      <c r="D2634" s="32" t="s">
        <v>684</v>
      </c>
      <c r="E2634" s="33">
        <v>15</v>
      </c>
      <c r="F2634" s="33">
        <v>294</v>
      </c>
      <c r="G2634" s="33">
        <v>15</v>
      </c>
      <c r="H2634" s="13">
        <f t="shared" si="41"/>
        <v>19.600000000000001</v>
      </c>
    </row>
    <row r="2635" spans="1:8" hidden="1" outlineLevel="2">
      <c r="A2635" s="32" t="s">
        <v>101</v>
      </c>
      <c r="B2635" s="32" t="s">
        <v>86</v>
      </c>
      <c r="C2635" s="32" t="s">
        <v>119</v>
      </c>
      <c r="D2635" s="32" t="s">
        <v>180</v>
      </c>
      <c r="E2635" s="33">
        <v>42</v>
      </c>
      <c r="F2635" s="33">
        <v>797</v>
      </c>
      <c r="G2635" s="33">
        <v>42</v>
      </c>
      <c r="H2635" s="13">
        <f t="shared" si="41"/>
        <v>18.976190476190474</v>
      </c>
    </row>
    <row r="2636" spans="1:8" hidden="1" outlineLevel="2">
      <c r="A2636" s="32" t="s">
        <v>101</v>
      </c>
      <c r="B2636" s="32" t="s">
        <v>1858</v>
      </c>
      <c r="C2636" s="32" t="s">
        <v>302</v>
      </c>
      <c r="D2636" s="32" t="s">
        <v>303</v>
      </c>
      <c r="E2636" s="33">
        <v>20</v>
      </c>
      <c r="F2636" s="33">
        <v>379</v>
      </c>
      <c r="G2636" s="33">
        <v>19</v>
      </c>
      <c r="H2636" s="13">
        <f t="shared" si="41"/>
        <v>18.95</v>
      </c>
    </row>
    <row r="2637" spans="1:8" hidden="1" outlineLevel="2">
      <c r="A2637" s="32" t="s">
        <v>101</v>
      </c>
      <c r="B2637" s="32" t="s">
        <v>1858</v>
      </c>
      <c r="C2637" s="32" t="s">
        <v>129</v>
      </c>
      <c r="D2637" s="32" t="s">
        <v>154</v>
      </c>
      <c r="E2637" s="33">
        <v>10</v>
      </c>
      <c r="F2637" s="33">
        <v>183</v>
      </c>
      <c r="G2637" s="33">
        <v>8</v>
      </c>
      <c r="H2637" s="13">
        <f t="shared" si="41"/>
        <v>18.3</v>
      </c>
    </row>
    <row r="2638" spans="1:8" hidden="1" outlineLevel="2">
      <c r="A2638" s="32" t="s">
        <v>101</v>
      </c>
      <c r="B2638" s="32" t="s">
        <v>86</v>
      </c>
      <c r="C2638" s="32" t="s">
        <v>119</v>
      </c>
      <c r="D2638" s="32" t="s">
        <v>120</v>
      </c>
      <c r="E2638" s="33">
        <v>15</v>
      </c>
      <c r="F2638" s="33">
        <v>270</v>
      </c>
      <c r="G2638" s="33">
        <v>15</v>
      </c>
      <c r="H2638" s="13">
        <f t="shared" si="41"/>
        <v>18</v>
      </c>
    </row>
    <row r="2639" spans="1:8" hidden="1" outlineLevel="2">
      <c r="A2639" s="32" t="s">
        <v>101</v>
      </c>
      <c r="B2639" s="32" t="s">
        <v>86</v>
      </c>
      <c r="C2639" s="32" t="s">
        <v>119</v>
      </c>
      <c r="D2639" s="32" t="s">
        <v>122</v>
      </c>
      <c r="E2639" s="33">
        <v>17</v>
      </c>
      <c r="F2639" s="33">
        <v>277</v>
      </c>
      <c r="G2639" s="33">
        <v>16</v>
      </c>
      <c r="H2639" s="13">
        <f t="shared" si="41"/>
        <v>16.294117647058822</v>
      </c>
    </row>
    <row r="2640" spans="1:8" hidden="1" outlineLevel="2">
      <c r="A2640" s="32" t="s">
        <v>101</v>
      </c>
      <c r="B2640" s="32" t="s">
        <v>86</v>
      </c>
      <c r="C2640" s="32" t="s">
        <v>138</v>
      </c>
      <c r="D2640" s="32" t="s">
        <v>188</v>
      </c>
      <c r="E2640" s="33">
        <v>15</v>
      </c>
      <c r="F2640" s="33">
        <v>201</v>
      </c>
      <c r="G2640" s="33">
        <v>15</v>
      </c>
      <c r="H2640" s="13">
        <f t="shared" si="41"/>
        <v>13.4</v>
      </c>
    </row>
    <row r="2641" spans="1:8" hidden="1" outlineLevel="2">
      <c r="A2641" s="32" t="s">
        <v>101</v>
      </c>
      <c r="B2641" s="32" t="s">
        <v>1858</v>
      </c>
      <c r="C2641" s="32" t="s">
        <v>242</v>
      </c>
      <c r="D2641" s="32" t="s">
        <v>532</v>
      </c>
      <c r="E2641" s="33">
        <v>15</v>
      </c>
      <c r="F2641" s="33">
        <v>197</v>
      </c>
      <c r="G2641" s="33">
        <v>14</v>
      </c>
      <c r="H2641" s="13">
        <f t="shared" si="41"/>
        <v>13.133333333333333</v>
      </c>
    </row>
    <row r="2642" spans="1:8" hidden="1" outlineLevel="2">
      <c r="A2642" s="32" t="s">
        <v>101</v>
      </c>
      <c r="B2642" s="32" t="s">
        <v>86</v>
      </c>
      <c r="C2642" s="32" t="s">
        <v>110</v>
      </c>
      <c r="D2642" s="32" t="s">
        <v>179</v>
      </c>
      <c r="E2642" s="33">
        <v>20</v>
      </c>
      <c r="F2642" s="33">
        <v>254</v>
      </c>
      <c r="G2642" s="33">
        <v>20</v>
      </c>
      <c r="H2642" s="13">
        <f t="shared" si="41"/>
        <v>12.7</v>
      </c>
    </row>
    <row r="2643" spans="1:8" hidden="1" outlineLevel="2">
      <c r="A2643" s="32" t="s">
        <v>101</v>
      </c>
      <c r="B2643" s="32" t="s">
        <v>1858</v>
      </c>
      <c r="C2643" s="32" t="s">
        <v>134</v>
      </c>
      <c r="D2643" s="32" t="s">
        <v>177</v>
      </c>
      <c r="E2643" s="33">
        <v>58</v>
      </c>
      <c r="F2643" s="33">
        <v>725</v>
      </c>
      <c r="G2643" s="33">
        <v>56</v>
      </c>
      <c r="H2643" s="13">
        <f t="shared" si="41"/>
        <v>12.5</v>
      </c>
    </row>
    <row r="2644" spans="1:8" hidden="1" outlineLevel="2">
      <c r="A2644" s="32" t="s">
        <v>101</v>
      </c>
      <c r="B2644" s="32" t="s">
        <v>1862</v>
      </c>
      <c r="C2644" s="32" t="s">
        <v>115</v>
      </c>
      <c r="D2644" s="32" t="s">
        <v>474</v>
      </c>
      <c r="E2644" s="33">
        <v>27</v>
      </c>
      <c r="F2644" s="33">
        <v>289</v>
      </c>
      <c r="G2644" s="33">
        <v>27</v>
      </c>
      <c r="H2644" s="13">
        <f t="shared" si="41"/>
        <v>10.703703703703704</v>
      </c>
    </row>
    <row r="2645" spans="1:8" hidden="1" outlineLevel="2">
      <c r="A2645" s="32" t="s">
        <v>101</v>
      </c>
      <c r="B2645" s="32" t="s">
        <v>86</v>
      </c>
      <c r="C2645" s="32" t="s">
        <v>110</v>
      </c>
      <c r="D2645" s="32" t="s">
        <v>482</v>
      </c>
      <c r="E2645" s="33">
        <v>5</v>
      </c>
      <c r="F2645" s="33">
        <v>52</v>
      </c>
      <c r="G2645" s="33">
        <v>5</v>
      </c>
      <c r="H2645" s="13">
        <f t="shared" si="41"/>
        <v>10.4</v>
      </c>
    </row>
    <row r="2646" spans="1:8" hidden="1" outlineLevel="2">
      <c r="A2646" s="32" t="s">
        <v>101</v>
      </c>
      <c r="B2646" s="32" t="s">
        <v>86</v>
      </c>
      <c r="C2646" s="32" t="s">
        <v>138</v>
      </c>
      <c r="D2646" s="32" t="s">
        <v>182</v>
      </c>
      <c r="E2646" s="33">
        <v>10</v>
      </c>
      <c r="F2646" s="33">
        <v>96</v>
      </c>
      <c r="G2646" s="33">
        <v>11</v>
      </c>
      <c r="H2646" s="13">
        <f t="shared" si="41"/>
        <v>9.6</v>
      </c>
    </row>
    <row r="2647" spans="1:8" hidden="1" outlineLevel="2">
      <c r="A2647" s="32" t="s">
        <v>101</v>
      </c>
      <c r="B2647" s="32" t="s">
        <v>86</v>
      </c>
      <c r="C2647" s="32" t="s">
        <v>138</v>
      </c>
      <c r="D2647" s="32" t="s">
        <v>184</v>
      </c>
      <c r="E2647" s="33">
        <v>10</v>
      </c>
      <c r="F2647" s="33">
        <v>93</v>
      </c>
      <c r="G2647" s="33">
        <v>10</v>
      </c>
      <c r="H2647" s="13">
        <f t="shared" si="41"/>
        <v>9.3000000000000007</v>
      </c>
    </row>
    <row r="2648" spans="1:8" hidden="1" outlineLevel="2">
      <c r="A2648" s="32" t="s">
        <v>101</v>
      </c>
      <c r="B2648" s="32" t="s">
        <v>1862</v>
      </c>
      <c r="C2648" s="32" t="s">
        <v>115</v>
      </c>
      <c r="D2648" s="32" t="s">
        <v>606</v>
      </c>
      <c r="E2648" s="33">
        <v>1050</v>
      </c>
      <c r="F2648" s="33">
        <v>9173</v>
      </c>
      <c r="G2648" s="33">
        <v>1046</v>
      </c>
      <c r="H2648" s="13">
        <f t="shared" si="41"/>
        <v>8.7361904761904761</v>
      </c>
    </row>
    <row r="2649" spans="1:8" hidden="1" outlineLevel="2">
      <c r="A2649" s="32" t="s">
        <v>101</v>
      </c>
      <c r="B2649" s="32" t="s">
        <v>86</v>
      </c>
      <c r="C2649" s="32" t="s">
        <v>138</v>
      </c>
      <c r="D2649" s="32" t="s">
        <v>185</v>
      </c>
      <c r="E2649" s="33">
        <v>10</v>
      </c>
      <c r="F2649" s="33">
        <v>81</v>
      </c>
      <c r="G2649" s="33">
        <v>10</v>
      </c>
      <c r="H2649" s="13">
        <f t="shared" si="41"/>
        <v>8.1</v>
      </c>
    </row>
    <row r="2650" spans="1:8" hidden="1" outlineLevel="2">
      <c r="A2650" s="32" t="s">
        <v>101</v>
      </c>
      <c r="B2650" s="32" t="s">
        <v>86</v>
      </c>
      <c r="C2650" s="32" t="s">
        <v>138</v>
      </c>
      <c r="D2650" s="32" t="s">
        <v>686</v>
      </c>
      <c r="E2650" s="33">
        <v>10</v>
      </c>
      <c r="F2650" s="33">
        <v>80</v>
      </c>
      <c r="G2650" s="33">
        <v>11</v>
      </c>
      <c r="H2650" s="13">
        <f t="shared" si="41"/>
        <v>8</v>
      </c>
    </row>
    <row r="2651" spans="1:8" hidden="1" outlineLevel="2">
      <c r="A2651" s="32" t="s">
        <v>101</v>
      </c>
      <c r="B2651" s="32" t="s">
        <v>86</v>
      </c>
      <c r="C2651" s="32" t="s">
        <v>110</v>
      </c>
      <c r="D2651" s="32" t="s">
        <v>525</v>
      </c>
      <c r="E2651" s="33">
        <v>15</v>
      </c>
      <c r="F2651" s="33">
        <v>120</v>
      </c>
      <c r="G2651" s="33">
        <v>16</v>
      </c>
      <c r="H2651" s="13">
        <f t="shared" si="41"/>
        <v>8</v>
      </c>
    </row>
    <row r="2652" spans="1:8" hidden="1" outlineLevel="2">
      <c r="A2652" s="32" t="s">
        <v>101</v>
      </c>
      <c r="B2652" s="32" t="s">
        <v>86</v>
      </c>
      <c r="C2652" s="32" t="s">
        <v>138</v>
      </c>
      <c r="D2652" s="32" t="s">
        <v>140</v>
      </c>
      <c r="E2652" s="33">
        <v>15</v>
      </c>
      <c r="F2652" s="33">
        <v>116</v>
      </c>
      <c r="G2652" s="33">
        <v>17</v>
      </c>
      <c r="H2652" s="13">
        <f t="shared" si="41"/>
        <v>7.7333333333333334</v>
      </c>
    </row>
    <row r="2653" spans="1:8" hidden="1" outlineLevel="2">
      <c r="A2653" s="32" t="s">
        <v>101</v>
      </c>
      <c r="B2653" s="32" t="s">
        <v>1862</v>
      </c>
      <c r="C2653" s="32" t="s">
        <v>115</v>
      </c>
      <c r="D2653" s="32" t="s">
        <v>118</v>
      </c>
      <c r="E2653" s="33">
        <v>28</v>
      </c>
      <c r="F2653" s="33">
        <v>215</v>
      </c>
      <c r="G2653" s="33">
        <v>28</v>
      </c>
      <c r="H2653" s="13">
        <f t="shared" si="41"/>
        <v>7.6785714285714288</v>
      </c>
    </row>
    <row r="2654" spans="1:8" hidden="1" outlineLevel="2">
      <c r="A2654" s="32" t="s">
        <v>101</v>
      </c>
      <c r="B2654" s="32" t="s">
        <v>1862</v>
      </c>
      <c r="C2654" s="32" t="s">
        <v>108</v>
      </c>
      <c r="D2654" s="32" t="s">
        <v>295</v>
      </c>
      <c r="E2654" s="33">
        <v>40</v>
      </c>
      <c r="F2654" s="33">
        <v>292</v>
      </c>
      <c r="G2654" s="33">
        <v>40</v>
      </c>
      <c r="H2654" s="13">
        <f t="shared" si="41"/>
        <v>7.3</v>
      </c>
    </row>
    <row r="2655" spans="1:8" hidden="1" outlineLevel="2">
      <c r="A2655" s="32" t="s">
        <v>101</v>
      </c>
      <c r="B2655" s="32" t="s">
        <v>86</v>
      </c>
      <c r="C2655" s="32" t="s">
        <v>138</v>
      </c>
      <c r="D2655" s="32" t="s">
        <v>386</v>
      </c>
      <c r="E2655" s="33">
        <v>15</v>
      </c>
      <c r="F2655" s="33">
        <v>105</v>
      </c>
      <c r="G2655" s="33">
        <v>16</v>
      </c>
      <c r="H2655" s="13">
        <f t="shared" si="41"/>
        <v>7</v>
      </c>
    </row>
    <row r="2656" spans="1:8" hidden="1" outlineLevel="2">
      <c r="A2656" s="32" t="s">
        <v>101</v>
      </c>
      <c r="B2656" s="32" t="s">
        <v>86</v>
      </c>
      <c r="C2656" s="32" t="s">
        <v>138</v>
      </c>
      <c r="D2656" s="32" t="s">
        <v>717</v>
      </c>
      <c r="E2656" s="33">
        <v>10</v>
      </c>
      <c r="F2656" s="33">
        <v>64</v>
      </c>
      <c r="G2656" s="33">
        <v>10</v>
      </c>
      <c r="H2656" s="13">
        <f t="shared" si="41"/>
        <v>6.4</v>
      </c>
    </row>
    <row r="2657" spans="1:8" hidden="1" outlineLevel="2">
      <c r="A2657" s="32" t="s">
        <v>101</v>
      </c>
      <c r="B2657" s="32" t="s">
        <v>86</v>
      </c>
      <c r="C2657" s="32" t="s">
        <v>119</v>
      </c>
      <c r="D2657" s="32" t="s">
        <v>372</v>
      </c>
      <c r="E2657" s="33">
        <v>12</v>
      </c>
      <c r="F2657" s="33">
        <v>74</v>
      </c>
      <c r="G2657" s="33">
        <v>12</v>
      </c>
      <c r="H2657" s="13">
        <f t="shared" si="41"/>
        <v>6.166666666666667</v>
      </c>
    </row>
    <row r="2658" spans="1:8" hidden="1" outlineLevel="2">
      <c r="A2658" s="32" t="s">
        <v>101</v>
      </c>
      <c r="B2658" s="32" t="s">
        <v>86</v>
      </c>
      <c r="C2658" s="32" t="s">
        <v>138</v>
      </c>
      <c r="D2658" s="32" t="s">
        <v>613</v>
      </c>
      <c r="E2658" s="33">
        <v>10</v>
      </c>
      <c r="F2658" s="33">
        <v>55</v>
      </c>
      <c r="G2658" s="33">
        <v>12</v>
      </c>
      <c r="H2658" s="13">
        <f t="shared" si="41"/>
        <v>5.5</v>
      </c>
    </row>
    <row r="2659" spans="1:8" hidden="1" outlineLevel="2">
      <c r="A2659" s="32" t="s">
        <v>101</v>
      </c>
      <c r="B2659" s="32" t="s">
        <v>1862</v>
      </c>
      <c r="C2659" s="32" t="s">
        <v>115</v>
      </c>
      <c r="D2659" s="32" t="s">
        <v>598</v>
      </c>
      <c r="E2659" s="33">
        <v>25</v>
      </c>
      <c r="F2659" s="33">
        <v>127</v>
      </c>
      <c r="G2659" s="33">
        <v>25</v>
      </c>
      <c r="H2659" s="13">
        <f t="shared" si="41"/>
        <v>5.08</v>
      </c>
    </row>
    <row r="2660" spans="1:8" hidden="1" outlineLevel="2">
      <c r="A2660" s="32" t="s">
        <v>101</v>
      </c>
      <c r="B2660" s="32" t="s">
        <v>86</v>
      </c>
      <c r="C2660" s="32" t="s">
        <v>138</v>
      </c>
      <c r="D2660" s="32" t="s">
        <v>622</v>
      </c>
      <c r="E2660" s="33">
        <v>10</v>
      </c>
      <c r="F2660" s="33">
        <v>47</v>
      </c>
      <c r="G2660" s="33">
        <v>10</v>
      </c>
      <c r="H2660" s="13">
        <f t="shared" si="41"/>
        <v>4.7</v>
      </c>
    </row>
    <row r="2661" spans="1:8" hidden="1" outlineLevel="2">
      <c r="A2661" s="32" t="s">
        <v>101</v>
      </c>
      <c r="B2661" s="32" t="s">
        <v>86</v>
      </c>
      <c r="C2661" s="32" t="s">
        <v>138</v>
      </c>
      <c r="D2661" s="32" t="s">
        <v>141</v>
      </c>
      <c r="E2661" s="33">
        <v>10</v>
      </c>
      <c r="F2661" s="33">
        <v>43</v>
      </c>
      <c r="G2661" s="33">
        <v>11</v>
      </c>
      <c r="H2661" s="13">
        <f t="shared" si="41"/>
        <v>4.3</v>
      </c>
    </row>
    <row r="2662" spans="1:8" hidden="1" outlineLevel="2">
      <c r="A2662" s="32" t="s">
        <v>101</v>
      </c>
      <c r="B2662" s="32" t="s">
        <v>86</v>
      </c>
      <c r="C2662" s="32" t="s">
        <v>138</v>
      </c>
      <c r="D2662" s="32" t="s">
        <v>139</v>
      </c>
      <c r="E2662" s="33">
        <v>10</v>
      </c>
      <c r="F2662" s="33">
        <v>37</v>
      </c>
      <c r="G2662" s="33">
        <v>10</v>
      </c>
      <c r="H2662" s="13">
        <f t="shared" si="41"/>
        <v>3.7</v>
      </c>
    </row>
    <row r="2663" spans="1:8" hidden="1" outlineLevel="2">
      <c r="A2663" s="32" t="s">
        <v>101</v>
      </c>
      <c r="B2663" s="32" t="s">
        <v>86</v>
      </c>
      <c r="C2663" s="32" t="s">
        <v>138</v>
      </c>
      <c r="D2663" s="32" t="s">
        <v>718</v>
      </c>
      <c r="E2663" s="33">
        <v>10</v>
      </c>
      <c r="F2663" s="33">
        <v>37</v>
      </c>
      <c r="G2663" s="33">
        <v>10</v>
      </c>
      <c r="H2663" s="13">
        <f t="shared" si="41"/>
        <v>3.7</v>
      </c>
    </row>
    <row r="2664" spans="1:8" hidden="1" outlineLevel="2">
      <c r="A2664" s="32" t="s">
        <v>101</v>
      </c>
      <c r="B2664" s="32" t="s">
        <v>86</v>
      </c>
      <c r="C2664" s="32" t="s">
        <v>138</v>
      </c>
      <c r="D2664" s="32" t="s">
        <v>354</v>
      </c>
      <c r="E2664" s="33">
        <v>10</v>
      </c>
      <c r="F2664" s="33">
        <v>31</v>
      </c>
      <c r="G2664" s="33">
        <v>10</v>
      </c>
      <c r="H2664" s="13">
        <f t="shared" si="41"/>
        <v>3.1</v>
      </c>
    </row>
    <row r="2665" spans="1:8" hidden="1" outlineLevel="2">
      <c r="A2665" s="32" t="s">
        <v>101</v>
      </c>
      <c r="B2665" s="32" t="s">
        <v>86</v>
      </c>
      <c r="C2665" s="32" t="s">
        <v>119</v>
      </c>
      <c r="D2665" s="32" t="s">
        <v>339</v>
      </c>
      <c r="E2665" s="33">
        <v>40</v>
      </c>
      <c r="F2665" s="33">
        <v>122</v>
      </c>
      <c r="G2665" s="33">
        <v>34</v>
      </c>
      <c r="H2665" s="13">
        <f t="shared" si="41"/>
        <v>3.05</v>
      </c>
    </row>
    <row r="2666" spans="1:8" hidden="1" outlineLevel="2">
      <c r="A2666" s="32" t="s">
        <v>101</v>
      </c>
      <c r="B2666" s="32" t="s">
        <v>86</v>
      </c>
      <c r="C2666" s="32" t="s">
        <v>138</v>
      </c>
      <c r="D2666" s="32" t="s">
        <v>510</v>
      </c>
      <c r="E2666" s="33">
        <v>10</v>
      </c>
      <c r="F2666" s="33">
        <v>29</v>
      </c>
      <c r="G2666" s="33">
        <v>10</v>
      </c>
      <c r="H2666" s="13">
        <f t="shared" si="41"/>
        <v>2.9</v>
      </c>
    </row>
    <row r="2667" spans="1:8" outlineLevel="1" collapsed="1">
      <c r="A2667" s="37" t="s">
        <v>1885</v>
      </c>
      <c r="B2667" s="37"/>
      <c r="C2667" s="37"/>
      <c r="D2667" s="37"/>
      <c r="E2667" s="38">
        <f>SUBTOTAL(9,E2561:E2666)</f>
        <v>3628</v>
      </c>
      <c r="F2667" s="38">
        <f>SUBTOTAL(9,F2561:F2666)</f>
        <v>147850</v>
      </c>
      <c r="G2667" s="38">
        <f>SUBTOTAL(9,G2561:G2666)</f>
        <v>3601</v>
      </c>
      <c r="H2667" s="39">
        <f t="shared" si="41"/>
        <v>40.752480705622929</v>
      </c>
    </row>
    <row r="2668" spans="1:8" hidden="1" outlineLevel="2">
      <c r="A2668" s="32" t="s">
        <v>106</v>
      </c>
      <c r="B2668" s="32" t="s">
        <v>1862</v>
      </c>
      <c r="C2668" s="32" t="s">
        <v>99</v>
      </c>
      <c r="D2668" s="32" t="s">
        <v>107</v>
      </c>
      <c r="E2668" s="33">
        <v>10</v>
      </c>
      <c r="F2668" s="33">
        <v>7679</v>
      </c>
      <c r="G2668" s="33">
        <v>10</v>
      </c>
      <c r="H2668" s="13">
        <f t="shared" si="41"/>
        <v>767.9</v>
      </c>
    </row>
    <row r="2669" spans="1:8" hidden="1" outlineLevel="2">
      <c r="A2669" s="32" t="s">
        <v>106</v>
      </c>
      <c r="B2669" s="32" t="s">
        <v>1862</v>
      </c>
      <c r="C2669" s="32" t="s">
        <v>99</v>
      </c>
      <c r="D2669" s="32" t="s">
        <v>107</v>
      </c>
      <c r="E2669" s="33">
        <v>15</v>
      </c>
      <c r="F2669" s="33">
        <v>10154</v>
      </c>
      <c r="G2669" s="33">
        <v>15</v>
      </c>
      <c r="H2669" s="13">
        <f t="shared" si="41"/>
        <v>676.93333333333328</v>
      </c>
    </row>
    <row r="2670" spans="1:8" hidden="1" outlineLevel="2">
      <c r="A2670" s="32" t="s">
        <v>106</v>
      </c>
      <c r="B2670" s="32" t="s">
        <v>1862</v>
      </c>
      <c r="C2670" s="32" t="s">
        <v>99</v>
      </c>
      <c r="D2670" s="32" t="s">
        <v>107</v>
      </c>
      <c r="E2670" s="33">
        <v>10</v>
      </c>
      <c r="F2670" s="33">
        <v>6460</v>
      </c>
      <c r="G2670" s="33">
        <v>10</v>
      </c>
      <c r="H2670" s="13">
        <f t="shared" si="41"/>
        <v>646</v>
      </c>
    </row>
    <row r="2671" spans="1:8" hidden="1" outlineLevel="2">
      <c r="A2671" s="32" t="s">
        <v>106</v>
      </c>
      <c r="B2671" s="32" t="s">
        <v>1862</v>
      </c>
      <c r="C2671" s="32" t="s">
        <v>99</v>
      </c>
      <c r="D2671" s="32" t="s">
        <v>107</v>
      </c>
      <c r="E2671" s="33">
        <v>20</v>
      </c>
      <c r="F2671" s="33">
        <v>7748</v>
      </c>
      <c r="G2671" s="33">
        <v>20</v>
      </c>
      <c r="H2671" s="13">
        <f t="shared" si="41"/>
        <v>387.4</v>
      </c>
    </row>
    <row r="2672" spans="1:8" hidden="1" outlineLevel="2">
      <c r="A2672" s="32" t="s">
        <v>106</v>
      </c>
      <c r="B2672" s="32" t="s">
        <v>86</v>
      </c>
      <c r="C2672" s="32" t="s">
        <v>110</v>
      </c>
      <c r="D2672" s="32" t="s">
        <v>107</v>
      </c>
      <c r="E2672" s="33">
        <v>40</v>
      </c>
      <c r="F2672" s="33">
        <v>15474</v>
      </c>
      <c r="G2672" s="33">
        <v>40</v>
      </c>
      <c r="H2672" s="13">
        <f t="shared" si="41"/>
        <v>386.85</v>
      </c>
    </row>
    <row r="2673" spans="1:8" hidden="1" outlineLevel="2">
      <c r="A2673" s="32" t="s">
        <v>106</v>
      </c>
      <c r="B2673" s="32" t="s">
        <v>1862</v>
      </c>
      <c r="C2673" s="32" t="s">
        <v>99</v>
      </c>
      <c r="D2673" s="32" t="s">
        <v>107</v>
      </c>
      <c r="E2673" s="33">
        <v>30</v>
      </c>
      <c r="F2673" s="33">
        <v>11523</v>
      </c>
      <c r="G2673" s="33">
        <v>30</v>
      </c>
      <c r="H2673" s="13">
        <f t="shared" si="41"/>
        <v>384.1</v>
      </c>
    </row>
    <row r="2674" spans="1:8" hidden="1" outlineLevel="2">
      <c r="A2674" s="32" t="s">
        <v>106</v>
      </c>
      <c r="B2674" s="32" t="s">
        <v>1858</v>
      </c>
      <c r="C2674" s="32" t="s">
        <v>104</v>
      </c>
      <c r="D2674" s="32" t="s">
        <v>107</v>
      </c>
      <c r="E2674" s="33">
        <v>35</v>
      </c>
      <c r="F2674" s="33">
        <v>11987</v>
      </c>
      <c r="G2674" s="33">
        <v>35</v>
      </c>
      <c r="H2674" s="13">
        <f t="shared" si="41"/>
        <v>342.48571428571427</v>
      </c>
    </row>
    <row r="2675" spans="1:8" hidden="1" outlineLevel="2">
      <c r="A2675" s="32" t="s">
        <v>106</v>
      </c>
      <c r="B2675" s="32" t="s">
        <v>1858</v>
      </c>
      <c r="C2675" s="32" t="s">
        <v>104</v>
      </c>
      <c r="D2675" s="32" t="s">
        <v>107</v>
      </c>
      <c r="E2675" s="33">
        <v>35</v>
      </c>
      <c r="F2675" s="33">
        <v>11950</v>
      </c>
      <c r="G2675" s="33">
        <v>35</v>
      </c>
      <c r="H2675" s="13">
        <f t="shared" si="41"/>
        <v>341.42857142857144</v>
      </c>
    </row>
    <row r="2676" spans="1:8" hidden="1" outlineLevel="2">
      <c r="A2676" s="32" t="s">
        <v>106</v>
      </c>
      <c r="B2676" s="32" t="s">
        <v>86</v>
      </c>
      <c r="C2676" s="32" t="s">
        <v>110</v>
      </c>
      <c r="D2676" s="32" t="s">
        <v>107</v>
      </c>
      <c r="E2676" s="33">
        <v>40</v>
      </c>
      <c r="F2676" s="33">
        <v>12694</v>
      </c>
      <c r="G2676" s="33">
        <v>40</v>
      </c>
      <c r="H2676" s="13">
        <f t="shared" si="41"/>
        <v>317.35000000000002</v>
      </c>
    </row>
    <row r="2677" spans="1:8" hidden="1" outlineLevel="2">
      <c r="A2677" s="32" t="s">
        <v>106</v>
      </c>
      <c r="B2677" s="32" t="s">
        <v>1862</v>
      </c>
      <c r="C2677" s="32" t="s">
        <v>99</v>
      </c>
      <c r="D2677" s="32" t="s">
        <v>107</v>
      </c>
      <c r="E2677" s="33">
        <v>30</v>
      </c>
      <c r="F2677" s="33">
        <v>8864</v>
      </c>
      <c r="G2677" s="33">
        <v>28</v>
      </c>
      <c r="H2677" s="13">
        <f t="shared" si="41"/>
        <v>295.46666666666664</v>
      </c>
    </row>
    <row r="2678" spans="1:8" hidden="1" outlineLevel="2">
      <c r="A2678" s="32" t="s">
        <v>106</v>
      </c>
      <c r="B2678" s="32" t="s">
        <v>86</v>
      </c>
      <c r="C2678" s="32" t="s">
        <v>110</v>
      </c>
      <c r="D2678" s="32" t="s">
        <v>107</v>
      </c>
      <c r="E2678" s="33">
        <v>50</v>
      </c>
      <c r="F2678" s="33">
        <v>14403</v>
      </c>
      <c r="G2678" s="33">
        <v>50</v>
      </c>
      <c r="H2678" s="13">
        <f t="shared" si="41"/>
        <v>288.06</v>
      </c>
    </row>
    <row r="2679" spans="1:8" hidden="1" outlineLevel="2">
      <c r="A2679" s="32" t="s">
        <v>106</v>
      </c>
      <c r="B2679" s="32" t="s">
        <v>1862</v>
      </c>
      <c r="C2679" s="32" t="s">
        <v>99</v>
      </c>
      <c r="D2679" s="32" t="s">
        <v>107</v>
      </c>
      <c r="E2679" s="33">
        <v>30</v>
      </c>
      <c r="F2679" s="33">
        <v>8619</v>
      </c>
      <c r="G2679" s="33">
        <v>31</v>
      </c>
      <c r="H2679" s="13">
        <f t="shared" si="41"/>
        <v>287.3</v>
      </c>
    </row>
    <row r="2680" spans="1:8" hidden="1" outlineLevel="2">
      <c r="A2680" s="32" t="s">
        <v>106</v>
      </c>
      <c r="B2680" s="32" t="s">
        <v>1858</v>
      </c>
      <c r="C2680" s="32" t="s">
        <v>134</v>
      </c>
      <c r="D2680" s="32" t="s">
        <v>107</v>
      </c>
      <c r="E2680" s="33">
        <v>40</v>
      </c>
      <c r="F2680" s="33">
        <v>10376</v>
      </c>
      <c r="G2680" s="33">
        <v>38</v>
      </c>
      <c r="H2680" s="13">
        <f t="shared" si="41"/>
        <v>259.39999999999998</v>
      </c>
    </row>
    <row r="2681" spans="1:8" hidden="1" outlineLevel="2">
      <c r="A2681" s="32" t="s">
        <v>106</v>
      </c>
      <c r="B2681" s="32" t="s">
        <v>1858</v>
      </c>
      <c r="C2681" s="32" t="s">
        <v>104</v>
      </c>
      <c r="D2681" s="32" t="s">
        <v>107</v>
      </c>
      <c r="E2681" s="33">
        <v>35</v>
      </c>
      <c r="F2681" s="33">
        <v>9000</v>
      </c>
      <c r="G2681" s="33">
        <v>35</v>
      </c>
      <c r="H2681" s="13">
        <f t="shared" si="41"/>
        <v>257.14285714285717</v>
      </c>
    </row>
    <row r="2682" spans="1:8" hidden="1" outlineLevel="2">
      <c r="A2682" s="32" t="s">
        <v>106</v>
      </c>
      <c r="B2682" s="32" t="s">
        <v>1862</v>
      </c>
      <c r="C2682" s="32" t="s">
        <v>99</v>
      </c>
      <c r="D2682" s="32" t="s">
        <v>107</v>
      </c>
      <c r="E2682" s="33">
        <v>30</v>
      </c>
      <c r="F2682" s="33">
        <v>7558</v>
      </c>
      <c r="G2682" s="33">
        <v>30</v>
      </c>
      <c r="H2682" s="13">
        <f t="shared" si="41"/>
        <v>251.93333333333334</v>
      </c>
    </row>
    <row r="2683" spans="1:8" hidden="1" outlineLevel="2">
      <c r="A2683" s="32" t="s">
        <v>106</v>
      </c>
      <c r="B2683" s="32" t="s">
        <v>1858</v>
      </c>
      <c r="C2683" s="32" t="s">
        <v>104</v>
      </c>
      <c r="D2683" s="32" t="s">
        <v>107</v>
      </c>
      <c r="E2683" s="33">
        <v>35</v>
      </c>
      <c r="F2683" s="33">
        <v>8178</v>
      </c>
      <c r="G2683" s="33">
        <v>34</v>
      </c>
      <c r="H2683" s="13">
        <f t="shared" si="41"/>
        <v>233.65714285714284</v>
      </c>
    </row>
    <row r="2684" spans="1:8" hidden="1" outlineLevel="2">
      <c r="A2684" s="32" t="s">
        <v>106</v>
      </c>
      <c r="B2684" s="32" t="s">
        <v>1858</v>
      </c>
      <c r="C2684" s="32" t="s">
        <v>104</v>
      </c>
      <c r="D2684" s="32" t="s">
        <v>107</v>
      </c>
      <c r="E2684" s="33">
        <v>35</v>
      </c>
      <c r="F2684" s="33">
        <v>7749</v>
      </c>
      <c r="G2684" s="33">
        <v>33</v>
      </c>
      <c r="H2684" s="13">
        <f t="shared" si="41"/>
        <v>221.4</v>
      </c>
    </row>
    <row r="2685" spans="1:8" hidden="1" outlineLevel="2">
      <c r="A2685" s="32" t="s">
        <v>106</v>
      </c>
      <c r="B2685" s="32" t="s">
        <v>1862</v>
      </c>
      <c r="C2685" s="32" t="s">
        <v>99</v>
      </c>
      <c r="D2685" s="32" t="s">
        <v>107</v>
      </c>
      <c r="E2685" s="33">
        <v>60</v>
      </c>
      <c r="F2685" s="33">
        <v>13125</v>
      </c>
      <c r="G2685" s="33">
        <v>60</v>
      </c>
      <c r="H2685" s="13">
        <f t="shared" si="41"/>
        <v>218.75</v>
      </c>
    </row>
    <row r="2686" spans="1:8" hidden="1" outlineLevel="2">
      <c r="A2686" s="32" t="s">
        <v>106</v>
      </c>
      <c r="B2686" s="32" t="s">
        <v>1862</v>
      </c>
      <c r="C2686" s="32" t="s">
        <v>99</v>
      </c>
      <c r="D2686" s="32" t="s">
        <v>107</v>
      </c>
      <c r="E2686" s="33">
        <v>60</v>
      </c>
      <c r="F2686" s="33">
        <v>10719</v>
      </c>
      <c r="G2686" s="33">
        <v>60</v>
      </c>
      <c r="H2686" s="13">
        <f t="shared" si="41"/>
        <v>178.65</v>
      </c>
    </row>
    <row r="2687" spans="1:8" hidden="1" outlineLevel="2">
      <c r="A2687" s="32" t="s">
        <v>106</v>
      </c>
      <c r="B2687" s="32" t="s">
        <v>86</v>
      </c>
      <c r="C2687" s="32" t="s">
        <v>110</v>
      </c>
      <c r="D2687" s="32" t="s">
        <v>107</v>
      </c>
      <c r="E2687" s="33">
        <v>70</v>
      </c>
      <c r="F2687" s="33">
        <v>11592</v>
      </c>
      <c r="G2687" s="33">
        <v>70</v>
      </c>
      <c r="H2687" s="13">
        <f t="shared" si="41"/>
        <v>165.6</v>
      </c>
    </row>
    <row r="2688" spans="1:8" hidden="1" outlineLevel="2">
      <c r="A2688" s="32" t="s">
        <v>106</v>
      </c>
      <c r="B2688" s="32" t="s">
        <v>86</v>
      </c>
      <c r="C2688" s="32" t="s">
        <v>110</v>
      </c>
      <c r="D2688" s="32" t="s">
        <v>107</v>
      </c>
      <c r="E2688" s="33">
        <v>80</v>
      </c>
      <c r="F2688" s="33">
        <v>12145</v>
      </c>
      <c r="G2688" s="33">
        <v>79</v>
      </c>
      <c r="H2688" s="13">
        <f t="shared" si="41"/>
        <v>151.8125</v>
      </c>
    </row>
    <row r="2689" spans="1:8" hidden="1" outlineLevel="2">
      <c r="A2689" s="32" t="s">
        <v>106</v>
      </c>
      <c r="B2689" s="32" t="s">
        <v>86</v>
      </c>
      <c r="C2689" s="32" t="s">
        <v>110</v>
      </c>
      <c r="D2689" s="32" t="s">
        <v>107</v>
      </c>
      <c r="E2689" s="33">
        <v>100</v>
      </c>
      <c r="F2689" s="33">
        <v>14148</v>
      </c>
      <c r="G2689" s="33">
        <v>100</v>
      </c>
      <c r="H2689" s="13">
        <f t="shared" si="41"/>
        <v>141.47999999999999</v>
      </c>
    </row>
    <row r="2690" spans="1:8" hidden="1" outlineLevel="2">
      <c r="A2690" s="32" t="s">
        <v>106</v>
      </c>
      <c r="B2690" s="32" t="s">
        <v>86</v>
      </c>
      <c r="C2690" s="32" t="s">
        <v>110</v>
      </c>
      <c r="D2690" s="32" t="s">
        <v>107</v>
      </c>
      <c r="E2690" s="33">
        <v>100</v>
      </c>
      <c r="F2690" s="33">
        <v>13976</v>
      </c>
      <c r="G2690" s="33">
        <v>100</v>
      </c>
      <c r="H2690" s="13">
        <f t="shared" ref="H2690:H2704" si="42">IFERROR(F2690/E2690,"")</f>
        <v>139.76</v>
      </c>
    </row>
    <row r="2691" spans="1:8" hidden="1" outlineLevel="2">
      <c r="A2691" s="32" t="s">
        <v>106</v>
      </c>
      <c r="B2691" s="32" t="s">
        <v>86</v>
      </c>
      <c r="C2691" s="32" t="s">
        <v>110</v>
      </c>
      <c r="D2691" s="32" t="s">
        <v>107</v>
      </c>
      <c r="E2691" s="33">
        <v>80</v>
      </c>
      <c r="F2691" s="33">
        <v>10402</v>
      </c>
      <c r="G2691" s="33">
        <v>80</v>
      </c>
      <c r="H2691" s="13">
        <f t="shared" si="42"/>
        <v>130.02500000000001</v>
      </c>
    </row>
    <row r="2692" spans="1:8" hidden="1" outlineLevel="2">
      <c r="A2692" s="32" t="s">
        <v>106</v>
      </c>
      <c r="B2692" s="32" t="s">
        <v>1858</v>
      </c>
      <c r="C2692" s="32" t="s">
        <v>104</v>
      </c>
      <c r="D2692" s="32" t="s">
        <v>107</v>
      </c>
      <c r="E2692" s="33">
        <v>100</v>
      </c>
      <c r="F2692" s="33">
        <v>12298</v>
      </c>
      <c r="G2692" s="33">
        <v>97</v>
      </c>
      <c r="H2692" s="13">
        <f t="shared" si="42"/>
        <v>122.98</v>
      </c>
    </row>
    <row r="2693" spans="1:8" hidden="1" outlineLevel="2">
      <c r="A2693" s="32" t="s">
        <v>106</v>
      </c>
      <c r="B2693" s="32" t="s">
        <v>1862</v>
      </c>
      <c r="C2693" s="32" t="s">
        <v>99</v>
      </c>
      <c r="D2693" s="32" t="s">
        <v>107</v>
      </c>
      <c r="E2693" s="33">
        <v>60</v>
      </c>
      <c r="F2693" s="33">
        <v>7223</v>
      </c>
      <c r="G2693" s="33">
        <v>60</v>
      </c>
      <c r="H2693" s="13">
        <f t="shared" si="42"/>
        <v>120.38333333333334</v>
      </c>
    </row>
    <row r="2694" spans="1:8" hidden="1" outlineLevel="2">
      <c r="A2694" s="32" t="s">
        <v>106</v>
      </c>
      <c r="B2694" s="32" t="s">
        <v>1858</v>
      </c>
      <c r="C2694" s="32" t="s">
        <v>134</v>
      </c>
      <c r="D2694" s="32" t="s">
        <v>107</v>
      </c>
      <c r="E2694" s="33">
        <v>80</v>
      </c>
      <c r="F2694" s="33">
        <v>7768</v>
      </c>
      <c r="G2694" s="33">
        <v>79</v>
      </c>
      <c r="H2694" s="13">
        <f t="shared" si="42"/>
        <v>97.1</v>
      </c>
    </row>
    <row r="2695" spans="1:8" hidden="1" outlineLevel="2">
      <c r="A2695" s="32" t="s">
        <v>106</v>
      </c>
      <c r="B2695" s="32" t="s">
        <v>86</v>
      </c>
      <c r="C2695" s="32" t="s">
        <v>110</v>
      </c>
      <c r="D2695" s="32" t="s">
        <v>107</v>
      </c>
      <c r="E2695" s="33">
        <v>140</v>
      </c>
      <c r="F2695" s="33">
        <v>9893</v>
      </c>
      <c r="G2695" s="33">
        <v>137</v>
      </c>
      <c r="H2695" s="13">
        <f t="shared" si="42"/>
        <v>70.664285714285711</v>
      </c>
    </row>
    <row r="2696" spans="1:8" hidden="1" outlineLevel="2">
      <c r="A2696" s="32" t="s">
        <v>106</v>
      </c>
      <c r="B2696" s="32" t="s">
        <v>1858</v>
      </c>
      <c r="C2696" s="32" t="s">
        <v>104</v>
      </c>
      <c r="D2696" s="32" t="s">
        <v>107</v>
      </c>
      <c r="E2696" s="33">
        <v>215</v>
      </c>
      <c r="F2696" s="33">
        <v>10624</v>
      </c>
      <c r="G2696" s="33">
        <v>214</v>
      </c>
      <c r="H2696" s="13">
        <f t="shared" si="42"/>
        <v>49.413953488372094</v>
      </c>
    </row>
    <row r="2697" spans="1:8" hidden="1" outlineLevel="2">
      <c r="A2697" s="32" t="s">
        <v>106</v>
      </c>
      <c r="B2697" s="32" t="s">
        <v>86</v>
      </c>
      <c r="C2697" s="32" t="s">
        <v>119</v>
      </c>
      <c r="D2697" s="32" t="s">
        <v>107</v>
      </c>
      <c r="E2697" s="33">
        <v>200</v>
      </c>
      <c r="F2697" s="33">
        <v>9051</v>
      </c>
      <c r="G2697" s="33">
        <v>200</v>
      </c>
      <c r="H2697" s="13">
        <f t="shared" si="42"/>
        <v>45.255000000000003</v>
      </c>
    </row>
    <row r="2698" spans="1:8" hidden="1" outlineLevel="2">
      <c r="A2698" s="32" t="s">
        <v>106</v>
      </c>
      <c r="B2698" s="32" t="s">
        <v>1858</v>
      </c>
      <c r="C2698" s="32" t="s">
        <v>134</v>
      </c>
      <c r="D2698" s="32" t="s">
        <v>107</v>
      </c>
      <c r="E2698" s="33">
        <v>151</v>
      </c>
      <c r="F2698" s="33">
        <v>6559</v>
      </c>
      <c r="G2698" s="33">
        <v>148</v>
      </c>
      <c r="H2698" s="13">
        <f t="shared" si="42"/>
        <v>43.437086092715234</v>
      </c>
    </row>
    <row r="2699" spans="1:8" hidden="1" outlineLevel="2">
      <c r="A2699" s="32" t="s">
        <v>106</v>
      </c>
      <c r="B2699" s="32" t="s">
        <v>1858</v>
      </c>
      <c r="C2699" s="32" t="s">
        <v>134</v>
      </c>
      <c r="D2699" s="32" t="s">
        <v>107</v>
      </c>
      <c r="E2699" s="33">
        <v>285</v>
      </c>
      <c r="F2699" s="33">
        <v>9423</v>
      </c>
      <c r="G2699" s="33">
        <v>283</v>
      </c>
      <c r="H2699" s="13">
        <f t="shared" si="42"/>
        <v>33.06315789473684</v>
      </c>
    </row>
    <row r="2700" spans="1:8" hidden="1" outlineLevel="2">
      <c r="A2700" s="32" t="s">
        <v>106</v>
      </c>
      <c r="B2700" s="32" t="s">
        <v>86</v>
      </c>
      <c r="C2700" s="32" t="s">
        <v>110</v>
      </c>
      <c r="D2700" s="32" t="s">
        <v>107</v>
      </c>
      <c r="E2700" s="33">
        <v>470</v>
      </c>
      <c r="F2700" s="33">
        <v>14440</v>
      </c>
      <c r="G2700" s="33">
        <v>466</v>
      </c>
      <c r="H2700" s="13">
        <f t="shared" si="42"/>
        <v>30.723404255319149</v>
      </c>
    </row>
    <row r="2701" spans="1:8" hidden="1" outlineLevel="2">
      <c r="A2701" s="32" t="s">
        <v>106</v>
      </c>
      <c r="B2701" s="32" t="s">
        <v>86</v>
      </c>
      <c r="C2701" s="32" t="s">
        <v>110</v>
      </c>
      <c r="D2701" s="32" t="s">
        <v>107</v>
      </c>
      <c r="E2701" s="33">
        <v>650</v>
      </c>
      <c r="F2701" s="33">
        <v>15880</v>
      </c>
      <c r="G2701" s="33">
        <v>637</v>
      </c>
      <c r="H2701" s="13">
        <f t="shared" si="42"/>
        <v>24.430769230769229</v>
      </c>
    </row>
    <row r="2702" spans="1:8" hidden="1" outlineLevel="2">
      <c r="A2702" s="32" t="s">
        <v>106</v>
      </c>
      <c r="B2702" s="32" t="s">
        <v>86</v>
      </c>
      <c r="C2702" s="32" t="s">
        <v>119</v>
      </c>
      <c r="D2702" s="32" t="s">
        <v>107</v>
      </c>
      <c r="E2702" s="33">
        <v>1200</v>
      </c>
      <c r="F2702" s="33">
        <v>15253</v>
      </c>
      <c r="G2702" s="33">
        <v>1197</v>
      </c>
      <c r="H2702" s="13">
        <f t="shared" si="42"/>
        <v>12.710833333333333</v>
      </c>
    </row>
    <row r="2703" spans="1:8" outlineLevel="1" collapsed="1">
      <c r="A2703" s="37" t="s">
        <v>1886</v>
      </c>
      <c r="B2703" s="37"/>
      <c r="C2703" s="37"/>
      <c r="D2703" s="37"/>
      <c r="E2703" s="38">
        <f>SUBTOTAL(9,E2668:E2702)</f>
        <v>4621</v>
      </c>
      <c r="F2703" s="38">
        <f>SUBTOTAL(9,F2668:F2702)</f>
        <v>374935</v>
      </c>
      <c r="G2703" s="38">
        <f>SUBTOTAL(9,G2668:G2702)</f>
        <v>4581</v>
      </c>
      <c r="H2703" s="39">
        <f t="shared" si="42"/>
        <v>81.13719974031595</v>
      </c>
    </row>
    <row r="2704" spans="1:8">
      <c r="A2704" s="37" t="s">
        <v>1887</v>
      </c>
      <c r="B2704" s="37"/>
      <c r="C2704" s="37"/>
      <c r="D2704" s="37"/>
      <c r="E2704" s="38">
        <f>SUBTOTAL(9,E2:E2702)</f>
        <v>153229</v>
      </c>
      <c r="F2704" s="38">
        <f>SUBTOTAL(9,F2:F2702)</f>
        <v>4197242</v>
      </c>
      <c r="G2704" s="38">
        <f>SUBTOTAL(9,G2:G2702)</f>
        <v>142597</v>
      </c>
      <c r="H2704" s="39">
        <f t="shared" si="42"/>
        <v>27.391955830815316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272E-A3B2-4BEF-B854-E20C82F87759}">
  <dimension ref="A1:J95"/>
  <sheetViews>
    <sheetView workbookViewId="0">
      <pane ySplit="8" topLeftCell="A9" activePane="bottomLeft" state="frozenSplit"/>
      <selection pane="bottomLeft"/>
    </sheetView>
  </sheetViews>
  <sheetFormatPr baseColWidth="10" defaultRowHeight="15"/>
  <cols>
    <col min="1" max="1" width="27.7109375" customWidth="1"/>
    <col min="2" max="2" width="14.7109375" customWidth="1"/>
    <col min="3" max="3" width="64.7109375" customWidth="1"/>
    <col min="4" max="4" width="8.7109375" customWidth="1"/>
    <col min="5" max="5" width="13.7109375" customWidth="1"/>
    <col min="6" max="6" width="8.7109375" customWidth="1"/>
    <col min="7" max="7" width="14.7109375" customWidth="1"/>
    <col min="8" max="9" width="13.7109375" customWidth="1"/>
  </cols>
  <sheetData>
    <row r="1" spans="1:9" ht="18.75">
      <c r="A1" s="40" t="s">
        <v>1888</v>
      </c>
    </row>
    <row r="2" spans="1:9">
      <c r="A2" s="41" t="s">
        <v>1889</v>
      </c>
    </row>
    <row r="4" spans="1:9">
      <c r="A4" s="34" t="s">
        <v>1890</v>
      </c>
    </row>
    <row r="5" spans="1:9" ht="32.1" customHeight="1">
      <c r="A5" s="35" t="s">
        <v>46</v>
      </c>
    </row>
    <row r="6" spans="1:9">
      <c r="A6" s="42" t="s">
        <v>1891</v>
      </c>
      <c r="B6" s="41" t="s">
        <v>1892</v>
      </c>
    </row>
    <row r="8" spans="1:9" ht="32.1" customHeight="1">
      <c r="A8" s="35" t="s">
        <v>46</v>
      </c>
      <c r="B8" s="35" t="s">
        <v>52</v>
      </c>
      <c r="C8" s="35" t="s">
        <v>4</v>
      </c>
      <c r="D8" s="35" t="s">
        <v>60</v>
      </c>
      <c r="E8" s="35" t="s">
        <v>63</v>
      </c>
      <c r="F8" s="35" t="s">
        <v>66</v>
      </c>
      <c r="G8" s="36" t="s">
        <v>72</v>
      </c>
      <c r="H8" s="36" t="s">
        <v>75</v>
      </c>
      <c r="I8" s="36" t="s">
        <v>77</v>
      </c>
    </row>
    <row r="9" spans="1:9">
      <c r="A9" s="43" t="s">
        <v>97</v>
      </c>
      <c r="B9" s="43" t="s">
        <v>101</v>
      </c>
      <c r="C9" s="43" t="s">
        <v>545</v>
      </c>
      <c r="D9" s="44">
        <v>35</v>
      </c>
      <c r="E9" s="44">
        <v>5981</v>
      </c>
      <c r="F9" s="44">
        <v>35</v>
      </c>
      <c r="G9" s="45">
        <v>170.88571428571427</v>
      </c>
      <c r="H9" s="46">
        <v>1</v>
      </c>
      <c r="I9" s="47" t="s">
        <v>1860</v>
      </c>
    </row>
    <row r="10" spans="1:9">
      <c r="A10" s="43" t="s">
        <v>97</v>
      </c>
      <c r="B10" s="43" t="s">
        <v>22</v>
      </c>
      <c r="C10" s="43" t="s">
        <v>630</v>
      </c>
      <c r="D10" s="44">
        <v>20</v>
      </c>
      <c r="E10" s="44">
        <v>1752</v>
      </c>
      <c r="F10" s="44">
        <v>20</v>
      </c>
      <c r="G10" s="45">
        <v>87.6</v>
      </c>
      <c r="H10" s="46">
        <v>1</v>
      </c>
      <c r="I10" s="47" t="s">
        <v>1860</v>
      </c>
    </row>
    <row r="11" spans="1:9">
      <c r="A11" s="43" t="s">
        <v>97</v>
      </c>
      <c r="B11" s="43" t="s">
        <v>101</v>
      </c>
      <c r="C11" s="43" t="s">
        <v>133</v>
      </c>
      <c r="D11" s="44">
        <v>35</v>
      </c>
      <c r="E11" s="44">
        <v>2902</v>
      </c>
      <c r="F11" s="44">
        <v>34</v>
      </c>
      <c r="G11" s="45">
        <v>82.914285714285711</v>
      </c>
      <c r="H11" s="46">
        <v>0.97142857142857142</v>
      </c>
      <c r="I11" s="47" t="s">
        <v>1860</v>
      </c>
    </row>
    <row r="12" spans="1:9">
      <c r="A12" s="43" t="s">
        <v>97</v>
      </c>
      <c r="B12" s="43" t="s">
        <v>22</v>
      </c>
      <c r="C12" s="43" t="s">
        <v>768</v>
      </c>
      <c r="D12" s="44">
        <v>10</v>
      </c>
      <c r="E12" s="44">
        <v>811</v>
      </c>
      <c r="F12" s="44">
        <v>10</v>
      </c>
      <c r="G12" s="45">
        <v>81.099999999999994</v>
      </c>
      <c r="H12" s="46">
        <v>1</v>
      </c>
      <c r="I12" s="47" t="s">
        <v>1860</v>
      </c>
    </row>
    <row r="13" spans="1:9">
      <c r="A13" s="43" t="s">
        <v>97</v>
      </c>
      <c r="B13" s="43" t="s">
        <v>22</v>
      </c>
      <c r="C13" s="43" t="s">
        <v>708</v>
      </c>
      <c r="D13" s="44">
        <v>35</v>
      </c>
      <c r="E13" s="44">
        <v>2586</v>
      </c>
      <c r="F13" s="44">
        <v>34</v>
      </c>
      <c r="G13" s="45">
        <v>73.885714285714286</v>
      </c>
      <c r="H13" s="46">
        <v>0.97142857142857142</v>
      </c>
      <c r="I13" s="47" t="s">
        <v>1860</v>
      </c>
    </row>
    <row r="14" spans="1:9">
      <c r="A14" s="43" t="s">
        <v>259</v>
      </c>
      <c r="B14" s="43" t="s">
        <v>1238</v>
      </c>
      <c r="C14" s="43" t="s">
        <v>1811</v>
      </c>
      <c r="D14" s="44">
        <v>24</v>
      </c>
      <c r="E14" s="44">
        <v>1542</v>
      </c>
      <c r="F14" s="44">
        <v>23</v>
      </c>
      <c r="G14" s="45">
        <v>64.25</v>
      </c>
      <c r="H14" s="46">
        <v>0.95833333333333337</v>
      </c>
      <c r="I14" s="47" t="s">
        <v>1860</v>
      </c>
    </row>
    <row r="15" spans="1:9">
      <c r="A15" s="43" t="s">
        <v>259</v>
      </c>
      <c r="B15" s="43" t="s">
        <v>22</v>
      </c>
      <c r="C15" s="43" t="s">
        <v>260</v>
      </c>
      <c r="D15" s="44">
        <v>24</v>
      </c>
      <c r="E15" s="44">
        <v>1513</v>
      </c>
      <c r="F15" s="44">
        <v>24</v>
      </c>
      <c r="G15" s="45">
        <v>63.041666666666664</v>
      </c>
      <c r="H15" s="46">
        <v>1</v>
      </c>
      <c r="I15" s="47" t="s">
        <v>1860</v>
      </c>
    </row>
    <row r="16" spans="1:9">
      <c r="A16" s="43" t="s">
        <v>97</v>
      </c>
      <c r="B16" s="43" t="s">
        <v>101</v>
      </c>
      <c r="C16" s="43" t="s">
        <v>346</v>
      </c>
      <c r="D16" s="44">
        <v>35</v>
      </c>
      <c r="E16" s="44">
        <v>1839</v>
      </c>
      <c r="F16" s="44">
        <v>35</v>
      </c>
      <c r="G16" s="45">
        <v>52.542857142857144</v>
      </c>
      <c r="H16" s="46">
        <v>1</v>
      </c>
      <c r="I16" s="47" t="s">
        <v>1860</v>
      </c>
    </row>
    <row r="17" spans="1:9">
      <c r="A17" s="43" t="s">
        <v>97</v>
      </c>
      <c r="B17" s="43" t="s">
        <v>22</v>
      </c>
      <c r="C17" s="43" t="s">
        <v>327</v>
      </c>
      <c r="D17" s="44">
        <v>50</v>
      </c>
      <c r="E17" s="44">
        <v>2517</v>
      </c>
      <c r="F17" s="44">
        <v>49</v>
      </c>
      <c r="G17" s="45">
        <v>50.34</v>
      </c>
      <c r="H17" s="46">
        <v>0.98</v>
      </c>
      <c r="I17" s="47" t="s">
        <v>1860</v>
      </c>
    </row>
    <row r="18" spans="1:9">
      <c r="A18" s="43" t="s">
        <v>97</v>
      </c>
      <c r="B18" s="43" t="s">
        <v>22</v>
      </c>
      <c r="C18" s="43" t="s">
        <v>447</v>
      </c>
      <c r="D18" s="44">
        <v>130</v>
      </c>
      <c r="E18" s="44">
        <v>6508</v>
      </c>
      <c r="F18" s="44">
        <v>131</v>
      </c>
      <c r="G18" s="45">
        <v>50.061538461538461</v>
      </c>
      <c r="H18" s="46">
        <v>1.0076923076923077</v>
      </c>
      <c r="I18" s="47" t="s">
        <v>1860</v>
      </c>
    </row>
    <row r="19" spans="1:9">
      <c r="A19" s="43" t="s">
        <v>97</v>
      </c>
      <c r="B19" s="43" t="s">
        <v>22</v>
      </c>
      <c r="C19" s="43" t="s">
        <v>490</v>
      </c>
      <c r="D19" s="44">
        <v>25</v>
      </c>
      <c r="E19" s="44">
        <v>1243</v>
      </c>
      <c r="F19" s="44">
        <v>25</v>
      </c>
      <c r="G19" s="45">
        <v>49.72</v>
      </c>
      <c r="H19" s="46">
        <v>1</v>
      </c>
      <c r="I19" s="47" t="s">
        <v>1860</v>
      </c>
    </row>
    <row r="20" spans="1:9">
      <c r="A20" s="43" t="s">
        <v>97</v>
      </c>
      <c r="B20" s="43" t="s">
        <v>22</v>
      </c>
      <c r="C20" s="43" t="s">
        <v>346</v>
      </c>
      <c r="D20" s="44">
        <v>35</v>
      </c>
      <c r="E20" s="44">
        <v>1482</v>
      </c>
      <c r="F20" s="44">
        <v>35</v>
      </c>
      <c r="G20" s="45">
        <v>42.342857142857142</v>
      </c>
      <c r="H20" s="46">
        <v>1</v>
      </c>
      <c r="I20" s="47" t="s">
        <v>1860</v>
      </c>
    </row>
    <row r="21" spans="1:9">
      <c r="A21" s="43" t="s">
        <v>97</v>
      </c>
      <c r="B21" s="43" t="s">
        <v>22</v>
      </c>
      <c r="C21" s="43" t="s">
        <v>710</v>
      </c>
      <c r="D21" s="44">
        <v>10</v>
      </c>
      <c r="E21" s="44">
        <v>369</v>
      </c>
      <c r="F21" s="44">
        <v>10</v>
      </c>
      <c r="G21" s="45">
        <v>36.9</v>
      </c>
      <c r="H21" s="46">
        <v>1</v>
      </c>
      <c r="I21" s="47" t="s">
        <v>1859</v>
      </c>
    </row>
    <row r="22" spans="1:9">
      <c r="A22" s="43" t="s">
        <v>97</v>
      </c>
      <c r="B22" s="43" t="s">
        <v>22</v>
      </c>
      <c r="C22" s="43" t="s">
        <v>767</v>
      </c>
      <c r="D22" s="44">
        <v>35</v>
      </c>
      <c r="E22" s="44">
        <v>1256</v>
      </c>
      <c r="F22" s="44">
        <v>33</v>
      </c>
      <c r="G22" s="45">
        <v>35.885714285714286</v>
      </c>
      <c r="H22" s="46">
        <v>0.94285714285714284</v>
      </c>
      <c r="I22" s="47" t="s">
        <v>1859</v>
      </c>
    </row>
    <row r="23" spans="1:9">
      <c r="A23" s="43" t="s">
        <v>97</v>
      </c>
      <c r="B23" s="43" t="s">
        <v>22</v>
      </c>
      <c r="C23" s="43" t="s">
        <v>425</v>
      </c>
      <c r="D23" s="44">
        <v>30</v>
      </c>
      <c r="E23" s="44">
        <v>994</v>
      </c>
      <c r="F23" s="44">
        <v>30</v>
      </c>
      <c r="G23" s="45">
        <v>33.133333333333333</v>
      </c>
      <c r="H23" s="46">
        <v>1</v>
      </c>
      <c r="I23" s="47" t="s">
        <v>1859</v>
      </c>
    </row>
    <row r="24" spans="1:9">
      <c r="A24" s="43" t="s">
        <v>97</v>
      </c>
      <c r="B24" s="43" t="s">
        <v>22</v>
      </c>
      <c r="C24" s="43" t="s">
        <v>743</v>
      </c>
      <c r="D24" s="44">
        <v>90</v>
      </c>
      <c r="E24" s="44">
        <v>2925</v>
      </c>
      <c r="F24" s="44">
        <v>88</v>
      </c>
      <c r="G24" s="45">
        <v>32.5</v>
      </c>
      <c r="H24" s="46">
        <v>0.97777777777777775</v>
      </c>
      <c r="I24" s="47" t="s">
        <v>1859</v>
      </c>
    </row>
    <row r="25" spans="1:9">
      <c r="A25" s="43" t="s">
        <v>97</v>
      </c>
      <c r="B25" s="43" t="s">
        <v>22</v>
      </c>
      <c r="C25" s="43" t="s">
        <v>98</v>
      </c>
      <c r="D25" s="44">
        <v>35</v>
      </c>
      <c r="E25" s="44">
        <v>1103</v>
      </c>
      <c r="F25" s="44">
        <v>35</v>
      </c>
      <c r="G25" s="45">
        <v>31.514285714285716</v>
      </c>
      <c r="H25" s="46">
        <v>1</v>
      </c>
      <c r="I25" s="47" t="s">
        <v>1859</v>
      </c>
    </row>
    <row r="26" spans="1:9">
      <c r="A26" s="43" t="s">
        <v>97</v>
      </c>
      <c r="B26" s="43" t="s">
        <v>22</v>
      </c>
      <c r="C26" s="43" t="s">
        <v>661</v>
      </c>
      <c r="D26" s="44">
        <v>10</v>
      </c>
      <c r="E26" s="44">
        <v>283</v>
      </c>
      <c r="F26" s="44">
        <v>9</v>
      </c>
      <c r="G26" s="45">
        <v>28.3</v>
      </c>
      <c r="H26" s="46">
        <v>0.9</v>
      </c>
      <c r="I26" s="47" t="s">
        <v>1859</v>
      </c>
    </row>
    <row r="27" spans="1:9">
      <c r="A27" s="43" t="s">
        <v>97</v>
      </c>
      <c r="B27" s="43" t="s">
        <v>22</v>
      </c>
      <c r="C27" s="43" t="s">
        <v>253</v>
      </c>
      <c r="D27" s="44">
        <v>285</v>
      </c>
      <c r="E27" s="44">
        <v>7876</v>
      </c>
      <c r="F27" s="44">
        <v>284</v>
      </c>
      <c r="G27" s="45">
        <v>27.635087719298244</v>
      </c>
      <c r="H27" s="46">
        <v>0.99649122807017543</v>
      </c>
      <c r="I27" s="47" t="s">
        <v>1859</v>
      </c>
    </row>
    <row r="28" spans="1:9">
      <c r="A28" s="43" t="s">
        <v>97</v>
      </c>
      <c r="B28" s="43" t="s">
        <v>22</v>
      </c>
      <c r="C28" s="43" t="s">
        <v>472</v>
      </c>
      <c r="D28" s="44">
        <v>10</v>
      </c>
      <c r="E28" s="44">
        <v>274</v>
      </c>
      <c r="F28" s="44">
        <v>10</v>
      </c>
      <c r="G28" s="45">
        <v>27.4</v>
      </c>
      <c r="H28" s="46">
        <v>1</v>
      </c>
      <c r="I28" s="47" t="s">
        <v>1859</v>
      </c>
    </row>
    <row r="29" spans="1:9">
      <c r="A29" s="43" t="s">
        <v>97</v>
      </c>
      <c r="B29" s="43" t="s">
        <v>22</v>
      </c>
      <c r="C29" s="43" t="s">
        <v>202</v>
      </c>
      <c r="D29" s="44">
        <v>430</v>
      </c>
      <c r="E29" s="44">
        <v>11740</v>
      </c>
      <c r="F29" s="44">
        <v>424</v>
      </c>
      <c r="G29" s="45">
        <v>27.302325581395348</v>
      </c>
      <c r="H29" s="46">
        <v>0.98604651162790702</v>
      </c>
      <c r="I29" s="47" t="s">
        <v>1859</v>
      </c>
    </row>
    <row r="30" spans="1:9">
      <c r="A30" s="43" t="s">
        <v>97</v>
      </c>
      <c r="B30" s="43" t="s">
        <v>22</v>
      </c>
      <c r="C30" s="43" t="s">
        <v>328</v>
      </c>
      <c r="D30" s="44">
        <v>20</v>
      </c>
      <c r="E30" s="44">
        <v>537</v>
      </c>
      <c r="F30" s="44">
        <v>19</v>
      </c>
      <c r="G30" s="45">
        <v>26.85</v>
      </c>
      <c r="H30" s="46">
        <v>0.95</v>
      </c>
      <c r="I30" s="47" t="s">
        <v>1859</v>
      </c>
    </row>
    <row r="31" spans="1:9">
      <c r="A31" s="43" t="s">
        <v>97</v>
      </c>
      <c r="B31" s="43" t="s">
        <v>22</v>
      </c>
      <c r="C31" s="43" t="s">
        <v>659</v>
      </c>
      <c r="D31" s="44">
        <v>105</v>
      </c>
      <c r="E31" s="44">
        <v>2810</v>
      </c>
      <c r="F31" s="44">
        <v>103</v>
      </c>
      <c r="G31" s="45">
        <v>26.761904761904763</v>
      </c>
      <c r="H31" s="46">
        <v>0.98095238095238091</v>
      </c>
      <c r="I31" s="47" t="s">
        <v>1859</v>
      </c>
    </row>
    <row r="32" spans="1:9">
      <c r="A32" s="43" t="s">
        <v>97</v>
      </c>
      <c r="B32" s="43" t="s">
        <v>22</v>
      </c>
      <c r="C32" s="43" t="s">
        <v>545</v>
      </c>
      <c r="D32" s="44">
        <v>560</v>
      </c>
      <c r="E32" s="44">
        <v>14871</v>
      </c>
      <c r="F32" s="44">
        <v>559</v>
      </c>
      <c r="G32" s="45">
        <v>26.555357142857144</v>
      </c>
      <c r="H32" s="46">
        <v>0.99821428571428572</v>
      </c>
      <c r="I32" s="47" t="s">
        <v>1859</v>
      </c>
    </row>
    <row r="33" spans="1:9">
      <c r="A33" s="43" t="s">
        <v>97</v>
      </c>
      <c r="B33" s="43" t="s">
        <v>22</v>
      </c>
      <c r="C33" s="43" t="s">
        <v>324</v>
      </c>
      <c r="D33" s="44">
        <v>15</v>
      </c>
      <c r="E33" s="44">
        <v>391</v>
      </c>
      <c r="F33" s="44">
        <v>15</v>
      </c>
      <c r="G33" s="45">
        <v>26.066666666666666</v>
      </c>
      <c r="H33" s="46">
        <v>1</v>
      </c>
      <c r="I33" s="47" t="s">
        <v>1859</v>
      </c>
    </row>
    <row r="34" spans="1:9">
      <c r="A34" s="43" t="s">
        <v>97</v>
      </c>
      <c r="B34" s="43" t="s">
        <v>22</v>
      </c>
      <c r="C34" s="43" t="s">
        <v>323</v>
      </c>
      <c r="D34" s="44">
        <v>15</v>
      </c>
      <c r="E34" s="44">
        <v>382</v>
      </c>
      <c r="F34" s="44">
        <v>15</v>
      </c>
      <c r="G34" s="45">
        <v>25.466666666666665</v>
      </c>
      <c r="H34" s="46">
        <v>1</v>
      </c>
      <c r="I34" s="47" t="s">
        <v>1859</v>
      </c>
    </row>
    <row r="35" spans="1:9">
      <c r="A35" s="43" t="s">
        <v>97</v>
      </c>
      <c r="B35" s="43" t="s">
        <v>22</v>
      </c>
      <c r="C35" s="43" t="s">
        <v>643</v>
      </c>
      <c r="D35" s="44">
        <v>21</v>
      </c>
      <c r="E35" s="44">
        <v>505</v>
      </c>
      <c r="F35" s="44">
        <v>21</v>
      </c>
      <c r="G35" s="45">
        <v>24.047619047619047</v>
      </c>
      <c r="H35" s="46">
        <v>1</v>
      </c>
      <c r="I35" s="47" t="s">
        <v>1859</v>
      </c>
    </row>
    <row r="36" spans="1:9">
      <c r="A36" s="43" t="s">
        <v>97</v>
      </c>
      <c r="B36" s="43" t="s">
        <v>22</v>
      </c>
      <c r="C36" s="43" t="s">
        <v>588</v>
      </c>
      <c r="D36" s="44">
        <v>10</v>
      </c>
      <c r="E36" s="44">
        <v>233</v>
      </c>
      <c r="F36" s="44">
        <v>10</v>
      </c>
      <c r="G36" s="45">
        <v>23.3</v>
      </c>
      <c r="H36" s="46">
        <v>1</v>
      </c>
      <c r="I36" s="47" t="s">
        <v>1859</v>
      </c>
    </row>
    <row r="37" spans="1:9">
      <c r="A37" s="43" t="s">
        <v>97</v>
      </c>
      <c r="B37" s="43" t="s">
        <v>22</v>
      </c>
      <c r="C37" s="43" t="s">
        <v>331</v>
      </c>
      <c r="D37" s="44">
        <v>35</v>
      </c>
      <c r="E37" s="44">
        <v>799</v>
      </c>
      <c r="F37" s="44">
        <v>33</v>
      </c>
      <c r="G37" s="45">
        <v>22.828571428571429</v>
      </c>
      <c r="H37" s="46">
        <v>0.94285714285714284</v>
      </c>
      <c r="I37" s="47" t="s">
        <v>1859</v>
      </c>
    </row>
    <row r="38" spans="1:9">
      <c r="A38" s="43" t="s">
        <v>97</v>
      </c>
      <c r="B38" s="43" t="s">
        <v>22</v>
      </c>
      <c r="C38" s="43" t="s">
        <v>325</v>
      </c>
      <c r="D38" s="44">
        <v>30</v>
      </c>
      <c r="E38" s="44">
        <v>669</v>
      </c>
      <c r="F38" s="44">
        <v>30</v>
      </c>
      <c r="G38" s="45">
        <v>22.3</v>
      </c>
      <c r="H38" s="46">
        <v>1</v>
      </c>
      <c r="I38" s="47" t="s">
        <v>1859</v>
      </c>
    </row>
    <row r="39" spans="1:9">
      <c r="A39" s="43" t="s">
        <v>97</v>
      </c>
      <c r="B39" s="43" t="s">
        <v>22</v>
      </c>
      <c r="C39" s="43" t="s">
        <v>642</v>
      </c>
      <c r="D39" s="44">
        <v>112</v>
      </c>
      <c r="E39" s="44">
        <v>2490</v>
      </c>
      <c r="F39" s="44">
        <v>110</v>
      </c>
      <c r="G39" s="45">
        <v>22.232142857142858</v>
      </c>
      <c r="H39" s="46">
        <v>0.9821428571428571</v>
      </c>
      <c r="I39" s="47" t="s">
        <v>1859</v>
      </c>
    </row>
    <row r="40" spans="1:9">
      <c r="A40" s="43" t="s">
        <v>97</v>
      </c>
      <c r="B40" s="43" t="s">
        <v>22</v>
      </c>
      <c r="C40" s="43" t="s">
        <v>103</v>
      </c>
      <c r="D40" s="44">
        <v>30</v>
      </c>
      <c r="E40" s="44">
        <v>663</v>
      </c>
      <c r="F40" s="44">
        <v>29</v>
      </c>
      <c r="G40" s="45">
        <v>22.1</v>
      </c>
      <c r="H40" s="46">
        <v>0.96666666666666667</v>
      </c>
      <c r="I40" s="47" t="s">
        <v>1859</v>
      </c>
    </row>
    <row r="41" spans="1:9">
      <c r="A41" s="43" t="s">
        <v>97</v>
      </c>
      <c r="B41" s="43" t="s">
        <v>22</v>
      </c>
      <c r="C41" s="43" t="s">
        <v>716</v>
      </c>
      <c r="D41" s="44">
        <v>30</v>
      </c>
      <c r="E41" s="44">
        <v>656</v>
      </c>
      <c r="F41" s="44">
        <v>30</v>
      </c>
      <c r="G41" s="45">
        <v>21.866666666666667</v>
      </c>
      <c r="H41" s="46">
        <v>1</v>
      </c>
      <c r="I41" s="47" t="s">
        <v>1859</v>
      </c>
    </row>
    <row r="42" spans="1:9">
      <c r="A42" s="43" t="s">
        <v>97</v>
      </c>
      <c r="B42" s="43" t="s">
        <v>22</v>
      </c>
      <c r="C42" s="43" t="s">
        <v>709</v>
      </c>
      <c r="D42" s="44">
        <v>25</v>
      </c>
      <c r="E42" s="44">
        <v>527</v>
      </c>
      <c r="F42" s="44">
        <v>24</v>
      </c>
      <c r="G42" s="45">
        <v>21.08</v>
      </c>
      <c r="H42" s="46">
        <v>0.96</v>
      </c>
      <c r="I42" s="47" t="s">
        <v>1859</v>
      </c>
    </row>
    <row r="43" spans="1:9">
      <c r="A43" s="43" t="s">
        <v>97</v>
      </c>
      <c r="B43" s="43" t="s">
        <v>22</v>
      </c>
      <c r="C43" s="43" t="s">
        <v>145</v>
      </c>
      <c r="D43" s="44">
        <v>30</v>
      </c>
      <c r="E43" s="44">
        <v>629</v>
      </c>
      <c r="F43" s="44">
        <v>29</v>
      </c>
      <c r="G43" s="45">
        <v>20.966666666666665</v>
      </c>
      <c r="H43" s="46">
        <v>0.96666666666666667</v>
      </c>
      <c r="I43" s="47" t="s">
        <v>1859</v>
      </c>
    </row>
    <row r="44" spans="1:9">
      <c r="A44" s="43" t="s">
        <v>97</v>
      </c>
      <c r="B44" s="43" t="s">
        <v>22</v>
      </c>
      <c r="C44" s="43" t="s">
        <v>490</v>
      </c>
      <c r="D44" s="44">
        <v>115</v>
      </c>
      <c r="E44" s="44">
        <v>2397</v>
      </c>
      <c r="F44" s="44">
        <v>113</v>
      </c>
      <c r="G44" s="45">
        <v>20.843478260869563</v>
      </c>
      <c r="H44" s="46">
        <v>0.9826086956521739</v>
      </c>
      <c r="I44" s="47" t="s">
        <v>1859</v>
      </c>
    </row>
    <row r="45" spans="1:9">
      <c r="A45" s="43" t="s">
        <v>97</v>
      </c>
      <c r="B45" s="43" t="s">
        <v>22</v>
      </c>
      <c r="C45" s="43" t="s">
        <v>609</v>
      </c>
      <c r="D45" s="44">
        <v>30</v>
      </c>
      <c r="E45" s="44">
        <v>625</v>
      </c>
      <c r="F45" s="44">
        <v>30</v>
      </c>
      <c r="G45" s="45">
        <v>20.833333333333332</v>
      </c>
      <c r="H45" s="46">
        <v>1</v>
      </c>
      <c r="I45" s="47" t="s">
        <v>1859</v>
      </c>
    </row>
    <row r="46" spans="1:9">
      <c r="A46" s="43" t="s">
        <v>97</v>
      </c>
      <c r="B46" s="43" t="s">
        <v>22</v>
      </c>
      <c r="C46" s="43" t="s">
        <v>610</v>
      </c>
      <c r="D46" s="44">
        <v>60</v>
      </c>
      <c r="E46" s="44">
        <v>1224</v>
      </c>
      <c r="F46" s="44">
        <v>60</v>
      </c>
      <c r="G46" s="45">
        <v>20.399999999999999</v>
      </c>
      <c r="H46" s="46">
        <v>1</v>
      </c>
      <c r="I46" s="47" t="s">
        <v>1859</v>
      </c>
    </row>
    <row r="47" spans="1:9">
      <c r="A47" s="43" t="s">
        <v>97</v>
      </c>
      <c r="B47" s="43" t="s">
        <v>22</v>
      </c>
      <c r="C47" s="43" t="s">
        <v>353</v>
      </c>
      <c r="D47" s="44">
        <v>60</v>
      </c>
      <c r="E47" s="44">
        <v>1171</v>
      </c>
      <c r="F47" s="44">
        <v>60</v>
      </c>
      <c r="G47" s="45">
        <v>19.516666666666666</v>
      </c>
      <c r="H47" s="46">
        <v>1</v>
      </c>
      <c r="I47" s="47" t="s">
        <v>1857</v>
      </c>
    </row>
    <row r="48" spans="1:9">
      <c r="A48" s="43" t="s">
        <v>97</v>
      </c>
      <c r="B48" s="43" t="s">
        <v>22</v>
      </c>
      <c r="C48" s="43" t="s">
        <v>587</v>
      </c>
      <c r="D48" s="44">
        <v>10</v>
      </c>
      <c r="E48" s="44">
        <v>195</v>
      </c>
      <c r="F48" s="44">
        <v>9</v>
      </c>
      <c r="G48" s="45">
        <v>19.5</v>
      </c>
      <c r="H48" s="46">
        <v>0.9</v>
      </c>
      <c r="I48" s="47" t="s">
        <v>1857</v>
      </c>
    </row>
    <row r="49" spans="1:10">
      <c r="A49" s="48" t="s">
        <v>97</v>
      </c>
      <c r="B49" s="48" t="s">
        <v>22</v>
      </c>
      <c r="C49" s="48" t="s">
        <v>427</v>
      </c>
      <c r="D49" s="49">
        <v>70</v>
      </c>
      <c r="E49" s="49">
        <v>1342</v>
      </c>
      <c r="F49" s="49">
        <v>69</v>
      </c>
      <c r="G49" s="50">
        <v>19.171428571428571</v>
      </c>
      <c r="H49" s="51">
        <v>0.98571428571428577</v>
      </c>
      <c r="I49" s="52" t="s">
        <v>1857</v>
      </c>
      <c r="J49" s="53" t="s">
        <v>1894</v>
      </c>
    </row>
    <row r="50" spans="1:10">
      <c r="A50" s="43" t="s">
        <v>97</v>
      </c>
      <c r="B50" s="43" t="s">
        <v>22</v>
      </c>
      <c r="C50" s="43" t="s">
        <v>415</v>
      </c>
      <c r="D50" s="44">
        <v>15</v>
      </c>
      <c r="E50" s="44">
        <v>271</v>
      </c>
      <c r="F50" s="44">
        <v>15</v>
      </c>
      <c r="G50" s="45">
        <v>18.066666666666666</v>
      </c>
      <c r="H50" s="46">
        <v>1</v>
      </c>
      <c r="I50" s="47" t="s">
        <v>1857</v>
      </c>
    </row>
    <row r="51" spans="1:10">
      <c r="A51" s="43" t="s">
        <v>97</v>
      </c>
      <c r="B51" s="43" t="s">
        <v>22</v>
      </c>
      <c r="C51" s="43" t="s">
        <v>574</v>
      </c>
      <c r="D51" s="44">
        <v>90</v>
      </c>
      <c r="E51" s="44">
        <v>1602</v>
      </c>
      <c r="F51" s="44">
        <v>87</v>
      </c>
      <c r="G51" s="45">
        <v>17.8</v>
      </c>
      <c r="H51" s="46">
        <v>0.96666666666666667</v>
      </c>
      <c r="I51" s="47" t="s">
        <v>1857</v>
      </c>
    </row>
    <row r="52" spans="1:10">
      <c r="A52" s="43" t="s">
        <v>97</v>
      </c>
      <c r="B52" s="43" t="s">
        <v>22</v>
      </c>
      <c r="C52" s="43" t="s">
        <v>761</v>
      </c>
      <c r="D52" s="44">
        <v>15</v>
      </c>
      <c r="E52" s="44">
        <v>254</v>
      </c>
      <c r="F52" s="44">
        <v>16</v>
      </c>
      <c r="G52" s="45">
        <v>16.933333333333334</v>
      </c>
      <c r="H52" s="46">
        <v>1.0666666666666667</v>
      </c>
      <c r="I52" s="47" t="s">
        <v>1857</v>
      </c>
    </row>
    <row r="53" spans="1:10">
      <c r="A53" s="43" t="s">
        <v>97</v>
      </c>
      <c r="B53" s="43" t="s">
        <v>22</v>
      </c>
      <c r="C53" s="43" t="s">
        <v>164</v>
      </c>
      <c r="D53" s="44">
        <v>778</v>
      </c>
      <c r="E53" s="44">
        <v>13114</v>
      </c>
      <c r="F53" s="44">
        <v>778</v>
      </c>
      <c r="G53" s="45">
        <v>16.8560411311054</v>
      </c>
      <c r="H53" s="46">
        <v>1</v>
      </c>
      <c r="I53" s="47" t="s">
        <v>1857</v>
      </c>
    </row>
    <row r="54" spans="1:10">
      <c r="A54" s="43" t="s">
        <v>97</v>
      </c>
      <c r="B54" s="43" t="s">
        <v>22</v>
      </c>
      <c r="C54" s="43" t="s">
        <v>625</v>
      </c>
      <c r="D54" s="44">
        <v>30</v>
      </c>
      <c r="E54" s="44">
        <v>499</v>
      </c>
      <c r="F54" s="44">
        <v>30</v>
      </c>
      <c r="G54" s="45">
        <v>16.633333333333333</v>
      </c>
      <c r="H54" s="46">
        <v>1</v>
      </c>
      <c r="I54" s="47" t="s">
        <v>1857</v>
      </c>
    </row>
    <row r="55" spans="1:10">
      <c r="A55" s="43" t="s">
        <v>97</v>
      </c>
      <c r="B55" s="43" t="s">
        <v>22</v>
      </c>
      <c r="C55" s="43" t="s">
        <v>165</v>
      </c>
      <c r="D55" s="44">
        <v>92</v>
      </c>
      <c r="E55" s="44">
        <v>1518</v>
      </c>
      <c r="F55" s="44">
        <v>90</v>
      </c>
      <c r="G55" s="45">
        <v>16.5</v>
      </c>
      <c r="H55" s="46">
        <v>0.97826086956521741</v>
      </c>
      <c r="I55" s="47" t="s">
        <v>1857</v>
      </c>
    </row>
    <row r="56" spans="1:10">
      <c r="A56" s="43" t="s">
        <v>97</v>
      </c>
      <c r="B56" s="43" t="s">
        <v>22</v>
      </c>
      <c r="C56" s="43" t="s">
        <v>296</v>
      </c>
      <c r="D56" s="44">
        <v>170</v>
      </c>
      <c r="E56" s="44">
        <v>2804</v>
      </c>
      <c r="F56" s="44">
        <v>168</v>
      </c>
      <c r="G56" s="45">
        <v>16.494117647058822</v>
      </c>
      <c r="H56" s="46">
        <v>0.9882352941176471</v>
      </c>
      <c r="I56" s="47" t="s">
        <v>1857</v>
      </c>
    </row>
    <row r="57" spans="1:10">
      <c r="A57" s="43" t="s">
        <v>97</v>
      </c>
      <c r="B57" s="43" t="s">
        <v>22</v>
      </c>
      <c r="C57" s="43" t="s">
        <v>133</v>
      </c>
      <c r="D57" s="44">
        <v>390</v>
      </c>
      <c r="E57" s="44">
        <v>6233</v>
      </c>
      <c r="F57" s="44">
        <v>389</v>
      </c>
      <c r="G57" s="45">
        <v>15.982051282051282</v>
      </c>
      <c r="H57" s="46">
        <v>0.99743589743589745</v>
      </c>
      <c r="I57" s="47" t="s">
        <v>1857</v>
      </c>
    </row>
    <row r="58" spans="1:10">
      <c r="A58" s="43" t="s">
        <v>97</v>
      </c>
      <c r="B58" s="43" t="s">
        <v>22</v>
      </c>
      <c r="C58" s="43" t="s">
        <v>543</v>
      </c>
      <c r="D58" s="44">
        <v>35</v>
      </c>
      <c r="E58" s="44">
        <v>526</v>
      </c>
      <c r="F58" s="44">
        <v>35</v>
      </c>
      <c r="G58" s="45">
        <v>15.028571428571428</v>
      </c>
      <c r="H58" s="46">
        <v>1</v>
      </c>
      <c r="I58" s="47" t="s">
        <v>1857</v>
      </c>
    </row>
    <row r="59" spans="1:10">
      <c r="A59" s="43" t="s">
        <v>97</v>
      </c>
      <c r="B59" s="43" t="s">
        <v>22</v>
      </c>
      <c r="C59" s="43" t="s">
        <v>481</v>
      </c>
      <c r="D59" s="44">
        <v>80</v>
      </c>
      <c r="E59" s="44">
        <v>1176</v>
      </c>
      <c r="F59" s="44">
        <v>79</v>
      </c>
      <c r="G59" s="45">
        <v>14.7</v>
      </c>
      <c r="H59" s="46">
        <v>0.98750000000000004</v>
      </c>
      <c r="I59" s="47" t="s">
        <v>1857</v>
      </c>
    </row>
    <row r="60" spans="1:10">
      <c r="A60" s="43" t="s">
        <v>97</v>
      </c>
      <c r="B60" s="43" t="s">
        <v>22</v>
      </c>
      <c r="C60" s="43" t="s">
        <v>660</v>
      </c>
      <c r="D60" s="44">
        <v>30</v>
      </c>
      <c r="E60" s="44">
        <v>432</v>
      </c>
      <c r="F60" s="44">
        <v>29</v>
      </c>
      <c r="G60" s="45">
        <v>14.4</v>
      </c>
      <c r="H60" s="46">
        <v>0.96666666666666667</v>
      </c>
      <c r="I60" s="47" t="s">
        <v>1857</v>
      </c>
    </row>
    <row r="61" spans="1:10">
      <c r="A61" s="43" t="s">
        <v>97</v>
      </c>
      <c r="B61" s="43" t="s">
        <v>22</v>
      </c>
      <c r="C61" s="43" t="s">
        <v>769</v>
      </c>
      <c r="D61" s="44">
        <v>10</v>
      </c>
      <c r="E61" s="44">
        <v>143</v>
      </c>
      <c r="F61" s="44">
        <v>10</v>
      </c>
      <c r="G61" s="45">
        <v>14.3</v>
      </c>
      <c r="H61" s="46">
        <v>1</v>
      </c>
      <c r="I61" s="47" t="s">
        <v>1857</v>
      </c>
    </row>
    <row r="62" spans="1:10">
      <c r="A62" s="43" t="s">
        <v>97</v>
      </c>
      <c r="B62" s="43" t="s">
        <v>22</v>
      </c>
      <c r="C62" s="43" t="s">
        <v>648</v>
      </c>
      <c r="D62" s="44">
        <v>25</v>
      </c>
      <c r="E62" s="44">
        <v>315</v>
      </c>
      <c r="F62" s="44">
        <v>24</v>
      </c>
      <c r="G62" s="45">
        <v>12.6</v>
      </c>
      <c r="H62" s="46">
        <v>0.96</v>
      </c>
      <c r="I62" s="47" t="s">
        <v>1857</v>
      </c>
    </row>
    <row r="63" spans="1:10">
      <c r="A63" s="43" t="s">
        <v>97</v>
      </c>
      <c r="B63" s="43" t="s">
        <v>22</v>
      </c>
      <c r="C63" s="43" t="s">
        <v>629</v>
      </c>
      <c r="D63" s="44">
        <v>60</v>
      </c>
      <c r="E63" s="44">
        <v>753</v>
      </c>
      <c r="F63" s="44">
        <v>59</v>
      </c>
      <c r="G63" s="45">
        <v>12.55</v>
      </c>
      <c r="H63" s="46">
        <v>0.98333333333333328</v>
      </c>
      <c r="I63" s="47" t="s">
        <v>1857</v>
      </c>
    </row>
    <row r="64" spans="1:10">
      <c r="A64" s="43" t="s">
        <v>97</v>
      </c>
      <c r="B64" s="43" t="s">
        <v>22</v>
      </c>
      <c r="C64" s="43" t="s">
        <v>426</v>
      </c>
      <c r="D64" s="44">
        <v>170</v>
      </c>
      <c r="E64" s="44">
        <v>2069</v>
      </c>
      <c r="F64" s="44">
        <v>169</v>
      </c>
      <c r="G64" s="45">
        <v>12.170588235294117</v>
      </c>
      <c r="H64" s="46">
        <v>0.99411764705882355</v>
      </c>
      <c r="I64" s="47" t="s">
        <v>1857</v>
      </c>
    </row>
    <row r="65" spans="1:9">
      <c r="A65" s="43" t="s">
        <v>97</v>
      </c>
      <c r="B65" s="43" t="s">
        <v>22</v>
      </c>
      <c r="C65" s="43" t="s">
        <v>245</v>
      </c>
      <c r="D65" s="44">
        <v>158</v>
      </c>
      <c r="E65" s="44">
        <v>1868</v>
      </c>
      <c r="F65" s="44">
        <v>151</v>
      </c>
      <c r="G65" s="45">
        <v>11.822784810126583</v>
      </c>
      <c r="H65" s="46">
        <v>0.95569620253164556</v>
      </c>
      <c r="I65" s="47" t="s">
        <v>1857</v>
      </c>
    </row>
    <row r="66" spans="1:9">
      <c r="A66" s="43" t="s">
        <v>97</v>
      </c>
      <c r="B66" s="43" t="s">
        <v>22</v>
      </c>
      <c r="C66" s="43" t="s">
        <v>439</v>
      </c>
      <c r="D66" s="44">
        <v>58</v>
      </c>
      <c r="E66" s="44">
        <v>640</v>
      </c>
      <c r="F66" s="44">
        <v>55</v>
      </c>
      <c r="G66" s="45">
        <v>11.03448275862069</v>
      </c>
      <c r="H66" s="46">
        <v>0.94827586206896552</v>
      </c>
      <c r="I66" s="47" t="s">
        <v>1857</v>
      </c>
    </row>
    <row r="67" spans="1:9">
      <c r="A67" s="43" t="s">
        <v>97</v>
      </c>
      <c r="B67" s="43" t="s">
        <v>22</v>
      </c>
      <c r="C67" s="43" t="s">
        <v>366</v>
      </c>
      <c r="D67" s="44">
        <v>127</v>
      </c>
      <c r="E67" s="44">
        <v>1397</v>
      </c>
      <c r="F67" s="44">
        <v>124</v>
      </c>
      <c r="G67" s="45">
        <v>11</v>
      </c>
      <c r="H67" s="46">
        <v>0.97637795275590555</v>
      </c>
      <c r="I67" s="47" t="s">
        <v>1857</v>
      </c>
    </row>
    <row r="68" spans="1:9">
      <c r="A68" s="43" t="s">
        <v>97</v>
      </c>
      <c r="B68" s="43" t="s">
        <v>22</v>
      </c>
      <c r="C68" s="43" t="s">
        <v>653</v>
      </c>
      <c r="D68" s="44">
        <v>100</v>
      </c>
      <c r="E68" s="44">
        <v>1099</v>
      </c>
      <c r="F68" s="44">
        <v>97</v>
      </c>
      <c r="G68" s="45">
        <v>10.99</v>
      </c>
      <c r="H68" s="46">
        <v>0.97</v>
      </c>
      <c r="I68" s="47" t="s">
        <v>1857</v>
      </c>
    </row>
    <row r="69" spans="1:9">
      <c r="A69" s="43" t="s">
        <v>97</v>
      </c>
      <c r="B69" s="43" t="s">
        <v>22</v>
      </c>
      <c r="C69" s="43" t="s">
        <v>544</v>
      </c>
      <c r="D69" s="44">
        <v>80</v>
      </c>
      <c r="E69" s="44">
        <v>856</v>
      </c>
      <c r="F69" s="44">
        <v>79</v>
      </c>
      <c r="G69" s="45">
        <v>10.7</v>
      </c>
      <c r="H69" s="46">
        <v>0.98750000000000004</v>
      </c>
      <c r="I69" s="47" t="s">
        <v>1857</v>
      </c>
    </row>
    <row r="70" spans="1:9">
      <c r="A70" s="43" t="s">
        <v>97</v>
      </c>
      <c r="B70" s="43" t="s">
        <v>22</v>
      </c>
      <c r="C70" s="43" t="s">
        <v>645</v>
      </c>
      <c r="D70" s="44">
        <v>20</v>
      </c>
      <c r="E70" s="44">
        <v>211</v>
      </c>
      <c r="F70" s="44">
        <v>20</v>
      </c>
      <c r="G70" s="45">
        <v>10.55</v>
      </c>
      <c r="H70" s="46">
        <v>1</v>
      </c>
      <c r="I70" s="47" t="s">
        <v>1857</v>
      </c>
    </row>
    <row r="71" spans="1:9">
      <c r="A71" s="43" t="s">
        <v>97</v>
      </c>
      <c r="B71" s="43" t="s">
        <v>22</v>
      </c>
      <c r="C71" s="43" t="s">
        <v>294</v>
      </c>
      <c r="D71" s="44">
        <v>20</v>
      </c>
      <c r="E71" s="44">
        <v>191</v>
      </c>
      <c r="F71" s="44">
        <v>20</v>
      </c>
      <c r="G71" s="45">
        <v>9.5500000000000007</v>
      </c>
      <c r="H71" s="46">
        <v>1</v>
      </c>
      <c r="I71" s="47" t="s">
        <v>1893</v>
      </c>
    </row>
    <row r="72" spans="1:9">
      <c r="A72" s="43" t="s">
        <v>97</v>
      </c>
      <c r="B72" s="43" t="s">
        <v>22</v>
      </c>
      <c r="C72" s="43" t="s">
        <v>255</v>
      </c>
      <c r="D72" s="44">
        <v>66</v>
      </c>
      <c r="E72" s="44">
        <v>585</v>
      </c>
      <c r="F72" s="44">
        <v>66</v>
      </c>
      <c r="G72" s="45">
        <v>8.8636363636363633</v>
      </c>
      <c r="H72" s="46">
        <v>1</v>
      </c>
      <c r="I72" s="47" t="s">
        <v>1893</v>
      </c>
    </row>
    <row r="73" spans="1:9">
      <c r="A73" s="43" t="s">
        <v>97</v>
      </c>
      <c r="B73" s="43" t="s">
        <v>22</v>
      </c>
      <c r="C73" s="43" t="s">
        <v>565</v>
      </c>
      <c r="D73" s="44">
        <v>90</v>
      </c>
      <c r="E73" s="44">
        <v>731</v>
      </c>
      <c r="F73" s="44">
        <v>88</v>
      </c>
      <c r="G73" s="45">
        <v>8.1222222222222218</v>
      </c>
      <c r="H73" s="46">
        <v>0.97777777777777775</v>
      </c>
      <c r="I73" s="47" t="s">
        <v>1893</v>
      </c>
    </row>
    <row r="74" spans="1:9">
      <c r="A74" s="43" t="s">
        <v>97</v>
      </c>
      <c r="B74" s="43" t="s">
        <v>22</v>
      </c>
      <c r="C74" s="43" t="s">
        <v>460</v>
      </c>
      <c r="D74" s="44">
        <v>100</v>
      </c>
      <c r="E74" s="44">
        <v>809</v>
      </c>
      <c r="F74" s="44">
        <v>113</v>
      </c>
      <c r="G74" s="45">
        <v>8.09</v>
      </c>
      <c r="H74" s="46">
        <v>1.1299999999999999</v>
      </c>
      <c r="I74" s="47" t="s">
        <v>1893</v>
      </c>
    </row>
    <row r="75" spans="1:9">
      <c r="A75" s="43" t="s">
        <v>97</v>
      </c>
      <c r="B75" s="43" t="s">
        <v>22</v>
      </c>
      <c r="C75" s="43" t="s">
        <v>308</v>
      </c>
      <c r="D75" s="44">
        <v>60</v>
      </c>
      <c r="E75" s="44">
        <v>474</v>
      </c>
      <c r="F75" s="44">
        <v>57</v>
      </c>
      <c r="G75" s="45">
        <v>7.9</v>
      </c>
      <c r="H75" s="46">
        <v>0.95</v>
      </c>
      <c r="I75" s="47" t="s">
        <v>1893</v>
      </c>
    </row>
    <row r="76" spans="1:9">
      <c r="A76" s="43" t="s">
        <v>97</v>
      </c>
      <c r="B76" s="43" t="s">
        <v>22</v>
      </c>
      <c r="C76" s="43" t="s">
        <v>760</v>
      </c>
      <c r="D76" s="44">
        <v>130</v>
      </c>
      <c r="E76" s="44">
        <v>1022</v>
      </c>
      <c r="F76" s="44">
        <v>126</v>
      </c>
      <c r="G76" s="45">
        <v>7.8615384615384611</v>
      </c>
      <c r="H76" s="46">
        <v>0.96923076923076923</v>
      </c>
      <c r="I76" s="47" t="s">
        <v>1893</v>
      </c>
    </row>
    <row r="77" spans="1:9">
      <c r="A77" s="43" t="s">
        <v>97</v>
      </c>
      <c r="B77" s="43" t="s">
        <v>22</v>
      </c>
      <c r="C77" s="43" t="s">
        <v>292</v>
      </c>
      <c r="D77" s="44">
        <v>35</v>
      </c>
      <c r="E77" s="44">
        <v>270</v>
      </c>
      <c r="F77" s="44">
        <v>34</v>
      </c>
      <c r="G77" s="45">
        <v>7.7142857142857144</v>
      </c>
      <c r="H77" s="46">
        <v>0.97142857142857142</v>
      </c>
      <c r="I77" s="47" t="s">
        <v>1893</v>
      </c>
    </row>
    <row r="78" spans="1:9">
      <c r="A78" s="43" t="s">
        <v>97</v>
      </c>
      <c r="B78" s="43" t="s">
        <v>22</v>
      </c>
      <c r="C78" s="43" t="s">
        <v>644</v>
      </c>
      <c r="D78" s="44">
        <v>35</v>
      </c>
      <c r="E78" s="44">
        <v>262</v>
      </c>
      <c r="F78" s="44">
        <v>34</v>
      </c>
      <c r="G78" s="45">
        <v>7.4857142857142858</v>
      </c>
      <c r="H78" s="46">
        <v>0.97142857142857142</v>
      </c>
      <c r="I78" s="47" t="s">
        <v>1893</v>
      </c>
    </row>
    <row r="79" spans="1:9">
      <c r="A79" s="43" t="s">
        <v>97</v>
      </c>
      <c r="B79" s="43" t="s">
        <v>22</v>
      </c>
      <c r="C79" s="43" t="s">
        <v>309</v>
      </c>
      <c r="D79" s="44">
        <v>180</v>
      </c>
      <c r="E79" s="44">
        <v>1286</v>
      </c>
      <c r="F79" s="44">
        <v>176</v>
      </c>
      <c r="G79" s="45">
        <v>7.1444444444444448</v>
      </c>
      <c r="H79" s="46">
        <v>0.97777777777777775</v>
      </c>
      <c r="I79" s="47" t="s">
        <v>1893</v>
      </c>
    </row>
    <row r="80" spans="1:9">
      <c r="A80" s="43" t="s">
        <v>97</v>
      </c>
      <c r="B80" s="43" t="s">
        <v>22</v>
      </c>
      <c r="C80" s="43" t="s">
        <v>745</v>
      </c>
      <c r="D80" s="44">
        <v>57</v>
      </c>
      <c r="E80" s="44">
        <v>387</v>
      </c>
      <c r="F80" s="44">
        <v>57</v>
      </c>
      <c r="G80" s="45">
        <v>6.7894736842105265</v>
      </c>
      <c r="H80" s="46">
        <v>1</v>
      </c>
      <c r="I80" s="47" t="s">
        <v>1893</v>
      </c>
    </row>
    <row r="81" spans="1:9">
      <c r="A81" s="43" t="s">
        <v>97</v>
      </c>
      <c r="B81" s="43" t="s">
        <v>22</v>
      </c>
      <c r="C81" s="43" t="s">
        <v>256</v>
      </c>
      <c r="D81" s="44">
        <v>57</v>
      </c>
      <c r="E81" s="44">
        <v>350</v>
      </c>
      <c r="F81" s="44">
        <v>50</v>
      </c>
      <c r="G81" s="45">
        <v>6.1403508771929829</v>
      </c>
      <c r="H81" s="46">
        <v>0.8771929824561403</v>
      </c>
      <c r="I81" s="47" t="s">
        <v>1893</v>
      </c>
    </row>
    <row r="82" spans="1:9">
      <c r="A82" s="43" t="s">
        <v>97</v>
      </c>
      <c r="B82" s="43" t="s">
        <v>22</v>
      </c>
      <c r="C82" s="43" t="s">
        <v>546</v>
      </c>
      <c r="D82" s="44">
        <v>188</v>
      </c>
      <c r="E82" s="44">
        <v>1142</v>
      </c>
      <c r="F82" s="44">
        <v>183</v>
      </c>
      <c r="G82" s="45">
        <v>6.0744680851063828</v>
      </c>
      <c r="H82" s="46">
        <v>0.97340425531914898</v>
      </c>
      <c r="I82" s="47" t="s">
        <v>1893</v>
      </c>
    </row>
    <row r="83" spans="1:9">
      <c r="A83" s="43" t="s">
        <v>97</v>
      </c>
      <c r="B83" s="43" t="s">
        <v>22</v>
      </c>
      <c r="C83" s="43" t="s">
        <v>547</v>
      </c>
      <c r="D83" s="44">
        <v>29</v>
      </c>
      <c r="E83" s="44">
        <v>170</v>
      </c>
      <c r="F83" s="44">
        <v>29</v>
      </c>
      <c r="G83" s="45">
        <v>5.8620689655172411</v>
      </c>
      <c r="H83" s="46">
        <v>1</v>
      </c>
      <c r="I83" s="47" t="s">
        <v>1893</v>
      </c>
    </row>
    <row r="84" spans="1:9">
      <c r="A84" s="43" t="s">
        <v>97</v>
      </c>
      <c r="B84" s="43" t="s">
        <v>22</v>
      </c>
      <c r="C84" s="43" t="s">
        <v>470</v>
      </c>
      <c r="D84" s="44">
        <v>30</v>
      </c>
      <c r="E84" s="44">
        <v>173</v>
      </c>
      <c r="F84" s="44">
        <v>30</v>
      </c>
      <c r="G84" s="45">
        <v>5.7666666666666666</v>
      </c>
      <c r="H84" s="46">
        <v>1</v>
      </c>
      <c r="I84" s="47" t="s">
        <v>1893</v>
      </c>
    </row>
    <row r="85" spans="1:9">
      <c r="A85" s="43" t="s">
        <v>97</v>
      </c>
      <c r="B85" s="43" t="s">
        <v>22</v>
      </c>
      <c r="C85" s="43" t="s">
        <v>548</v>
      </c>
      <c r="D85" s="44">
        <v>34</v>
      </c>
      <c r="E85" s="44">
        <v>193</v>
      </c>
      <c r="F85" s="44">
        <v>31</v>
      </c>
      <c r="G85" s="45">
        <v>5.6764705882352944</v>
      </c>
      <c r="H85" s="46">
        <v>0.91176470588235292</v>
      </c>
      <c r="I85" s="47" t="s">
        <v>1893</v>
      </c>
    </row>
    <row r="86" spans="1:9">
      <c r="A86" s="43" t="s">
        <v>97</v>
      </c>
      <c r="B86" s="43" t="s">
        <v>22</v>
      </c>
      <c r="C86" s="43" t="s">
        <v>577</v>
      </c>
      <c r="D86" s="44">
        <v>75</v>
      </c>
      <c r="E86" s="44">
        <v>411</v>
      </c>
      <c r="F86" s="44">
        <v>73</v>
      </c>
      <c r="G86" s="45">
        <v>5.48</v>
      </c>
      <c r="H86" s="46">
        <v>0.97333333333333338</v>
      </c>
      <c r="I86" s="47" t="s">
        <v>1893</v>
      </c>
    </row>
    <row r="87" spans="1:9">
      <c r="A87" s="43" t="s">
        <v>97</v>
      </c>
      <c r="B87" s="43" t="s">
        <v>22</v>
      </c>
      <c r="C87" s="43" t="s">
        <v>744</v>
      </c>
      <c r="D87" s="44">
        <v>20</v>
      </c>
      <c r="E87" s="44">
        <v>108</v>
      </c>
      <c r="F87" s="44">
        <v>20</v>
      </c>
      <c r="G87" s="45">
        <v>5.4</v>
      </c>
      <c r="H87" s="46">
        <v>1</v>
      </c>
      <c r="I87" s="47" t="s">
        <v>1893</v>
      </c>
    </row>
    <row r="88" spans="1:9">
      <c r="A88" s="43" t="s">
        <v>97</v>
      </c>
      <c r="B88" s="43" t="s">
        <v>22</v>
      </c>
      <c r="C88" s="43" t="s">
        <v>463</v>
      </c>
      <c r="D88" s="44">
        <v>35</v>
      </c>
      <c r="E88" s="44">
        <v>178</v>
      </c>
      <c r="F88" s="44">
        <v>33</v>
      </c>
      <c r="G88" s="45">
        <v>5.0857142857142854</v>
      </c>
      <c r="H88" s="46">
        <v>0.94285714285714284</v>
      </c>
      <c r="I88" s="47" t="s">
        <v>1893</v>
      </c>
    </row>
    <row r="89" spans="1:9">
      <c r="A89" s="43" t="s">
        <v>97</v>
      </c>
      <c r="B89" s="43" t="s">
        <v>22</v>
      </c>
      <c r="C89" s="43" t="s">
        <v>462</v>
      </c>
      <c r="D89" s="44">
        <v>65</v>
      </c>
      <c r="E89" s="44">
        <v>329</v>
      </c>
      <c r="F89" s="44">
        <v>64</v>
      </c>
      <c r="G89" s="45">
        <v>5.0615384615384613</v>
      </c>
      <c r="H89" s="46">
        <v>0.98461538461538467</v>
      </c>
      <c r="I89" s="47" t="s">
        <v>1893</v>
      </c>
    </row>
    <row r="90" spans="1:9">
      <c r="A90" s="43" t="s">
        <v>97</v>
      </c>
      <c r="B90" s="43" t="s">
        <v>22</v>
      </c>
      <c r="C90" s="43" t="s">
        <v>461</v>
      </c>
      <c r="D90" s="44">
        <v>185</v>
      </c>
      <c r="E90" s="44">
        <v>916</v>
      </c>
      <c r="F90" s="44">
        <v>189</v>
      </c>
      <c r="G90" s="45">
        <v>4.9513513513513514</v>
      </c>
      <c r="H90" s="46">
        <v>1.0216216216216216</v>
      </c>
      <c r="I90" s="47" t="s">
        <v>1893</v>
      </c>
    </row>
    <row r="91" spans="1:9">
      <c r="A91" s="43" t="s">
        <v>97</v>
      </c>
      <c r="B91" s="43" t="s">
        <v>22</v>
      </c>
      <c r="C91" s="43" t="s">
        <v>254</v>
      </c>
      <c r="D91" s="44">
        <v>95</v>
      </c>
      <c r="E91" s="44">
        <v>462</v>
      </c>
      <c r="F91" s="44">
        <v>90</v>
      </c>
      <c r="G91" s="45">
        <v>4.8631578947368421</v>
      </c>
      <c r="H91" s="46">
        <v>0.94736842105263153</v>
      </c>
      <c r="I91" s="47" t="s">
        <v>1893</v>
      </c>
    </row>
    <row r="92" spans="1:9">
      <c r="A92" s="43" t="s">
        <v>97</v>
      </c>
      <c r="B92" s="43" t="s">
        <v>22</v>
      </c>
      <c r="C92" s="43" t="s">
        <v>631</v>
      </c>
      <c r="D92" s="44">
        <v>34</v>
      </c>
      <c r="E92" s="44">
        <v>155</v>
      </c>
      <c r="F92" s="44">
        <v>29</v>
      </c>
      <c r="G92" s="45">
        <v>4.5588235294117645</v>
      </c>
      <c r="H92" s="46">
        <v>0.8529411764705882</v>
      </c>
      <c r="I92" s="47" t="s">
        <v>1893</v>
      </c>
    </row>
    <row r="93" spans="1:9">
      <c r="A93" s="43" t="s">
        <v>97</v>
      </c>
      <c r="B93" s="43" t="s">
        <v>22</v>
      </c>
      <c r="C93" s="43" t="s">
        <v>448</v>
      </c>
      <c r="D93" s="44">
        <v>58</v>
      </c>
      <c r="E93" s="44">
        <v>248</v>
      </c>
      <c r="F93" s="44">
        <v>55</v>
      </c>
      <c r="G93" s="45">
        <v>4.2758620689655169</v>
      </c>
      <c r="H93" s="46">
        <v>0.94827586206896552</v>
      </c>
      <c r="I93" s="47" t="s">
        <v>1893</v>
      </c>
    </row>
    <row r="94" spans="1:9">
      <c r="A94" s="43" t="s">
        <v>97</v>
      </c>
      <c r="B94" s="43" t="s">
        <v>22</v>
      </c>
      <c r="C94" s="43" t="s">
        <v>578</v>
      </c>
      <c r="D94" s="44">
        <v>35</v>
      </c>
      <c r="E94" s="44">
        <v>135</v>
      </c>
      <c r="F94" s="44">
        <v>35</v>
      </c>
      <c r="G94" s="45">
        <v>3.8571428571428572</v>
      </c>
      <c r="H94" s="46">
        <v>1</v>
      </c>
      <c r="I94" s="47" t="s">
        <v>1893</v>
      </c>
    </row>
    <row r="95" spans="1:9">
      <c r="A95" s="43" t="s">
        <v>97</v>
      </c>
      <c r="B95" s="43" t="s">
        <v>22</v>
      </c>
      <c r="C95" s="43" t="s">
        <v>293</v>
      </c>
      <c r="D95" s="44">
        <v>15</v>
      </c>
      <c r="E95" s="44">
        <v>55</v>
      </c>
      <c r="F95" s="44">
        <v>15</v>
      </c>
      <c r="G95" s="45">
        <v>3.6666666666666665</v>
      </c>
      <c r="H95" s="46">
        <v>1</v>
      </c>
      <c r="I95" s="47" t="s">
        <v>1893</v>
      </c>
    </row>
  </sheetData>
  <sortState xmlns:xlrd2="http://schemas.microsoft.com/office/spreadsheetml/2017/richdata2" ref="A9:I95">
    <sortCondition descending="1" ref="G8"/>
  </sortState>
  <conditionalFormatting sqref="G9:G95">
    <cfRule type="dataBar" priority="1">
      <dataBar>
        <cfvo type="min"/>
        <cfvo type="max"/>
        <color rgb="FF9EC5F4"/>
      </dataBar>
      <extLst>
        <ext xmlns:x14="http://schemas.microsoft.com/office/spreadsheetml/2009/9/main" uri="{B025F937-C7B1-47D3-B67F-A62EFF666E3E}">
          <x14:id>{BE0C8557-EB04-4DE1-867C-6068D9CE7D18}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0C8557-EB04-4DE1-867C-6068D9CE7D18}">
            <x14:dataBar minLength="0" maxLength="100" gradient="0" negativeBarColorSameAsPositive="1" axisPosition="none">
              <x14:cfvo type="min"/>
              <x14:cfvo type="max"/>
            </x14:dataBar>
          </x14:cfRule>
          <xm:sqref>G9:G95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Lisez-moi</vt:lpstr>
      <vt:lpstr>Données</vt:lpstr>
      <vt:lpstr>Paramètres</vt:lpstr>
      <vt:lpstr>Synthèse</vt:lpstr>
      <vt:lpstr>TCD</vt:lpstr>
      <vt:lpstr>Sous-totaux</vt:lpstr>
      <vt:lpstr>Zoom Paris Nanterre</vt:lpstr>
      <vt:lpstr>'Zoom Paris Nanterre'!Criteres</vt:lpstr>
      <vt:lpstr>'Sous-totaux'!Extraire</vt:lpstr>
      <vt:lpstr>'Zoom Paris Nanterre'!Extraire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Parcoursup 2025 en Île-de-France — projet personnel séance 5</dc:title>
  <dc:subject>Projet multimédia — [N° étudiant]</dc:subject>
  <dc:creator>[NOM Prénom]</dc:creator>
  <cp:lastModifiedBy>[NOM Prénom]</cp:lastModifiedBy>
  <dcterms:created xsi:type="dcterms:W3CDTF">2026-10-12T20:44:45Z</dcterms:created>
  <dcterms:modified xsi:type="dcterms:W3CDTF">2026-10-12T20:45:03Z</dcterms:modified>
</cp:coreProperties>
</file>