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13_ncr:1_{9C9FA734-1514-44A7-91A2-00BBDDC56978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Exercice 1" sheetId="1" r:id="rId1"/>
    <sheet name="TCD Vendeur" sheetId="8" r:id="rId2"/>
    <sheet name="TCD Region x Categorie" sheetId="7" r:id="rId3"/>
    <sheet name="Exercice 2" sheetId="2" r:id="rId4"/>
    <sheet name="Exercice 3" sheetId="3" r:id="rId5"/>
    <sheet name="Exercice 4" sheetId="4" r:id="rId6"/>
    <sheet name="TCD Stock" sheetId="9" r:id="rId7"/>
    <sheet name="Exercice 5" sheetId="5" r:id="rId8"/>
    <sheet name="Exercice 6" sheetId="6" r:id="rId9"/>
  </sheets>
  <definedNames>
    <definedName name="_xlnm._FilterDatabase" localSheetId="0" hidden="1">'Exercice 1'!$A$4:$J$304</definedName>
    <definedName name="_xlnm._FilterDatabase" localSheetId="5" hidden="1">'Exercice 4'!$A$4:$H$254</definedName>
    <definedName name="_xlnm._FilterDatabase" localSheetId="7" hidden="1">'Exercice 5'!$A$4:$I$354</definedName>
    <definedName name="_xlnm.Criteria" localSheetId="5">'Exercice 4'!$C$270:$G$271</definedName>
    <definedName name="_xlnm.Extract" localSheetId="5">'Exercice 4'!$A$274:$H$274</definedName>
  </definedNames>
  <calcPr calcId="191029" iterateDelta="1E-4"/>
  <pivotCaches>
    <pivotCache cacheId="0" r:id="rId10"/>
    <pivotCache cacheId="1" r:id="rId11"/>
    <pivotCache cacheId="2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" i="6" l="1"/>
  <c r="G6" i="6"/>
  <c r="G311" i="6" s="1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57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G259" i="4"/>
  <c r="G258" i="4"/>
  <c r="G257" i="4"/>
  <c r="B319" i="6"/>
  <c r="B318" i="6"/>
  <c r="B317" i="6"/>
  <c r="B316" i="6"/>
  <c r="B315" i="6"/>
  <c r="H164" i="5"/>
  <c r="H271" i="5"/>
  <c r="H266" i="5"/>
  <c r="H171" i="5"/>
  <c r="H326" i="5"/>
  <c r="H69" i="5"/>
  <c r="H86" i="5"/>
  <c r="H47" i="5"/>
  <c r="H121" i="5"/>
  <c r="H222" i="5"/>
  <c r="H78" i="5"/>
  <c r="H58" i="5"/>
  <c r="H154" i="5"/>
  <c r="H198" i="5"/>
  <c r="H291" i="5"/>
  <c r="H149" i="5"/>
  <c r="H245" i="5"/>
  <c r="H226" i="5"/>
  <c r="H228" i="5"/>
  <c r="H190" i="5"/>
  <c r="H315" i="5"/>
  <c r="H189" i="5"/>
  <c r="H133" i="5"/>
  <c r="H306" i="5"/>
  <c r="H120" i="5"/>
  <c r="H60" i="5"/>
  <c r="H29" i="5"/>
  <c r="H272" i="5"/>
  <c r="H152" i="5"/>
  <c r="H295" i="5"/>
  <c r="H90" i="5"/>
  <c r="H98" i="5"/>
  <c r="H16" i="5"/>
  <c r="H73" i="5"/>
  <c r="H95" i="5"/>
  <c r="H250" i="5"/>
  <c r="H36" i="5"/>
  <c r="H169" i="5"/>
  <c r="H138" i="5"/>
  <c r="H151" i="5"/>
  <c r="H44" i="5"/>
  <c r="H38" i="5"/>
  <c r="H126" i="5"/>
  <c r="H344" i="5"/>
  <c r="H66" i="5"/>
  <c r="H65" i="5"/>
  <c r="H216" i="5"/>
  <c r="H32" i="5"/>
  <c r="H108" i="5"/>
  <c r="H15" i="5"/>
  <c r="H83" i="5"/>
  <c r="H253" i="5"/>
  <c r="H6" i="5"/>
  <c r="H318" i="5"/>
  <c r="H136" i="5"/>
  <c r="H238" i="5"/>
  <c r="H262" i="5"/>
  <c r="H276" i="5"/>
  <c r="H150" i="5"/>
  <c r="H135" i="5"/>
  <c r="H191" i="5"/>
  <c r="H298" i="5"/>
  <c r="H28" i="5"/>
  <c r="H20" i="5"/>
  <c r="H284" i="5"/>
  <c r="H175" i="5"/>
  <c r="H267" i="5"/>
  <c r="H351" i="5"/>
  <c r="H119" i="5"/>
  <c r="H51" i="5"/>
  <c r="H131" i="5"/>
  <c r="H263" i="5"/>
  <c r="H289" i="5"/>
  <c r="H197" i="5"/>
  <c r="H314" i="5"/>
  <c r="H277" i="5"/>
  <c r="H325" i="5"/>
  <c r="H292" i="5"/>
  <c r="H296" i="5"/>
  <c r="H99" i="5"/>
  <c r="H334" i="5"/>
  <c r="H137" i="5"/>
  <c r="H52" i="5"/>
  <c r="H88" i="5"/>
  <c r="H74" i="5"/>
  <c r="H248" i="5"/>
  <c r="H18" i="5"/>
  <c r="H206" i="5"/>
  <c r="H237" i="5"/>
  <c r="H353" i="5"/>
  <c r="H160" i="5"/>
  <c r="H50" i="5"/>
  <c r="H261" i="5"/>
  <c r="H311" i="5"/>
  <c r="H274" i="5"/>
  <c r="H115" i="5"/>
  <c r="H349" i="5"/>
  <c r="H196" i="5"/>
  <c r="H45" i="5"/>
  <c r="H194" i="5"/>
  <c r="H111" i="5"/>
  <c r="H148" i="5"/>
  <c r="H182" i="5"/>
  <c r="H243" i="5"/>
  <c r="H287" i="5"/>
  <c r="H258" i="5"/>
  <c r="H280" i="5"/>
  <c r="H213" i="5"/>
  <c r="H142" i="5"/>
  <c r="H339" i="5"/>
  <c r="H40" i="5"/>
  <c r="H12" i="5"/>
  <c r="H333" i="5"/>
  <c r="H354" i="5"/>
  <c r="H313" i="5"/>
  <c r="H105" i="5"/>
  <c r="H278" i="5"/>
  <c r="H43" i="5"/>
  <c r="H352" i="5"/>
  <c r="H347" i="5"/>
  <c r="H35" i="5"/>
  <c r="H268" i="5"/>
  <c r="H212" i="5"/>
  <c r="H244" i="5"/>
  <c r="H239" i="5"/>
  <c r="H168" i="5"/>
  <c r="H64" i="5"/>
  <c r="H13" i="5"/>
  <c r="H167" i="5"/>
  <c r="H332" i="5"/>
  <c r="H143" i="5"/>
  <c r="H305" i="5"/>
  <c r="H294" i="5"/>
  <c r="H286" i="5"/>
  <c r="H118" i="5"/>
  <c r="H178" i="5"/>
  <c r="H26" i="5"/>
  <c r="H79" i="5"/>
  <c r="H54" i="5"/>
  <c r="H215" i="5"/>
  <c r="H122" i="5"/>
  <c r="H153" i="5"/>
  <c r="H117" i="5"/>
  <c r="H186" i="5"/>
  <c r="H101" i="5"/>
  <c r="H225" i="5"/>
  <c r="H96" i="5"/>
  <c r="H57" i="5"/>
  <c r="H209" i="5"/>
  <c r="H338" i="5"/>
  <c r="H187" i="5"/>
  <c r="H144" i="5"/>
  <c r="H269" i="5"/>
  <c r="H77" i="5"/>
  <c r="H84" i="5"/>
  <c r="H46" i="5"/>
  <c r="H340" i="5"/>
  <c r="H328" i="5"/>
  <c r="H48" i="5"/>
  <c r="H254" i="5"/>
  <c r="H285" i="5"/>
  <c r="H129" i="5"/>
  <c r="H24" i="5"/>
  <c r="H127" i="5"/>
  <c r="H234" i="5"/>
  <c r="H247" i="5"/>
  <c r="H220" i="5"/>
  <c r="H140" i="5"/>
  <c r="H173" i="5"/>
  <c r="H145" i="5"/>
  <c r="H114" i="5"/>
  <c r="H76" i="5"/>
  <c r="H11" i="5"/>
  <c r="H273" i="5"/>
  <c r="H157" i="5"/>
  <c r="H227" i="5"/>
  <c r="H330" i="5"/>
  <c r="H72" i="5"/>
  <c r="H218" i="5"/>
  <c r="H166" i="5"/>
  <c r="H202" i="5"/>
  <c r="H33" i="5"/>
  <c r="H67" i="5"/>
  <c r="H293" i="5"/>
  <c r="H232" i="5"/>
  <c r="H348" i="5"/>
  <c r="H92" i="5"/>
  <c r="H89" i="5"/>
  <c r="H116" i="5"/>
  <c r="H300" i="5"/>
  <c r="H125" i="5"/>
  <c r="H113" i="5"/>
  <c r="H350" i="5"/>
  <c r="H80" i="5"/>
  <c r="H224" i="5"/>
  <c r="H27" i="5"/>
  <c r="H10" i="5"/>
  <c r="H62" i="5"/>
  <c r="H21" i="5"/>
  <c r="H132" i="5"/>
  <c r="H87" i="5"/>
  <c r="H192" i="5"/>
  <c r="H8" i="5"/>
  <c r="H176" i="5"/>
  <c r="H170" i="5"/>
  <c r="H322" i="5"/>
  <c r="H275" i="5"/>
  <c r="H281" i="5"/>
  <c r="H193" i="5"/>
  <c r="H210" i="5"/>
  <c r="H156" i="5"/>
  <c r="H94" i="5"/>
  <c r="H336" i="5"/>
  <c r="H25" i="5"/>
  <c r="H34" i="5"/>
  <c r="H256" i="5"/>
  <c r="H312" i="5"/>
  <c r="H331" i="5"/>
  <c r="H199" i="5"/>
  <c r="H161" i="5"/>
  <c r="H252" i="5"/>
  <c r="H217" i="5"/>
  <c r="H93" i="5"/>
  <c r="H207" i="5"/>
  <c r="H71" i="5"/>
  <c r="H201" i="5"/>
  <c r="H310" i="5"/>
  <c r="H231" i="5"/>
  <c r="H320" i="5"/>
  <c r="H346" i="5"/>
  <c r="H208" i="5"/>
  <c r="H81" i="5"/>
  <c r="H200" i="5"/>
  <c r="H185" i="5"/>
  <c r="H102" i="5"/>
  <c r="H141" i="5"/>
  <c r="H172" i="5"/>
  <c r="H214" i="5"/>
  <c r="H30" i="5"/>
  <c r="H53" i="5"/>
  <c r="H177" i="5"/>
  <c r="H188" i="5"/>
  <c r="H235" i="5"/>
  <c r="H288" i="5"/>
  <c r="H251" i="5"/>
  <c r="H299" i="5"/>
  <c r="H147" i="5"/>
  <c r="H259" i="5"/>
  <c r="H204" i="5"/>
  <c r="H195" i="5"/>
  <c r="H297" i="5"/>
  <c r="H158" i="5"/>
  <c r="H22" i="5"/>
  <c r="H221" i="5"/>
  <c r="H290" i="5"/>
  <c r="H304" i="5"/>
  <c r="H7" i="5"/>
  <c r="H112" i="5"/>
  <c r="H75" i="5"/>
  <c r="H9" i="5"/>
  <c r="H308" i="5"/>
  <c r="H61" i="5"/>
  <c r="H319" i="5"/>
  <c r="H242" i="5"/>
  <c r="H246" i="5"/>
  <c r="H41" i="5"/>
  <c r="H130" i="5"/>
  <c r="H240" i="5"/>
  <c r="H257" i="5"/>
  <c r="H59" i="5"/>
  <c r="H42" i="5"/>
  <c r="H97" i="5"/>
  <c r="H283" i="5"/>
  <c r="H159" i="5"/>
  <c r="H302" i="5"/>
  <c r="H82" i="5"/>
  <c r="H39" i="5"/>
  <c r="H211" i="5"/>
  <c r="H335" i="5"/>
  <c r="H139" i="5"/>
  <c r="H134" i="5"/>
  <c r="H265" i="5"/>
  <c r="H343" i="5"/>
  <c r="H282" i="5"/>
  <c r="H68" i="5"/>
  <c r="H260" i="5"/>
  <c r="H342" i="5"/>
  <c r="H233" i="5"/>
  <c r="H255" i="5"/>
  <c r="H301" i="5"/>
  <c r="H241" i="5"/>
  <c r="H100" i="5"/>
  <c r="H321" i="5"/>
  <c r="H124" i="5"/>
  <c r="H123" i="5"/>
  <c r="H219" i="5"/>
  <c r="H205" i="5"/>
  <c r="H236" i="5"/>
  <c r="H5" i="5"/>
  <c r="H230" i="5"/>
  <c r="H155" i="5"/>
  <c r="H223" i="5"/>
  <c r="H63" i="5"/>
  <c r="H162" i="5"/>
  <c r="H91" i="5"/>
  <c r="H337" i="5"/>
  <c r="H70" i="5"/>
  <c r="H183" i="5"/>
  <c r="H104" i="5"/>
  <c r="H49" i="5"/>
  <c r="H110" i="5"/>
  <c r="H270" i="5"/>
  <c r="H324" i="5"/>
  <c r="H345" i="5"/>
  <c r="H329" i="5"/>
  <c r="H180" i="5"/>
  <c r="H203" i="5"/>
  <c r="H106" i="5"/>
  <c r="H174" i="5"/>
  <c r="H37" i="5"/>
  <c r="H229" i="5"/>
  <c r="H146" i="5"/>
  <c r="H323" i="5"/>
  <c r="H279" i="5"/>
  <c r="H14" i="5"/>
  <c r="H103" i="5"/>
  <c r="H307" i="5"/>
  <c r="H341" i="5"/>
  <c r="H317" i="5"/>
  <c r="H23" i="5"/>
  <c r="H184" i="5"/>
  <c r="H31" i="5"/>
  <c r="H107" i="5"/>
  <c r="H109" i="5"/>
  <c r="H163" i="5"/>
  <c r="H264" i="5"/>
  <c r="H17" i="5"/>
  <c r="H303" i="5"/>
  <c r="H56" i="5"/>
  <c r="H165" i="5"/>
  <c r="H316" i="5"/>
  <c r="H19" i="5"/>
  <c r="H179" i="5"/>
  <c r="H55" i="5"/>
  <c r="H309" i="5"/>
  <c r="H327" i="5"/>
  <c r="H85" i="5"/>
  <c r="H249" i="5"/>
  <c r="H128" i="5"/>
  <c r="H181" i="5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S14" i="2"/>
  <c r="S13" i="2"/>
  <c r="S12" i="2"/>
  <c r="S11" i="2"/>
  <c r="S10" i="2"/>
  <c r="O10" i="2"/>
  <c r="S9" i="2"/>
  <c r="O9" i="2"/>
  <c r="S8" i="2"/>
  <c r="O8" i="2"/>
  <c r="S7" i="2"/>
  <c r="O7" i="2"/>
  <c r="S6" i="2"/>
  <c r="O6" i="2"/>
  <c r="O11" i="2" s="1"/>
  <c r="I286" i="1"/>
  <c r="I13" i="1"/>
  <c r="I287" i="1"/>
  <c r="I59" i="1"/>
  <c r="I104" i="1"/>
  <c r="I38" i="1"/>
  <c r="I87" i="1"/>
  <c r="I259" i="1"/>
  <c r="I154" i="1"/>
  <c r="I206" i="1"/>
  <c r="I167" i="1"/>
  <c r="I7" i="1"/>
  <c r="I250" i="1"/>
  <c r="I227" i="1"/>
  <c r="I296" i="1"/>
  <c r="I234" i="1"/>
  <c r="I78" i="1"/>
  <c r="I256" i="1"/>
  <c r="I245" i="1"/>
  <c r="I66" i="1"/>
  <c r="I219" i="1"/>
  <c r="I60" i="1"/>
  <c r="I88" i="1"/>
  <c r="I70" i="1"/>
  <c r="I111" i="1"/>
  <c r="I139" i="1"/>
  <c r="I241" i="1"/>
  <c r="I30" i="1"/>
  <c r="I50" i="1"/>
  <c r="I169" i="1"/>
  <c r="I52" i="1"/>
  <c r="I69" i="1"/>
  <c r="I253" i="1"/>
  <c r="I197" i="1"/>
  <c r="I239" i="1"/>
  <c r="I28" i="1"/>
  <c r="I19" i="1"/>
  <c r="I96" i="1"/>
  <c r="I252" i="1"/>
  <c r="I285" i="1"/>
  <c r="I284" i="1"/>
  <c r="I23" i="1"/>
  <c r="I10" i="1"/>
  <c r="I220" i="1"/>
  <c r="I226" i="1"/>
  <c r="I289" i="1"/>
  <c r="I135" i="1"/>
  <c r="I243" i="1"/>
  <c r="I32" i="1"/>
  <c r="I271" i="1"/>
  <c r="I276" i="1"/>
  <c r="I8" i="1"/>
  <c r="I275" i="1"/>
  <c r="I157" i="1"/>
  <c r="I162" i="1"/>
  <c r="I62" i="1"/>
  <c r="I247" i="1"/>
  <c r="I173" i="1"/>
  <c r="I73" i="1"/>
  <c r="I166" i="1"/>
  <c r="I55" i="1"/>
  <c r="I74" i="1"/>
  <c r="I269" i="1"/>
  <c r="I262" i="1"/>
  <c r="I53" i="1"/>
  <c r="I17" i="1"/>
  <c r="I209" i="1"/>
  <c r="I280" i="1"/>
  <c r="I273" i="1"/>
  <c r="I48" i="1"/>
  <c r="I127" i="1"/>
  <c r="I279" i="1"/>
  <c r="I304" i="1"/>
  <c r="I14" i="1"/>
  <c r="I98" i="1"/>
  <c r="I109" i="1"/>
  <c r="I179" i="1"/>
  <c r="I251" i="1"/>
  <c r="I64" i="1"/>
  <c r="I43" i="1"/>
  <c r="I195" i="1"/>
  <c r="I76" i="1"/>
  <c r="I176" i="1"/>
  <c r="I184" i="1"/>
  <c r="I40" i="1"/>
  <c r="I65" i="1"/>
  <c r="I84" i="1"/>
  <c r="I15" i="1"/>
  <c r="I31" i="1"/>
  <c r="I290" i="1"/>
  <c r="I303" i="1"/>
  <c r="I145" i="1"/>
  <c r="I80" i="1"/>
  <c r="I218" i="1"/>
  <c r="I207" i="1"/>
  <c r="I126" i="1"/>
  <c r="I115" i="1"/>
  <c r="I131" i="1"/>
  <c r="I155" i="1"/>
  <c r="I187" i="1"/>
  <c r="I258" i="1"/>
  <c r="I56" i="1"/>
  <c r="I228" i="1"/>
  <c r="I188" i="1"/>
  <c r="I101" i="1"/>
  <c r="I134" i="1"/>
  <c r="I61" i="1"/>
  <c r="I270" i="1"/>
  <c r="I151" i="1"/>
  <c r="I136" i="1"/>
  <c r="I240" i="1"/>
  <c r="I54" i="1"/>
  <c r="I221" i="1"/>
  <c r="I181" i="1"/>
  <c r="I268" i="1"/>
  <c r="I45" i="1"/>
  <c r="I230" i="1"/>
  <c r="I177" i="1"/>
  <c r="I300" i="1"/>
  <c r="I182" i="1"/>
  <c r="I118" i="1"/>
  <c r="I171" i="1"/>
  <c r="I122" i="1"/>
  <c r="I301" i="1"/>
  <c r="I222" i="1"/>
  <c r="I119" i="1"/>
  <c r="I121" i="1"/>
  <c r="I82" i="1"/>
  <c r="I186" i="1"/>
  <c r="I47" i="1"/>
  <c r="I71" i="1"/>
  <c r="I89" i="1"/>
  <c r="I42" i="1"/>
  <c r="I51" i="1"/>
  <c r="I201" i="1"/>
  <c r="I281" i="1"/>
  <c r="I196" i="1"/>
  <c r="I294" i="1"/>
  <c r="I161" i="1"/>
  <c r="I235" i="1"/>
  <c r="I212" i="1"/>
  <c r="I265" i="1"/>
  <c r="I125" i="1"/>
  <c r="I215" i="1"/>
  <c r="I249" i="1"/>
  <c r="I277" i="1"/>
  <c r="I92" i="1"/>
  <c r="I6" i="1"/>
  <c r="I274" i="1"/>
  <c r="I194" i="1"/>
  <c r="I199" i="1"/>
  <c r="I158" i="1"/>
  <c r="I278" i="1"/>
  <c r="I57" i="1"/>
  <c r="I67" i="1"/>
  <c r="I168" i="1"/>
  <c r="I81" i="1"/>
  <c r="I282" i="1"/>
  <c r="I210" i="1"/>
  <c r="I25" i="1"/>
  <c r="I129" i="1"/>
  <c r="I21" i="1"/>
  <c r="I112" i="1"/>
  <c r="I137" i="1"/>
  <c r="I260" i="1"/>
  <c r="I91" i="1"/>
  <c r="I146" i="1"/>
  <c r="I236" i="1"/>
  <c r="I12" i="1"/>
  <c r="I34" i="1"/>
  <c r="I85" i="1"/>
  <c r="I237" i="1"/>
  <c r="I33" i="1"/>
  <c r="I191" i="1"/>
  <c r="I149" i="1"/>
  <c r="I178" i="1"/>
  <c r="I216" i="1"/>
  <c r="I291" i="1"/>
  <c r="I133" i="1"/>
  <c r="I26" i="1"/>
  <c r="I9" i="1"/>
  <c r="I229" i="1"/>
  <c r="I204" i="1"/>
  <c r="I261" i="1"/>
  <c r="I77" i="1"/>
  <c r="I128" i="1"/>
  <c r="I180" i="1"/>
  <c r="I20" i="1"/>
  <c r="I132" i="1"/>
  <c r="I203" i="1"/>
  <c r="I185" i="1"/>
  <c r="I68" i="1"/>
  <c r="I267" i="1"/>
  <c r="I257" i="1"/>
  <c r="I297" i="1"/>
  <c r="I39" i="1"/>
  <c r="I302" i="1"/>
  <c r="I148" i="1"/>
  <c r="I90" i="1"/>
  <c r="I164" i="1"/>
  <c r="I49" i="1"/>
  <c r="I214" i="1"/>
  <c r="I299" i="1"/>
  <c r="I99" i="1"/>
  <c r="I189" i="1"/>
  <c r="I244" i="1"/>
  <c r="I44" i="1"/>
  <c r="I36" i="1"/>
  <c r="I113" i="1"/>
  <c r="I22" i="1"/>
  <c r="I264" i="1"/>
  <c r="I100" i="1"/>
  <c r="I190" i="1"/>
  <c r="I143" i="1"/>
  <c r="I254" i="1"/>
  <c r="I223" i="1"/>
  <c r="I211" i="1"/>
  <c r="I213" i="1"/>
  <c r="I142" i="1"/>
  <c r="I175" i="1"/>
  <c r="I266" i="1"/>
  <c r="I255" i="1"/>
  <c r="I174" i="1"/>
  <c r="I116" i="1"/>
  <c r="I117" i="1"/>
  <c r="I192" i="1"/>
  <c r="I140" i="1"/>
  <c r="I263" i="1"/>
  <c r="I159" i="1"/>
  <c r="I58" i="1"/>
  <c r="I217" i="1"/>
  <c r="I248" i="1"/>
  <c r="I103" i="1"/>
  <c r="I72" i="1"/>
  <c r="I172" i="1"/>
  <c r="I170" i="1"/>
  <c r="I123" i="1"/>
  <c r="I94" i="1"/>
  <c r="I233" i="1"/>
  <c r="I152" i="1"/>
  <c r="I193" i="1"/>
  <c r="I183" i="1"/>
  <c r="I292" i="1"/>
  <c r="I293" i="1"/>
  <c r="I238" i="1"/>
  <c r="I46" i="1"/>
  <c r="I202" i="1"/>
  <c r="I224" i="1"/>
  <c r="I160" i="1"/>
  <c r="I24" i="1"/>
  <c r="I41" i="1"/>
  <c r="I200" i="1"/>
  <c r="I95" i="1"/>
  <c r="I147" i="1"/>
  <c r="I37" i="1"/>
  <c r="I106" i="1"/>
  <c r="I156" i="1"/>
  <c r="I141" i="1"/>
  <c r="I225" i="1"/>
  <c r="I124" i="1"/>
  <c r="I5" i="1"/>
  <c r="I18" i="1"/>
  <c r="I272" i="1"/>
  <c r="I35" i="1"/>
  <c r="I11" i="1"/>
  <c r="I288" i="1"/>
  <c r="I163" i="1"/>
  <c r="I138" i="1"/>
  <c r="I93" i="1"/>
  <c r="I198" i="1"/>
  <c r="I208" i="1"/>
  <c r="I83" i="1"/>
  <c r="I246" i="1"/>
  <c r="I153" i="1"/>
  <c r="I150" i="1"/>
  <c r="I120" i="1"/>
  <c r="I108" i="1"/>
  <c r="I144" i="1"/>
  <c r="I231" i="1"/>
  <c r="I110" i="1"/>
  <c r="I86" i="1"/>
  <c r="I27" i="1"/>
  <c r="I16" i="1"/>
  <c r="I205" i="1"/>
  <c r="I130" i="1"/>
  <c r="I29" i="1"/>
  <c r="I79" i="1"/>
  <c r="I97" i="1"/>
  <c r="I107" i="1"/>
  <c r="I165" i="1"/>
  <c r="I114" i="1"/>
  <c r="I283" i="1"/>
  <c r="I232" i="1"/>
  <c r="I75" i="1"/>
  <c r="I295" i="1"/>
  <c r="I298" i="1"/>
  <c r="I102" i="1"/>
  <c r="I242" i="1"/>
  <c r="I105" i="1"/>
  <c r="I63" i="1"/>
  <c r="C316" i="6" l="1"/>
  <c r="C318" i="6"/>
  <c r="C317" i="6"/>
  <c r="C315" i="6"/>
  <c r="C319" i="6"/>
</calcChain>
</file>

<file path=xl/sharedStrings.xml><?xml version="1.0" encoding="utf-8"?>
<sst xmlns="http://schemas.openxmlformats.org/spreadsheetml/2006/main" count="9201" uniqueCount="2584">
  <si>
    <t>Exercice 1 - Suivi des ventes : tri, filtres et mise en forme conditionnelle</t>
  </si>
  <si>
    <t>300 lignes de donnees - Tri - Filtre simple - Barres de donnees - Seuil - Icones - Ligne conditionnelle</t>
  </si>
  <si>
    <t>ID Vente</t>
  </si>
  <si>
    <t>Date</t>
  </si>
  <si>
    <t>Vendeur</t>
  </si>
  <si>
    <t>Region</t>
  </si>
  <si>
    <t>Produit</t>
  </si>
  <si>
    <t>Categorie</t>
  </si>
  <si>
    <t>Quantite</t>
  </si>
  <si>
    <t>Prix unitaire (EUR)</t>
  </si>
  <si>
    <t>Montant (EUR)</t>
  </si>
  <si>
    <t>Marge (%)</t>
  </si>
  <si>
    <t>V0001</t>
  </si>
  <si>
    <t>Julien Lefevre</t>
  </si>
  <si>
    <t>Grand Est</t>
  </si>
  <si>
    <t>Ordinateur portable</t>
  </si>
  <si>
    <t>Informatique</t>
  </si>
  <si>
    <t>V0002</t>
  </si>
  <si>
    <t>Camille Dubois</t>
  </si>
  <si>
    <t>Hauts-de-France</t>
  </si>
  <si>
    <t>Cahier</t>
  </si>
  <si>
    <t>Papeterie</t>
  </si>
  <si>
    <t>V0003</t>
  </si>
  <si>
    <t>Sarah Nguyen</t>
  </si>
  <si>
    <t>Occitanie</t>
  </si>
  <si>
    <t>V0004</t>
  </si>
  <si>
    <t>Ecran 24 pouces</t>
  </si>
  <si>
    <t>V0005</t>
  </si>
  <si>
    <t>Lea Petit</t>
  </si>
  <si>
    <t>Provence-Alpes-Cote d'Azur</t>
  </si>
  <si>
    <t>Ramette papier A4</t>
  </si>
  <si>
    <t>Fournitures</t>
  </si>
  <si>
    <t>V0006</t>
  </si>
  <si>
    <t>Souris optique</t>
  </si>
  <si>
    <t>V0007</t>
  </si>
  <si>
    <t>Amine Belkacem</t>
  </si>
  <si>
    <t>Post-it</t>
  </si>
  <si>
    <t>V0008</t>
  </si>
  <si>
    <t>Karim Haddad</t>
  </si>
  <si>
    <t>V0009</t>
  </si>
  <si>
    <t>Classeur</t>
  </si>
  <si>
    <t>V0010</t>
  </si>
  <si>
    <t>Hugo Martin</t>
  </si>
  <si>
    <t>Bloc-notes</t>
  </si>
  <si>
    <t>V0011</t>
  </si>
  <si>
    <t>Ile-de-France</t>
  </si>
  <si>
    <t>V0012</t>
  </si>
  <si>
    <t>Nadia Cherif</t>
  </si>
  <si>
    <t>V0013</t>
  </si>
  <si>
    <t>Armoire de rangement</t>
  </si>
  <si>
    <t>Mobilier</t>
  </si>
  <si>
    <t>V0014</t>
  </si>
  <si>
    <t>Caisson a roulettes</t>
  </si>
  <si>
    <t>V0015</t>
  </si>
  <si>
    <t>Bretagne</t>
  </si>
  <si>
    <t>Cafetiere</t>
  </si>
  <si>
    <t>Electromenager</t>
  </si>
  <si>
    <t>V0016</t>
  </si>
  <si>
    <t>V0017</t>
  </si>
  <si>
    <t>Nouvelle-Aquitaine</t>
  </si>
  <si>
    <t>V0018</t>
  </si>
  <si>
    <t>Clavier sans fil</t>
  </si>
  <si>
    <t>V0019</t>
  </si>
  <si>
    <t>V0020</t>
  </si>
  <si>
    <t>V0021</t>
  </si>
  <si>
    <t>Disque dur externe</t>
  </si>
  <si>
    <t>V0022</t>
  </si>
  <si>
    <t>Marqueur</t>
  </si>
  <si>
    <t>V0023</t>
  </si>
  <si>
    <t>Agrafeuse</t>
  </si>
  <si>
    <t>V0024</t>
  </si>
  <si>
    <t>V0025</t>
  </si>
  <si>
    <t>V0026</t>
  </si>
  <si>
    <t>V0027</t>
  </si>
  <si>
    <t>Micro-ondes</t>
  </si>
  <si>
    <t>V0028</t>
  </si>
  <si>
    <t>V0029</t>
  </si>
  <si>
    <t>Bouilloire</t>
  </si>
  <si>
    <t>V0030</t>
  </si>
  <si>
    <t>Thomas Bernard</t>
  </si>
  <si>
    <t>V0031</t>
  </si>
  <si>
    <t>V0032</t>
  </si>
  <si>
    <t>V0033</t>
  </si>
  <si>
    <t>V0034</t>
  </si>
  <si>
    <t>V0035</t>
  </si>
  <si>
    <t>Elise Rousseau</t>
  </si>
  <si>
    <t>V0036</t>
  </si>
  <si>
    <t>V0037</t>
  </si>
  <si>
    <t>V0038</t>
  </si>
  <si>
    <t>V0039</t>
  </si>
  <si>
    <t>V0040</t>
  </si>
  <si>
    <t>V0041</t>
  </si>
  <si>
    <t>V0042</t>
  </si>
  <si>
    <t>V0043</t>
  </si>
  <si>
    <t>V0044</t>
  </si>
  <si>
    <t>V0045</t>
  </si>
  <si>
    <t>Bureau reglable</t>
  </si>
  <si>
    <t>V0046</t>
  </si>
  <si>
    <t>V0047</t>
  </si>
  <si>
    <t>V0048</t>
  </si>
  <si>
    <t>V0049</t>
  </si>
  <si>
    <t>V0050</t>
  </si>
  <si>
    <t>Stylo (boite de 10)</t>
  </si>
  <si>
    <t>V0051</t>
  </si>
  <si>
    <t>V0052</t>
  </si>
  <si>
    <t>V0053</t>
  </si>
  <si>
    <t>V0054</t>
  </si>
  <si>
    <t>V0055</t>
  </si>
  <si>
    <t>V0056</t>
  </si>
  <si>
    <t>V0057</t>
  </si>
  <si>
    <t>V0058</t>
  </si>
  <si>
    <t>V0059</t>
  </si>
  <si>
    <t>Refrigerateur mini</t>
  </si>
  <si>
    <t>V0060</t>
  </si>
  <si>
    <t>V0061</t>
  </si>
  <si>
    <t>V0062</t>
  </si>
  <si>
    <t>V0063</t>
  </si>
  <si>
    <t>V0064</t>
  </si>
  <si>
    <t>V0065</t>
  </si>
  <si>
    <t>V0066</t>
  </si>
  <si>
    <t>V0067</t>
  </si>
  <si>
    <t>V0068</t>
  </si>
  <si>
    <t>V0069</t>
  </si>
  <si>
    <t>Chaise ergonomique</t>
  </si>
  <si>
    <t>V0070</t>
  </si>
  <si>
    <t>V0071</t>
  </si>
  <si>
    <t>V0072</t>
  </si>
  <si>
    <t>V0073</t>
  </si>
  <si>
    <t>V0074</t>
  </si>
  <si>
    <t>V0075</t>
  </si>
  <si>
    <t>V0076</t>
  </si>
  <si>
    <t>V0077</t>
  </si>
  <si>
    <t>V0078</t>
  </si>
  <si>
    <t>V0079</t>
  </si>
  <si>
    <t>V0080</t>
  </si>
  <si>
    <t>V0081</t>
  </si>
  <si>
    <t>V0082</t>
  </si>
  <si>
    <t>V0083</t>
  </si>
  <si>
    <t>V0084</t>
  </si>
  <si>
    <t>V0085</t>
  </si>
  <si>
    <t>V0086</t>
  </si>
  <si>
    <t>V0087</t>
  </si>
  <si>
    <t>V0088</t>
  </si>
  <si>
    <t>V0089</t>
  </si>
  <si>
    <t>V0090</t>
  </si>
  <si>
    <t>V0091</t>
  </si>
  <si>
    <t>V0092</t>
  </si>
  <si>
    <t>V0093</t>
  </si>
  <si>
    <t>V0094</t>
  </si>
  <si>
    <t>V0095</t>
  </si>
  <si>
    <t>V0096</t>
  </si>
  <si>
    <t>V0097</t>
  </si>
  <si>
    <t>V0098</t>
  </si>
  <si>
    <t>V0099</t>
  </si>
  <si>
    <t>V0100</t>
  </si>
  <si>
    <t>V0101</t>
  </si>
  <si>
    <t>V0102</t>
  </si>
  <si>
    <t>V0103</t>
  </si>
  <si>
    <t>V0104</t>
  </si>
  <si>
    <t>V0105</t>
  </si>
  <si>
    <t>V0106</t>
  </si>
  <si>
    <t>V0107</t>
  </si>
  <si>
    <t>V0108</t>
  </si>
  <si>
    <t>V0109</t>
  </si>
  <si>
    <t>V0110</t>
  </si>
  <si>
    <t>V0111</t>
  </si>
  <si>
    <t>V0112</t>
  </si>
  <si>
    <t>V0113</t>
  </si>
  <si>
    <t>V0114</t>
  </si>
  <si>
    <t>V0115</t>
  </si>
  <si>
    <t>V0116</t>
  </si>
  <si>
    <t>V0117</t>
  </si>
  <si>
    <t>V0118</t>
  </si>
  <si>
    <t>V0119</t>
  </si>
  <si>
    <t>V0120</t>
  </si>
  <si>
    <t>V0121</t>
  </si>
  <si>
    <t>V0122</t>
  </si>
  <si>
    <t>V0123</t>
  </si>
  <si>
    <t>V0124</t>
  </si>
  <si>
    <t>V0125</t>
  </si>
  <si>
    <t>V0126</t>
  </si>
  <si>
    <t>V0127</t>
  </si>
  <si>
    <t>V0128</t>
  </si>
  <si>
    <t>V0129</t>
  </si>
  <si>
    <t>V0130</t>
  </si>
  <si>
    <t>V0131</t>
  </si>
  <si>
    <t>V0132</t>
  </si>
  <si>
    <t>V0133</t>
  </si>
  <si>
    <t>V0134</t>
  </si>
  <si>
    <t>V0135</t>
  </si>
  <si>
    <t>V0136</t>
  </si>
  <si>
    <t>V0137</t>
  </si>
  <si>
    <t>V0138</t>
  </si>
  <si>
    <t>V0139</t>
  </si>
  <si>
    <t>V0140</t>
  </si>
  <si>
    <t>V0141</t>
  </si>
  <si>
    <t>V0142</t>
  </si>
  <si>
    <t>V0143</t>
  </si>
  <si>
    <t>V0144</t>
  </si>
  <si>
    <t>V0145</t>
  </si>
  <si>
    <t>V0146</t>
  </si>
  <si>
    <t>V0147</t>
  </si>
  <si>
    <t>V0148</t>
  </si>
  <si>
    <t>V0149</t>
  </si>
  <si>
    <t>V0150</t>
  </si>
  <si>
    <t>V0151</t>
  </si>
  <si>
    <t>V0152</t>
  </si>
  <si>
    <t>V0153</t>
  </si>
  <si>
    <t>V0154</t>
  </si>
  <si>
    <t>V0155</t>
  </si>
  <si>
    <t>V0156</t>
  </si>
  <si>
    <t>V0157</t>
  </si>
  <si>
    <t>V0158</t>
  </si>
  <si>
    <t>V0159</t>
  </si>
  <si>
    <t>V0160</t>
  </si>
  <si>
    <t>V0161</t>
  </si>
  <si>
    <t>V0162</t>
  </si>
  <si>
    <t>V0163</t>
  </si>
  <si>
    <t>V0164</t>
  </si>
  <si>
    <t>V0165</t>
  </si>
  <si>
    <t>V0166</t>
  </si>
  <si>
    <t>V0167</t>
  </si>
  <si>
    <t>V0168</t>
  </si>
  <si>
    <t>V0169</t>
  </si>
  <si>
    <t>V0170</t>
  </si>
  <si>
    <t>V0171</t>
  </si>
  <si>
    <t>V0172</t>
  </si>
  <si>
    <t>V0173</t>
  </si>
  <si>
    <t>V0174</t>
  </si>
  <si>
    <t>V0175</t>
  </si>
  <si>
    <t>V0176</t>
  </si>
  <si>
    <t>V0177</t>
  </si>
  <si>
    <t>V0178</t>
  </si>
  <si>
    <t>V0179</t>
  </si>
  <si>
    <t>V0180</t>
  </si>
  <si>
    <t>V0181</t>
  </si>
  <si>
    <t>V0182</t>
  </si>
  <si>
    <t>V0183</t>
  </si>
  <si>
    <t>V0184</t>
  </si>
  <si>
    <t>V0185</t>
  </si>
  <si>
    <t>V0186</t>
  </si>
  <si>
    <t>V0187</t>
  </si>
  <si>
    <t>V0188</t>
  </si>
  <si>
    <t>V0189</t>
  </si>
  <si>
    <t>V0190</t>
  </si>
  <si>
    <t>V0191</t>
  </si>
  <si>
    <t>V0192</t>
  </si>
  <si>
    <t>V0193</t>
  </si>
  <si>
    <t>V0194</t>
  </si>
  <si>
    <t>V0195</t>
  </si>
  <si>
    <t>V0196</t>
  </si>
  <si>
    <t>V0197</t>
  </si>
  <si>
    <t>V0198</t>
  </si>
  <si>
    <t>V0199</t>
  </si>
  <si>
    <t>V0200</t>
  </si>
  <si>
    <t>V0201</t>
  </si>
  <si>
    <t>V0202</t>
  </si>
  <si>
    <t>V0203</t>
  </si>
  <si>
    <t>V0204</t>
  </si>
  <si>
    <t>V0205</t>
  </si>
  <si>
    <t>V0206</t>
  </si>
  <si>
    <t>V0207</t>
  </si>
  <si>
    <t>V0208</t>
  </si>
  <si>
    <t>V0209</t>
  </si>
  <si>
    <t>V0210</t>
  </si>
  <si>
    <t>V0211</t>
  </si>
  <si>
    <t>V0212</t>
  </si>
  <si>
    <t>V0213</t>
  </si>
  <si>
    <t>V0214</t>
  </si>
  <si>
    <t>V0215</t>
  </si>
  <si>
    <t>V0216</t>
  </si>
  <si>
    <t>V0217</t>
  </si>
  <si>
    <t>V0218</t>
  </si>
  <si>
    <t>V0219</t>
  </si>
  <si>
    <t>V0220</t>
  </si>
  <si>
    <t>V0221</t>
  </si>
  <si>
    <t>V0222</t>
  </si>
  <si>
    <t>V0223</t>
  </si>
  <si>
    <t>V0224</t>
  </si>
  <si>
    <t>V0225</t>
  </si>
  <si>
    <t>V0226</t>
  </si>
  <si>
    <t>V0227</t>
  </si>
  <si>
    <t>V0228</t>
  </si>
  <si>
    <t>V0229</t>
  </si>
  <si>
    <t>V0230</t>
  </si>
  <si>
    <t>V0231</t>
  </si>
  <si>
    <t>V0232</t>
  </si>
  <si>
    <t>V0233</t>
  </si>
  <si>
    <t>V0234</t>
  </si>
  <si>
    <t>V0235</t>
  </si>
  <si>
    <t>V0236</t>
  </si>
  <si>
    <t>V0237</t>
  </si>
  <si>
    <t>V0238</t>
  </si>
  <si>
    <t>V0239</t>
  </si>
  <si>
    <t>V0240</t>
  </si>
  <si>
    <t>V0241</t>
  </si>
  <si>
    <t>V0242</t>
  </si>
  <si>
    <t>V0243</t>
  </si>
  <si>
    <t>V0244</t>
  </si>
  <si>
    <t>V0245</t>
  </si>
  <si>
    <t>V0246</t>
  </si>
  <si>
    <t>V0247</t>
  </si>
  <si>
    <t>V0248</t>
  </si>
  <si>
    <t>V0249</t>
  </si>
  <si>
    <t>V0250</t>
  </si>
  <si>
    <t>V0251</t>
  </si>
  <si>
    <t>V0252</t>
  </si>
  <si>
    <t>V0253</t>
  </si>
  <si>
    <t>V0254</t>
  </si>
  <si>
    <t>V0255</t>
  </si>
  <si>
    <t>V0256</t>
  </si>
  <si>
    <t>V0257</t>
  </si>
  <si>
    <t>V0258</t>
  </si>
  <si>
    <t>V0259</t>
  </si>
  <si>
    <t>V0260</t>
  </si>
  <si>
    <t>V0261</t>
  </si>
  <si>
    <t>V0262</t>
  </si>
  <si>
    <t>V0263</t>
  </si>
  <si>
    <t>V0264</t>
  </si>
  <si>
    <t>V0265</t>
  </si>
  <si>
    <t>V0266</t>
  </si>
  <si>
    <t>V0267</t>
  </si>
  <si>
    <t>V0268</t>
  </si>
  <si>
    <t>V0269</t>
  </si>
  <si>
    <t>V0270</t>
  </si>
  <si>
    <t>V0271</t>
  </si>
  <si>
    <t>V0272</t>
  </si>
  <si>
    <t>V0273</t>
  </si>
  <si>
    <t>V0274</t>
  </si>
  <si>
    <t>V0275</t>
  </si>
  <si>
    <t>V0276</t>
  </si>
  <si>
    <t>V0277</t>
  </si>
  <si>
    <t>V0278</t>
  </si>
  <si>
    <t>V0279</t>
  </si>
  <si>
    <t>V0280</t>
  </si>
  <si>
    <t>V0281</t>
  </si>
  <si>
    <t>V0282</t>
  </si>
  <si>
    <t>V0283</t>
  </si>
  <si>
    <t>V0284</t>
  </si>
  <si>
    <t>V0285</t>
  </si>
  <si>
    <t>V0286</t>
  </si>
  <si>
    <t>V0287</t>
  </si>
  <si>
    <t>V0288</t>
  </si>
  <si>
    <t>V0289</t>
  </si>
  <si>
    <t>V0290</t>
  </si>
  <si>
    <t>V0291</t>
  </si>
  <si>
    <t>V0292</t>
  </si>
  <si>
    <t>V0293</t>
  </si>
  <si>
    <t>V0294</t>
  </si>
  <si>
    <t>V0295</t>
  </si>
  <si>
    <t>V0296</t>
  </si>
  <si>
    <t>V0297</t>
  </si>
  <si>
    <t>V0298</t>
  </si>
  <si>
    <t>V0299</t>
  </si>
  <si>
    <t>V0300</t>
  </si>
  <si>
    <t>Aucune formule a ecrire dans cette feuille : le travail porte uniquement sur le tri, les filtres et la mise en forme conditionnelle (fond gris = donnees fournies).</t>
  </si>
  <si>
    <t>Exercice 2 - Commandes en ligne : listes, validation et graphiques</t>
  </si>
  <si>
    <t>200 lignes de donnees - Liste deroulante - Validation avec seuil numerique - Graphique secteur - Histogramme</t>
  </si>
  <si>
    <t>ID Commande</t>
  </si>
  <si>
    <t>Client</t>
  </si>
  <si>
    <t>Statut</t>
  </si>
  <si>
    <t>Note satisfaction (1-5)</t>
  </si>
  <si>
    <t>Liste des statuts</t>
  </si>
  <si>
    <t>Synthese par categorie</t>
  </si>
  <si>
    <t>Synthese mensuelle</t>
  </si>
  <si>
    <t>C0001</t>
  </si>
  <si>
    <t>Martin Distribution EURL</t>
  </si>
  <si>
    <t>Annulee</t>
  </si>
  <si>
    <t>En attente</t>
  </si>
  <si>
    <t>Montant total (EUR)</t>
  </si>
  <si>
    <t>Mois</t>
  </si>
  <si>
    <t>Debut du mois</t>
  </si>
  <si>
    <t>C0002</t>
  </si>
  <si>
    <t>Muller Bureau EURL</t>
  </si>
  <si>
    <t>Validee</t>
  </si>
  <si>
    <t>Janvier</t>
  </si>
  <si>
    <t>C0003</t>
  </si>
  <si>
    <t>Henry Services EURL</t>
  </si>
  <si>
    <t>Fevrier</t>
  </si>
  <si>
    <t>C0004</t>
  </si>
  <si>
    <t>Lefevre Services EURL</t>
  </si>
  <si>
    <t>Livree</t>
  </si>
  <si>
    <t>Mars</t>
  </si>
  <si>
    <t>C0005</t>
  </si>
  <si>
    <t>Francois Equipements EURL</t>
  </si>
  <si>
    <t>Avril</t>
  </si>
  <si>
    <t>C0006</t>
  </si>
  <si>
    <t>Francois Bureau EURL</t>
  </si>
  <si>
    <t>Mai</t>
  </si>
  <si>
    <t>C0007</t>
  </si>
  <si>
    <t>Faure Services SAS</t>
  </si>
  <si>
    <t>Total</t>
  </si>
  <si>
    <t>Juin</t>
  </si>
  <si>
    <t>C0008</t>
  </si>
  <si>
    <t>Nicolas Solutions SARL</t>
  </si>
  <si>
    <t>Juillet</t>
  </si>
  <si>
    <t>C0009</t>
  </si>
  <si>
    <t>Martin Services SARL</t>
  </si>
  <si>
    <t>Aout</t>
  </si>
  <si>
    <t>C0010</t>
  </si>
  <si>
    <t>Faure Solutions EURL</t>
  </si>
  <si>
    <t>Septembre</t>
  </si>
  <si>
    <t>C0011</t>
  </si>
  <si>
    <t>Bonnet Negoce SAS</t>
  </si>
  <si>
    <t>C0012</t>
  </si>
  <si>
    <t>Martin Equipements SARL</t>
  </si>
  <si>
    <t>C0013</t>
  </si>
  <si>
    <t>Girard Informatique SARL</t>
  </si>
  <si>
    <t>C0014</t>
  </si>
  <si>
    <t>Dupont Informatique EURL</t>
  </si>
  <si>
    <t>C0015</t>
  </si>
  <si>
    <t>Moreau Informatique EURL</t>
  </si>
  <si>
    <t>C0016</t>
  </si>
  <si>
    <t>Guerin Solutions SAS</t>
  </si>
  <si>
    <t>C0017</t>
  </si>
  <si>
    <t>Muller Solutions SAS</t>
  </si>
  <si>
    <t>C0018</t>
  </si>
  <si>
    <t>Blanc Services SARL</t>
  </si>
  <si>
    <t>C0019</t>
  </si>
  <si>
    <t>Lefevre Negoce SAS</t>
  </si>
  <si>
    <t>C0020</t>
  </si>
  <si>
    <t>Muller Informatique SAS</t>
  </si>
  <si>
    <t>C0021</t>
  </si>
  <si>
    <t>C0022</t>
  </si>
  <si>
    <t>Dupont Negoce SAS</t>
  </si>
  <si>
    <t>C0023</t>
  </si>
  <si>
    <t>Mathieu Negoce SAS</t>
  </si>
  <si>
    <t>C0024</t>
  </si>
  <si>
    <t>Muller Negoce EURL</t>
  </si>
  <si>
    <t>C0025</t>
  </si>
  <si>
    <t>Roussel Distribution SAS</t>
  </si>
  <si>
    <t>C0026</t>
  </si>
  <si>
    <t>Dupont Informatique SAS</t>
  </si>
  <si>
    <t>C0027</t>
  </si>
  <si>
    <t>Muller Equipements SARL</t>
  </si>
  <si>
    <t>C0028</t>
  </si>
  <si>
    <t>Bonnet Bureau SAS</t>
  </si>
  <si>
    <t>C0029</t>
  </si>
  <si>
    <t>Mercier Solutions SARL</t>
  </si>
  <si>
    <t>C0030</t>
  </si>
  <si>
    <t>Moreau Bureau SAS</t>
  </si>
  <si>
    <t>C0031</t>
  </si>
  <si>
    <t>Clement Bureau SAS</t>
  </si>
  <si>
    <t>C0032</t>
  </si>
  <si>
    <t>Blanc Distribution EURL</t>
  </si>
  <si>
    <t>C0033</t>
  </si>
  <si>
    <t>Guerin Informatique EURL</t>
  </si>
  <si>
    <t>C0034</t>
  </si>
  <si>
    <t>Roussel Equipements SAS</t>
  </si>
  <si>
    <t>C0035</t>
  </si>
  <si>
    <t>Andre Negoce SARL</t>
  </si>
  <si>
    <t>C0036</t>
  </si>
  <si>
    <t>Morin Services EURL</t>
  </si>
  <si>
    <t>C0037</t>
  </si>
  <si>
    <t>Faure Negoce EURL</t>
  </si>
  <si>
    <t>C0038</t>
  </si>
  <si>
    <t>Moreau Informatique SARL</t>
  </si>
  <si>
    <t>C0039</t>
  </si>
  <si>
    <t>Mathieu Negoce EURL</t>
  </si>
  <si>
    <t>C0040</t>
  </si>
  <si>
    <t>Moreau Equipements EURL</t>
  </si>
  <si>
    <t>C0041</t>
  </si>
  <si>
    <t>Nicolas Informatique SAS</t>
  </si>
  <si>
    <t>C0042</t>
  </si>
  <si>
    <t>Blanc Negoce SARL</t>
  </si>
  <si>
    <t>C0043</t>
  </si>
  <si>
    <t>Morin Solutions SAS</t>
  </si>
  <si>
    <t>C0044</t>
  </si>
  <si>
    <t>C0045</t>
  </si>
  <si>
    <t>Morin Bureau SAS</t>
  </si>
  <si>
    <t>C0046</t>
  </si>
  <si>
    <t>Clement Solutions EURL</t>
  </si>
  <si>
    <t>C0047</t>
  </si>
  <si>
    <t>Girard Distribution SARL</t>
  </si>
  <si>
    <t>C0048</t>
  </si>
  <si>
    <t>Clement Bureau EURL</t>
  </si>
  <si>
    <t>C0049</t>
  </si>
  <si>
    <t>Girard Bureau SAS</t>
  </si>
  <si>
    <t>C0050</t>
  </si>
  <si>
    <t>Muller Services EURL</t>
  </si>
  <si>
    <t>C0051</t>
  </si>
  <si>
    <t>Lefevre Services SARL</t>
  </si>
  <si>
    <t>C0052</t>
  </si>
  <si>
    <t>Roussel Services EURL</t>
  </si>
  <si>
    <t>C0053</t>
  </si>
  <si>
    <t>Morin Equipements SARL</t>
  </si>
  <si>
    <t>C0054</t>
  </si>
  <si>
    <t>Martin Solutions SAS</t>
  </si>
  <si>
    <t>C0055</t>
  </si>
  <si>
    <t>Clement Negoce SAS</t>
  </si>
  <si>
    <t>C0056</t>
  </si>
  <si>
    <t>Morin Distribution EURL</t>
  </si>
  <si>
    <t>C0057</t>
  </si>
  <si>
    <t>C0058</t>
  </si>
  <si>
    <t>Faure Equipements EURL</t>
  </si>
  <si>
    <t>C0059</t>
  </si>
  <si>
    <t>Lefevre Solutions EURL</t>
  </si>
  <si>
    <t>C0060</t>
  </si>
  <si>
    <t>C0061</t>
  </si>
  <si>
    <t>Francois Solutions SAS</t>
  </si>
  <si>
    <t>C0062</t>
  </si>
  <si>
    <t>Martin Informatique EURL</t>
  </si>
  <si>
    <t>C0063</t>
  </si>
  <si>
    <t>Henry Bureau EURL</t>
  </si>
  <si>
    <t>C0064</t>
  </si>
  <si>
    <t>Lefevre Distribution EURL</t>
  </si>
  <si>
    <t>C0065</t>
  </si>
  <si>
    <t>Dupont Bureau SAS</t>
  </si>
  <si>
    <t>C0066</t>
  </si>
  <si>
    <t>Henry Negoce SARL</t>
  </si>
  <si>
    <t>C0067</t>
  </si>
  <si>
    <t>Mercier Bureau SAS</t>
  </si>
  <si>
    <t>C0068</t>
  </si>
  <si>
    <t>Clement Negoce SARL</t>
  </si>
  <si>
    <t>C0069</t>
  </si>
  <si>
    <t>Lefevre Informatique SARL</t>
  </si>
  <si>
    <t>C0070</t>
  </si>
  <si>
    <t>Faure Distribution EURL</t>
  </si>
  <si>
    <t>C0071</t>
  </si>
  <si>
    <t>Clement Services SARL</t>
  </si>
  <si>
    <t>C0072</t>
  </si>
  <si>
    <t>C0073</t>
  </si>
  <si>
    <t>Mathieu Solutions SAS</t>
  </si>
  <si>
    <t>C0074</t>
  </si>
  <si>
    <t>Dupont Distribution SARL</t>
  </si>
  <si>
    <t>C0075</t>
  </si>
  <si>
    <t>Muller Informatique EURL</t>
  </si>
  <si>
    <t>C0076</t>
  </si>
  <si>
    <t>Francois Equipements SARL</t>
  </si>
  <si>
    <t>C0077</t>
  </si>
  <si>
    <t>Faure Informatique SAS</t>
  </si>
  <si>
    <t>C0078</t>
  </si>
  <si>
    <t>Girard Negoce SARL</t>
  </si>
  <si>
    <t>C0079</t>
  </si>
  <si>
    <t>Moreau Equipements SARL</t>
  </si>
  <si>
    <t>C0080</t>
  </si>
  <si>
    <t>Roussel Services SAS</t>
  </si>
  <si>
    <t>C0081</t>
  </si>
  <si>
    <t>C0082</t>
  </si>
  <si>
    <t>Nicolas Distribution SAS</t>
  </si>
  <si>
    <t>C0083</t>
  </si>
  <si>
    <t>C0084</t>
  </si>
  <si>
    <t>C0085</t>
  </si>
  <si>
    <t>Morin Solutions SARL</t>
  </si>
  <si>
    <t>C0086</t>
  </si>
  <si>
    <t>Mathieu Solutions SARL</t>
  </si>
  <si>
    <t>C0087</t>
  </si>
  <si>
    <t>C0088</t>
  </si>
  <si>
    <t>Moreau Bureau EURL</t>
  </si>
  <si>
    <t>C0089</t>
  </si>
  <si>
    <t>C0090</t>
  </si>
  <si>
    <t>Girard Negoce SAS</t>
  </si>
  <si>
    <t>C0091</t>
  </si>
  <si>
    <t>Blanc Equipements SAS</t>
  </si>
  <si>
    <t>C0092</t>
  </si>
  <si>
    <t>C0093</t>
  </si>
  <si>
    <t>Morin Distribution SARL</t>
  </si>
  <si>
    <t>C0094</t>
  </si>
  <si>
    <t>Francois Equipements SAS</t>
  </si>
  <si>
    <t>C0095</t>
  </si>
  <si>
    <t>Andre Equipements SARL</t>
  </si>
  <si>
    <t>C0096</t>
  </si>
  <si>
    <t>C0097</t>
  </si>
  <si>
    <t>Mathieu Services SAS</t>
  </si>
  <si>
    <t>C0098</t>
  </si>
  <si>
    <t>Blanc Informatique SARL</t>
  </si>
  <si>
    <t>C0099</t>
  </si>
  <si>
    <t>Henry Bureau SAS</t>
  </si>
  <si>
    <t>C0100</t>
  </si>
  <si>
    <t>Mercier Solutions SAS</t>
  </si>
  <si>
    <t>C0101</t>
  </si>
  <si>
    <t>Perrin Bureau EURL</t>
  </si>
  <si>
    <t>C0102</t>
  </si>
  <si>
    <t>C0103</t>
  </si>
  <si>
    <t>Martin Equipements SAS</t>
  </si>
  <si>
    <t>C0104</t>
  </si>
  <si>
    <t>Andre Services EURL</t>
  </si>
  <si>
    <t>C0105</t>
  </si>
  <si>
    <t>Bonnet Bureau EURL</t>
  </si>
  <si>
    <t>C0106</t>
  </si>
  <si>
    <t>Mathieu Bureau SAS</t>
  </si>
  <si>
    <t>C0107</t>
  </si>
  <si>
    <t>Dupont Services SAS</t>
  </si>
  <si>
    <t>C0108</t>
  </si>
  <si>
    <t>Martin Informatique SARL</t>
  </si>
  <si>
    <t>C0109</t>
  </si>
  <si>
    <t>Muller Services SARL</t>
  </si>
  <si>
    <t>C0110</t>
  </si>
  <si>
    <t>Morin Negoce EURL</t>
  </si>
  <si>
    <t>C0111</t>
  </si>
  <si>
    <t>Bonnet Negoce SARL</t>
  </si>
  <si>
    <t>C0112</t>
  </si>
  <si>
    <t>Mathieu Informatique SAS</t>
  </si>
  <si>
    <t>C0113</t>
  </si>
  <si>
    <t>Blanc Solutions SARL</t>
  </si>
  <si>
    <t>C0114</t>
  </si>
  <si>
    <t>C0115</t>
  </si>
  <si>
    <t>Moreau Equipements SAS</t>
  </si>
  <si>
    <t>C0116</t>
  </si>
  <si>
    <t>Mercier Informatique SAS</t>
  </si>
  <si>
    <t>C0117</t>
  </si>
  <si>
    <t>Blanc Services EURL</t>
  </si>
  <si>
    <t>C0118</t>
  </si>
  <si>
    <t>Moreau Distribution SARL</t>
  </si>
  <si>
    <t>C0119</t>
  </si>
  <si>
    <t>Martin Solutions EURL</t>
  </si>
  <si>
    <t>C0120</t>
  </si>
  <si>
    <t>Mercier Equipements EURL</t>
  </si>
  <si>
    <t>C0121</t>
  </si>
  <si>
    <t>Lefevre Solutions SARL</t>
  </si>
  <si>
    <t>C0122</t>
  </si>
  <si>
    <t>Bonnet Distribution SAS</t>
  </si>
  <si>
    <t>C0123</t>
  </si>
  <si>
    <t>Andre Services SARL</t>
  </si>
  <si>
    <t>C0124</t>
  </si>
  <si>
    <t>Morin Informatique SAS</t>
  </si>
  <si>
    <t>C0125</t>
  </si>
  <si>
    <t>C0126</t>
  </si>
  <si>
    <t>C0127</t>
  </si>
  <si>
    <t>Lefevre Informatique SAS</t>
  </si>
  <si>
    <t>C0128</t>
  </si>
  <si>
    <t>Henry Informatique SAS</t>
  </si>
  <si>
    <t>C0129</t>
  </si>
  <si>
    <t>Morin Distribution SAS</t>
  </si>
  <si>
    <t>C0130</t>
  </si>
  <si>
    <t>Girard Services EURL</t>
  </si>
  <si>
    <t>C0131</t>
  </si>
  <si>
    <t>Andre Distribution SARL</t>
  </si>
  <si>
    <t>C0132</t>
  </si>
  <si>
    <t>Girard Distribution EURL</t>
  </si>
  <si>
    <t>C0133</t>
  </si>
  <si>
    <t>Roussel Bureau SAS</t>
  </si>
  <si>
    <t>C0134</t>
  </si>
  <si>
    <t>Mercier Negoce EURL</t>
  </si>
  <si>
    <t>C0135</t>
  </si>
  <si>
    <t>C0136</t>
  </si>
  <si>
    <t>Muller Negoce SARL</t>
  </si>
  <si>
    <t>C0137</t>
  </si>
  <si>
    <t>C0138</t>
  </si>
  <si>
    <t>Martin Bureau EURL</t>
  </si>
  <si>
    <t>C0139</t>
  </si>
  <si>
    <t>Dupont Equipements EURL</t>
  </si>
  <si>
    <t>C0140</t>
  </si>
  <si>
    <t>Clement Equipements SAS</t>
  </si>
  <si>
    <t>C0141</t>
  </si>
  <si>
    <t>C0142</t>
  </si>
  <si>
    <t>Guerin Services EURL</t>
  </si>
  <si>
    <t>C0143</t>
  </si>
  <si>
    <t>C0144</t>
  </si>
  <si>
    <t>C0145</t>
  </si>
  <si>
    <t>Muller Solutions EURL</t>
  </si>
  <si>
    <t>C0146</t>
  </si>
  <si>
    <t>Perrin Distribution SARL</t>
  </si>
  <si>
    <t>C0147</t>
  </si>
  <si>
    <t>Andre Negoce EURL</t>
  </si>
  <si>
    <t>C0148</t>
  </si>
  <si>
    <t>C0149</t>
  </si>
  <si>
    <t>Nicolas Bureau EURL</t>
  </si>
  <si>
    <t>C0150</t>
  </si>
  <si>
    <t>Francois Distribution SAS</t>
  </si>
  <si>
    <t>C0151</t>
  </si>
  <si>
    <t>Nicolas Distribution EURL</t>
  </si>
  <si>
    <t>C0152</t>
  </si>
  <si>
    <t>Mathieu Equipements SARL</t>
  </si>
  <si>
    <t>C0153</t>
  </si>
  <si>
    <t>C0154</t>
  </si>
  <si>
    <t>Dupont Negoce SARL</t>
  </si>
  <si>
    <t>C0155</t>
  </si>
  <si>
    <t>Perrin Services SAS</t>
  </si>
  <si>
    <t>C0156</t>
  </si>
  <si>
    <t>Girard Distribution SAS</t>
  </si>
  <si>
    <t>C0157</t>
  </si>
  <si>
    <t>Francois Negoce SARL</t>
  </si>
  <si>
    <t>C0158</t>
  </si>
  <si>
    <t>Clement Informatique EURL</t>
  </si>
  <si>
    <t>C0159</t>
  </si>
  <si>
    <t>Moreau Services SAS</t>
  </si>
  <si>
    <t>C0160</t>
  </si>
  <si>
    <t>C0161</t>
  </si>
  <si>
    <t>C0162</t>
  </si>
  <si>
    <t>Mercier Bureau SARL</t>
  </si>
  <si>
    <t>C0163</t>
  </si>
  <si>
    <t>Lefevre Informatique EURL</t>
  </si>
  <si>
    <t>C0164</t>
  </si>
  <si>
    <t>Faure Solutions SAS</t>
  </si>
  <si>
    <t>C0165</t>
  </si>
  <si>
    <t>C0166</t>
  </si>
  <si>
    <t>Guerin Solutions EURL</t>
  </si>
  <si>
    <t>C0167</t>
  </si>
  <si>
    <t>C0168</t>
  </si>
  <si>
    <t>C0169</t>
  </si>
  <si>
    <t>Guerin Services SARL</t>
  </si>
  <si>
    <t>C0170</t>
  </si>
  <si>
    <t>Roussel Informatique SARL</t>
  </si>
  <si>
    <t>C0171</t>
  </si>
  <si>
    <t>C0172</t>
  </si>
  <si>
    <t>Bonnet Services SAS</t>
  </si>
  <si>
    <t>C0173</t>
  </si>
  <si>
    <t>Andre Informatique EURL</t>
  </si>
  <si>
    <t>C0174</t>
  </si>
  <si>
    <t>C0175</t>
  </si>
  <si>
    <t>Henry Informatique EURL</t>
  </si>
  <si>
    <t>C0176</t>
  </si>
  <si>
    <t>Blanc Distribution SARL</t>
  </si>
  <si>
    <t>C0177</t>
  </si>
  <si>
    <t>C0178</t>
  </si>
  <si>
    <t>Martin Bureau SAS</t>
  </si>
  <si>
    <t>C0179</t>
  </si>
  <si>
    <t>C0180</t>
  </si>
  <si>
    <t>C0181</t>
  </si>
  <si>
    <t>Morin Solutions EURL</t>
  </si>
  <si>
    <t>C0182</t>
  </si>
  <si>
    <t>C0183</t>
  </si>
  <si>
    <t>Muller Distribution SAS</t>
  </si>
  <si>
    <t>C0184</t>
  </si>
  <si>
    <t>Morin Negoce SARL</t>
  </si>
  <si>
    <t>C0185</t>
  </si>
  <si>
    <t>C0186</t>
  </si>
  <si>
    <t>Henry Equipements SARL</t>
  </si>
  <si>
    <t>C0187</t>
  </si>
  <si>
    <t>Bonnet Distribution EURL</t>
  </si>
  <si>
    <t>C0188</t>
  </si>
  <si>
    <t>Roussel Informatique EURL</t>
  </si>
  <si>
    <t>C0189</t>
  </si>
  <si>
    <t>C0190</t>
  </si>
  <si>
    <t>Andre Bureau EURL</t>
  </si>
  <si>
    <t>C0191</t>
  </si>
  <si>
    <t>C0192</t>
  </si>
  <si>
    <t>Henry Distribution EURL</t>
  </si>
  <si>
    <t>C0193</t>
  </si>
  <si>
    <t>C0194</t>
  </si>
  <si>
    <t>C0195</t>
  </si>
  <si>
    <t>Guerin Bureau SARL</t>
  </si>
  <si>
    <t>C0196</t>
  </si>
  <si>
    <t>Moreau Negoce SAS</t>
  </si>
  <si>
    <t>C0197</t>
  </si>
  <si>
    <t>Muller Distribution EURL</t>
  </si>
  <si>
    <t>C0198</t>
  </si>
  <si>
    <t>C0199</t>
  </si>
  <si>
    <t>Francois Negoce EURL</t>
  </si>
  <si>
    <t>C0200</t>
  </si>
  <si>
    <t>Girard Informatique SAS</t>
  </si>
  <si>
    <t>Legende : fond gris = donnees fournies    |    fond jaune = cellule a completer par l'etudiant</t>
  </si>
  <si>
    <t>Exercice 3 - Commandes : tableaux croises dynamiques</t>
  </si>
  <si>
    <t>400 lignes de donnees - TCD avec somme, compte, totaux et filtre</t>
  </si>
  <si>
    <t>CMD0001</t>
  </si>
  <si>
    <t>Andre Solutions SAS</t>
  </si>
  <si>
    <t>CMD0002</t>
  </si>
  <si>
    <t>Morin Informatique EURL</t>
  </si>
  <si>
    <t>CMD0003</t>
  </si>
  <si>
    <t>CMD0004</t>
  </si>
  <si>
    <t>CMD0005</t>
  </si>
  <si>
    <t>CMD0006</t>
  </si>
  <si>
    <t>Dupont Services EURL</t>
  </si>
  <si>
    <t>CMD0007</t>
  </si>
  <si>
    <t>Francois Solutions EURL</t>
  </si>
  <si>
    <t>CMD0008</t>
  </si>
  <si>
    <t>Francois Informatique SARL</t>
  </si>
  <si>
    <t>CMD0009</t>
  </si>
  <si>
    <t>Mercier Negoce SARL</t>
  </si>
  <si>
    <t>CMD0010</t>
  </si>
  <si>
    <t>Moreau Distribution EURL</t>
  </si>
  <si>
    <t>CMD0011</t>
  </si>
  <si>
    <t>Mathieu Bureau EURL</t>
  </si>
  <si>
    <t>CMD0012</t>
  </si>
  <si>
    <t>CMD0013</t>
  </si>
  <si>
    <t>Nicolas Solutions SAS</t>
  </si>
  <si>
    <t>CMD0014</t>
  </si>
  <si>
    <t>CMD0015</t>
  </si>
  <si>
    <t>CMD0016</t>
  </si>
  <si>
    <t>CMD0017</t>
  </si>
  <si>
    <t>CMD0018</t>
  </si>
  <si>
    <t>Bonnet Services EURL</t>
  </si>
  <si>
    <t>CMD0019</t>
  </si>
  <si>
    <t>CMD0020</t>
  </si>
  <si>
    <t>CMD0021</t>
  </si>
  <si>
    <t>CMD0022</t>
  </si>
  <si>
    <t>Perrin Distribution SAS</t>
  </si>
  <si>
    <t>CMD0023</t>
  </si>
  <si>
    <t>CMD0024</t>
  </si>
  <si>
    <t>Francois Bureau SARL</t>
  </si>
  <si>
    <t>CMD0025</t>
  </si>
  <si>
    <t>Moreau Solutions EURL</t>
  </si>
  <si>
    <t>CMD0026</t>
  </si>
  <si>
    <t>CMD0027</t>
  </si>
  <si>
    <t>CMD0028</t>
  </si>
  <si>
    <t>CMD0029</t>
  </si>
  <si>
    <t>Clement Negoce EURL</t>
  </si>
  <si>
    <t>CMD0030</t>
  </si>
  <si>
    <t>Muller Solutions SARL</t>
  </si>
  <si>
    <t>CMD0031</t>
  </si>
  <si>
    <t>Nicolas Services EURL</t>
  </si>
  <si>
    <t>CMD0032</t>
  </si>
  <si>
    <t>CMD0033</t>
  </si>
  <si>
    <t>Faure Equipements SAS</t>
  </si>
  <si>
    <t>CMD0034</t>
  </si>
  <si>
    <t>Faure Equipements SARL</t>
  </si>
  <si>
    <t>CMD0035</t>
  </si>
  <si>
    <t>Mathieu Services SARL</t>
  </si>
  <si>
    <t>CMD0036</t>
  </si>
  <si>
    <t>Girard Solutions EURL</t>
  </si>
  <si>
    <t>CMD0037</t>
  </si>
  <si>
    <t>CMD0038</t>
  </si>
  <si>
    <t>Andre Distribution EURL</t>
  </si>
  <si>
    <t>CMD0039</t>
  </si>
  <si>
    <t>CMD0040</t>
  </si>
  <si>
    <t>Lefevre Equipements SARL</t>
  </si>
  <si>
    <t>CMD0041</t>
  </si>
  <si>
    <t>CMD0042</t>
  </si>
  <si>
    <t>CMD0043</t>
  </si>
  <si>
    <t>Perrin Negoce SARL</t>
  </si>
  <si>
    <t>CMD0044</t>
  </si>
  <si>
    <t>Lefevre Distribution SAS</t>
  </si>
  <si>
    <t>CMD0045</t>
  </si>
  <si>
    <t>Lefevre Services SAS</t>
  </si>
  <si>
    <t>CMD0046</t>
  </si>
  <si>
    <t>Faure Services SARL</t>
  </si>
  <si>
    <t>CMD0047</t>
  </si>
  <si>
    <t>Moreau Services SARL</t>
  </si>
  <si>
    <t>CMD0048</t>
  </si>
  <si>
    <t>Roussel Solutions EURL</t>
  </si>
  <si>
    <t>CMD0049</t>
  </si>
  <si>
    <t>CMD0050</t>
  </si>
  <si>
    <t>Perrin Services SARL</t>
  </si>
  <si>
    <t>CMD0051</t>
  </si>
  <si>
    <t>CMD0052</t>
  </si>
  <si>
    <t>Nicolas Negoce SARL</t>
  </si>
  <si>
    <t>CMD0053</t>
  </si>
  <si>
    <t>Clement Distribution SARL</t>
  </si>
  <si>
    <t>CMD0054</t>
  </si>
  <si>
    <t>CMD0055</t>
  </si>
  <si>
    <t>Andre Solutions SARL</t>
  </si>
  <si>
    <t>CMD0056</t>
  </si>
  <si>
    <t>CMD0057</t>
  </si>
  <si>
    <t>CMD0058</t>
  </si>
  <si>
    <t>CMD0059</t>
  </si>
  <si>
    <t>CMD0060</t>
  </si>
  <si>
    <t>Mathieu Negoce SARL</t>
  </si>
  <si>
    <t>CMD0061</t>
  </si>
  <si>
    <t>CMD0062</t>
  </si>
  <si>
    <t>Morin Negoce SAS</t>
  </si>
  <si>
    <t>CMD0063</t>
  </si>
  <si>
    <t>CMD0064</t>
  </si>
  <si>
    <t>Roussel Negoce SAS</t>
  </si>
  <si>
    <t>CMD0065</t>
  </si>
  <si>
    <t>Guerin Equipements EURL</t>
  </si>
  <si>
    <t>CMD0066</t>
  </si>
  <si>
    <t>Nicolas Equipements EURL</t>
  </si>
  <si>
    <t>CMD0067</t>
  </si>
  <si>
    <t>CMD0068</t>
  </si>
  <si>
    <t>Faure Distribution SAS</t>
  </si>
  <si>
    <t>CMD0069</t>
  </si>
  <si>
    <t>CMD0070</t>
  </si>
  <si>
    <t>Lefevre Bureau SARL</t>
  </si>
  <si>
    <t>CMD0071</t>
  </si>
  <si>
    <t>CMD0072</t>
  </si>
  <si>
    <t>CMD0073</t>
  </si>
  <si>
    <t>CMD0074</t>
  </si>
  <si>
    <t>Girard Negoce EURL</t>
  </si>
  <si>
    <t>CMD0075</t>
  </si>
  <si>
    <t>CMD0076</t>
  </si>
  <si>
    <t>Mercier Informatique SARL</t>
  </si>
  <si>
    <t>CMD0077</t>
  </si>
  <si>
    <t>Nicolas Distribution SARL</t>
  </si>
  <si>
    <t>CMD0078</t>
  </si>
  <si>
    <t>Henry Services SAS</t>
  </si>
  <si>
    <t>CMD0079</t>
  </si>
  <si>
    <t>CMD0080</t>
  </si>
  <si>
    <t>CMD0081</t>
  </si>
  <si>
    <t>Clement Solutions SARL</t>
  </si>
  <si>
    <t>CMD0082</t>
  </si>
  <si>
    <t>Mercier Distribution SARL</t>
  </si>
  <si>
    <t>CMD0083</t>
  </si>
  <si>
    <t>CMD0084</t>
  </si>
  <si>
    <t>Martin Distribution SAS</t>
  </si>
  <si>
    <t>CMD0085</t>
  </si>
  <si>
    <t>CMD0086</t>
  </si>
  <si>
    <t>CMD0087</t>
  </si>
  <si>
    <t>Blanc Bureau EURL</t>
  </si>
  <si>
    <t>CMD0088</t>
  </si>
  <si>
    <t>Francois Distribution SARL</t>
  </si>
  <si>
    <t>CMD0089</t>
  </si>
  <si>
    <t>CMD0090</t>
  </si>
  <si>
    <t>CMD0091</t>
  </si>
  <si>
    <t>Martin Informatique SAS</t>
  </si>
  <si>
    <t>CMD0092</t>
  </si>
  <si>
    <t>Morin Equipements EURL</t>
  </si>
  <si>
    <t>CMD0093</t>
  </si>
  <si>
    <t>CMD0094</t>
  </si>
  <si>
    <t>CMD0095</t>
  </si>
  <si>
    <t>CMD0096</t>
  </si>
  <si>
    <t>CMD0097</t>
  </si>
  <si>
    <t>Francois Services EURL</t>
  </si>
  <si>
    <t>CMD0098</t>
  </si>
  <si>
    <t>CMD0099</t>
  </si>
  <si>
    <t>Moreau Solutions SARL</t>
  </si>
  <si>
    <t>CMD0100</t>
  </si>
  <si>
    <t>Martin Distribution SARL</t>
  </si>
  <si>
    <t>CMD0101</t>
  </si>
  <si>
    <t>Roussel Equipements EURL</t>
  </si>
  <si>
    <t>CMD0102</t>
  </si>
  <si>
    <t>Clement Distribution EURL</t>
  </si>
  <si>
    <t>CMD0103</t>
  </si>
  <si>
    <t>Moreau Negoce SARL</t>
  </si>
  <si>
    <t>CMD0104</t>
  </si>
  <si>
    <t>CMD0105</t>
  </si>
  <si>
    <t>Moreau Bureau SARL</t>
  </si>
  <si>
    <t>CMD0106</t>
  </si>
  <si>
    <t>Guerin Distribution EURL</t>
  </si>
  <si>
    <t>CMD0107</t>
  </si>
  <si>
    <t>Muller Equipements EURL</t>
  </si>
  <si>
    <t>CMD0108</t>
  </si>
  <si>
    <t>CMD0109</t>
  </si>
  <si>
    <t>CMD0110</t>
  </si>
  <si>
    <t>CMD0111</t>
  </si>
  <si>
    <t>Mathieu Solutions EURL</t>
  </si>
  <si>
    <t>CMD0112</t>
  </si>
  <si>
    <t>CMD0113</t>
  </si>
  <si>
    <t>Guerin Equipements SAS</t>
  </si>
  <si>
    <t>CMD0114</t>
  </si>
  <si>
    <t>CMD0115</t>
  </si>
  <si>
    <t>CMD0116</t>
  </si>
  <si>
    <t>CMD0117</t>
  </si>
  <si>
    <t>Muller Services SAS</t>
  </si>
  <si>
    <t>CMD0118</t>
  </si>
  <si>
    <t>CMD0119</t>
  </si>
  <si>
    <t>Blanc Negoce EURL</t>
  </si>
  <si>
    <t>CMD0120</t>
  </si>
  <si>
    <t>CMD0121</t>
  </si>
  <si>
    <t>CMD0122</t>
  </si>
  <si>
    <t>CMD0123</t>
  </si>
  <si>
    <t>CMD0124</t>
  </si>
  <si>
    <t>CMD0125</t>
  </si>
  <si>
    <t>CMD0126</t>
  </si>
  <si>
    <t>CMD0127</t>
  </si>
  <si>
    <t>CMD0128</t>
  </si>
  <si>
    <t>Francois Services SAS</t>
  </si>
  <si>
    <t>CMD0129</t>
  </si>
  <si>
    <t>CMD0130</t>
  </si>
  <si>
    <t>CMD0131</t>
  </si>
  <si>
    <t>CMD0132</t>
  </si>
  <si>
    <t>CMD0133</t>
  </si>
  <si>
    <t>CMD0134</t>
  </si>
  <si>
    <t>CMD0135</t>
  </si>
  <si>
    <t>Bonnet Distribution SARL</t>
  </si>
  <si>
    <t>CMD0136</t>
  </si>
  <si>
    <t>Girard Equipements SARL</t>
  </si>
  <si>
    <t>CMD0137</t>
  </si>
  <si>
    <t>Clement Bureau SARL</t>
  </si>
  <si>
    <t>CMD0138</t>
  </si>
  <si>
    <t>Guerin Bureau SAS</t>
  </si>
  <si>
    <t>CMD0139</t>
  </si>
  <si>
    <t>Dupont Distribution SAS</t>
  </si>
  <si>
    <t>CMD0140</t>
  </si>
  <si>
    <t>CMD0141</t>
  </si>
  <si>
    <t>Blanc Solutions EURL</t>
  </si>
  <si>
    <t>CMD0142</t>
  </si>
  <si>
    <t>CMD0143</t>
  </si>
  <si>
    <t>CMD0144</t>
  </si>
  <si>
    <t>Perrin Bureau SAS</t>
  </si>
  <si>
    <t>CMD0145</t>
  </si>
  <si>
    <t>CMD0146</t>
  </si>
  <si>
    <t>Roussel Informatique SAS</t>
  </si>
  <si>
    <t>CMD0147</t>
  </si>
  <si>
    <t>CMD0148</t>
  </si>
  <si>
    <t>CMD0149</t>
  </si>
  <si>
    <t>Henry Distribution SAS</t>
  </si>
  <si>
    <t>CMD0150</t>
  </si>
  <si>
    <t>CMD0151</t>
  </si>
  <si>
    <t>Faure Bureau EURL</t>
  </si>
  <si>
    <t>CMD0152</t>
  </si>
  <si>
    <t>CMD0153</t>
  </si>
  <si>
    <t>Martin Bureau SARL</t>
  </si>
  <si>
    <t>CMD0154</t>
  </si>
  <si>
    <t>CMD0155</t>
  </si>
  <si>
    <t>CMD0156</t>
  </si>
  <si>
    <t>CMD0157</t>
  </si>
  <si>
    <t>Clement Informatique SARL</t>
  </si>
  <si>
    <t>CMD0158</t>
  </si>
  <si>
    <t>CMD0159</t>
  </si>
  <si>
    <t>Perrin Negoce EURL</t>
  </si>
  <si>
    <t>CMD0160</t>
  </si>
  <si>
    <t>Moreau Informatique SAS</t>
  </si>
  <si>
    <t>CMD0161</t>
  </si>
  <si>
    <t>CMD0162</t>
  </si>
  <si>
    <t>Mercier Services EURL</t>
  </si>
  <si>
    <t>CMD0163</t>
  </si>
  <si>
    <t>CMD0164</t>
  </si>
  <si>
    <t>CMD0165</t>
  </si>
  <si>
    <t>Perrin Distribution EURL</t>
  </si>
  <si>
    <t>CMD0166</t>
  </si>
  <si>
    <t>Guerin Informatique SARL</t>
  </si>
  <si>
    <t>CMD0167</t>
  </si>
  <si>
    <t>Bonnet Services SARL</t>
  </si>
  <si>
    <t>CMD0168</t>
  </si>
  <si>
    <t>CMD0169</t>
  </si>
  <si>
    <t>Francois Informatique SAS</t>
  </si>
  <si>
    <t>CMD0170</t>
  </si>
  <si>
    <t>CMD0171</t>
  </si>
  <si>
    <t>CMD0172</t>
  </si>
  <si>
    <t>CMD0173</t>
  </si>
  <si>
    <t>Blanc Bureau SARL</t>
  </si>
  <si>
    <t>CMD0174</t>
  </si>
  <si>
    <t>CMD0175</t>
  </si>
  <si>
    <t>CMD0176</t>
  </si>
  <si>
    <t>CMD0177</t>
  </si>
  <si>
    <t>Henry Solutions SARL</t>
  </si>
  <si>
    <t>CMD0178</t>
  </si>
  <si>
    <t>CMD0179</t>
  </si>
  <si>
    <t>Moreau Solutions SAS</t>
  </si>
  <si>
    <t>CMD0180</t>
  </si>
  <si>
    <t>Guerin Solutions SARL</t>
  </si>
  <si>
    <t>CMD0181</t>
  </si>
  <si>
    <t>Moreau Distribution SAS</t>
  </si>
  <si>
    <t>CMD0182</t>
  </si>
  <si>
    <t>CMD0183</t>
  </si>
  <si>
    <t>CMD0184</t>
  </si>
  <si>
    <t>CMD0185</t>
  </si>
  <si>
    <t>Lefevre Negoce EURL</t>
  </si>
  <si>
    <t>CMD0186</t>
  </si>
  <si>
    <t>CMD0187</t>
  </si>
  <si>
    <t>CMD0188</t>
  </si>
  <si>
    <t>CMD0189</t>
  </si>
  <si>
    <t>Francois Negoce SAS</t>
  </si>
  <si>
    <t>CMD0190</t>
  </si>
  <si>
    <t>Clement Services SAS</t>
  </si>
  <si>
    <t>CMD0191</t>
  </si>
  <si>
    <t>Dupont Negoce EURL</t>
  </si>
  <si>
    <t>CMD0192</t>
  </si>
  <si>
    <t>Blanc Negoce SAS</t>
  </si>
  <si>
    <t>CMD0193</t>
  </si>
  <si>
    <t>CMD0194</t>
  </si>
  <si>
    <t>Dupont Bureau EURL</t>
  </si>
  <si>
    <t>CMD0195</t>
  </si>
  <si>
    <t>CMD0196</t>
  </si>
  <si>
    <t>Muller Distribution SARL</t>
  </si>
  <si>
    <t>CMD0197</t>
  </si>
  <si>
    <t>CMD0198</t>
  </si>
  <si>
    <t>CMD0199</t>
  </si>
  <si>
    <t>CMD0200</t>
  </si>
  <si>
    <t>CMD0201</t>
  </si>
  <si>
    <t>CMD0202</t>
  </si>
  <si>
    <t>Martin Negoce SAS</t>
  </si>
  <si>
    <t>CMD0203</t>
  </si>
  <si>
    <t>CMD0204</t>
  </si>
  <si>
    <t>Andre Equipements SAS</t>
  </si>
  <si>
    <t>CMD0205</t>
  </si>
  <si>
    <t>Guerin Equipements SARL</t>
  </si>
  <si>
    <t>CMD0206</t>
  </si>
  <si>
    <t>Lefevre Bureau EURL</t>
  </si>
  <si>
    <t>CMD0207</t>
  </si>
  <si>
    <t>CMD0208</t>
  </si>
  <si>
    <t>CMD0209</t>
  </si>
  <si>
    <t>Perrin Equipements SAS</t>
  </si>
  <si>
    <t>CMD0210</t>
  </si>
  <si>
    <t>Moreau Services EURL</t>
  </si>
  <si>
    <t>CMD0211</t>
  </si>
  <si>
    <t>CMD0212</t>
  </si>
  <si>
    <t>CMD0213</t>
  </si>
  <si>
    <t>Roussel Distribution SARL</t>
  </si>
  <si>
    <t>CMD0214</t>
  </si>
  <si>
    <t>Martin Services EURL</t>
  </si>
  <si>
    <t>CMD0215</t>
  </si>
  <si>
    <t>CMD0216</t>
  </si>
  <si>
    <t>CMD0217</t>
  </si>
  <si>
    <t>CMD0218</t>
  </si>
  <si>
    <t>CMD0219</t>
  </si>
  <si>
    <t>CMD0220</t>
  </si>
  <si>
    <t>CMD0221</t>
  </si>
  <si>
    <t>CMD0222</t>
  </si>
  <si>
    <t>Morin Bureau SARL</t>
  </si>
  <si>
    <t>CMD0223</t>
  </si>
  <si>
    <t>CMD0224</t>
  </si>
  <si>
    <t>Lefevre Equipements SAS</t>
  </si>
  <si>
    <t>CMD0225</t>
  </si>
  <si>
    <t>Francois Distribution EURL</t>
  </si>
  <si>
    <t>CMD0226</t>
  </si>
  <si>
    <t>CMD0227</t>
  </si>
  <si>
    <t>Nicolas Services SAS</t>
  </si>
  <si>
    <t>CMD0228</t>
  </si>
  <si>
    <t>Muller Informatique SARL</t>
  </si>
  <si>
    <t>CMD0229</t>
  </si>
  <si>
    <t>Martin Negoce SARL</t>
  </si>
  <si>
    <t>CMD0230</t>
  </si>
  <si>
    <t>CMD0231</t>
  </si>
  <si>
    <t>CMD0232</t>
  </si>
  <si>
    <t>Blanc Informatique EURL</t>
  </si>
  <si>
    <t>CMD0233</t>
  </si>
  <si>
    <t>CMD0234</t>
  </si>
  <si>
    <t>CMD0235</t>
  </si>
  <si>
    <t>CMD0236</t>
  </si>
  <si>
    <t>Girard Bureau SARL</t>
  </si>
  <si>
    <t>CMD0237</t>
  </si>
  <si>
    <t>CMD0238</t>
  </si>
  <si>
    <t>CMD0239</t>
  </si>
  <si>
    <t>CMD0240</t>
  </si>
  <si>
    <t>CMD0241</t>
  </si>
  <si>
    <t>Blanc Services SAS</t>
  </si>
  <si>
    <t>CMD0242</t>
  </si>
  <si>
    <t>Nicolas Services SARL</t>
  </si>
  <si>
    <t>CMD0243</t>
  </si>
  <si>
    <t>CMD0244</t>
  </si>
  <si>
    <t>CMD0245</t>
  </si>
  <si>
    <t>Bonnet Solutions SAS</t>
  </si>
  <si>
    <t>CMD0246</t>
  </si>
  <si>
    <t>Martin Negoce EURL</t>
  </si>
  <si>
    <t>CMD0247</t>
  </si>
  <si>
    <t>Blanc Bureau SAS</t>
  </si>
  <si>
    <t>CMD0248</t>
  </si>
  <si>
    <t>CMD0249</t>
  </si>
  <si>
    <t>Faure Bureau SAS</t>
  </si>
  <si>
    <t>CMD0250</t>
  </si>
  <si>
    <t>CMD0251</t>
  </si>
  <si>
    <t>Roussel Solutions SARL</t>
  </si>
  <si>
    <t>CMD0252</t>
  </si>
  <si>
    <t>Faure Negoce SARL</t>
  </si>
  <si>
    <t>CMD0253</t>
  </si>
  <si>
    <t>CMD0254</t>
  </si>
  <si>
    <t>CMD0255</t>
  </si>
  <si>
    <t>CMD0256</t>
  </si>
  <si>
    <t>Roussel Services SARL</t>
  </si>
  <si>
    <t>CMD0257</t>
  </si>
  <si>
    <t>CMD0258</t>
  </si>
  <si>
    <t>Perrin Negoce SAS</t>
  </si>
  <si>
    <t>CMD0259</t>
  </si>
  <si>
    <t>Perrin Equipements SARL</t>
  </si>
  <si>
    <t>CMD0260</t>
  </si>
  <si>
    <t>Francois Solutions SARL</t>
  </si>
  <si>
    <t>CMD0261</t>
  </si>
  <si>
    <t>CMD0262</t>
  </si>
  <si>
    <t>CMD0263</t>
  </si>
  <si>
    <t>CMD0264</t>
  </si>
  <si>
    <t>Roussel Distribution EURL</t>
  </si>
  <si>
    <t>CMD0265</t>
  </si>
  <si>
    <t>CMD0266</t>
  </si>
  <si>
    <t>CMD0267</t>
  </si>
  <si>
    <t>CMD0268</t>
  </si>
  <si>
    <t>CMD0269</t>
  </si>
  <si>
    <t>CMD0270</t>
  </si>
  <si>
    <t>CMD0271</t>
  </si>
  <si>
    <t>CMD0272</t>
  </si>
  <si>
    <t>CMD0273</t>
  </si>
  <si>
    <t>CMD0274</t>
  </si>
  <si>
    <t>CMD0275</t>
  </si>
  <si>
    <t>CMD0276</t>
  </si>
  <si>
    <t>CMD0277</t>
  </si>
  <si>
    <t>CMD0278</t>
  </si>
  <si>
    <t>CMD0279</t>
  </si>
  <si>
    <t>CMD0280</t>
  </si>
  <si>
    <t>Faure Informatique SARL</t>
  </si>
  <si>
    <t>CMD0281</t>
  </si>
  <si>
    <t>CMD0282</t>
  </si>
  <si>
    <t>CMD0283</t>
  </si>
  <si>
    <t>CMD0284</t>
  </si>
  <si>
    <t>CMD0285</t>
  </si>
  <si>
    <t>CMD0286</t>
  </si>
  <si>
    <t>CMD0287</t>
  </si>
  <si>
    <t>CMD0288</t>
  </si>
  <si>
    <t>CMD0289</t>
  </si>
  <si>
    <t>CMD0290</t>
  </si>
  <si>
    <t>CMD0291</t>
  </si>
  <si>
    <t>Faure Distribution SARL</t>
  </si>
  <si>
    <t>CMD0292</t>
  </si>
  <si>
    <t>Henry Informatique SARL</t>
  </si>
  <si>
    <t>CMD0293</t>
  </si>
  <si>
    <t>CMD0294</t>
  </si>
  <si>
    <t>CMD0295</t>
  </si>
  <si>
    <t>Perrin Equipements EURL</t>
  </si>
  <si>
    <t>CMD0296</t>
  </si>
  <si>
    <t>CMD0297</t>
  </si>
  <si>
    <t>CMD0298</t>
  </si>
  <si>
    <t>CMD0299</t>
  </si>
  <si>
    <t>Girard Solutions SAS</t>
  </si>
  <si>
    <t>CMD0300</t>
  </si>
  <si>
    <t>CMD0301</t>
  </si>
  <si>
    <t>CMD0302</t>
  </si>
  <si>
    <t>CMD0303</t>
  </si>
  <si>
    <t>Bonnet Informatique SAS</t>
  </si>
  <si>
    <t>CMD0304</t>
  </si>
  <si>
    <t>CMD0305</t>
  </si>
  <si>
    <t>CMD0306</t>
  </si>
  <si>
    <t>CMD0307</t>
  </si>
  <si>
    <t>CMD0308</t>
  </si>
  <si>
    <t>Nicolas Equipements SAS</t>
  </si>
  <si>
    <t>CMD0309</t>
  </si>
  <si>
    <t>Morin Services SARL</t>
  </si>
  <si>
    <t>CMD0310</t>
  </si>
  <si>
    <t>CMD0311</t>
  </si>
  <si>
    <t>Mercier Negoce SAS</t>
  </si>
  <si>
    <t>CMD0312</t>
  </si>
  <si>
    <t>CMD0313</t>
  </si>
  <si>
    <t>CMD0314</t>
  </si>
  <si>
    <t>CMD0315</t>
  </si>
  <si>
    <t>Henry Distribution SARL</t>
  </si>
  <si>
    <t>CMD0316</t>
  </si>
  <si>
    <t>CMD0317</t>
  </si>
  <si>
    <t>CMD0318</t>
  </si>
  <si>
    <t>CMD0319</t>
  </si>
  <si>
    <t>CMD0320</t>
  </si>
  <si>
    <t>CMD0321</t>
  </si>
  <si>
    <t>Mathieu Informatique EURL</t>
  </si>
  <si>
    <t>CMD0322</t>
  </si>
  <si>
    <t>CMD0323</t>
  </si>
  <si>
    <t>CMD0324</t>
  </si>
  <si>
    <t>CMD0325</t>
  </si>
  <si>
    <t>CMD0326</t>
  </si>
  <si>
    <t>Mercier Equipements SAS</t>
  </si>
  <si>
    <t>CMD0327</t>
  </si>
  <si>
    <t>CMD0328</t>
  </si>
  <si>
    <t>CMD0329</t>
  </si>
  <si>
    <t>Francois Bureau SAS</t>
  </si>
  <si>
    <t>CMD0330</t>
  </si>
  <si>
    <t>Nicolas Equipements SARL</t>
  </si>
  <si>
    <t>CMD0331</t>
  </si>
  <si>
    <t>Guerin Negoce EURL</t>
  </si>
  <si>
    <t>CMD0332</t>
  </si>
  <si>
    <t>CMD0333</t>
  </si>
  <si>
    <t>Clement Informatique SAS</t>
  </si>
  <si>
    <t>CMD0334</t>
  </si>
  <si>
    <t>CMD0335</t>
  </si>
  <si>
    <t>CMD0336</t>
  </si>
  <si>
    <t>Mercier Informatique EURL</t>
  </si>
  <si>
    <t>CMD0337</t>
  </si>
  <si>
    <t>CMD0338</t>
  </si>
  <si>
    <t>CMD0339</t>
  </si>
  <si>
    <t>CMD0340</t>
  </si>
  <si>
    <t>CMD0341</t>
  </si>
  <si>
    <t>Roussel Negoce SARL</t>
  </si>
  <si>
    <t>CMD0342</t>
  </si>
  <si>
    <t>Mercier Distribution EURL</t>
  </si>
  <si>
    <t>CMD0343</t>
  </si>
  <si>
    <t>CMD0344</t>
  </si>
  <si>
    <t>CMD0345</t>
  </si>
  <si>
    <t>CMD0346</t>
  </si>
  <si>
    <t>CMD0347</t>
  </si>
  <si>
    <t>Mathieu Informatique SARL</t>
  </si>
  <si>
    <t>CMD0348</t>
  </si>
  <si>
    <t>CMD0349</t>
  </si>
  <si>
    <t>CMD0350</t>
  </si>
  <si>
    <t>CMD0351</t>
  </si>
  <si>
    <t>CMD0352</t>
  </si>
  <si>
    <t>Morin Informatique SARL</t>
  </si>
  <si>
    <t>CMD0353</t>
  </si>
  <si>
    <t>Dupont Distribution EURL</t>
  </si>
  <si>
    <t>CMD0354</t>
  </si>
  <si>
    <t>CMD0355</t>
  </si>
  <si>
    <t>Perrin Solutions SARL</t>
  </si>
  <si>
    <t>CMD0356</t>
  </si>
  <si>
    <t>CMD0357</t>
  </si>
  <si>
    <t>CMD0358</t>
  </si>
  <si>
    <t>CMD0359</t>
  </si>
  <si>
    <t>CMD0360</t>
  </si>
  <si>
    <t>Bonnet Equipements SARL</t>
  </si>
  <si>
    <t>CMD0361</t>
  </si>
  <si>
    <t>CMD0362</t>
  </si>
  <si>
    <t>CMD0363</t>
  </si>
  <si>
    <t>CMD0364</t>
  </si>
  <si>
    <t>CMD0365</t>
  </si>
  <si>
    <t>Blanc Equipements SARL</t>
  </si>
  <si>
    <t>CMD0366</t>
  </si>
  <si>
    <t>CMD0367</t>
  </si>
  <si>
    <t>CMD0368</t>
  </si>
  <si>
    <t>CMD0369</t>
  </si>
  <si>
    <t>Henry Equipements SAS</t>
  </si>
  <si>
    <t>CMD0370</t>
  </si>
  <si>
    <t>CMD0371</t>
  </si>
  <si>
    <t>CMD0372</t>
  </si>
  <si>
    <t>CMD0373</t>
  </si>
  <si>
    <t>CMD0374</t>
  </si>
  <si>
    <t>CMD0375</t>
  </si>
  <si>
    <t>CMD0376</t>
  </si>
  <si>
    <t>Henry Services SARL</t>
  </si>
  <si>
    <t>CMD0377</t>
  </si>
  <si>
    <t>CMD0378</t>
  </si>
  <si>
    <t>Muller Equipements SAS</t>
  </si>
  <si>
    <t>CMD0379</t>
  </si>
  <si>
    <t>CMD0380</t>
  </si>
  <si>
    <t>CMD0381</t>
  </si>
  <si>
    <t>Roussel Solutions SAS</t>
  </si>
  <si>
    <t>CMD0382</t>
  </si>
  <si>
    <t>CMD0383</t>
  </si>
  <si>
    <t>CMD0384</t>
  </si>
  <si>
    <t>CMD0385</t>
  </si>
  <si>
    <t>CMD0386</t>
  </si>
  <si>
    <t>CMD0387</t>
  </si>
  <si>
    <t>Henry Equipements EURL</t>
  </si>
  <si>
    <t>CMD0388</t>
  </si>
  <si>
    <t>Nicolas Bureau SARL</t>
  </si>
  <si>
    <t>CMD0389</t>
  </si>
  <si>
    <t>CMD0390</t>
  </si>
  <si>
    <t>Bonnet Equipements EURL</t>
  </si>
  <si>
    <t>CMD0391</t>
  </si>
  <si>
    <t>CMD0392</t>
  </si>
  <si>
    <t>Perrin Services EURL</t>
  </si>
  <si>
    <t>CMD0393</t>
  </si>
  <si>
    <t>CMD0394</t>
  </si>
  <si>
    <t>CMD0395</t>
  </si>
  <si>
    <t>CMD0396</t>
  </si>
  <si>
    <t>CMD0397</t>
  </si>
  <si>
    <t>CMD0398</t>
  </si>
  <si>
    <t>Perrin Informatique SARL</t>
  </si>
  <si>
    <t>CMD0399</t>
  </si>
  <si>
    <t>Girard Services SARL</t>
  </si>
  <si>
    <t>CMD0400</t>
  </si>
  <si>
    <t>Cette feuille sert de source pour vos tableaux croises dynamiques, a construire sur de nouvelles feuilles du classeur.</t>
  </si>
  <si>
    <t>Exercice 4 - Ressources humaines : fonctions avancees, filtre avance et protection</t>
  </si>
  <si>
    <t>250 lignes de donnees - NB.SI.ENS - BDSOMME - BDMOYENNE - SIERREUR - Filtre avance - Protection</t>
  </si>
  <si>
    <t>Matricule</t>
  </si>
  <si>
    <t>Nom</t>
  </si>
  <si>
    <t>Service</t>
  </si>
  <si>
    <t>Ville</t>
  </si>
  <si>
    <t>Anciennete (annees)</t>
  </si>
  <si>
    <t>Salaire mensuel brut (EUR)</t>
  </si>
  <si>
    <t>Prime annuelle (EUR)</t>
  </si>
  <si>
    <t>Prime (% salaire annuel)</t>
  </si>
  <si>
    <t>M0001</t>
  </si>
  <si>
    <t>Jules David</t>
  </si>
  <si>
    <t>Production</t>
  </si>
  <si>
    <t>Lille</t>
  </si>
  <si>
    <t>Cadre</t>
  </si>
  <si>
    <t>M0002</t>
  </si>
  <si>
    <t>Louis Garnier</t>
  </si>
  <si>
    <t>Commercial</t>
  </si>
  <si>
    <t>Strasbourg</t>
  </si>
  <si>
    <t>M0003</t>
  </si>
  <si>
    <t>Alice Petit</t>
  </si>
  <si>
    <t>Ressources Humaines</t>
  </si>
  <si>
    <t>Paris</t>
  </si>
  <si>
    <t>M0004</t>
  </si>
  <si>
    <t>Manon Francois</t>
  </si>
  <si>
    <t>Logistique</t>
  </si>
  <si>
    <t>Employe</t>
  </si>
  <si>
    <t>M0005</t>
  </si>
  <si>
    <t>Ines Simon</t>
  </si>
  <si>
    <t>M0006</t>
  </si>
  <si>
    <t>Lucas Rousseau</t>
  </si>
  <si>
    <t>Nantes</t>
  </si>
  <si>
    <t>M0007</t>
  </si>
  <si>
    <t>Camille Robin</t>
  </si>
  <si>
    <t>Marseille</t>
  </si>
  <si>
    <t>M0008</t>
  </si>
  <si>
    <t>Ethan Bertrand</t>
  </si>
  <si>
    <t>Nanterre</t>
  </si>
  <si>
    <t>M0009</t>
  </si>
  <si>
    <t>Louis Francois</t>
  </si>
  <si>
    <t>Toulouse</t>
  </si>
  <si>
    <t>M0010</t>
  </si>
  <si>
    <t>Nathan Leroy</t>
  </si>
  <si>
    <t>M0011</t>
  </si>
  <si>
    <t>Jules Roux</t>
  </si>
  <si>
    <t>Rennes</t>
  </si>
  <si>
    <t>M0012</t>
  </si>
  <si>
    <t>Sarah Michel</t>
  </si>
  <si>
    <t>Finance</t>
  </si>
  <si>
    <t>Lyon</t>
  </si>
  <si>
    <t>M0013</t>
  </si>
  <si>
    <t>Ethan Garnier</t>
  </si>
  <si>
    <t>Marketing</t>
  </si>
  <si>
    <t>M0014</t>
  </si>
  <si>
    <t>Camille Lambert</t>
  </si>
  <si>
    <t>M0015</t>
  </si>
  <si>
    <t>Manon Durand</t>
  </si>
  <si>
    <t>M0016</t>
  </si>
  <si>
    <t>M0017</t>
  </si>
  <si>
    <t>Manon Vincent</t>
  </si>
  <si>
    <t>M0018</t>
  </si>
  <si>
    <t>Ines Leroy</t>
  </si>
  <si>
    <t>M0019</t>
  </si>
  <si>
    <t>Arthur Bonnet</t>
  </si>
  <si>
    <t>Bordeaux</t>
  </si>
  <si>
    <t>M0020</t>
  </si>
  <si>
    <t>Ethan Rousseau</t>
  </si>
  <si>
    <t>M0021</t>
  </si>
  <si>
    <t>Julia Robin</t>
  </si>
  <si>
    <t>M0022</t>
  </si>
  <si>
    <t>Nathan Roux</t>
  </si>
  <si>
    <t>M0023</t>
  </si>
  <si>
    <t>Jade Chevalier</t>
  </si>
  <si>
    <t>M0024</t>
  </si>
  <si>
    <t>Tom Garnier</t>
  </si>
  <si>
    <t>M0025</t>
  </si>
  <si>
    <t>Camille Michel</t>
  </si>
  <si>
    <t>M0026</t>
  </si>
  <si>
    <t>M0027</t>
  </si>
  <si>
    <t>Alice Francois</t>
  </si>
  <si>
    <t>M0028</t>
  </si>
  <si>
    <t>M0029</t>
  </si>
  <si>
    <t>M0030</t>
  </si>
  <si>
    <t>Manon Bonnet</t>
  </si>
  <si>
    <t>M0031</t>
  </si>
  <si>
    <t>Jade Durand</t>
  </si>
  <si>
    <t>M0032</t>
  </si>
  <si>
    <t>Ethan Bonnet</t>
  </si>
  <si>
    <t>M0033</t>
  </si>
  <si>
    <t>Lucas Francois</t>
  </si>
  <si>
    <t>M0034</t>
  </si>
  <si>
    <t>Camille Laurent</t>
  </si>
  <si>
    <t>M0035</t>
  </si>
  <si>
    <t>Louis Lambert</t>
  </si>
  <si>
    <t>M0036</t>
  </si>
  <si>
    <t>Camille Rousseau</t>
  </si>
  <si>
    <t>M0037</t>
  </si>
  <si>
    <t>M0038</t>
  </si>
  <si>
    <t>Adam Fontaine</t>
  </si>
  <si>
    <t>M0039</t>
  </si>
  <si>
    <t>Jules Simon</t>
  </si>
  <si>
    <t>M0040</t>
  </si>
  <si>
    <t>Ethan Fournier</t>
  </si>
  <si>
    <t>M0041</t>
  </si>
  <si>
    <t>Arthur Fournier</t>
  </si>
  <si>
    <t>M0042</t>
  </si>
  <si>
    <t>Louis Petit</t>
  </si>
  <si>
    <t>M0043</t>
  </si>
  <si>
    <t>Lea Bonnet</t>
  </si>
  <si>
    <t>M0044</t>
  </si>
  <si>
    <t>Nathan Simon</t>
  </si>
  <si>
    <t>M0045</t>
  </si>
  <si>
    <t>Lucas Simon</t>
  </si>
  <si>
    <t>M0046</t>
  </si>
  <si>
    <t>Lucas Roux</t>
  </si>
  <si>
    <t>M0047</t>
  </si>
  <si>
    <t>Chloe Bertrand</t>
  </si>
  <si>
    <t>M0048</t>
  </si>
  <si>
    <t>M0049</t>
  </si>
  <si>
    <t>Tom Robin</t>
  </si>
  <si>
    <t>M0050</t>
  </si>
  <si>
    <t>Tom Bertrand</t>
  </si>
  <si>
    <t>M0051</t>
  </si>
  <si>
    <t>M0052</t>
  </si>
  <si>
    <t>Emma Fournier</t>
  </si>
  <si>
    <t>M0053</t>
  </si>
  <si>
    <t>Nathan Dumont</t>
  </si>
  <si>
    <t>M0054</t>
  </si>
  <si>
    <t>Sarah Chevalier</t>
  </si>
  <si>
    <t>M0055</t>
  </si>
  <si>
    <t>Tom Petit</t>
  </si>
  <si>
    <t>M0056</t>
  </si>
  <si>
    <t>Arthur Vincent</t>
  </si>
  <si>
    <t>M0057</t>
  </si>
  <si>
    <t>Lucas Fontaine</t>
  </si>
  <si>
    <t>M0058</t>
  </si>
  <si>
    <t>Arthur Durand</t>
  </si>
  <si>
    <t>M0059</t>
  </si>
  <si>
    <t>Jade Rousseau</t>
  </si>
  <si>
    <t>M0060</t>
  </si>
  <si>
    <t>Gabriel Laurent</t>
  </si>
  <si>
    <t>M0061</t>
  </si>
  <si>
    <t>Gabriel Simon</t>
  </si>
  <si>
    <t>M0062</t>
  </si>
  <si>
    <t>Sarah Bertrand</t>
  </si>
  <si>
    <t>M0063</t>
  </si>
  <si>
    <t>Sarah Robin</t>
  </si>
  <si>
    <t>M0064</t>
  </si>
  <si>
    <t>Arthur Fontaine</t>
  </si>
  <si>
    <t>M0065</t>
  </si>
  <si>
    <t>M0066</t>
  </si>
  <si>
    <t>Julia Rousseau</t>
  </si>
  <si>
    <t>M0067</t>
  </si>
  <si>
    <t>Tom Francois</t>
  </si>
  <si>
    <t>M0068</t>
  </si>
  <si>
    <t>Louis Laurent</t>
  </si>
  <si>
    <t>M0069</t>
  </si>
  <si>
    <t>Ethan Fontaine</t>
  </si>
  <si>
    <t>M0070</t>
  </si>
  <si>
    <t>Adam David</t>
  </si>
  <si>
    <t>M0071</t>
  </si>
  <si>
    <t>Nathan Robin</t>
  </si>
  <si>
    <t>M0072</t>
  </si>
  <si>
    <t>Arthur Michel</t>
  </si>
  <si>
    <t>M0073</t>
  </si>
  <si>
    <t>Lucas Bertrand</t>
  </si>
  <si>
    <t>M0074</t>
  </si>
  <si>
    <t>M0075</t>
  </si>
  <si>
    <t>Ines Petit</t>
  </si>
  <si>
    <t>M0076</t>
  </si>
  <si>
    <t>Ines Durand</t>
  </si>
  <si>
    <t>M0077</t>
  </si>
  <si>
    <t>Alice Fournier</t>
  </si>
  <si>
    <t>M0078</t>
  </si>
  <si>
    <t>Jade Petit</t>
  </si>
  <si>
    <t>M0079</t>
  </si>
  <si>
    <t>Manon Rousseau</t>
  </si>
  <si>
    <t>M0080</t>
  </si>
  <si>
    <t>Julia Francois</t>
  </si>
  <si>
    <t>M0081</t>
  </si>
  <si>
    <t>Jules Lambert</t>
  </si>
  <si>
    <t>M0082</t>
  </si>
  <si>
    <t>Julia Fontaine</t>
  </si>
  <si>
    <t>M0083</t>
  </si>
  <si>
    <t>Emma Roux</t>
  </si>
  <si>
    <t>M0084</t>
  </si>
  <si>
    <t>Gabriel Dumont</t>
  </si>
  <si>
    <t>M0085</t>
  </si>
  <si>
    <t>M0086</t>
  </si>
  <si>
    <t>Lea Dumont</t>
  </si>
  <si>
    <t>M0087</t>
  </si>
  <si>
    <t>Adam Bertrand</t>
  </si>
  <si>
    <t>M0088</t>
  </si>
  <si>
    <t>Jules Fontaine</t>
  </si>
  <si>
    <t>M0089</t>
  </si>
  <si>
    <t>Gabriel Vincent</t>
  </si>
  <si>
    <t>M0090</t>
  </si>
  <si>
    <t>Julia Fournier</t>
  </si>
  <si>
    <t>M0091</t>
  </si>
  <si>
    <t>Arthur Roux</t>
  </si>
  <si>
    <t>M0092</t>
  </si>
  <si>
    <t>M0093</t>
  </si>
  <si>
    <t>Chloe Simon</t>
  </si>
  <si>
    <t>M0094</t>
  </si>
  <si>
    <t>M0095</t>
  </si>
  <si>
    <t>Julia Laurent</t>
  </si>
  <si>
    <t>M0096</t>
  </si>
  <si>
    <t>Jules Bonnet</t>
  </si>
  <si>
    <t>M0097</t>
  </si>
  <si>
    <t>Louis Bonnet</t>
  </si>
  <si>
    <t>M0098</t>
  </si>
  <si>
    <t>Tom Chevalier</t>
  </si>
  <si>
    <t>M0099</t>
  </si>
  <si>
    <t>Adam Francois</t>
  </si>
  <si>
    <t>M0100</t>
  </si>
  <si>
    <t>Tom Laurent</t>
  </si>
  <si>
    <t>M0101</t>
  </si>
  <si>
    <t>Sarah Francois</t>
  </si>
  <si>
    <t>M0102</t>
  </si>
  <si>
    <t>M0103</t>
  </si>
  <si>
    <t>Adam Bonnet</t>
  </si>
  <si>
    <t>M0104</t>
  </si>
  <si>
    <t>Nathan Vincent</t>
  </si>
  <si>
    <t>M0105</t>
  </si>
  <si>
    <t>Julia Dumont</t>
  </si>
  <si>
    <t>M0106</t>
  </si>
  <si>
    <t>Manon Garnier</t>
  </si>
  <si>
    <t>M0107</t>
  </si>
  <si>
    <t>Sarah Bonnet</t>
  </si>
  <si>
    <t>M0108</t>
  </si>
  <si>
    <t>M0109</t>
  </si>
  <si>
    <t>Tom Vincent</t>
  </si>
  <si>
    <t>M0110</t>
  </si>
  <si>
    <t>Lucas Laurent</t>
  </si>
  <si>
    <t>M0111</t>
  </si>
  <si>
    <t>Tom Dumont</t>
  </si>
  <si>
    <t>M0112</t>
  </si>
  <si>
    <t>Nathan Lambert</t>
  </si>
  <si>
    <t>M0113</t>
  </si>
  <si>
    <t>Alice Robin</t>
  </si>
  <si>
    <t>M0114</t>
  </si>
  <si>
    <t>Jade Bonnet</t>
  </si>
  <si>
    <t>M0115</t>
  </si>
  <si>
    <t>Camille Vincent</t>
  </si>
  <si>
    <t>M0116</t>
  </si>
  <si>
    <t>Camille Simon</t>
  </si>
  <si>
    <t>M0117</t>
  </si>
  <si>
    <t>Alice Roux</t>
  </si>
  <si>
    <t>M0118</t>
  </si>
  <si>
    <t>Nathan Bonnet</t>
  </si>
  <si>
    <t>M0119</t>
  </si>
  <si>
    <t>Raphael Simon</t>
  </si>
  <si>
    <t>M0120</t>
  </si>
  <si>
    <t>Gabriel Chevalier</t>
  </si>
  <si>
    <t>M0121</t>
  </si>
  <si>
    <t>Alice Michel</t>
  </si>
  <si>
    <t>M0122</t>
  </si>
  <si>
    <t>Jules Michel</t>
  </si>
  <si>
    <t>M0123</t>
  </si>
  <si>
    <t>Ines Michel</t>
  </si>
  <si>
    <t>M0124</t>
  </si>
  <si>
    <t>Emma Garnier</t>
  </si>
  <si>
    <t>M0125</t>
  </si>
  <si>
    <t>Emma Bonnet</t>
  </si>
  <si>
    <t>M0126</t>
  </si>
  <si>
    <t>Sarah Petit</t>
  </si>
  <si>
    <t>M0127</t>
  </si>
  <si>
    <t>Jade Michel</t>
  </si>
  <si>
    <t>M0128</t>
  </si>
  <si>
    <t>Adam Robin</t>
  </si>
  <si>
    <t>M0129</t>
  </si>
  <si>
    <t>Jade Lambert</t>
  </si>
  <si>
    <t>M0130</t>
  </si>
  <si>
    <t>Adam Rousseau</t>
  </si>
  <si>
    <t>M0131</t>
  </si>
  <si>
    <t>Gabriel David</t>
  </si>
  <si>
    <t>M0132</t>
  </si>
  <si>
    <t>Tom Michel</t>
  </si>
  <si>
    <t>M0133</t>
  </si>
  <si>
    <t>Louis Fournier</t>
  </si>
  <si>
    <t>M0134</t>
  </si>
  <si>
    <t>Lea Leroy</t>
  </si>
  <si>
    <t>M0135</t>
  </si>
  <si>
    <t>Chloe Garnier</t>
  </si>
  <si>
    <t>M0136</t>
  </si>
  <si>
    <t>Jade Vincent</t>
  </si>
  <si>
    <t>M0137</t>
  </si>
  <si>
    <t>M0138</t>
  </si>
  <si>
    <t>Chloe Robin</t>
  </si>
  <si>
    <t>M0139</t>
  </si>
  <si>
    <t>M0140</t>
  </si>
  <si>
    <t>M0141</t>
  </si>
  <si>
    <t>M0142</t>
  </si>
  <si>
    <t>M0143</t>
  </si>
  <si>
    <t>Alice Fontaine</t>
  </si>
  <si>
    <t>M0144</t>
  </si>
  <si>
    <t>Sarah Rousseau</t>
  </si>
  <si>
    <t>M0145</t>
  </si>
  <si>
    <t>Chloe Vincent</t>
  </si>
  <si>
    <t>M0146</t>
  </si>
  <si>
    <t>M0147</t>
  </si>
  <si>
    <t>M0148</t>
  </si>
  <si>
    <t>Sarah Leroy</t>
  </si>
  <si>
    <t>M0149</t>
  </si>
  <si>
    <t>M0150</t>
  </si>
  <si>
    <t>Louis Dumont</t>
  </si>
  <si>
    <t>M0151</t>
  </si>
  <si>
    <t>Ines Dumont</t>
  </si>
  <si>
    <t>M0152</t>
  </si>
  <si>
    <t>Manon Fontaine</t>
  </si>
  <si>
    <t>M0153</t>
  </si>
  <si>
    <t>Alice David</t>
  </si>
  <si>
    <t>M0154</t>
  </si>
  <si>
    <t>Lea Lambert</t>
  </si>
  <si>
    <t>M0155</t>
  </si>
  <si>
    <t>Emma Lambert</t>
  </si>
  <si>
    <t>M0156</t>
  </si>
  <si>
    <t>Louis Roux</t>
  </si>
  <si>
    <t>M0157</t>
  </si>
  <si>
    <t>Gabriel Bonnet</t>
  </si>
  <si>
    <t>M0158</t>
  </si>
  <si>
    <t>M0159</t>
  </si>
  <si>
    <t>M0160</t>
  </si>
  <si>
    <t>Tom Lambert</t>
  </si>
  <si>
    <t>M0161</t>
  </si>
  <si>
    <t>Lucas Michel</t>
  </si>
  <si>
    <t>M0162</t>
  </si>
  <si>
    <t>M0163</t>
  </si>
  <si>
    <t>Alice Garnier</t>
  </si>
  <si>
    <t>M0164</t>
  </si>
  <si>
    <t>M0165</t>
  </si>
  <si>
    <t>Alice Leroy</t>
  </si>
  <si>
    <t>M0166</t>
  </si>
  <si>
    <t>M0167</t>
  </si>
  <si>
    <t>M0168</t>
  </si>
  <si>
    <t>Ethan Roux</t>
  </si>
  <si>
    <t>M0169</t>
  </si>
  <si>
    <t>M0170</t>
  </si>
  <si>
    <t>Ines Fournier</t>
  </si>
  <si>
    <t>M0171</t>
  </si>
  <si>
    <t>M0172</t>
  </si>
  <si>
    <t>M0173</t>
  </si>
  <si>
    <t>M0174</t>
  </si>
  <si>
    <t>Julia Leroy</t>
  </si>
  <si>
    <t>M0175</t>
  </si>
  <si>
    <t>Manon Robin</t>
  </si>
  <si>
    <t>M0176</t>
  </si>
  <si>
    <t>M0177</t>
  </si>
  <si>
    <t>M0178</t>
  </si>
  <si>
    <t>M0179</t>
  </si>
  <si>
    <t>Chloe Roux</t>
  </si>
  <si>
    <t>M0180</t>
  </si>
  <si>
    <t>Arthur Bertrand</t>
  </si>
  <si>
    <t>M0181</t>
  </si>
  <si>
    <t>Jules Chevalier</t>
  </si>
  <si>
    <t>M0182</t>
  </si>
  <si>
    <t>Jade Leroy</t>
  </si>
  <si>
    <t>M0183</t>
  </si>
  <si>
    <t>M0184</t>
  </si>
  <si>
    <t>M0185</t>
  </si>
  <si>
    <t>M0186</t>
  </si>
  <si>
    <t>Manon Bertrand</t>
  </si>
  <si>
    <t>M0187</t>
  </si>
  <si>
    <t>Emma Robin</t>
  </si>
  <si>
    <t>M0188</t>
  </si>
  <si>
    <t>M0189</t>
  </si>
  <si>
    <t>Arthur Laurent</t>
  </si>
  <si>
    <t>M0190</t>
  </si>
  <si>
    <t>Emma Michel</t>
  </si>
  <si>
    <t>M0191</t>
  </si>
  <si>
    <t>Camille Bonnet</t>
  </si>
  <si>
    <t>M0192</t>
  </si>
  <si>
    <t>Ethan Vincent</t>
  </si>
  <si>
    <t>M0193</t>
  </si>
  <si>
    <t>M0194</t>
  </si>
  <si>
    <t>M0195</t>
  </si>
  <si>
    <t>Adam Petit</t>
  </si>
  <si>
    <t>M0196</t>
  </si>
  <si>
    <t>M0197</t>
  </si>
  <si>
    <t>Jade Garnier</t>
  </si>
  <si>
    <t>M0198</t>
  </si>
  <si>
    <t>Chloe Durand</t>
  </si>
  <si>
    <t>M0199</t>
  </si>
  <si>
    <t>Jules Leroy</t>
  </si>
  <si>
    <t>M0200</t>
  </si>
  <si>
    <t>M0201</t>
  </si>
  <si>
    <t>M0202</t>
  </si>
  <si>
    <t>Jade Fontaine</t>
  </si>
  <si>
    <t>M0203</t>
  </si>
  <si>
    <t>Louis Simon</t>
  </si>
  <si>
    <t>M0204</t>
  </si>
  <si>
    <t>Lucas Bonnet</t>
  </si>
  <si>
    <t>M0205</t>
  </si>
  <si>
    <t>M0206</t>
  </si>
  <si>
    <t>Adam Simon</t>
  </si>
  <si>
    <t>M0207</t>
  </si>
  <si>
    <t>Arthur Simon</t>
  </si>
  <si>
    <t>M0208</t>
  </si>
  <si>
    <t>Raphael Durand</t>
  </si>
  <si>
    <t>M0209</t>
  </si>
  <si>
    <t>M0210</t>
  </si>
  <si>
    <t>Nathan Laurent</t>
  </si>
  <si>
    <t>M0211</t>
  </si>
  <si>
    <t>Ethan David</t>
  </si>
  <si>
    <t>M0212</t>
  </si>
  <si>
    <t>Manon David</t>
  </si>
  <si>
    <t>M0213</t>
  </si>
  <si>
    <t>M0214</t>
  </si>
  <si>
    <t>Gabriel Roux</t>
  </si>
  <si>
    <t>M0215</t>
  </si>
  <si>
    <t>Raphael David</t>
  </si>
  <si>
    <t>M0216</t>
  </si>
  <si>
    <t>M0217</t>
  </si>
  <si>
    <t>M0218</t>
  </si>
  <si>
    <t>M0219</t>
  </si>
  <si>
    <t>Jules Bertrand</t>
  </si>
  <si>
    <t>M0220</t>
  </si>
  <si>
    <t>M0221</t>
  </si>
  <si>
    <t>Camille Roux</t>
  </si>
  <si>
    <t>M0222</t>
  </si>
  <si>
    <t>M0223</t>
  </si>
  <si>
    <t>Jules Dumont</t>
  </si>
  <si>
    <t>M0224</t>
  </si>
  <si>
    <t>M0225</t>
  </si>
  <si>
    <t>M0226</t>
  </si>
  <si>
    <t>M0227</t>
  </si>
  <si>
    <t>M0228</t>
  </si>
  <si>
    <t>Chloe Leroy</t>
  </si>
  <si>
    <t>M0229</t>
  </si>
  <si>
    <t>M0230</t>
  </si>
  <si>
    <t>Ethan Chevalier</t>
  </si>
  <si>
    <t>M0231</t>
  </si>
  <si>
    <t>M0232</t>
  </si>
  <si>
    <t>Nathan Michel</t>
  </si>
  <si>
    <t>M0233</t>
  </si>
  <si>
    <t>Emma Francois</t>
  </si>
  <si>
    <t>M0234</t>
  </si>
  <si>
    <t>Chloe Chevalier</t>
  </si>
  <si>
    <t>M0235</t>
  </si>
  <si>
    <t>Tom Bonnet</t>
  </si>
  <si>
    <t>M0236</t>
  </si>
  <si>
    <t>Emma Rousseau</t>
  </si>
  <si>
    <t>M0237</t>
  </si>
  <si>
    <t>M0238</t>
  </si>
  <si>
    <t>M0239</t>
  </si>
  <si>
    <t>Sarah Simon</t>
  </si>
  <si>
    <t>M0240</t>
  </si>
  <si>
    <t>M0241</t>
  </si>
  <si>
    <t>M0242</t>
  </si>
  <si>
    <t>M0243</t>
  </si>
  <si>
    <t>M0244</t>
  </si>
  <si>
    <t>Camille Dumont</t>
  </si>
  <si>
    <t>M0245</t>
  </si>
  <si>
    <t>Jules Laurent</t>
  </si>
  <si>
    <t>M0246</t>
  </si>
  <si>
    <t>M0247</t>
  </si>
  <si>
    <t>Sarah Dumont</t>
  </si>
  <si>
    <t>M0248</t>
  </si>
  <si>
    <t>M0249</t>
  </si>
  <si>
    <t>Chloe Francois</t>
  </si>
  <si>
    <t>M0250</t>
  </si>
  <si>
    <t>Ethan Robin</t>
  </si>
  <si>
    <t>Zone de resultats - fonctions avancees</t>
  </si>
  <si>
    <t>Nombre de Cadres au service Commercial a Paris (NB.SI.ENS)</t>
  </si>
  <si>
    <t>Masse salariale mensuelle - Service Informatique, anciennete &gt; 5 ans (BDSOMME)</t>
  </si>
  <si>
    <t>Salaire mensuel moyen des Cadres (BDMOYENNE)</t>
  </si>
  <si>
    <t>Criteres BDSOMME</t>
  </si>
  <si>
    <t>&gt;5</t>
  </si>
  <si>
    <t>Criteres BDMOYENNE</t>
  </si>
  <si>
    <t>Zone de criteres pour le filtre avance (Cadres - Informatique - salaire &gt; 4000 EUR)</t>
  </si>
  <si>
    <t>&gt;4000</t>
  </si>
  <si>
    <t>Zone de collage du resultat (filtre avance)</t>
  </si>
  <si>
    <t>Exercice 5 (revision) - Gestion de stock multi-entrepots</t>
  </si>
  <si>
    <t>350 lignes de donnees - Tri - Filtre - Mise en forme conditionnelle - TCD - NB.SI.ENS - SIERREUR</t>
  </si>
  <si>
    <t>Reference</t>
  </si>
  <si>
    <t>Designation</t>
  </si>
  <si>
    <t>Entrepot</t>
  </si>
  <si>
    <t>Quantite en stock</t>
  </si>
  <si>
    <t>Seuil mini</t>
  </si>
  <si>
    <t>Valeur stock (EUR)</t>
  </si>
  <si>
    <t>Ratio stock/seuil</t>
  </si>
  <si>
    <t>REF0001</t>
  </si>
  <si>
    <t>REF0002</t>
  </si>
  <si>
    <t>REF0003</t>
  </si>
  <si>
    <t>REF0004</t>
  </si>
  <si>
    <t>REF0005</t>
  </si>
  <si>
    <t>REF0006</t>
  </si>
  <si>
    <t>REF0007</t>
  </si>
  <si>
    <t>REF0008</t>
  </si>
  <si>
    <t>REF0009</t>
  </si>
  <si>
    <t>REF0010</t>
  </si>
  <si>
    <t>REF0011</t>
  </si>
  <si>
    <t>REF0012</t>
  </si>
  <si>
    <t>REF0013</t>
  </si>
  <si>
    <t>REF0014</t>
  </si>
  <si>
    <t>REF0015</t>
  </si>
  <si>
    <t>REF0016</t>
  </si>
  <si>
    <t>REF0017</t>
  </si>
  <si>
    <t>REF0018</t>
  </si>
  <si>
    <t>REF0019</t>
  </si>
  <si>
    <t>REF0020</t>
  </si>
  <si>
    <t>REF0021</t>
  </si>
  <si>
    <t>REF0022</t>
  </si>
  <si>
    <t>REF0023</t>
  </si>
  <si>
    <t>REF0024</t>
  </si>
  <si>
    <t>REF0025</t>
  </si>
  <si>
    <t>REF0026</t>
  </si>
  <si>
    <t>REF0027</t>
  </si>
  <si>
    <t>REF0028</t>
  </si>
  <si>
    <t>REF0029</t>
  </si>
  <si>
    <t>REF0030</t>
  </si>
  <si>
    <t>REF0031</t>
  </si>
  <si>
    <t>REF0032</t>
  </si>
  <si>
    <t>REF0033</t>
  </si>
  <si>
    <t>REF0034</t>
  </si>
  <si>
    <t>REF0035</t>
  </si>
  <si>
    <t>REF0036</t>
  </si>
  <si>
    <t>REF0037</t>
  </si>
  <si>
    <t>REF0038</t>
  </si>
  <si>
    <t>REF0039</t>
  </si>
  <si>
    <t>REF0040</t>
  </si>
  <si>
    <t>REF0041</t>
  </si>
  <si>
    <t>REF0042</t>
  </si>
  <si>
    <t>REF0043</t>
  </si>
  <si>
    <t>REF0044</t>
  </si>
  <si>
    <t>REF0045</t>
  </si>
  <si>
    <t>REF0046</t>
  </si>
  <si>
    <t>REF0047</t>
  </si>
  <si>
    <t>REF0048</t>
  </si>
  <si>
    <t>REF0049</t>
  </si>
  <si>
    <t>REF0050</t>
  </si>
  <si>
    <t>REF0051</t>
  </si>
  <si>
    <t>REF0052</t>
  </si>
  <si>
    <t>REF0053</t>
  </si>
  <si>
    <t>REF0054</t>
  </si>
  <si>
    <t>REF0055</t>
  </si>
  <si>
    <t>REF0056</t>
  </si>
  <si>
    <t>REF0057</t>
  </si>
  <si>
    <t>REF0058</t>
  </si>
  <si>
    <t>REF0059</t>
  </si>
  <si>
    <t>REF0060</t>
  </si>
  <si>
    <t>REF0061</t>
  </si>
  <si>
    <t>REF0062</t>
  </si>
  <si>
    <t>REF0063</t>
  </si>
  <si>
    <t>REF0064</t>
  </si>
  <si>
    <t>REF0065</t>
  </si>
  <si>
    <t>REF0066</t>
  </si>
  <si>
    <t>REF0067</t>
  </si>
  <si>
    <t>REF0068</t>
  </si>
  <si>
    <t>REF0069</t>
  </si>
  <si>
    <t>REF0070</t>
  </si>
  <si>
    <t>REF0071</t>
  </si>
  <si>
    <t>REF0072</t>
  </si>
  <si>
    <t>REF0073</t>
  </si>
  <si>
    <t>REF0074</t>
  </si>
  <si>
    <t>REF0075</t>
  </si>
  <si>
    <t>REF0076</t>
  </si>
  <si>
    <t>REF0077</t>
  </si>
  <si>
    <t>REF0078</t>
  </si>
  <si>
    <t>REF0079</t>
  </si>
  <si>
    <t>REF0080</t>
  </si>
  <si>
    <t>REF0081</t>
  </si>
  <si>
    <t>REF0082</t>
  </si>
  <si>
    <t>REF0083</t>
  </si>
  <si>
    <t>REF0084</t>
  </si>
  <si>
    <t>REF0085</t>
  </si>
  <si>
    <t>REF0086</t>
  </si>
  <si>
    <t>REF0087</t>
  </si>
  <si>
    <t>REF0088</t>
  </si>
  <si>
    <t>REF0089</t>
  </si>
  <si>
    <t>REF0090</t>
  </si>
  <si>
    <t>REF0091</t>
  </si>
  <si>
    <t>REF0092</t>
  </si>
  <si>
    <t>REF0093</t>
  </si>
  <si>
    <t>REF0094</t>
  </si>
  <si>
    <t>REF0095</t>
  </si>
  <si>
    <t>REF0096</t>
  </si>
  <si>
    <t>REF0097</t>
  </si>
  <si>
    <t>REF0098</t>
  </si>
  <si>
    <t>REF0099</t>
  </si>
  <si>
    <t>REF0100</t>
  </si>
  <si>
    <t>REF0101</t>
  </si>
  <si>
    <t>REF0102</t>
  </si>
  <si>
    <t>REF0103</t>
  </si>
  <si>
    <t>REF0104</t>
  </si>
  <si>
    <t>REF0105</t>
  </si>
  <si>
    <t>REF0106</t>
  </si>
  <si>
    <t>REF0107</t>
  </si>
  <si>
    <t>REF0108</t>
  </si>
  <si>
    <t>REF0109</t>
  </si>
  <si>
    <t>REF0110</t>
  </si>
  <si>
    <t>REF0111</t>
  </si>
  <si>
    <t>REF0112</t>
  </si>
  <si>
    <t>REF0113</t>
  </si>
  <si>
    <t>REF0114</t>
  </si>
  <si>
    <t>REF0115</t>
  </si>
  <si>
    <t>REF0116</t>
  </si>
  <si>
    <t>REF0117</t>
  </si>
  <si>
    <t>REF0118</t>
  </si>
  <si>
    <t>REF0119</t>
  </si>
  <si>
    <t>REF0120</t>
  </si>
  <si>
    <t>REF0121</t>
  </si>
  <si>
    <t>REF0122</t>
  </si>
  <si>
    <t>REF0123</t>
  </si>
  <si>
    <t>REF0124</t>
  </si>
  <si>
    <t>REF0125</t>
  </si>
  <si>
    <t>REF0126</t>
  </si>
  <si>
    <t>REF0127</t>
  </si>
  <si>
    <t>REF0128</t>
  </si>
  <si>
    <t>REF0129</t>
  </si>
  <si>
    <t>REF0130</t>
  </si>
  <si>
    <t>REF0131</t>
  </si>
  <si>
    <t>REF0132</t>
  </si>
  <si>
    <t>REF0133</t>
  </si>
  <si>
    <t>REF0134</t>
  </si>
  <si>
    <t>REF0135</t>
  </si>
  <si>
    <t>REF0136</t>
  </si>
  <si>
    <t>REF0137</t>
  </si>
  <si>
    <t>REF0138</t>
  </si>
  <si>
    <t>REF0139</t>
  </si>
  <si>
    <t>REF0140</t>
  </si>
  <si>
    <t>REF0141</t>
  </si>
  <si>
    <t>REF0142</t>
  </si>
  <si>
    <t>REF0143</t>
  </si>
  <si>
    <t>REF0144</t>
  </si>
  <si>
    <t>REF0145</t>
  </si>
  <si>
    <t>REF0146</t>
  </si>
  <si>
    <t>REF0147</t>
  </si>
  <si>
    <t>REF0148</t>
  </si>
  <si>
    <t>REF0149</t>
  </si>
  <si>
    <t>REF0150</t>
  </si>
  <si>
    <t>REF0151</t>
  </si>
  <si>
    <t>REF0152</t>
  </si>
  <si>
    <t>REF0153</t>
  </si>
  <si>
    <t>REF0154</t>
  </si>
  <si>
    <t>REF0155</t>
  </si>
  <si>
    <t>REF0156</t>
  </si>
  <si>
    <t>REF0157</t>
  </si>
  <si>
    <t>REF0158</t>
  </si>
  <si>
    <t>REF0159</t>
  </si>
  <si>
    <t>REF0160</t>
  </si>
  <si>
    <t>REF0161</t>
  </si>
  <si>
    <t>REF0162</t>
  </si>
  <si>
    <t>REF0163</t>
  </si>
  <si>
    <t>REF0164</t>
  </si>
  <si>
    <t>REF0165</t>
  </si>
  <si>
    <t>REF0166</t>
  </si>
  <si>
    <t>REF0167</t>
  </si>
  <si>
    <t>REF0168</t>
  </si>
  <si>
    <t>REF0169</t>
  </si>
  <si>
    <t>REF0170</t>
  </si>
  <si>
    <t>REF0171</t>
  </si>
  <si>
    <t>REF0172</t>
  </si>
  <si>
    <t>REF0173</t>
  </si>
  <si>
    <t>REF0174</t>
  </si>
  <si>
    <t>REF0175</t>
  </si>
  <si>
    <t>REF0176</t>
  </si>
  <si>
    <t>REF0177</t>
  </si>
  <si>
    <t>REF0178</t>
  </si>
  <si>
    <t>REF0179</t>
  </si>
  <si>
    <t>REF0180</t>
  </si>
  <si>
    <t>REF0181</t>
  </si>
  <si>
    <t>REF0182</t>
  </si>
  <si>
    <t>REF0183</t>
  </si>
  <si>
    <t>REF0184</t>
  </si>
  <si>
    <t>REF0185</t>
  </si>
  <si>
    <t>REF0186</t>
  </si>
  <si>
    <t>REF0187</t>
  </si>
  <si>
    <t>REF0188</t>
  </si>
  <si>
    <t>REF0189</t>
  </si>
  <si>
    <t>REF0190</t>
  </si>
  <si>
    <t>REF0191</t>
  </si>
  <si>
    <t>REF0192</t>
  </si>
  <si>
    <t>REF0193</t>
  </si>
  <si>
    <t>REF0194</t>
  </si>
  <si>
    <t>REF0195</t>
  </si>
  <si>
    <t>REF0196</t>
  </si>
  <si>
    <t>REF0197</t>
  </si>
  <si>
    <t>REF0198</t>
  </si>
  <si>
    <t>REF0199</t>
  </si>
  <si>
    <t>REF0200</t>
  </si>
  <si>
    <t>REF0201</t>
  </si>
  <si>
    <t>REF0202</t>
  </si>
  <si>
    <t>REF0203</t>
  </si>
  <si>
    <t>REF0204</t>
  </si>
  <si>
    <t>REF0205</t>
  </si>
  <si>
    <t>REF0206</t>
  </si>
  <si>
    <t>REF0207</t>
  </si>
  <si>
    <t>REF0208</t>
  </si>
  <si>
    <t>REF0209</t>
  </si>
  <si>
    <t>REF0210</t>
  </si>
  <si>
    <t>REF0211</t>
  </si>
  <si>
    <t>REF0212</t>
  </si>
  <si>
    <t>REF0213</t>
  </si>
  <si>
    <t>REF0214</t>
  </si>
  <si>
    <t>REF0215</t>
  </si>
  <si>
    <t>REF0216</t>
  </si>
  <si>
    <t>REF0217</t>
  </si>
  <si>
    <t>REF0218</t>
  </si>
  <si>
    <t>REF0219</t>
  </si>
  <si>
    <t>REF0220</t>
  </si>
  <si>
    <t>REF0221</t>
  </si>
  <si>
    <t>REF0222</t>
  </si>
  <si>
    <t>REF0223</t>
  </si>
  <si>
    <t>REF0224</t>
  </si>
  <si>
    <t>REF0225</t>
  </si>
  <si>
    <t>REF0226</t>
  </si>
  <si>
    <t>REF0227</t>
  </si>
  <si>
    <t>REF0228</t>
  </si>
  <si>
    <t>REF0229</t>
  </si>
  <si>
    <t>REF0230</t>
  </si>
  <si>
    <t>REF0231</t>
  </si>
  <si>
    <t>REF0232</t>
  </si>
  <si>
    <t>REF0233</t>
  </si>
  <si>
    <t>REF0234</t>
  </si>
  <si>
    <t>REF0235</t>
  </si>
  <si>
    <t>REF0236</t>
  </si>
  <si>
    <t>REF0237</t>
  </si>
  <si>
    <t>REF0238</t>
  </si>
  <si>
    <t>REF0239</t>
  </si>
  <si>
    <t>REF0240</t>
  </si>
  <si>
    <t>REF0241</t>
  </si>
  <si>
    <t>REF0242</t>
  </si>
  <si>
    <t>REF0243</t>
  </si>
  <si>
    <t>REF0244</t>
  </si>
  <si>
    <t>REF0245</t>
  </si>
  <si>
    <t>REF0246</t>
  </si>
  <si>
    <t>REF0247</t>
  </si>
  <si>
    <t>REF0248</t>
  </si>
  <si>
    <t>REF0249</t>
  </si>
  <si>
    <t>REF0250</t>
  </si>
  <si>
    <t>REF0251</t>
  </si>
  <si>
    <t>REF0252</t>
  </si>
  <si>
    <t>REF0253</t>
  </si>
  <si>
    <t>REF0254</t>
  </si>
  <si>
    <t>REF0255</t>
  </si>
  <si>
    <t>REF0256</t>
  </si>
  <si>
    <t>REF0257</t>
  </si>
  <si>
    <t>REF0258</t>
  </si>
  <si>
    <t>REF0259</t>
  </si>
  <si>
    <t>REF0260</t>
  </si>
  <si>
    <t>REF0261</t>
  </si>
  <si>
    <t>REF0262</t>
  </si>
  <si>
    <t>REF0263</t>
  </si>
  <si>
    <t>REF0264</t>
  </si>
  <si>
    <t>REF0265</t>
  </si>
  <si>
    <t>REF0266</t>
  </si>
  <si>
    <t>REF0267</t>
  </si>
  <si>
    <t>REF0268</t>
  </si>
  <si>
    <t>REF0269</t>
  </si>
  <si>
    <t>REF0270</t>
  </si>
  <si>
    <t>REF0271</t>
  </si>
  <si>
    <t>REF0272</t>
  </si>
  <si>
    <t>REF0273</t>
  </si>
  <si>
    <t>REF0274</t>
  </si>
  <si>
    <t>REF0275</t>
  </si>
  <si>
    <t>REF0276</t>
  </si>
  <si>
    <t>REF0277</t>
  </si>
  <si>
    <t>REF0278</t>
  </si>
  <si>
    <t>REF0279</t>
  </si>
  <si>
    <t>REF0280</t>
  </si>
  <si>
    <t>REF0281</t>
  </si>
  <si>
    <t>REF0282</t>
  </si>
  <si>
    <t>REF0283</t>
  </si>
  <si>
    <t>REF0284</t>
  </si>
  <si>
    <t>REF0285</t>
  </si>
  <si>
    <t>REF0286</t>
  </si>
  <si>
    <t>REF0287</t>
  </si>
  <si>
    <t>REF0288</t>
  </si>
  <si>
    <t>REF0289</t>
  </si>
  <si>
    <t>REF0290</t>
  </si>
  <si>
    <t>REF0291</t>
  </si>
  <si>
    <t>REF0292</t>
  </si>
  <si>
    <t>REF0293</t>
  </si>
  <si>
    <t>REF0294</t>
  </si>
  <si>
    <t>REF0295</t>
  </si>
  <si>
    <t>REF0296</t>
  </si>
  <si>
    <t>REF0297</t>
  </si>
  <si>
    <t>REF0298</t>
  </si>
  <si>
    <t>REF0299</t>
  </si>
  <si>
    <t>REF0300</t>
  </si>
  <si>
    <t>REF0301</t>
  </si>
  <si>
    <t>REF0302</t>
  </si>
  <si>
    <t>REF0303</t>
  </si>
  <si>
    <t>REF0304</t>
  </si>
  <si>
    <t>REF0305</t>
  </si>
  <si>
    <t>REF0306</t>
  </si>
  <si>
    <t>REF0307</t>
  </si>
  <si>
    <t>REF0308</t>
  </si>
  <si>
    <t>REF0309</t>
  </si>
  <si>
    <t>REF0310</t>
  </si>
  <si>
    <t>REF0311</t>
  </si>
  <si>
    <t>REF0312</t>
  </si>
  <si>
    <t>REF0313</t>
  </si>
  <si>
    <t>REF0314</t>
  </si>
  <si>
    <t>REF0315</t>
  </si>
  <si>
    <t>REF0316</t>
  </si>
  <si>
    <t>REF0317</t>
  </si>
  <si>
    <t>REF0318</t>
  </si>
  <si>
    <t>REF0319</t>
  </si>
  <si>
    <t>REF0320</t>
  </si>
  <si>
    <t>REF0321</t>
  </si>
  <si>
    <t>REF0322</t>
  </si>
  <si>
    <t>REF0323</t>
  </si>
  <si>
    <t>REF0324</t>
  </si>
  <si>
    <t>REF0325</t>
  </si>
  <si>
    <t>REF0326</t>
  </si>
  <si>
    <t>REF0327</t>
  </si>
  <si>
    <t>REF0328</t>
  </si>
  <si>
    <t>REF0329</t>
  </si>
  <si>
    <t>REF0330</t>
  </si>
  <si>
    <t>REF0331</t>
  </si>
  <si>
    <t>REF0332</t>
  </si>
  <si>
    <t>REF0333</t>
  </si>
  <si>
    <t>REF0334</t>
  </si>
  <si>
    <t>REF0335</t>
  </si>
  <si>
    <t>REF0336</t>
  </si>
  <si>
    <t>REF0337</t>
  </si>
  <si>
    <t>REF0338</t>
  </si>
  <si>
    <t>REF0339</t>
  </si>
  <si>
    <t>REF0340</t>
  </si>
  <si>
    <t>REF0341</t>
  </si>
  <si>
    <t>REF0342</t>
  </si>
  <si>
    <t>REF0343</t>
  </si>
  <si>
    <t>REF0344</t>
  </si>
  <si>
    <t>REF0345</t>
  </si>
  <si>
    <t>REF0346</t>
  </si>
  <si>
    <t>REF0347</t>
  </si>
  <si>
    <t>REF0348</t>
  </si>
  <si>
    <t>REF0349</t>
  </si>
  <si>
    <t>REF0350</t>
  </si>
  <si>
    <t>Zone de resultats</t>
  </si>
  <si>
    <t>Nombre de references en rupture (quantite = 0) - Entrepot de Paris (NB.SI.ENS)</t>
  </si>
  <si>
    <t>Exercice 6 (revision) - Resultats d'examens</t>
  </si>
  <si>
    <t>300 lignes de donnees - Liste deroulante - Validation - SIERREUR - BDMOYENNE - Graphiques - Protection</t>
  </si>
  <si>
    <t>N Etudiant</t>
  </si>
  <si>
    <t>Filiere</t>
  </si>
  <si>
    <t>Groupe TD</t>
  </si>
  <si>
    <t>Note 1 /20</t>
  </si>
  <si>
    <t>Note 2 /20</t>
  </si>
  <si>
    <t>Moyenne</t>
  </si>
  <si>
    <t>Session</t>
  </si>
  <si>
    <t>E0001</t>
  </si>
  <si>
    <t>Emma Petit</t>
  </si>
  <si>
    <t>Economie</t>
  </si>
  <si>
    <t>B</t>
  </si>
  <si>
    <t>E0002</t>
  </si>
  <si>
    <t>Adam Roux</t>
  </si>
  <si>
    <t>E0003</t>
  </si>
  <si>
    <t>Manon Laurent</t>
  </si>
  <si>
    <t>A</t>
  </si>
  <si>
    <t>E0004</t>
  </si>
  <si>
    <t>E0005</t>
  </si>
  <si>
    <t>C</t>
  </si>
  <si>
    <t>E0006</t>
  </si>
  <si>
    <t>Gestion</t>
  </si>
  <si>
    <t>D</t>
  </si>
  <si>
    <t>E0007</t>
  </si>
  <si>
    <t>Ines Chevalier</t>
  </si>
  <si>
    <t>E0008</t>
  </si>
  <si>
    <t>E0009</t>
  </si>
  <si>
    <t>Nathan Fournier</t>
  </si>
  <si>
    <t>Droit</t>
  </si>
  <si>
    <t>E0010</t>
  </si>
  <si>
    <t>Lettres</t>
  </si>
  <si>
    <t>E0011</t>
  </si>
  <si>
    <t>E0012</t>
  </si>
  <si>
    <t>Nathan Francois</t>
  </si>
  <si>
    <t>E0013</t>
  </si>
  <si>
    <t>E0014</t>
  </si>
  <si>
    <t>Camille David</t>
  </si>
  <si>
    <t>E0015</t>
  </si>
  <si>
    <t>E0016</t>
  </si>
  <si>
    <t>E0017</t>
  </si>
  <si>
    <t>E0018</t>
  </si>
  <si>
    <t>Chloe Petit</t>
  </si>
  <si>
    <t>E0019</t>
  </si>
  <si>
    <t>E0020</t>
  </si>
  <si>
    <t>E0021</t>
  </si>
  <si>
    <t>Gabriel Leroy</t>
  </si>
  <si>
    <t>E0022</t>
  </si>
  <si>
    <t>E0023</t>
  </si>
  <si>
    <t>Arthur Francois</t>
  </si>
  <si>
    <t>E0024</t>
  </si>
  <si>
    <t>Raphael Fontaine</t>
  </si>
  <si>
    <t>E0025</t>
  </si>
  <si>
    <t>E0026</t>
  </si>
  <si>
    <t>Chloe Bonnet</t>
  </si>
  <si>
    <t>E0027</t>
  </si>
  <si>
    <t>E0028</t>
  </si>
  <si>
    <t>Lea Fontaine</t>
  </si>
  <si>
    <t>E0029</t>
  </si>
  <si>
    <t>E0030</t>
  </si>
  <si>
    <t>E0031</t>
  </si>
  <si>
    <t>E0032</t>
  </si>
  <si>
    <t>Louis Durand</t>
  </si>
  <si>
    <t>E0033</t>
  </si>
  <si>
    <t>E0034</t>
  </si>
  <si>
    <t>E0035</t>
  </si>
  <si>
    <t>E0036</t>
  </si>
  <si>
    <t>E0037</t>
  </si>
  <si>
    <t>Louis Chevalier</t>
  </si>
  <si>
    <t>E0038</t>
  </si>
  <si>
    <t>Raphael Garnier</t>
  </si>
  <si>
    <t>E0039</t>
  </si>
  <si>
    <t>Julia Lambert</t>
  </si>
  <si>
    <t>E0040</t>
  </si>
  <si>
    <t>Louis Michel</t>
  </si>
  <si>
    <t>E0041</t>
  </si>
  <si>
    <t>Lucas Vincent</t>
  </si>
  <si>
    <t>E0042</t>
  </si>
  <si>
    <t>E0043</t>
  </si>
  <si>
    <t>Chloe Lambert</t>
  </si>
  <si>
    <t>E0044</t>
  </si>
  <si>
    <t>Sarah Fontaine</t>
  </si>
  <si>
    <t>E0045</t>
  </si>
  <si>
    <t>Adam Leroy</t>
  </si>
  <si>
    <t>E0046</t>
  </si>
  <si>
    <t>E0047</t>
  </si>
  <si>
    <t>E0048</t>
  </si>
  <si>
    <t>E0049</t>
  </si>
  <si>
    <t>Arthur Leroy</t>
  </si>
  <si>
    <t>E0050</t>
  </si>
  <si>
    <t>E0051</t>
  </si>
  <si>
    <t>E0052</t>
  </si>
  <si>
    <t>Raphael Laurent</t>
  </si>
  <si>
    <t>E0053</t>
  </si>
  <si>
    <t>E0054</t>
  </si>
  <si>
    <t>E0055</t>
  </si>
  <si>
    <t>Lucas David</t>
  </si>
  <si>
    <t>E0056</t>
  </si>
  <si>
    <t>E0057</t>
  </si>
  <si>
    <t>E0058</t>
  </si>
  <si>
    <t>Lucas Dumont</t>
  </si>
  <si>
    <t>E0059</t>
  </si>
  <si>
    <t>E0060</t>
  </si>
  <si>
    <t>Alice Laurent</t>
  </si>
  <si>
    <t>E0061</t>
  </si>
  <si>
    <t>E0062</t>
  </si>
  <si>
    <t>E0063</t>
  </si>
  <si>
    <t>Emma Leroy</t>
  </si>
  <si>
    <t>E0064</t>
  </si>
  <si>
    <t>Raphael Robin</t>
  </si>
  <si>
    <t>E0065</t>
  </si>
  <si>
    <t>E0066</t>
  </si>
  <si>
    <t>Gabriel Fontaine</t>
  </si>
  <si>
    <t>E0067</t>
  </si>
  <si>
    <t>Gabriel Michel</t>
  </si>
  <si>
    <t>E0068</t>
  </si>
  <si>
    <t>Ines Rousseau</t>
  </si>
  <si>
    <t>E0069</t>
  </si>
  <si>
    <t>Adam Laurent</t>
  </si>
  <si>
    <t>E0070</t>
  </si>
  <si>
    <t>Louis Fontaine</t>
  </si>
  <si>
    <t>E0071</t>
  </si>
  <si>
    <t>Adam Michel</t>
  </si>
  <si>
    <t>E0072</t>
  </si>
  <si>
    <t>E0073</t>
  </si>
  <si>
    <t>E0074</t>
  </si>
  <si>
    <t>E0075</t>
  </si>
  <si>
    <t>E0076</t>
  </si>
  <si>
    <t>Lea Laurent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</si>
  <si>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</si>
  <si>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</si>
  <si>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</si>
  <si>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</si>
  <si>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</si>
  <si>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</si>
  <si>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</si>
  <si>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</si>
  <si>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</si>
  <si>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</si>
  <si>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</si>
  <si>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</si>
  <si>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</si>
  <si>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</si>
  <si>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</si>
  <si>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</si>
  <si>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Lucas Robin</t>
  </si>
  <si>
    <t>E0093</t>
  </si>
  <si>
    <t>Adam Durand</t>
  </si>
  <si>
    <t>E0094</t>
  </si>
  <si>
    <t>E0095</t>
  </si>
  <si>
    <t>E0096</t>
  </si>
  <si>
    <t>E0097</t>
  </si>
  <si>
    <t>E0098</t>
  </si>
  <si>
    <t>Jules Francois</t>
  </si>
  <si>
    <t>E0099</t>
  </si>
  <si>
    <t>E0100</t>
  </si>
  <si>
    <t>E0101</t>
  </si>
  <si>
    <t>Lucas Fournier</t>
  </si>
  <si>
    <t>E0102</t>
  </si>
  <si>
    <t>E0103</t>
  </si>
  <si>
    <t>E0104</t>
  </si>
  <si>
    <t>Lucas Chevalier</t>
  </si>
  <si>
    <t>E0105</t>
  </si>
  <si>
    <t>E0106</t>
  </si>
  <si>
    <t>E0107</t>
  </si>
  <si>
    <t>Lea Francois</t>
  </si>
  <si>
    <t>E0108</t>
  </si>
  <si>
    <t>E0109</t>
  </si>
  <si>
    <t>Julia Simon</t>
  </si>
  <si>
    <t>E0110</t>
  </si>
  <si>
    <t>E0111</t>
  </si>
  <si>
    <t>Gabriel Francois</t>
  </si>
  <si>
    <t>E0112</t>
  </si>
  <si>
    <t>Camille Bertrand</t>
  </si>
  <si>
    <t>E0113</t>
  </si>
  <si>
    <t>Raphael Michel</t>
  </si>
  <si>
    <t>E0114</t>
  </si>
  <si>
    <t>Sarah David</t>
  </si>
  <si>
    <t>E0115</t>
  </si>
  <si>
    <t>E0116</t>
  </si>
  <si>
    <t>Julia Vincent</t>
  </si>
  <si>
    <t>E0117</t>
  </si>
  <si>
    <t>E0118</t>
  </si>
  <si>
    <t>E0119</t>
  </si>
  <si>
    <t>E0120</t>
  </si>
  <si>
    <t>E0121</t>
  </si>
  <si>
    <t>Nathan Petit</t>
  </si>
  <si>
    <t>E0122</t>
  </si>
  <si>
    <t>E0123</t>
  </si>
  <si>
    <t>Jules Robin</t>
  </si>
  <si>
    <t>E0124</t>
  </si>
  <si>
    <t>E0125</t>
  </si>
  <si>
    <t>E0126</t>
  </si>
  <si>
    <t>Arthur Garnier</t>
  </si>
  <si>
    <t>E0127</t>
  </si>
  <si>
    <t>E0128</t>
  </si>
  <si>
    <t>Arthur Rousseau</t>
  </si>
  <si>
    <t>E0129</t>
  </si>
  <si>
    <t>E0130</t>
  </si>
  <si>
    <t>Gabriel Robin</t>
  </si>
  <si>
    <t>E0131</t>
  </si>
  <si>
    <t>E0132</t>
  </si>
  <si>
    <t>E0133</t>
  </si>
  <si>
    <t>Chloe Michel</t>
  </si>
  <si>
    <t>E0134</t>
  </si>
  <si>
    <t>E0135</t>
  </si>
  <si>
    <t>E0136</t>
  </si>
  <si>
    <t>Chloe Rousseau</t>
  </si>
  <si>
    <t>E0137</t>
  </si>
  <si>
    <t>Ethan Dumont</t>
  </si>
  <si>
    <t>E0138</t>
  </si>
  <si>
    <t>E0139</t>
  </si>
  <si>
    <t>E0140</t>
  </si>
  <si>
    <t>E0141</t>
  </si>
  <si>
    <t>Tom Simon</t>
  </si>
  <si>
    <t>E0142</t>
  </si>
  <si>
    <t>Lea David</t>
  </si>
  <si>
    <t>E0143</t>
  </si>
  <si>
    <t>Lea Bertrand</t>
  </si>
  <si>
    <t>E0144</t>
  </si>
  <si>
    <t>E0145</t>
  </si>
  <si>
    <t>Manon Petit</t>
  </si>
  <si>
    <t>E0146</t>
  </si>
  <si>
    <t>E0147</t>
  </si>
  <si>
    <t>E0148</t>
  </si>
  <si>
    <t>E0149</t>
  </si>
  <si>
    <t>E0150</t>
  </si>
  <si>
    <t>E0151</t>
  </si>
  <si>
    <t>E0152</t>
  </si>
  <si>
    <t>Gabriel Fournier</t>
  </si>
  <si>
    <t>E0153</t>
  </si>
  <si>
    <t>Jade David</t>
  </si>
  <si>
    <t>E0154</t>
  </si>
  <si>
    <t>Lucas Garnier</t>
  </si>
  <si>
    <t>E0155</t>
  </si>
  <si>
    <t>Jade Fournier</t>
  </si>
  <si>
    <t>E0156</t>
  </si>
  <si>
    <t>Camille Leroy</t>
  </si>
  <si>
    <t>E0157</t>
  </si>
  <si>
    <t>Alice Bertrand</t>
  </si>
  <si>
    <t>E0158</t>
  </si>
  <si>
    <t>E0159</t>
  </si>
  <si>
    <t>E0160</t>
  </si>
  <si>
    <t>E0161</t>
  </si>
  <si>
    <t>Lea Simon</t>
  </si>
  <si>
    <t>E0162</t>
  </si>
  <si>
    <t>Lea Vincent</t>
  </si>
  <si>
    <t>E0163</t>
  </si>
  <si>
    <t>E0164</t>
  </si>
  <si>
    <t>Raphael Dumont</t>
  </si>
  <si>
    <t>E0165</t>
  </si>
  <si>
    <t>Manon Roux</t>
  </si>
  <si>
    <t>E0166</t>
  </si>
  <si>
    <t>E0167</t>
  </si>
  <si>
    <t>E0168</t>
  </si>
  <si>
    <t>E0169</t>
  </si>
  <si>
    <t>Adam Vincent</t>
  </si>
  <si>
    <t>E0170</t>
  </si>
  <si>
    <t>E0171</t>
  </si>
  <si>
    <t>E0172</t>
  </si>
  <si>
    <t>Sarah Roux</t>
  </si>
  <si>
    <t>E0173</t>
  </si>
  <si>
    <t>Ines Laurent</t>
  </si>
  <si>
    <t>E0174</t>
  </si>
  <si>
    <t>E0175</t>
  </si>
  <si>
    <t>E0176</t>
  </si>
  <si>
    <t>E0177</t>
  </si>
  <si>
    <t>Jules Fournier</t>
  </si>
  <si>
    <t>E0178</t>
  </si>
  <si>
    <t>E0179</t>
  </si>
  <si>
    <t>E0180</t>
  </si>
  <si>
    <t>E0181</t>
  </si>
  <si>
    <t>E0182</t>
  </si>
  <si>
    <t>Sarah Laurent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</si>
  <si>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</si>
  <si>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</si>
  <si>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</si>
  <si>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</si>
  <si>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</si>
  <si>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</si>
  <si>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</si>
  <si>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</si>
  <si>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</si>
  <si>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Raphael Rousseau</t>
  </si>
  <si>
    <t>E0192</t>
  </si>
  <si>
    <t>E0193</t>
  </si>
  <si>
    <t>Julia Bonnet</t>
  </si>
  <si>
    <t>E0194</t>
  </si>
  <si>
    <t>Chloe Fontaine</t>
  </si>
  <si>
    <t>E0195</t>
  </si>
  <si>
    <t>Ines Fontaine</t>
  </si>
  <si>
    <t>E0196</t>
  </si>
  <si>
    <t>E0197</t>
  </si>
  <si>
    <t>E0198</t>
  </si>
  <si>
    <t>Raphael Bertrand</t>
  </si>
  <si>
    <t>E0199</t>
  </si>
  <si>
    <t>E0200</t>
  </si>
  <si>
    <t>E0201</t>
  </si>
  <si>
    <t>E0202</t>
  </si>
  <si>
    <t>Ethan Simon</t>
  </si>
  <si>
    <t>E0203</t>
  </si>
  <si>
    <t>E0204</t>
  </si>
  <si>
    <t>E0205</t>
  </si>
  <si>
    <t>E0206</t>
  </si>
  <si>
    <t>Sarah Vincent</t>
  </si>
  <si>
    <t>E0207</t>
  </si>
  <si>
    <t>Raphael Fournier</t>
  </si>
  <si>
    <t>E0208</t>
  </si>
  <si>
    <t>Ethan Laurent</t>
  </si>
  <si>
    <t>E0209</t>
  </si>
  <si>
    <t>Manon Lambert</t>
  </si>
  <si>
    <t>E0210</t>
  </si>
  <si>
    <t>E0211</t>
  </si>
  <si>
    <t>E0212</t>
  </si>
  <si>
    <t>E0213</t>
  </si>
  <si>
    <t>Sarah Durand</t>
  </si>
  <si>
    <t>E0214</t>
  </si>
  <si>
    <t>E0215</t>
  </si>
  <si>
    <t>E0216</t>
  </si>
  <si>
    <t>E0217</t>
  </si>
  <si>
    <t>Tom David</t>
  </si>
  <si>
    <t>E0218</t>
  </si>
  <si>
    <t>E0219</t>
  </si>
  <si>
    <t>Manon Fournier</t>
  </si>
  <si>
    <t>E0220</t>
  </si>
  <si>
    <t>E0221</t>
  </si>
  <si>
    <t>E0222</t>
  </si>
  <si>
    <t>Ines David</t>
  </si>
  <si>
    <t>E0223</t>
  </si>
  <si>
    <t>Raphael Chevalier</t>
  </si>
  <si>
    <t>E0224</t>
  </si>
  <si>
    <t>E0225</t>
  </si>
  <si>
    <t>E0226</t>
  </si>
  <si>
    <t>E0227</t>
  </si>
  <si>
    <t>E0228</t>
  </si>
  <si>
    <t>Gabriel Garnier</t>
  </si>
  <si>
    <t>E0229</t>
  </si>
  <si>
    <t>E0230</t>
  </si>
  <si>
    <t>E0231</t>
  </si>
  <si>
    <t>Julia Bertrand</t>
  </si>
  <si>
    <t>E0232</t>
  </si>
  <si>
    <t>Jules Vincent</t>
  </si>
  <si>
    <t>E0233</t>
  </si>
  <si>
    <t>Lucas Leroy</t>
  </si>
  <si>
    <t>E0234</t>
  </si>
  <si>
    <t>Gabriel Durand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</si>
  <si>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</si>
  <si>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</si>
  <si>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</si>
  <si>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</si>
  <si>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</si>
  <si>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</si>
  <si>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</si>
  <si>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</si>
  <si>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</si>
  <si>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</si>
  <si>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</si>
  <si>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</si>
  <si>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Jade Dumont</t>
  </si>
  <si>
    <t>E0247</t>
  </si>
  <si>
    <t>E0248</t>
  </si>
  <si>
    <t>E0249</t>
  </si>
  <si>
    <t>Nathan Fontaine</t>
  </si>
  <si>
    <t>E0250</t>
  </si>
  <si>
    <t>E0251</t>
  </si>
  <si>
    <t>E0252</t>
  </si>
  <si>
    <t>Ines Bertrand</t>
  </si>
  <si>
    <t>E0253</t>
  </si>
  <si>
    <t>E0254</t>
  </si>
  <si>
    <t>Alice Dumont</t>
  </si>
  <si>
    <t>E0255</t>
  </si>
  <si>
    <t>Chloe Fournier</t>
  </si>
  <si>
    <t>E0256</t>
  </si>
  <si>
    <t>Lea Michel</t>
  </si>
  <si>
    <t>E0257</t>
  </si>
  <si>
    <t>E0258</t>
  </si>
  <si>
    <t>E0259</t>
  </si>
  <si>
    <t>E0260</t>
  </si>
  <si>
    <t>E0261</t>
  </si>
  <si>
    <t>Emma Bertrand</t>
  </si>
  <si>
    <t>E0262</t>
  </si>
  <si>
    <t>E0263</t>
  </si>
  <si>
    <t>E0264</t>
  </si>
  <si>
    <t>E0265</t>
  </si>
  <si>
    <t>Raphael Francois</t>
  </si>
  <si>
    <t>E0266</t>
  </si>
  <si>
    <t>E0267</t>
  </si>
  <si>
    <t>Lea Chevalier</t>
  </si>
  <si>
    <t>E0268</t>
  </si>
  <si>
    <t>E0269</t>
  </si>
  <si>
    <t>E0270</t>
  </si>
  <si>
    <t>E0271</t>
  </si>
  <si>
    <t>E0272</t>
  </si>
  <si>
    <t>E0273</t>
  </si>
  <si>
    <t>E0274</t>
  </si>
  <si>
    <t>Tom Fournier</t>
  </si>
  <si>
    <t>E0275</t>
  </si>
  <si>
    <t>E0276</t>
  </si>
  <si>
    <t>Julia Michel</t>
  </si>
  <si>
    <t>E0277</t>
  </si>
  <si>
    <t>E0278</t>
  </si>
  <si>
    <t>E0279</t>
  </si>
  <si>
    <t>E0280</t>
  </si>
  <si>
    <t>E0281</t>
  </si>
  <si>
    <t>Camille Durand</t>
  </si>
  <si>
    <t>E0282</t>
  </si>
  <si>
    <t>Lucas Petit</t>
  </si>
  <si>
    <t>E0283</t>
  </si>
  <si>
    <t>E0284</t>
  </si>
  <si>
    <t>E0285</t>
  </si>
  <si>
    <t>E0286</t>
  </si>
  <si>
    <t>E0287</t>
  </si>
  <si>
    <t>Ethan Michel</t>
  </si>
  <si>
    <t>E0288</t>
  </si>
  <si>
    <t>E0289</t>
  </si>
  <si>
    <t>E0290</t>
  </si>
  <si>
    <t>E0291</t>
  </si>
  <si>
    <t>E0292</t>
  </si>
  <si>
    <t>Camille Garnier</t>
  </si>
  <si>
    <t>E0293</t>
  </si>
  <si>
    <t>E0294</t>
  </si>
  <si>
    <t>E0295</t>
  </si>
  <si>
    <t>E0296</t>
  </si>
  <si>
    <t>Tom Fontaine</t>
  </si>
  <si>
    <t>E0297</t>
  </si>
  <si>
    <t>Emma Vincent</t>
  </si>
  <si>
    <t>E0298</t>
  </si>
  <si>
    <t>Sarah Garnier</t>
  </si>
  <si>
    <t>E0299</t>
  </si>
  <si>
    <t>E0300</t>
  </si>
  <si>
    <t>Adam Dumont</t>
  </si>
  <si>
    <t>Zone de criteres pour BDMOYENNE</t>
  </si>
  <si>
    <t>Moyenne generale de la filiere Informatique (BDMOYENNE)</t>
  </si>
  <si>
    <t>Synthese par filiere (pour les graphiques)</t>
  </si>
  <si>
    <t>Effectif</t>
  </si>
  <si>
    <t>Moyenne filiere</t>
  </si>
  <si>
    <t>Étiquettes de lignes</t>
  </si>
  <si>
    <t>Total général</t>
  </si>
  <si>
    <t>Étiquettes de colonnes</t>
  </si>
  <si>
    <t>(Tous)</t>
  </si>
  <si>
    <t>Somme du montant</t>
  </si>
  <si>
    <t>TCD 1 - Montant total par Region et par Categorie (filtre : Vendeur)</t>
  </si>
  <si>
    <t>Nombre de commandes</t>
  </si>
  <si>
    <t>TCD 2 - Nombre de commandes par vendeur (tri alphabetique inverse)</t>
  </si>
  <si>
    <t>Somme valeur stock</t>
  </si>
  <si>
    <t>TCD 3 - Valeur du stock par Entrepot et par Categorie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</si>
</sst>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&quot; €&quot;"/>
    <numFmt numFmtId="165" formatCode="#,##0&quot; €&quot;"/>
    <numFmt numFmtId="166" formatCode="0.0%"/>
    <numFmt numFmtId="167" formatCode="0.0"/>
    <numFmt numFmtId="168" formatCode="#,##0.00&quot; EUR&quot;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1"/>
      <color rgb="FF1F4E78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9"/>
      <color rgb="FF7F7F7F"/>
      <name val="Arial"/>
      <charset val="1"/>
    </font>
    <font>
      <b/>
      <sz val="11"/>
      <color rgb="FF1F4E78"/>
      <name val="Arial"/>
      <charset val="1"/>
    </font>
    <font>
      <b/>
      <sz val="10"/>
      <name val="Arial"/>
      <charset val="1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7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0" xfId="0" applyFont="1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165" fontId="4" fillId="4" borderId="1" xfId="0" applyNumberFormat="1" applyFont="1" applyFill="1" applyBorder="1" applyAlignment="1">
      <alignment horizontal="center" vertical="center"/>
    </xf>
    <xf numFmtId="166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167" fontId="4" fillId="4" borderId="1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  <xf numFmtId="0" fontId="8" fillId="0" borderId="0" xfId="0" pivotButton="1" applyFont="1"/>
    <xf numFmtId="0" fontId="8" fillId="0" borderId="0" xfId="0" applyFont="1"/>
    <xf numFmtId="168" fontId="4" fillId="6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center" vertical="center"/>
    </xf>
    <xf numFmtId="0" fontId="6" fillId="0" borderId="0" xfId="0" applyFont="1"/>
    <xf numFmtId="0" fontId="7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b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Repartition du chiffre d'affaires par categorie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'Exercice 2'!$O$5</c:f>
              <c:strCache>
                <c:ptCount val="1"/>
                <c:pt idx="0">
                  <c:v>Montant total (EUR)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'Exercice 2'!$N$6:$N$10</c:f>
              <c:strCache>
                <c:ptCount val="5"/>
                <c:pt idx="0">
                  <c:v>Informatique</c:v>
                </c:pt>
                <c:pt idx="1">
                  <c:v>Mobilier</c:v>
                </c:pt>
                <c:pt idx="2">
                  <c:v>Fournitures</c:v>
                </c:pt>
                <c:pt idx="3">
                  <c:v>Electromenager</c:v>
                </c:pt>
                <c:pt idx="4">
                  <c:v>Papeterie</c:v>
                </c:pt>
              </c:strCache>
            </c:strRef>
          </c:cat>
          <c:val>
            <c:numRef>
              <c:f>'Exercice 2'!$O$6:$O$10</c:f>
              <c:numCache>
                <c:formatCode>#\ ##0.00" €"</c:formatCode>
                <c:ptCount val="5"/>
                <c:pt idx="0">
                  <c:v>34684.659999999996</c:v>
                </c:pt>
                <c:pt idx="1">
                  <c:v>38867.460000000006</c:v>
                </c:pt>
                <c:pt idx="2">
                  <c:v>43590.739999999991</c:v>
                </c:pt>
                <c:pt idx="3">
                  <c:v>49398.85</c:v>
                </c:pt>
                <c:pt idx="4">
                  <c:v>38928.9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D4-4809-95EC-90BE23F5A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Evolution du montant total des commandes par mois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'Exercice 2'!$S$5</c:f>
              <c:strCache>
                <c:ptCount val="1"/>
                <c:pt idx="0">
                  <c:v>Montant total (EUR)</c:v>
                </c:pt>
              </c:strCache>
            </c:strRef>
          </c:tx>
          <c:invertIfNegative val="0"/>
          <c:cat>
            <c:multiLvlStrRef>
              <c:f>'Exercice 2'!$Q$6:$R$13</c:f>
              <c:multiLvlStrCache>
                <c:ptCount val="8"/>
                <c:lvl>
                  <c:pt idx="0">
                    <c:v>01/01/2026</c:v>
                  </c:pt>
                  <c:pt idx="1">
                    <c:v>01/02/2026</c:v>
                  </c:pt>
                  <c:pt idx="2">
                    <c:v>01/03/2026</c:v>
                  </c:pt>
                  <c:pt idx="3">
                    <c:v>01/04/2026</c:v>
                  </c:pt>
                  <c:pt idx="4">
                    <c:v>01/05/2026</c:v>
                  </c:pt>
                  <c:pt idx="5">
                    <c:v>01/06/2026</c:v>
                  </c:pt>
                  <c:pt idx="6">
                    <c:v>01/07/2026</c:v>
                  </c:pt>
                  <c:pt idx="7">
                    <c:v>01/08/2026</c:v>
                  </c:pt>
                </c:lvl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</c:lvl>
              </c:multiLvlStrCache>
            </c:multiLvlStrRef>
          </c:cat>
          <c:val>
            <c:numRef>
              <c:f>'Exercice 2'!$S$6:$S$13</c:f>
              <c:numCache>
                <c:formatCode>#\ ##0.00" €"</c:formatCode>
                <c:ptCount val="8"/>
                <c:pt idx="0">
                  <c:v>33518.559999999998</c:v>
                </c:pt>
                <c:pt idx="1">
                  <c:v>26432.829999999998</c:v>
                </c:pt>
                <c:pt idx="2">
                  <c:v>18875.16</c:v>
                </c:pt>
                <c:pt idx="3">
                  <c:v>18064.509999999998</c:v>
                </c:pt>
                <c:pt idx="4">
                  <c:v>18846.640000000003</c:v>
                </c:pt>
                <c:pt idx="5">
                  <c:v>22907.9</c:v>
                </c:pt>
                <c:pt idx="6">
                  <c:v>30910.119999999992</c:v>
                </c:pt>
                <c:pt idx="7">
                  <c:v>18724.32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19-4CFA-B0BA-DFAE05BE3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9671984"/>
        <c:axId val="1791622608"/>
      </c:barChart>
      <c:catAx>
        <c:axId val="1419671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91622608"/>
        <c:crosses val="autoZero"/>
        <c:auto val="1"/>
        <c:lblAlgn val="ctr"/>
        <c:lblOffset val="100"/>
        <c:noMultiLvlLbl val="0"/>
      </c:catAx>
      <c:valAx>
        <c:axId val="1791622608"/>
        <c:scaling>
          <c:orientation val="minMax"/>
        </c:scaling>
        <c:delete val="0"/>
        <c:axPos val="l"/>
        <c:majorGridlines/>
        <c:numFmt formatCode="#\ ##0.00&quot; €&quot;" sourceLinked="1"/>
        <c:majorTickMark val="out"/>
        <c:minorTickMark val="none"/>
        <c:tickLblPos val="nextTo"/>
        <c:crossAx val="141967198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Repartition des effectifs par filiere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'Exercice 6'!$B$314</c:f>
              <c:strCache>
                <c:ptCount val="1"/>
                <c:pt idx="0">
                  <c:v>Effectif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'Exercice 6'!$A$315:$A$319</c:f>
              <c:strCache>
                <c:ptCount val="5"/>
                <c:pt idx="0">
                  <c:v>Droit</c:v>
                </c:pt>
                <c:pt idx="1">
                  <c:v>Economie</c:v>
                </c:pt>
                <c:pt idx="2">
                  <c:v>Gestion</c:v>
                </c:pt>
                <c:pt idx="3">
                  <c:v>Informatique</c:v>
                </c:pt>
                <c:pt idx="4">
                  <c:v>Lettres</c:v>
                </c:pt>
              </c:strCache>
            </c:strRef>
          </c:cat>
          <c:val>
            <c:numRef>
              <c:f>'Exercice 6'!$B$315:$B$319</c:f>
              <c:numCache>
                <c:formatCode>General</c:formatCode>
                <c:ptCount val="5"/>
                <c:pt idx="0">
                  <c:v>69</c:v>
                </c:pt>
                <c:pt idx="1">
                  <c:v>60</c:v>
                </c:pt>
                <c:pt idx="2">
                  <c:v>56</c:v>
                </c:pt>
                <c:pt idx="3">
                  <c:v>54</c:v>
                </c:pt>
                <c:pt idx="4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FC-466E-8084-EEA55D4E2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Moyenne par filiere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'Exercice 6'!$C$314</c:f>
              <c:strCache>
                <c:ptCount val="1"/>
                <c:pt idx="0">
                  <c:v>Moyenne filiere</c:v>
                </c:pt>
              </c:strCache>
            </c:strRef>
          </c:tx>
          <c:invertIfNegative val="0"/>
          <c:cat>
            <c:strRef>
              <c:f>'Exercice 6'!$A$315:$A$319</c:f>
              <c:strCache>
                <c:ptCount val="5"/>
                <c:pt idx="0">
                  <c:v>Droit</c:v>
                </c:pt>
                <c:pt idx="1">
                  <c:v>Economie</c:v>
                </c:pt>
                <c:pt idx="2">
                  <c:v>Gestion</c:v>
                </c:pt>
                <c:pt idx="3">
                  <c:v>Informatique</c:v>
                </c:pt>
                <c:pt idx="4">
                  <c:v>Lettres</c:v>
                </c:pt>
              </c:strCache>
            </c:strRef>
          </c:cat>
          <c:val>
            <c:numRef>
              <c:f>'Exercice 6'!$C$315:$C$319</c:f>
              <c:numCache>
                <c:formatCode>0.0</c:formatCode>
                <c:ptCount val="5"/>
                <c:pt idx="0">
                  <c:v>11.110144927536235</c:v>
                </c:pt>
                <c:pt idx="1">
                  <c:v>10.895</c:v>
                </c:pt>
                <c:pt idx="2">
                  <c:v>11.216964285714287</c:v>
                </c:pt>
                <c:pt idx="3">
                  <c:v>11.194444444444443</c:v>
                </c:pt>
                <c:pt idx="4">
                  <c:v>11.593442622950823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B3-4BE7-B10E-3A6A1331D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2433536"/>
        <c:axId val="1791633648"/>
      </c:barChart>
      <c:catAx>
        <c:axId val="1422433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91633648"/>
        <c:crosses val="autoZero"/>
        <c:auto val="1"/>
        <c:lblAlgn val="ctr"/>
        <c:lblOffset val="100"/>
        <c:noMultiLvlLbl val="0"/>
      </c:catAx>
      <c:valAx>
        <c:axId val="1791633648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142243353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622300</xdr:colOff>
      <xdr:row>12</xdr:row>
      <xdr:rowOff>50800</xdr:rowOff>
    </xdr:from>
    <xdr:to>
      <xdr:col>16</xdr:col>
      <xdr:colOff>314325</xdr:colOff>
      <xdr:row>29</xdr:row>
      <xdr:rowOff>114300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DC0FFB9-7F1A-8032-D2B8-FCA6D8526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622300</xdr:colOff>
      <xdr:row>30</xdr:row>
      <xdr:rowOff>177800</xdr:rowOff>
    </xdr:from>
    <xdr:to>
      <xdr:col>17</xdr:col>
      <xdr:colOff>530225</xdr:colOff>
      <xdr:row>48</xdr:row>
      <xdr:rowOff>50800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4771CB8-637F-1685-337D-0ACBF3BD8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400050</xdr:colOff>
      <xdr:row>0</xdr:row>
      <xdr:rowOff>254000</xdr:rowOff>
    </xdr:from>
    <xdr:to>
      <xdr:col>14</xdr:col>
      <xdr:colOff>511175</xdr:colOff>
      <xdr:row>16</xdr:row>
      <xdr:rowOff>85725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8051679-BB88-8629-CB02-90750D3E0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400050</xdr:colOff>
      <xdr:row>17</xdr:row>
      <xdr:rowOff>149225</xdr:rowOff>
    </xdr:from>
    <xdr:to>
      <xdr:col>14</xdr:col>
      <xdr:colOff>511175</xdr:colOff>
      <xdr:row>34</xdr:row>
      <xdr:rowOff>85725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B3D492A-1E7D-68A1-7F85-A86BA6219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eur" refreshedDate="46287.466077430552" createdVersion="8" refreshedVersion="8" minRefreshableVersion="3" recordCount="400" xr:uid="{4F664A53-200B-4237-A15D-5DEEE3C2B88D}">
  <cacheSource type="worksheet">
    <worksheetSource ref="A4:I404" sheet="Exercice 3"/>
  </cacheSource>
  <cacheFields count="9">
    <cacheField name="ID Commande" numFmtId="0">
      <sharedItems/>
    </cacheField>
    <cacheField name="Date" numFmtId="14">
      <sharedItems containsSemiMixedTypes="0" containsNonDate="0" containsDate="1" containsString="0" minDate="2026-01-01T00:00:00" maxDate="2026-09-28T00:00:00"/>
    </cacheField>
    <cacheField name="Client" numFmtId="0">
      <sharedItems/>
    </cacheField>
    <cacheField name="Region" numFmtId="0">
      <sharedItems count="7">
        <s v="Occitanie"/>
        <s v="Grand Est"/>
        <s v="Bretagne"/>
        <s v="Ile-de-France"/>
        <s v="Nouvelle-Aquitaine"/>
        <s v="Provence-Alpes-Cote d'Azur"/>
        <s v="Hauts-de-France"/>
      </sharedItems>
    </cacheField>
    <cacheField name="Vendeur" numFmtId="0">
      <sharedItems count="10">
        <s v="Thomas Bernard"/>
        <s v="Elise Rousseau"/>
        <s v="Karim Haddad"/>
        <s v="Nadia Cherif"/>
        <s v="Lea Petit"/>
        <s v="Hugo Martin"/>
        <s v="Camille Dubois"/>
        <s v="Sarah Nguyen"/>
        <s v="Julien Lefevre"/>
        <s v="Amine Belkacem"/>
      </sharedItems>
    </cacheField>
    <cacheField name="Produit" numFmtId="0">
      <sharedItems/>
    </cacheField>
    <cacheField name="Categorie" numFmtId="0">
      <sharedItems count="5">
        <s v="Mobilier"/>
        <s v="Electromenager"/>
        <s v="Informatique"/>
        <s v="Papeterie"/>
        <s v="Fournitures"/>
      </sharedItems>
    </cacheField>
    <cacheField name="Quantite" numFmtId="0">
      <sharedItems containsSemiMixedTypes="0" containsString="0" containsNumber="1" containsInteger="1" minValue="1" maxValue="40"/>
    </cacheField>
    <cacheField name="Montant (EUR)" numFmtId="164">
      <sharedItems containsSemiMixedTypes="0" containsString="0" containsNumber="1" minValue="57.300000000000004" maxValue="22754.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eur" refreshedDate="46287.466081828701" createdVersion="8" refreshedVersion="8" minRefreshableVersion="3" recordCount="400" xr:uid="{1665C197-44D8-4130-A093-C67E636421A1}">
  <cacheSource type="worksheet">
    <worksheetSource ref="A4:I404" sheet="Exercice 3"/>
  </cacheSource>
  <cacheFields count="9">
    <cacheField name="ID Commande" numFmtId="0">
      <sharedItems/>
    </cacheField>
    <cacheField name="Date" numFmtId="14">
      <sharedItems containsSemiMixedTypes="0" containsNonDate="0" containsDate="1" containsString="0" minDate="2026-01-01T00:00:00" maxDate="2026-09-28T00:00:00"/>
    </cacheField>
    <cacheField name="Client" numFmtId="0">
      <sharedItems/>
    </cacheField>
    <cacheField name="Region" numFmtId="0">
      <sharedItems/>
    </cacheField>
    <cacheField name="Vendeur" numFmtId="0">
      <sharedItems count="10">
        <s v="Thomas Bernard"/>
        <s v="Elise Rousseau"/>
        <s v="Karim Haddad"/>
        <s v="Nadia Cherif"/>
        <s v="Lea Petit"/>
        <s v="Hugo Martin"/>
        <s v="Camille Dubois"/>
        <s v="Sarah Nguyen"/>
        <s v="Julien Lefevre"/>
        <s v="Amine Belkacem"/>
      </sharedItems>
    </cacheField>
    <cacheField name="Produit" numFmtId="0">
      <sharedItems/>
    </cacheField>
    <cacheField name="Categorie" numFmtId="0">
      <sharedItems/>
    </cacheField>
    <cacheField name="Quantite" numFmtId="0">
      <sharedItems containsSemiMixedTypes="0" containsString="0" containsNumber="1" containsInteger="1" minValue="1" maxValue="40"/>
    </cacheField>
    <cacheField name="Montant (EUR)" numFmtId="164">
      <sharedItems containsSemiMixedTypes="0" containsString="0" containsNumber="1" minValue="57.300000000000004" maxValue="22754.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eur" refreshedDate="46287.466085300926" createdVersion="8" refreshedVersion="8" minRefreshableVersion="3" recordCount="350" xr:uid="{7AC2536A-3EA2-4671-9104-090C23AAA056}">
  <cacheSource type="worksheet">
    <worksheetSource ref="A4:I354" sheet="Exercice 5"/>
  </cacheSource>
  <cacheFields count="9">
    <cacheField name="Reference" numFmtId="0">
      <sharedItems/>
    </cacheField>
    <cacheField name="Designation" numFmtId="0">
      <sharedItems/>
    </cacheField>
    <cacheField name="Categorie" numFmtId="0">
      <sharedItems count="5">
        <s v="Informatique"/>
        <s v="Fournitures"/>
        <s v="Electromenager"/>
        <s v="Papeterie"/>
        <s v="Mobilier"/>
      </sharedItems>
    </cacheField>
    <cacheField name="Entrepot" numFmtId="0">
      <sharedItems count="4">
        <s v="Lille"/>
        <s v="Lyon"/>
        <s v="Nantes"/>
        <s v="Paris"/>
      </sharedItems>
    </cacheField>
    <cacheField name="Quantite en stock" numFmtId="0">
      <sharedItems containsSemiMixedTypes="0" containsString="0" containsNumber="1" containsInteger="1" minValue="1" maxValue="299"/>
    </cacheField>
    <cacheField name="Seuil mini" numFmtId="0">
      <sharedItems containsSemiMixedTypes="0" containsString="0" containsNumber="1" containsInteger="1" minValue="0" maxValue="100"/>
    </cacheField>
    <cacheField name="Prix unitaire (EUR)" numFmtId="164">
      <sharedItems containsSemiMixedTypes="0" containsString="0" containsNumber="1" minValue="2.02" maxValue="499.53"/>
    </cacheField>
    <cacheField name="Valeur stock (EUR)" numFmtId="164">
      <sharedItems containsSemiMixedTypes="0" containsString="0" containsNumber="1" minValue="81.680000000000007" maxValue="141561.65"/>
    </cacheField>
    <cacheField name="Ratio stock/seuil" numFmtId="2">
      <sharedItems containsMixedTypes="1" containsNumber="1" minValue="5.8823529411764705E-2" maxValue="38.6666666666666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s v="CMD0001"/>
    <d v="2026-04-27T00:00:00"/>
    <s v="Andre Solutions SAS"/>
    <x v="0"/>
    <x v="0"/>
    <s v="Armoire de rangement"/>
    <x v="0"/>
    <n v="36"/>
    <n v="1688.7599999999998"/>
  </r>
  <r>
    <s v="CMD0002"/>
    <d v="2026-03-02T00:00:00"/>
    <s v="Morin Informatique EURL"/>
    <x v="1"/>
    <x v="1"/>
    <s v="Micro-ondes"/>
    <x v="1"/>
    <n v="2"/>
    <n v="473.5"/>
  </r>
  <r>
    <s v="CMD0003"/>
    <d v="2026-02-07T00:00:00"/>
    <s v="Guerin Services SARL"/>
    <x v="2"/>
    <x v="2"/>
    <s v="Disque dur externe"/>
    <x v="2"/>
    <n v="3"/>
    <n v="1266.06"/>
  </r>
  <r>
    <s v="CMD0004"/>
    <d v="2026-08-13T00:00:00"/>
    <s v="Muller Solutions EURL"/>
    <x v="3"/>
    <x v="3"/>
    <s v="Cahier"/>
    <x v="3"/>
    <n v="19"/>
    <n v="8746.4599999999991"/>
  </r>
  <r>
    <s v="CMD0005"/>
    <d v="2026-06-01T00:00:00"/>
    <s v="Girard Distribution EURL"/>
    <x v="4"/>
    <x v="4"/>
    <s v="Chaise ergonomique"/>
    <x v="0"/>
    <n v="9"/>
    <n v="4043.88"/>
  </r>
  <r>
    <s v="CMD0006"/>
    <d v="2026-01-22T00:00:00"/>
    <s v="Dupont Services EURL"/>
    <x v="0"/>
    <x v="5"/>
    <s v="Disque dur externe"/>
    <x v="2"/>
    <n v="36"/>
    <n v="3208.32"/>
  </r>
  <r>
    <s v="CMD0007"/>
    <d v="2026-06-26T00:00:00"/>
    <s v="Francois Solutions EURL"/>
    <x v="4"/>
    <x v="5"/>
    <s v="Cahier"/>
    <x v="3"/>
    <n v="20"/>
    <n v="2599.6"/>
  </r>
  <r>
    <s v="CMD0008"/>
    <d v="2026-05-10T00:00:00"/>
    <s v="Francois Informatique SARL"/>
    <x v="1"/>
    <x v="1"/>
    <s v="Chaise ergonomique"/>
    <x v="0"/>
    <n v="12"/>
    <n v="1636.44"/>
  </r>
  <r>
    <s v="CMD0009"/>
    <d v="2026-02-07T00:00:00"/>
    <s v="Mercier Negoce SARL"/>
    <x v="2"/>
    <x v="6"/>
    <s v="Disque dur externe"/>
    <x v="2"/>
    <n v="30"/>
    <n v="11657.4"/>
  </r>
  <r>
    <s v="CMD0010"/>
    <d v="2026-05-01T00:00:00"/>
    <s v="Moreau Distribution EURL"/>
    <x v="3"/>
    <x v="7"/>
    <s v="Caisson a roulettes"/>
    <x v="0"/>
    <n v="22"/>
    <n v="4785"/>
  </r>
  <r>
    <s v="CMD0011"/>
    <d v="2026-06-06T00:00:00"/>
    <s v="Mathieu Bureau EURL"/>
    <x v="5"/>
    <x v="4"/>
    <s v="Agrafeuse"/>
    <x v="4"/>
    <n v="29"/>
    <n v="5810.7300000000005"/>
  </r>
  <r>
    <s v="CMD0012"/>
    <d v="2026-05-07T00:00:00"/>
    <s v="Faure Negoce EURL"/>
    <x v="1"/>
    <x v="0"/>
    <s v="Agrafeuse"/>
    <x v="4"/>
    <n v="11"/>
    <n v="86.570000000000007"/>
  </r>
  <r>
    <s v="CMD0013"/>
    <d v="2026-06-19T00:00:00"/>
    <s v="Nicolas Solutions SAS"/>
    <x v="2"/>
    <x v="2"/>
    <s v="Stylo (boite de 10)"/>
    <x v="4"/>
    <n v="9"/>
    <n v="3684.15"/>
  </r>
  <r>
    <s v="CMD0014"/>
    <d v="2026-02-11T00:00:00"/>
    <s v="Andre Equipements SARL"/>
    <x v="5"/>
    <x v="7"/>
    <s v="Cafetiere"/>
    <x v="1"/>
    <n v="12"/>
    <n v="4669.2000000000007"/>
  </r>
  <r>
    <s v="CMD0015"/>
    <d v="2026-09-17T00:00:00"/>
    <s v="Dupont Equipements EURL"/>
    <x v="5"/>
    <x v="0"/>
    <s v="Ramette papier A4"/>
    <x v="4"/>
    <n v="5"/>
    <n v="2679"/>
  </r>
  <r>
    <s v="CMD0016"/>
    <d v="2026-08-30T00:00:00"/>
    <s v="Girard Distribution SAS"/>
    <x v="6"/>
    <x v="1"/>
    <s v="Bloc-notes"/>
    <x v="3"/>
    <n v="3"/>
    <n v="999.59999999999991"/>
  </r>
  <r>
    <s v="CMD0017"/>
    <d v="2026-02-16T00:00:00"/>
    <s v="Muller Distribution EURL"/>
    <x v="3"/>
    <x v="7"/>
    <s v="Classeur"/>
    <x v="4"/>
    <n v="30"/>
    <n v="9095.1"/>
  </r>
  <r>
    <s v="CMD0018"/>
    <d v="2026-03-23T00:00:00"/>
    <s v="Bonnet Services EURL"/>
    <x v="1"/>
    <x v="8"/>
    <s v="Bloc-notes"/>
    <x v="3"/>
    <n v="33"/>
    <n v="2921.16"/>
  </r>
  <r>
    <s v="CMD0019"/>
    <d v="2026-09-07T00:00:00"/>
    <s v="Faure Informatique SAS"/>
    <x v="2"/>
    <x v="7"/>
    <s v="Micro-ondes"/>
    <x v="1"/>
    <n v="3"/>
    <n v="405.59999999999997"/>
  </r>
  <r>
    <s v="CMD0020"/>
    <d v="2026-07-04T00:00:00"/>
    <s v="Muller Solutions SAS"/>
    <x v="3"/>
    <x v="9"/>
    <s v="Ecran 24 pouces"/>
    <x v="2"/>
    <n v="34"/>
    <n v="18533.400000000001"/>
  </r>
  <r>
    <s v="CMD0021"/>
    <d v="2026-05-21T00:00:00"/>
    <s v="Andre Services EURL"/>
    <x v="5"/>
    <x v="8"/>
    <s v="Ramette papier A4"/>
    <x v="4"/>
    <n v="34"/>
    <n v="12986.980000000001"/>
  </r>
  <r>
    <s v="CMD0022"/>
    <d v="2026-02-09T00:00:00"/>
    <s v="Perrin Distribution SAS"/>
    <x v="6"/>
    <x v="5"/>
    <s v="Refrigerateur mini"/>
    <x v="1"/>
    <n v="24"/>
    <n v="8512.08"/>
  </r>
  <r>
    <s v="CMD0023"/>
    <d v="2026-09-04T00:00:00"/>
    <s v="Clement Informatique EURL"/>
    <x v="6"/>
    <x v="3"/>
    <s v="Micro-ondes"/>
    <x v="1"/>
    <n v="23"/>
    <n v="6777.64"/>
  </r>
  <r>
    <s v="CMD0024"/>
    <d v="2026-05-24T00:00:00"/>
    <s v="Francois Bureau SARL"/>
    <x v="6"/>
    <x v="4"/>
    <s v="Chaise ergonomique"/>
    <x v="0"/>
    <n v="5"/>
    <n v="1555.75"/>
  </r>
  <r>
    <s v="CMD0025"/>
    <d v="2026-06-19T00:00:00"/>
    <s v="Moreau Solutions EURL"/>
    <x v="0"/>
    <x v="3"/>
    <s v="Cahier"/>
    <x v="3"/>
    <n v="15"/>
    <n v="3775.5"/>
  </r>
  <r>
    <s v="CMD0026"/>
    <d v="2026-01-23T00:00:00"/>
    <s v="Girard Services EURL"/>
    <x v="6"/>
    <x v="8"/>
    <s v="Chaise ergonomique"/>
    <x v="0"/>
    <n v="27"/>
    <n v="495.71999999999997"/>
  </r>
  <r>
    <s v="CMD0027"/>
    <d v="2026-03-27T00:00:00"/>
    <s v="Andre Bureau EURL"/>
    <x v="0"/>
    <x v="1"/>
    <s v="Cahier"/>
    <x v="3"/>
    <n v="37"/>
    <n v="3418.06"/>
  </r>
  <r>
    <s v="CMD0028"/>
    <d v="2026-04-21T00:00:00"/>
    <s v="Roussel Services SAS"/>
    <x v="4"/>
    <x v="3"/>
    <s v="Cahier"/>
    <x v="3"/>
    <n v="19"/>
    <n v="10803.78"/>
  </r>
  <r>
    <s v="CMD0029"/>
    <d v="2026-04-04T00:00:00"/>
    <s v="Clement Negoce EURL"/>
    <x v="2"/>
    <x v="8"/>
    <s v="Chaise ergonomique"/>
    <x v="0"/>
    <n v="27"/>
    <n v="9787.5"/>
  </r>
  <r>
    <s v="CMD0030"/>
    <d v="2026-04-28T00:00:00"/>
    <s v="Muller Solutions SARL"/>
    <x v="3"/>
    <x v="9"/>
    <s v="Agrafeuse"/>
    <x v="4"/>
    <n v="39"/>
    <n v="13899.599999999999"/>
  </r>
  <r>
    <s v="CMD0031"/>
    <d v="2026-04-01T00:00:00"/>
    <s v="Nicolas Services EURL"/>
    <x v="3"/>
    <x v="5"/>
    <s v="Caisson a roulettes"/>
    <x v="0"/>
    <n v="10"/>
    <n v="3652.7999999999997"/>
  </r>
  <r>
    <s v="CMD0032"/>
    <d v="2026-03-08T00:00:00"/>
    <s v="Clement Services SARL"/>
    <x v="4"/>
    <x v="0"/>
    <s v="Cahier"/>
    <x v="3"/>
    <n v="6"/>
    <n v="1751.58"/>
  </r>
  <r>
    <s v="CMD0033"/>
    <d v="2026-08-08T00:00:00"/>
    <s v="Faure Equipements SAS"/>
    <x v="4"/>
    <x v="0"/>
    <s v="Marqueur"/>
    <x v="3"/>
    <n v="24"/>
    <n v="12612.48"/>
  </r>
  <r>
    <s v="CMD0034"/>
    <d v="2026-09-02T00:00:00"/>
    <s v="Faure Equipements SARL"/>
    <x v="2"/>
    <x v="1"/>
    <s v="Ramette papier A4"/>
    <x v="4"/>
    <n v="28"/>
    <n v="2370.48"/>
  </r>
  <r>
    <s v="CMD0035"/>
    <d v="2026-01-04T00:00:00"/>
    <s v="Mathieu Services SARL"/>
    <x v="5"/>
    <x v="9"/>
    <s v="Marqueur"/>
    <x v="3"/>
    <n v="17"/>
    <n v="1996.99"/>
  </r>
  <r>
    <s v="CMD0036"/>
    <d v="2026-02-24T00:00:00"/>
    <s v="Girard Solutions EURL"/>
    <x v="5"/>
    <x v="2"/>
    <s v="Bouilloire"/>
    <x v="1"/>
    <n v="21"/>
    <n v="5213.46"/>
  </r>
  <r>
    <s v="CMD0037"/>
    <d v="2026-05-22T00:00:00"/>
    <s v="Muller Equipements SARL"/>
    <x v="0"/>
    <x v="5"/>
    <s v="Agrafeuse"/>
    <x v="4"/>
    <n v="37"/>
    <n v="8234.7199999999993"/>
  </r>
  <r>
    <s v="CMD0038"/>
    <d v="2026-09-05T00:00:00"/>
    <s v="Andre Distribution EURL"/>
    <x v="2"/>
    <x v="0"/>
    <s v="Marqueur"/>
    <x v="3"/>
    <n v="12"/>
    <n v="2703.36"/>
  </r>
  <r>
    <s v="CMD0039"/>
    <d v="2026-03-24T00:00:00"/>
    <s v="Moreau Bureau EURL"/>
    <x v="0"/>
    <x v="4"/>
    <s v="Bureau reglable"/>
    <x v="0"/>
    <n v="15"/>
    <n v="4060.8"/>
  </r>
  <r>
    <s v="CMD0040"/>
    <d v="2026-01-03T00:00:00"/>
    <s v="Lefevre Equipements SARL"/>
    <x v="0"/>
    <x v="1"/>
    <s v="Cahier"/>
    <x v="3"/>
    <n v="11"/>
    <n v="2601.7200000000003"/>
  </r>
  <r>
    <s v="CMD0041"/>
    <d v="2026-07-09T00:00:00"/>
    <s v="Lefevre Services SARL"/>
    <x v="1"/>
    <x v="0"/>
    <s v="Cafetiere"/>
    <x v="1"/>
    <n v="5"/>
    <n v="807.69999999999993"/>
  </r>
  <r>
    <s v="CMD0042"/>
    <d v="2026-03-31T00:00:00"/>
    <s v="Nicolas Solutions SARL"/>
    <x v="6"/>
    <x v="5"/>
    <s v="Micro-ondes"/>
    <x v="1"/>
    <n v="39"/>
    <n v="1528.4099999999999"/>
  </r>
  <r>
    <s v="CMD0043"/>
    <d v="2026-09-19T00:00:00"/>
    <s v="Perrin Negoce SARL"/>
    <x v="5"/>
    <x v="8"/>
    <s v="Classeur"/>
    <x v="4"/>
    <n v="3"/>
    <n v="1414.3799999999999"/>
  </r>
  <r>
    <s v="CMD0044"/>
    <d v="2026-03-22T00:00:00"/>
    <s v="Lefevre Distribution SAS"/>
    <x v="2"/>
    <x v="0"/>
    <s v="Clavier sans fil"/>
    <x v="2"/>
    <n v="16"/>
    <n v="6315.84"/>
  </r>
  <r>
    <s v="CMD0045"/>
    <d v="2026-02-05T00:00:00"/>
    <s v="Lefevre Services SAS"/>
    <x v="1"/>
    <x v="5"/>
    <s v="Bouilloire"/>
    <x v="1"/>
    <n v="34"/>
    <n v="480.76"/>
  </r>
  <r>
    <s v="CMD0046"/>
    <d v="2026-05-22T00:00:00"/>
    <s v="Faure Services SARL"/>
    <x v="0"/>
    <x v="0"/>
    <s v="Post-it"/>
    <x v="3"/>
    <n v="23"/>
    <n v="13297.679999999998"/>
  </r>
  <r>
    <s v="CMD0047"/>
    <d v="2026-09-17T00:00:00"/>
    <s v="Moreau Services SARL"/>
    <x v="5"/>
    <x v="2"/>
    <s v="Cahier"/>
    <x v="3"/>
    <n v="17"/>
    <n v="1855.5500000000002"/>
  </r>
  <r>
    <s v="CMD0048"/>
    <d v="2026-05-09T00:00:00"/>
    <s v="Roussel Solutions EURL"/>
    <x v="0"/>
    <x v="7"/>
    <s v="Ramette papier A4"/>
    <x v="4"/>
    <n v="33"/>
    <n v="18949.920000000002"/>
  </r>
  <r>
    <s v="CMD0049"/>
    <d v="2026-01-15T00:00:00"/>
    <s v="Nicolas Informatique SAS"/>
    <x v="3"/>
    <x v="0"/>
    <s v="Agrafeuse"/>
    <x v="4"/>
    <n v="30"/>
    <n v="16152.899999999998"/>
  </r>
  <r>
    <s v="CMD0050"/>
    <d v="2026-06-30T00:00:00"/>
    <s v="Perrin Services SARL"/>
    <x v="1"/>
    <x v="2"/>
    <s v="Chaise ergonomique"/>
    <x v="0"/>
    <n v="21"/>
    <n v="5258.19"/>
  </r>
  <r>
    <s v="CMD0051"/>
    <d v="2026-06-25T00:00:00"/>
    <s v="Lefevre Services SARL"/>
    <x v="0"/>
    <x v="4"/>
    <s v="Armoire de rangement"/>
    <x v="0"/>
    <n v="6"/>
    <n v="1454.16"/>
  </r>
  <r>
    <s v="CMD0052"/>
    <d v="2026-04-08T00:00:00"/>
    <s v="Nicolas Negoce SARL"/>
    <x v="6"/>
    <x v="7"/>
    <s v="Classeur"/>
    <x v="4"/>
    <n v="37"/>
    <n v="6108.7"/>
  </r>
  <r>
    <s v="CMD0053"/>
    <d v="2026-05-08T00:00:00"/>
    <s v="Clement Distribution SARL"/>
    <x v="4"/>
    <x v="6"/>
    <s v="Classeur"/>
    <x v="4"/>
    <n v="15"/>
    <n v="1884.75"/>
  </r>
  <r>
    <s v="CMD0054"/>
    <d v="2026-01-22T00:00:00"/>
    <s v="Nicolas Distribution EURL"/>
    <x v="2"/>
    <x v="3"/>
    <s v="Ordinateur portable"/>
    <x v="2"/>
    <n v="32"/>
    <n v="11847.36"/>
  </r>
  <r>
    <s v="CMD0055"/>
    <d v="2026-09-19T00:00:00"/>
    <s v="Andre Solutions SARL"/>
    <x v="4"/>
    <x v="1"/>
    <s v="Post-it"/>
    <x v="3"/>
    <n v="32"/>
    <n v="3641.92"/>
  </r>
  <r>
    <s v="CMD0056"/>
    <d v="2026-09-02T00:00:00"/>
    <s v="Morin Informatique EURL"/>
    <x v="2"/>
    <x v="0"/>
    <s v="Bureau reglable"/>
    <x v="0"/>
    <n v="34"/>
    <n v="16339.38"/>
  </r>
  <r>
    <s v="CMD0057"/>
    <d v="2026-08-24T00:00:00"/>
    <s v="Blanc Negoce SARL"/>
    <x v="3"/>
    <x v="7"/>
    <s v="Caisson a roulettes"/>
    <x v="0"/>
    <n v="8"/>
    <n v="3363.68"/>
  </r>
  <r>
    <s v="CMD0058"/>
    <d v="2026-05-13T00:00:00"/>
    <s v="Bonnet Services SAS"/>
    <x v="6"/>
    <x v="2"/>
    <s v="Cafetiere"/>
    <x v="1"/>
    <n v="21"/>
    <n v="4623.1500000000005"/>
  </r>
  <r>
    <s v="CMD0059"/>
    <d v="2026-08-06T00:00:00"/>
    <s v="Francois Solutions EURL"/>
    <x v="4"/>
    <x v="4"/>
    <s v="Micro-ondes"/>
    <x v="1"/>
    <n v="24"/>
    <n v="2746.32"/>
  </r>
  <r>
    <s v="CMD0060"/>
    <d v="2026-03-09T00:00:00"/>
    <s v="Mathieu Negoce SARL"/>
    <x v="4"/>
    <x v="6"/>
    <s v="Agrafeuse"/>
    <x v="4"/>
    <n v="18"/>
    <n v="4917.24"/>
  </r>
  <r>
    <s v="CMD0061"/>
    <d v="2026-07-15T00:00:00"/>
    <s v="Francois Bureau EURL"/>
    <x v="6"/>
    <x v="3"/>
    <s v="Classeur"/>
    <x v="4"/>
    <n v="36"/>
    <n v="9438.1200000000008"/>
  </r>
  <r>
    <s v="CMD0062"/>
    <d v="2026-09-22T00:00:00"/>
    <s v="Morin Negoce SAS"/>
    <x v="4"/>
    <x v="3"/>
    <s v="Ecran 24 pouces"/>
    <x v="2"/>
    <n v="27"/>
    <n v="8161.0199999999995"/>
  </r>
  <r>
    <s v="CMD0063"/>
    <d v="2026-01-25T00:00:00"/>
    <s v="Muller Informatique EURL"/>
    <x v="6"/>
    <x v="9"/>
    <s v="Stylo (boite de 10)"/>
    <x v="4"/>
    <n v="36"/>
    <n v="18569.159999999996"/>
  </r>
  <r>
    <s v="CMD0064"/>
    <d v="2026-02-19T00:00:00"/>
    <s v="Roussel Negoce SAS"/>
    <x v="2"/>
    <x v="4"/>
    <s v="Armoire de rangement"/>
    <x v="0"/>
    <n v="31"/>
    <n v="15629.89"/>
  </r>
  <r>
    <s v="CMD0065"/>
    <d v="2026-03-04T00:00:00"/>
    <s v="Guerin Equipements EURL"/>
    <x v="5"/>
    <x v="7"/>
    <s v="Stylo (boite de 10)"/>
    <x v="4"/>
    <n v="23"/>
    <n v="386.40000000000003"/>
  </r>
  <r>
    <s v="CMD0066"/>
    <d v="2026-09-19T00:00:00"/>
    <s v="Nicolas Equipements EURL"/>
    <x v="0"/>
    <x v="6"/>
    <s v="Bloc-notes"/>
    <x v="3"/>
    <n v="19"/>
    <n v="4109.51"/>
  </r>
  <r>
    <s v="CMD0067"/>
    <d v="2026-03-16T00:00:00"/>
    <s v="Bonnet Negoce SAS"/>
    <x v="0"/>
    <x v="1"/>
    <s v="Micro-ondes"/>
    <x v="1"/>
    <n v="30"/>
    <n v="11426.1"/>
  </r>
  <r>
    <s v="CMD0068"/>
    <d v="2026-06-25T00:00:00"/>
    <s v="Faure Distribution SAS"/>
    <x v="1"/>
    <x v="2"/>
    <s v="Marqueur"/>
    <x v="3"/>
    <n v="5"/>
    <n v="260.35000000000002"/>
  </r>
  <r>
    <s v="CMD0069"/>
    <d v="2026-07-05T00:00:00"/>
    <s v="Mathieu Services SAS"/>
    <x v="0"/>
    <x v="8"/>
    <s v="Agrafeuse"/>
    <x v="4"/>
    <n v="18"/>
    <n v="9597.24"/>
  </r>
  <r>
    <s v="CMD0070"/>
    <d v="2026-05-09T00:00:00"/>
    <s v="Lefevre Bureau SARL"/>
    <x v="0"/>
    <x v="6"/>
    <s v="Bureau reglable"/>
    <x v="0"/>
    <n v="9"/>
    <n v="3942.18"/>
  </r>
  <r>
    <s v="CMD0071"/>
    <d v="2026-01-14T00:00:00"/>
    <s v="Muller Services SARL"/>
    <x v="3"/>
    <x v="2"/>
    <s v="Ordinateur portable"/>
    <x v="2"/>
    <n v="31"/>
    <n v="10270.92"/>
  </r>
  <r>
    <s v="CMD0072"/>
    <d v="2026-07-19T00:00:00"/>
    <s v="Mercier Bureau SARL"/>
    <x v="1"/>
    <x v="2"/>
    <s v="Bloc-notes"/>
    <x v="3"/>
    <n v="6"/>
    <n v="2367.7799999999997"/>
  </r>
  <r>
    <s v="CMD0073"/>
    <d v="2026-03-29T00:00:00"/>
    <s v="Dupont Informatique EURL"/>
    <x v="2"/>
    <x v="4"/>
    <s v="Bouilloire"/>
    <x v="1"/>
    <n v="9"/>
    <n v="2865.69"/>
  </r>
  <r>
    <s v="CMD0074"/>
    <d v="2026-08-16T00:00:00"/>
    <s v="Girard Negoce EURL"/>
    <x v="6"/>
    <x v="1"/>
    <s v="Refrigerateur mini"/>
    <x v="1"/>
    <n v="35"/>
    <n v="19643.400000000001"/>
  </r>
  <r>
    <s v="CMD0075"/>
    <d v="2026-06-08T00:00:00"/>
    <s v="Guerin Solutions EURL"/>
    <x v="6"/>
    <x v="6"/>
    <s v="Marqueur"/>
    <x v="3"/>
    <n v="37"/>
    <n v="9760.9699999999993"/>
  </r>
  <r>
    <s v="CMD0076"/>
    <d v="2026-03-21T00:00:00"/>
    <s v="Mercier Informatique SARL"/>
    <x v="5"/>
    <x v="8"/>
    <s v="Micro-ondes"/>
    <x v="1"/>
    <n v="24"/>
    <n v="6006.24"/>
  </r>
  <r>
    <s v="CMD0077"/>
    <d v="2026-09-09T00:00:00"/>
    <s v="Nicolas Distribution SARL"/>
    <x v="4"/>
    <x v="0"/>
    <s v="Stylo (boite de 10)"/>
    <x v="4"/>
    <n v="31"/>
    <n v="10024.780000000001"/>
  </r>
  <r>
    <s v="CMD0078"/>
    <d v="2026-04-07T00:00:00"/>
    <s v="Henry Services SAS"/>
    <x v="0"/>
    <x v="7"/>
    <s v="Classeur"/>
    <x v="4"/>
    <n v="1"/>
    <n v="331.19"/>
  </r>
  <r>
    <s v="CMD0079"/>
    <d v="2026-02-10T00:00:00"/>
    <s v="Henry Negoce SARL"/>
    <x v="5"/>
    <x v="1"/>
    <s v="Caisson a roulettes"/>
    <x v="0"/>
    <n v="25"/>
    <n v="3406.25"/>
  </r>
  <r>
    <s v="CMD0080"/>
    <d v="2026-07-31T00:00:00"/>
    <s v="Francois Equipements SARL"/>
    <x v="6"/>
    <x v="8"/>
    <s v="Stylo (boite de 10)"/>
    <x v="4"/>
    <n v="35"/>
    <n v="17018.400000000001"/>
  </r>
  <r>
    <s v="CMD0081"/>
    <d v="2026-05-20T00:00:00"/>
    <s v="Clement Solutions SARL"/>
    <x v="2"/>
    <x v="9"/>
    <s v="Ramette papier A4"/>
    <x v="4"/>
    <n v="30"/>
    <n v="11176.5"/>
  </r>
  <r>
    <s v="CMD0082"/>
    <d v="2026-02-22T00:00:00"/>
    <s v="Mercier Distribution SARL"/>
    <x v="1"/>
    <x v="3"/>
    <s v="Bureau reglable"/>
    <x v="0"/>
    <n v="35"/>
    <n v="635.95000000000005"/>
  </r>
  <r>
    <s v="CMD0083"/>
    <d v="2026-09-10T00:00:00"/>
    <s v="Francois Distribution SAS"/>
    <x v="2"/>
    <x v="3"/>
    <s v="Ecran 24 pouces"/>
    <x v="2"/>
    <n v="6"/>
    <n v="567.96"/>
  </r>
  <r>
    <s v="CMD0084"/>
    <d v="2026-03-16T00:00:00"/>
    <s v="Martin Distribution SAS"/>
    <x v="3"/>
    <x v="5"/>
    <s v="Agrafeuse"/>
    <x v="4"/>
    <n v="3"/>
    <n v="604.5"/>
  </r>
  <r>
    <s v="CMD0085"/>
    <d v="2026-05-09T00:00:00"/>
    <s v="Muller Equipements SARL"/>
    <x v="3"/>
    <x v="7"/>
    <s v="Bouilloire"/>
    <x v="1"/>
    <n v="13"/>
    <n v="6993.2200000000012"/>
  </r>
  <r>
    <s v="CMD0086"/>
    <d v="2026-01-18T00:00:00"/>
    <s v="Francois Solutions EURL"/>
    <x v="4"/>
    <x v="6"/>
    <s v="Refrigerateur mini"/>
    <x v="1"/>
    <n v="16"/>
    <n v="7102.08"/>
  </r>
  <r>
    <s v="CMD0087"/>
    <d v="2026-06-09T00:00:00"/>
    <s v="Blanc Bureau EURL"/>
    <x v="1"/>
    <x v="9"/>
    <s v="Bloc-notes"/>
    <x v="3"/>
    <n v="31"/>
    <n v="7332.43"/>
  </r>
  <r>
    <s v="CMD0088"/>
    <d v="2026-06-02T00:00:00"/>
    <s v="Francois Distribution SARL"/>
    <x v="4"/>
    <x v="7"/>
    <s v="Cahier"/>
    <x v="3"/>
    <n v="17"/>
    <n v="4952.6099999999997"/>
  </r>
  <r>
    <s v="CMD0089"/>
    <d v="2026-03-27T00:00:00"/>
    <s v="Andre Services SARL"/>
    <x v="0"/>
    <x v="7"/>
    <s v="Ecran 24 pouces"/>
    <x v="2"/>
    <n v="28"/>
    <n v="5546.52"/>
  </r>
  <r>
    <s v="CMD0090"/>
    <d v="2026-09-01T00:00:00"/>
    <s v="Clement Bureau SAS"/>
    <x v="4"/>
    <x v="6"/>
    <s v="Ordinateur portable"/>
    <x v="2"/>
    <n v="38"/>
    <n v="17904.46"/>
  </r>
  <r>
    <s v="CMD0091"/>
    <d v="2026-06-23T00:00:00"/>
    <s v="Martin Informatique SAS"/>
    <x v="1"/>
    <x v="8"/>
    <s v="Chaise ergonomique"/>
    <x v="0"/>
    <n v="32"/>
    <n v="1900.16"/>
  </r>
  <r>
    <s v="CMD0092"/>
    <d v="2026-06-12T00:00:00"/>
    <s v="Morin Equipements EURL"/>
    <x v="4"/>
    <x v="4"/>
    <s v="Cahier"/>
    <x v="3"/>
    <n v="9"/>
    <n v="2657.43"/>
  </r>
  <r>
    <s v="CMD0093"/>
    <d v="2026-07-03T00:00:00"/>
    <s v="Girard Distribution SARL"/>
    <x v="0"/>
    <x v="3"/>
    <s v="Bouilloire"/>
    <x v="1"/>
    <n v="2"/>
    <n v="830.2"/>
  </r>
  <r>
    <s v="CMD0094"/>
    <d v="2026-04-08T00:00:00"/>
    <s v="Mathieu Bureau EURL"/>
    <x v="2"/>
    <x v="4"/>
    <s v="Post-it"/>
    <x v="3"/>
    <n v="35"/>
    <n v="14690.9"/>
  </r>
  <r>
    <s v="CMD0095"/>
    <d v="2026-03-24T00:00:00"/>
    <s v="Lefevre Services SARL"/>
    <x v="0"/>
    <x v="2"/>
    <s v="Micro-ondes"/>
    <x v="1"/>
    <n v="39"/>
    <n v="21415.29"/>
  </r>
  <r>
    <s v="CMD0096"/>
    <d v="2026-09-17T00:00:00"/>
    <s v="Muller Negoce SARL"/>
    <x v="3"/>
    <x v="1"/>
    <s v="Stylo (boite de 10)"/>
    <x v="4"/>
    <n v="30"/>
    <n v="162.89999999999998"/>
  </r>
  <r>
    <s v="CMD0097"/>
    <d v="2026-07-18T00:00:00"/>
    <s v="Francois Services EURL"/>
    <x v="0"/>
    <x v="5"/>
    <s v="Classeur"/>
    <x v="4"/>
    <n v="21"/>
    <n v="9114"/>
  </r>
  <r>
    <s v="CMD0098"/>
    <d v="2026-06-14T00:00:00"/>
    <s v="Moreau Informatique EURL"/>
    <x v="1"/>
    <x v="6"/>
    <s v="Armoire de rangement"/>
    <x v="0"/>
    <n v="21"/>
    <n v="5225.43"/>
  </r>
  <r>
    <s v="CMD0099"/>
    <d v="2026-04-14T00:00:00"/>
    <s v="Moreau Solutions SARL"/>
    <x v="3"/>
    <x v="9"/>
    <s v="Ecran 24 pouces"/>
    <x v="2"/>
    <n v="12"/>
    <n v="6296.76"/>
  </r>
  <r>
    <s v="CMD0100"/>
    <d v="2026-05-12T00:00:00"/>
    <s v="Martin Distribution SARL"/>
    <x v="5"/>
    <x v="6"/>
    <s v="Marqueur"/>
    <x v="3"/>
    <n v="32"/>
    <n v="10171.52"/>
  </r>
  <r>
    <s v="CMD0101"/>
    <d v="2026-02-10T00:00:00"/>
    <s v="Roussel Equipements EURL"/>
    <x v="3"/>
    <x v="4"/>
    <s v="Ecran 24 pouces"/>
    <x v="2"/>
    <n v="32"/>
    <n v="17836.8"/>
  </r>
  <r>
    <s v="CMD0102"/>
    <d v="2026-01-30T00:00:00"/>
    <s v="Clement Distribution EURL"/>
    <x v="3"/>
    <x v="6"/>
    <s v="Marqueur"/>
    <x v="3"/>
    <n v="24"/>
    <n v="11461.92"/>
  </r>
  <r>
    <s v="CMD0103"/>
    <d v="2026-02-19T00:00:00"/>
    <s v="Moreau Negoce SARL"/>
    <x v="5"/>
    <x v="0"/>
    <s v="Ramette papier A4"/>
    <x v="4"/>
    <n v="14"/>
    <n v="8071.6999999999989"/>
  </r>
  <r>
    <s v="CMD0104"/>
    <d v="2026-04-02T00:00:00"/>
    <s v="Morin Negoce EURL"/>
    <x v="0"/>
    <x v="6"/>
    <s v="Chaise ergonomique"/>
    <x v="0"/>
    <n v="34"/>
    <n v="13458.56"/>
  </r>
  <r>
    <s v="CMD0105"/>
    <d v="2026-08-07T00:00:00"/>
    <s v="Moreau Bureau SARL"/>
    <x v="5"/>
    <x v="0"/>
    <s v="Post-it"/>
    <x v="3"/>
    <n v="30"/>
    <n v="12690.599999999999"/>
  </r>
  <r>
    <s v="CMD0106"/>
    <d v="2026-08-15T00:00:00"/>
    <s v="Guerin Distribution EURL"/>
    <x v="2"/>
    <x v="4"/>
    <s v="Post-it"/>
    <x v="3"/>
    <n v="11"/>
    <n v="3549.3700000000003"/>
  </r>
  <r>
    <s v="CMD0107"/>
    <d v="2026-04-20T00:00:00"/>
    <s v="Muller Equipements EURL"/>
    <x v="1"/>
    <x v="2"/>
    <s v="Refrigerateur mini"/>
    <x v="1"/>
    <n v="21"/>
    <n v="7707.21"/>
  </r>
  <r>
    <s v="CMD0108"/>
    <d v="2026-01-01T00:00:00"/>
    <s v="Martin Distribution EURL"/>
    <x v="3"/>
    <x v="5"/>
    <s v="Agrafeuse"/>
    <x v="4"/>
    <n v="29"/>
    <n v="16706.900000000001"/>
  </r>
  <r>
    <s v="CMD0109"/>
    <d v="2026-04-24T00:00:00"/>
    <s v="Francois Equipements SAS"/>
    <x v="3"/>
    <x v="2"/>
    <s v="Armoire de rangement"/>
    <x v="0"/>
    <n v="1"/>
    <n v="183.7"/>
  </r>
  <r>
    <s v="CMD0110"/>
    <d v="2026-07-02T00:00:00"/>
    <s v="Girard Bureau SAS"/>
    <x v="2"/>
    <x v="1"/>
    <s v="Bloc-notes"/>
    <x v="3"/>
    <n v="7"/>
    <n v="192.15"/>
  </r>
  <r>
    <s v="CMD0111"/>
    <d v="2026-02-17T00:00:00"/>
    <s v="Mathieu Solutions EURL"/>
    <x v="6"/>
    <x v="6"/>
    <s v="Chaise ergonomique"/>
    <x v="0"/>
    <n v="17"/>
    <n v="8289.0299999999988"/>
  </r>
  <r>
    <s v="CMD0112"/>
    <d v="2026-02-18T00:00:00"/>
    <s v="Clement Negoce SAS"/>
    <x v="3"/>
    <x v="1"/>
    <s v="Agrafeuse"/>
    <x v="4"/>
    <n v="12"/>
    <n v="3546.24"/>
  </r>
  <r>
    <s v="CMD0113"/>
    <d v="2026-06-21T00:00:00"/>
    <s v="Guerin Equipements SAS"/>
    <x v="0"/>
    <x v="6"/>
    <s v="Cafetiere"/>
    <x v="1"/>
    <n v="4"/>
    <n v="2214.04"/>
  </r>
  <r>
    <s v="CMD0114"/>
    <d v="2026-09-26T00:00:00"/>
    <s v="Martin Distribution EURL"/>
    <x v="5"/>
    <x v="8"/>
    <s v="Bureau reglable"/>
    <x v="0"/>
    <n v="25"/>
    <n v="930.25"/>
  </r>
  <r>
    <s v="CMD0115"/>
    <d v="2026-07-21T00:00:00"/>
    <s v="Roussel Equipements EURL"/>
    <x v="5"/>
    <x v="5"/>
    <s v="Classeur"/>
    <x v="4"/>
    <n v="10"/>
    <n v="350.6"/>
  </r>
  <r>
    <s v="CMD0116"/>
    <d v="2026-07-21T00:00:00"/>
    <s v="Girard Bureau SAS"/>
    <x v="3"/>
    <x v="3"/>
    <s v="Ecran 24 pouces"/>
    <x v="2"/>
    <n v="28"/>
    <n v="4967.7599999999993"/>
  </r>
  <r>
    <s v="CMD0117"/>
    <d v="2026-02-13T00:00:00"/>
    <s v="Muller Services SAS"/>
    <x v="4"/>
    <x v="8"/>
    <s v="Cahier"/>
    <x v="3"/>
    <n v="36"/>
    <n v="8730.7200000000012"/>
  </r>
  <r>
    <s v="CMD0118"/>
    <d v="2026-07-22T00:00:00"/>
    <s v="Mathieu Bureau EURL"/>
    <x v="5"/>
    <x v="5"/>
    <s v="Caisson a roulettes"/>
    <x v="0"/>
    <n v="36"/>
    <n v="4423.32"/>
  </r>
  <r>
    <s v="CMD0119"/>
    <d v="2026-08-09T00:00:00"/>
    <s v="Blanc Negoce EURL"/>
    <x v="3"/>
    <x v="6"/>
    <s v="Chaise ergonomique"/>
    <x v="0"/>
    <n v="5"/>
    <n v="817.09999999999991"/>
  </r>
  <r>
    <s v="CMD0120"/>
    <d v="2026-06-14T00:00:00"/>
    <s v="Guerin Services EURL"/>
    <x v="3"/>
    <x v="2"/>
    <s v="Refrigerateur mini"/>
    <x v="1"/>
    <n v="24"/>
    <n v="5093.76"/>
  </r>
  <r>
    <s v="CMD0121"/>
    <d v="2026-08-15T00:00:00"/>
    <s v="Clement Bureau SAS"/>
    <x v="3"/>
    <x v="7"/>
    <s v="Armoire de rangement"/>
    <x v="0"/>
    <n v="40"/>
    <n v="19753.599999999999"/>
  </r>
  <r>
    <s v="CMD0122"/>
    <d v="2026-02-13T00:00:00"/>
    <s v="Moreau Negoce SARL"/>
    <x v="6"/>
    <x v="1"/>
    <s v="Armoire de rangement"/>
    <x v="0"/>
    <n v="10"/>
    <n v="4558.5"/>
  </r>
  <r>
    <s v="CMD0123"/>
    <d v="2026-02-26T00:00:00"/>
    <s v="Mercier Solutions SAS"/>
    <x v="3"/>
    <x v="4"/>
    <s v="Armoire de rangement"/>
    <x v="0"/>
    <n v="1"/>
    <n v="209.25"/>
  </r>
  <r>
    <s v="CMD0124"/>
    <d v="2026-05-13T00:00:00"/>
    <s v="Morin Solutions EURL"/>
    <x v="1"/>
    <x v="8"/>
    <s v="Chaise ergonomique"/>
    <x v="0"/>
    <n v="14"/>
    <n v="4621.68"/>
  </r>
  <r>
    <s v="CMD0125"/>
    <d v="2026-09-27T00:00:00"/>
    <s v="Martin Distribution SARL"/>
    <x v="3"/>
    <x v="2"/>
    <s v="Souris optique"/>
    <x v="2"/>
    <n v="38"/>
    <n v="20675.420000000002"/>
  </r>
  <r>
    <s v="CMD0126"/>
    <d v="2026-01-05T00:00:00"/>
    <s v="Lefevre Solutions EURL"/>
    <x v="2"/>
    <x v="4"/>
    <s v="Armoire de rangement"/>
    <x v="0"/>
    <n v="4"/>
    <n v="1126.5999999999999"/>
  </r>
  <r>
    <s v="CMD0127"/>
    <d v="2026-07-17T00:00:00"/>
    <s v="Faure Solutions EURL"/>
    <x v="1"/>
    <x v="6"/>
    <s v="Ordinateur portable"/>
    <x v="2"/>
    <n v="19"/>
    <n v="9901.09"/>
  </r>
  <r>
    <s v="CMD0128"/>
    <d v="2026-04-06T00:00:00"/>
    <s v="Francois Services SAS"/>
    <x v="5"/>
    <x v="9"/>
    <s v="Agrafeuse"/>
    <x v="4"/>
    <n v="39"/>
    <n v="12529.919999999998"/>
  </r>
  <r>
    <s v="CMD0129"/>
    <d v="2026-09-08T00:00:00"/>
    <s v="Muller Negoce SARL"/>
    <x v="3"/>
    <x v="4"/>
    <s v="Ecran 24 pouces"/>
    <x v="2"/>
    <n v="34"/>
    <n v="6338.62"/>
  </r>
  <r>
    <s v="CMD0130"/>
    <d v="2026-09-14T00:00:00"/>
    <s v="Andre Equipements SARL"/>
    <x v="1"/>
    <x v="2"/>
    <s v="Stylo (boite de 10)"/>
    <x v="4"/>
    <n v="20"/>
    <n v="2910.7999999999997"/>
  </r>
  <r>
    <s v="CMD0131"/>
    <d v="2026-04-26T00:00:00"/>
    <s v="Girard Distribution SAS"/>
    <x v="1"/>
    <x v="8"/>
    <s v="Cafetiere"/>
    <x v="1"/>
    <n v="36"/>
    <n v="20509.920000000002"/>
  </r>
  <r>
    <s v="CMD0132"/>
    <d v="2026-04-27T00:00:00"/>
    <s v="Henry Bureau EURL"/>
    <x v="6"/>
    <x v="0"/>
    <s v="Souris optique"/>
    <x v="2"/>
    <n v="34"/>
    <n v="19603.039999999997"/>
  </r>
  <r>
    <s v="CMD0133"/>
    <d v="2026-04-16T00:00:00"/>
    <s v="Girard Services EURL"/>
    <x v="1"/>
    <x v="7"/>
    <s v="Stylo (boite de 10)"/>
    <x v="4"/>
    <n v="29"/>
    <n v="9501.27"/>
  </r>
  <r>
    <s v="CMD0134"/>
    <d v="2026-08-09T00:00:00"/>
    <s v="Girard Negoce EURL"/>
    <x v="6"/>
    <x v="4"/>
    <s v="Armoire de rangement"/>
    <x v="0"/>
    <n v="34"/>
    <n v="18570.460000000003"/>
  </r>
  <r>
    <s v="CMD0135"/>
    <d v="2026-03-02T00:00:00"/>
    <s v="Bonnet Distribution SARL"/>
    <x v="1"/>
    <x v="9"/>
    <s v="Disque dur externe"/>
    <x v="2"/>
    <n v="35"/>
    <n v="19929.699999999997"/>
  </r>
  <r>
    <s v="CMD0136"/>
    <d v="2026-05-21T00:00:00"/>
    <s v="Girard Equipements SARL"/>
    <x v="3"/>
    <x v="8"/>
    <s v="Agrafeuse"/>
    <x v="4"/>
    <n v="27"/>
    <n v="5008.2300000000005"/>
  </r>
  <r>
    <s v="CMD0137"/>
    <d v="2026-04-29T00:00:00"/>
    <s v="Clement Bureau SARL"/>
    <x v="1"/>
    <x v="9"/>
    <s v="Bureau reglable"/>
    <x v="0"/>
    <n v="40"/>
    <n v="14883.199999999999"/>
  </r>
  <r>
    <s v="CMD0138"/>
    <d v="2026-08-29T00:00:00"/>
    <s v="Guerin Bureau SAS"/>
    <x v="0"/>
    <x v="3"/>
    <s v="Ramette papier A4"/>
    <x v="4"/>
    <n v="31"/>
    <n v="2628.18"/>
  </r>
  <r>
    <s v="CMD0139"/>
    <d v="2026-07-29T00:00:00"/>
    <s v="Dupont Distribution SAS"/>
    <x v="6"/>
    <x v="7"/>
    <s v="Chaise ergonomique"/>
    <x v="0"/>
    <n v="13"/>
    <n v="1815.19"/>
  </r>
  <r>
    <s v="CMD0140"/>
    <d v="2026-08-13T00:00:00"/>
    <s v="Clement Solutions EURL"/>
    <x v="2"/>
    <x v="3"/>
    <s v="Bureau reglable"/>
    <x v="0"/>
    <n v="12"/>
    <n v="6679.5599999999995"/>
  </r>
  <r>
    <s v="CMD0141"/>
    <d v="2026-07-14T00:00:00"/>
    <s v="Blanc Solutions EURL"/>
    <x v="1"/>
    <x v="1"/>
    <s v="Caisson a roulettes"/>
    <x v="0"/>
    <n v="26"/>
    <n v="12138.1"/>
  </r>
  <r>
    <s v="CMD0142"/>
    <d v="2026-08-22T00:00:00"/>
    <s v="Martin Bureau EURL"/>
    <x v="5"/>
    <x v="0"/>
    <s v="Cahier"/>
    <x v="3"/>
    <n v="34"/>
    <n v="2381.36"/>
  </r>
  <r>
    <s v="CMD0143"/>
    <d v="2026-01-26T00:00:00"/>
    <s v="Francois Distribution SAS"/>
    <x v="0"/>
    <x v="2"/>
    <s v="Disque dur externe"/>
    <x v="2"/>
    <n v="25"/>
    <n v="7802.5000000000009"/>
  </r>
  <r>
    <s v="CMD0144"/>
    <d v="2026-01-28T00:00:00"/>
    <s v="Perrin Bureau SAS"/>
    <x v="4"/>
    <x v="3"/>
    <s v="Agrafeuse"/>
    <x v="4"/>
    <n v="11"/>
    <n v="2819.96"/>
  </r>
  <r>
    <s v="CMD0145"/>
    <d v="2026-03-11T00:00:00"/>
    <s v="Muller Solutions SAS"/>
    <x v="0"/>
    <x v="9"/>
    <s v="Disque dur externe"/>
    <x v="2"/>
    <n v="8"/>
    <n v="895.68"/>
  </r>
  <r>
    <s v="CMD0146"/>
    <d v="2026-04-14T00:00:00"/>
    <s v="Roussel Informatique SAS"/>
    <x v="2"/>
    <x v="8"/>
    <s v="Caisson a roulettes"/>
    <x v="0"/>
    <n v="38"/>
    <n v="20462.62"/>
  </r>
  <r>
    <s v="CMD0147"/>
    <d v="2026-07-05T00:00:00"/>
    <s v="Lefevre Services EURL"/>
    <x v="0"/>
    <x v="5"/>
    <s v="Ordinateur portable"/>
    <x v="2"/>
    <n v="8"/>
    <n v="3401.6"/>
  </r>
  <r>
    <s v="CMD0148"/>
    <d v="2026-01-23T00:00:00"/>
    <s v="Bonnet Distribution EURL"/>
    <x v="4"/>
    <x v="8"/>
    <s v="Bloc-notes"/>
    <x v="3"/>
    <n v="25"/>
    <n v="8311.5"/>
  </r>
  <r>
    <s v="CMD0149"/>
    <d v="2026-01-27T00:00:00"/>
    <s v="Henry Distribution SAS"/>
    <x v="1"/>
    <x v="3"/>
    <s v="Chaise ergonomique"/>
    <x v="0"/>
    <n v="12"/>
    <n v="5551.7999999999993"/>
  </r>
  <r>
    <s v="CMD0150"/>
    <d v="2026-04-14T00:00:00"/>
    <s v="Dupont Services SAS"/>
    <x v="3"/>
    <x v="3"/>
    <s v="Classeur"/>
    <x v="4"/>
    <n v="8"/>
    <n v="4317.04"/>
  </r>
  <r>
    <s v="CMD0151"/>
    <d v="2026-09-10T00:00:00"/>
    <s v="Faure Bureau EURL"/>
    <x v="1"/>
    <x v="3"/>
    <s v="Refrigerateur mini"/>
    <x v="1"/>
    <n v="35"/>
    <n v="16990.400000000001"/>
  </r>
  <r>
    <s v="CMD0152"/>
    <d v="2026-01-04T00:00:00"/>
    <s v="Faure Services SAS"/>
    <x v="5"/>
    <x v="5"/>
    <s v="Refrigerateur mini"/>
    <x v="1"/>
    <n v="29"/>
    <n v="1515.25"/>
  </r>
  <r>
    <s v="CMD0153"/>
    <d v="2026-06-28T00:00:00"/>
    <s v="Martin Bureau SARL"/>
    <x v="1"/>
    <x v="1"/>
    <s v="Bureau reglable"/>
    <x v="0"/>
    <n v="12"/>
    <n v="1118.52"/>
  </r>
  <r>
    <s v="CMD0154"/>
    <d v="2026-01-26T00:00:00"/>
    <s v="Moreau Solutions SARL"/>
    <x v="6"/>
    <x v="2"/>
    <s v="Post-it"/>
    <x v="3"/>
    <n v="22"/>
    <n v="12157.86"/>
  </r>
  <r>
    <s v="CMD0155"/>
    <d v="2026-07-04T00:00:00"/>
    <s v="Martin Informatique SAS"/>
    <x v="2"/>
    <x v="4"/>
    <s v="Bloc-notes"/>
    <x v="3"/>
    <n v="30"/>
    <n v="13525.5"/>
  </r>
  <r>
    <s v="CMD0156"/>
    <d v="2026-02-03T00:00:00"/>
    <s v="Mercier Solutions SARL"/>
    <x v="3"/>
    <x v="2"/>
    <s v="Cafetiere"/>
    <x v="1"/>
    <n v="28"/>
    <n v="14189.56"/>
  </r>
  <r>
    <s v="CMD0157"/>
    <d v="2026-04-18T00:00:00"/>
    <s v="Clement Informatique SARL"/>
    <x v="5"/>
    <x v="5"/>
    <s v="Agrafeuse"/>
    <x v="4"/>
    <n v="34"/>
    <n v="4415.2400000000007"/>
  </r>
  <r>
    <s v="CMD0158"/>
    <d v="2026-05-28T00:00:00"/>
    <s v="Henry Services SAS"/>
    <x v="2"/>
    <x v="5"/>
    <s v="Souris optique"/>
    <x v="2"/>
    <n v="39"/>
    <n v="21866.129999999997"/>
  </r>
  <r>
    <s v="CMD0159"/>
    <d v="2026-09-12T00:00:00"/>
    <s v="Perrin Negoce EURL"/>
    <x v="0"/>
    <x v="3"/>
    <s v="Post-it"/>
    <x v="3"/>
    <n v="9"/>
    <n v="3334.5"/>
  </r>
  <r>
    <s v="CMD0160"/>
    <d v="2026-01-01T00:00:00"/>
    <s v="Moreau Informatique SAS"/>
    <x v="1"/>
    <x v="6"/>
    <s v="Chaise ergonomique"/>
    <x v="0"/>
    <n v="19"/>
    <n v="11165.539999999999"/>
  </r>
  <r>
    <s v="CMD0161"/>
    <d v="2026-06-29T00:00:00"/>
    <s v="Morin Equipements EURL"/>
    <x v="6"/>
    <x v="9"/>
    <s v="Caisson a roulettes"/>
    <x v="0"/>
    <n v="27"/>
    <n v="865.89"/>
  </r>
  <r>
    <s v="CMD0162"/>
    <d v="2026-06-07T00:00:00"/>
    <s v="Mercier Services EURL"/>
    <x v="2"/>
    <x v="9"/>
    <s v="Armoire de rangement"/>
    <x v="0"/>
    <n v="17"/>
    <n v="8077.89"/>
  </r>
  <r>
    <s v="CMD0163"/>
    <d v="2026-01-15T00:00:00"/>
    <s v="Bonnet Bureau SAS"/>
    <x v="4"/>
    <x v="4"/>
    <s v="Clavier sans fil"/>
    <x v="2"/>
    <n v="22"/>
    <n v="5294.3"/>
  </r>
  <r>
    <s v="CMD0164"/>
    <d v="2026-09-04T00:00:00"/>
    <s v="Girard Negoce SAS"/>
    <x v="4"/>
    <x v="5"/>
    <s v="Refrigerateur mini"/>
    <x v="1"/>
    <n v="3"/>
    <n v="1167.48"/>
  </r>
  <r>
    <s v="CMD0165"/>
    <d v="2026-01-29T00:00:00"/>
    <s v="Perrin Distribution EURL"/>
    <x v="1"/>
    <x v="4"/>
    <s v="Agrafeuse"/>
    <x v="4"/>
    <n v="27"/>
    <n v="15040.079999999998"/>
  </r>
  <r>
    <s v="CMD0166"/>
    <d v="2026-06-19T00:00:00"/>
    <s v="Guerin Informatique SARL"/>
    <x v="2"/>
    <x v="9"/>
    <s v="Cahier"/>
    <x v="3"/>
    <n v="14"/>
    <n v="4879.7"/>
  </r>
  <r>
    <s v="CMD0167"/>
    <d v="2026-07-19T00:00:00"/>
    <s v="Bonnet Services SARL"/>
    <x v="4"/>
    <x v="2"/>
    <s v="Agrafeuse"/>
    <x v="4"/>
    <n v="35"/>
    <n v="17718.05"/>
  </r>
  <r>
    <s v="CMD0168"/>
    <d v="2026-09-12T00:00:00"/>
    <s v="Faure Distribution SAS"/>
    <x v="4"/>
    <x v="2"/>
    <s v="Ramette papier A4"/>
    <x v="4"/>
    <n v="18"/>
    <n v="4522.5"/>
  </r>
  <r>
    <s v="CMD0169"/>
    <d v="2026-01-20T00:00:00"/>
    <s v="Francois Informatique SAS"/>
    <x v="5"/>
    <x v="9"/>
    <s v="Armoire de rangement"/>
    <x v="0"/>
    <n v="12"/>
    <n v="861.36"/>
  </r>
  <r>
    <s v="CMD0170"/>
    <d v="2026-09-05T00:00:00"/>
    <s v="Perrin Distribution SAS"/>
    <x v="6"/>
    <x v="6"/>
    <s v="Bouilloire"/>
    <x v="1"/>
    <n v="13"/>
    <n v="2695.81"/>
  </r>
  <r>
    <s v="CMD0171"/>
    <d v="2026-08-24T00:00:00"/>
    <s v="Muller Negoce EURL"/>
    <x v="3"/>
    <x v="9"/>
    <s v="Bloc-notes"/>
    <x v="3"/>
    <n v="14"/>
    <n v="6105.68"/>
  </r>
  <r>
    <s v="CMD0172"/>
    <d v="2026-06-20T00:00:00"/>
    <s v="Roussel Informatique SARL"/>
    <x v="5"/>
    <x v="2"/>
    <s v="Ramette papier A4"/>
    <x v="4"/>
    <n v="39"/>
    <n v="20427.03"/>
  </r>
  <r>
    <s v="CMD0173"/>
    <d v="2026-04-18T00:00:00"/>
    <s v="Blanc Bureau SARL"/>
    <x v="2"/>
    <x v="2"/>
    <s v="Disque dur externe"/>
    <x v="2"/>
    <n v="20"/>
    <n v="7702.4"/>
  </r>
  <r>
    <s v="CMD0174"/>
    <d v="2026-05-20T00:00:00"/>
    <s v="Girard Bureau SAS"/>
    <x v="3"/>
    <x v="9"/>
    <s v="Post-it"/>
    <x v="3"/>
    <n v="29"/>
    <n v="11725.28"/>
  </r>
  <r>
    <s v="CMD0175"/>
    <d v="2026-06-13T00:00:00"/>
    <s v="Andre Bureau EURL"/>
    <x v="4"/>
    <x v="2"/>
    <s v="Cahier"/>
    <x v="3"/>
    <n v="14"/>
    <n v="4589.2"/>
  </r>
  <r>
    <s v="CMD0176"/>
    <d v="2026-06-23T00:00:00"/>
    <s v="Morin Solutions SARL"/>
    <x v="6"/>
    <x v="9"/>
    <s v="Bloc-notes"/>
    <x v="3"/>
    <n v="11"/>
    <n v="521.29"/>
  </r>
  <r>
    <s v="CMD0177"/>
    <d v="2026-02-14T00:00:00"/>
    <s v="Henry Solutions SARL"/>
    <x v="1"/>
    <x v="1"/>
    <s v="Cafetiere"/>
    <x v="1"/>
    <n v="7"/>
    <n v="1632.68"/>
  </r>
  <r>
    <s v="CMD0178"/>
    <d v="2026-06-20T00:00:00"/>
    <s v="Francois Negoce EURL"/>
    <x v="4"/>
    <x v="5"/>
    <s v="Marqueur"/>
    <x v="3"/>
    <n v="40"/>
    <n v="8664"/>
  </r>
  <r>
    <s v="CMD0179"/>
    <d v="2026-08-28T00:00:00"/>
    <s v="Moreau Solutions SAS"/>
    <x v="1"/>
    <x v="3"/>
    <s v="Souris optique"/>
    <x v="2"/>
    <n v="37"/>
    <n v="3086.54"/>
  </r>
  <r>
    <s v="CMD0180"/>
    <d v="2026-05-13T00:00:00"/>
    <s v="Guerin Solutions SARL"/>
    <x v="1"/>
    <x v="4"/>
    <s v="Bouilloire"/>
    <x v="1"/>
    <n v="15"/>
    <n v="1357.65"/>
  </r>
  <r>
    <s v="CMD0181"/>
    <d v="2026-09-01T00:00:00"/>
    <s v="Moreau Distribution SAS"/>
    <x v="0"/>
    <x v="8"/>
    <s v="Agrafeuse"/>
    <x v="4"/>
    <n v="32"/>
    <n v="736.32"/>
  </r>
  <r>
    <s v="CMD0182"/>
    <d v="2026-09-18T00:00:00"/>
    <s v="Moreau Solutions EURL"/>
    <x v="4"/>
    <x v="6"/>
    <s v="Stylo (boite de 10)"/>
    <x v="4"/>
    <n v="39"/>
    <n v="13530.27"/>
  </r>
  <r>
    <s v="CMD0183"/>
    <d v="2026-07-25T00:00:00"/>
    <s v="Mathieu Solutions SARL"/>
    <x v="5"/>
    <x v="7"/>
    <s v="Ramette papier A4"/>
    <x v="4"/>
    <n v="20"/>
    <n v="6439.6"/>
  </r>
  <r>
    <s v="CMD0184"/>
    <d v="2026-06-24T00:00:00"/>
    <s v="Francois Equipements EURL"/>
    <x v="5"/>
    <x v="0"/>
    <s v="Bloc-notes"/>
    <x v="3"/>
    <n v="31"/>
    <n v="7234.47"/>
  </r>
  <r>
    <s v="CMD0185"/>
    <d v="2026-03-30T00:00:00"/>
    <s v="Lefevre Negoce EURL"/>
    <x v="5"/>
    <x v="3"/>
    <s v="Micro-ondes"/>
    <x v="1"/>
    <n v="35"/>
    <n v="14630.35"/>
  </r>
  <r>
    <s v="CMD0186"/>
    <d v="2026-02-19T00:00:00"/>
    <s v="Roussel Bureau SAS"/>
    <x v="0"/>
    <x v="6"/>
    <s v="Disque dur externe"/>
    <x v="2"/>
    <n v="39"/>
    <n v="10936.77"/>
  </r>
  <r>
    <s v="CMD0187"/>
    <d v="2026-07-14T00:00:00"/>
    <s v="Blanc Solutions EURL"/>
    <x v="1"/>
    <x v="9"/>
    <s v="Cahier"/>
    <x v="3"/>
    <n v="39"/>
    <n v="18094.05"/>
  </r>
  <r>
    <s v="CMD0188"/>
    <d v="2026-01-01T00:00:00"/>
    <s v="Girard Negoce SARL"/>
    <x v="0"/>
    <x v="5"/>
    <s v="Ecran 24 pouces"/>
    <x v="2"/>
    <n v="9"/>
    <n v="4796.28"/>
  </r>
  <r>
    <s v="CMD0189"/>
    <d v="2026-04-11T00:00:00"/>
    <s v="Francois Negoce SAS"/>
    <x v="2"/>
    <x v="1"/>
    <s v="Agrafeuse"/>
    <x v="4"/>
    <n v="40"/>
    <n v="13954.8"/>
  </r>
  <r>
    <s v="CMD0190"/>
    <d v="2026-01-05T00:00:00"/>
    <s v="Clement Services SAS"/>
    <x v="4"/>
    <x v="8"/>
    <s v="Agrafeuse"/>
    <x v="4"/>
    <n v="23"/>
    <n v="13667.060000000001"/>
  </r>
  <r>
    <s v="CMD0191"/>
    <d v="2026-01-28T00:00:00"/>
    <s v="Dupont Negoce EURL"/>
    <x v="4"/>
    <x v="4"/>
    <s v="Ramette papier A4"/>
    <x v="4"/>
    <n v="24"/>
    <n v="12987.36"/>
  </r>
  <r>
    <s v="CMD0192"/>
    <d v="2026-07-21T00:00:00"/>
    <s v="Blanc Negoce SAS"/>
    <x v="0"/>
    <x v="0"/>
    <s v="Clavier sans fil"/>
    <x v="2"/>
    <n v="2"/>
    <n v="289.94"/>
  </r>
  <r>
    <s v="CMD0193"/>
    <d v="2026-04-07T00:00:00"/>
    <s v="Morin Solutions SAS"/>
    <x v="4"/>
    <x v="0"/>
    <s v="Bouilloire"/>
    <x v="1"/>
    <n v="12"/>
    <n v="3450.6000000000004"/>
  </r>
  <r>
    <s v="CMD0194"/>
    <d v="2026-02-06T00:00:00"/>
    <s v="Dupont Bureau EURL"/>
    <x v="0"/>
    <x v="0"/>
    <s v="Armoire de rangement"/>
    <x v="0"/>
    <n v="9"/>
    <n v="764.1"/>
  </r>
  <r>
    <s v="CMD0195"/>
    <d v="2026-08-01T00:00:00"/>
    <s v="Roussel Equipements EURL"/>
    <x v="5"/>
    <x v="0"/>
    <s v="Bureau reglable"/>
    <x v="0"/>
    <n v="9"/>
    <n v="3484.17"/>
  </r>
  <r>
    <s v="CMD0196"/>
    <d v="2026-08-19T00:00:00"/>
    <s v="Muller Distribution SARL"/>
    <x v="6"/>
    <x v="0"/>
    <s v="Bloc-notes"/>
    <x v="3"/>
    <n v="30"/>
    <n v="9243"/>
  </r>
  <r>
    <s v="CMD0197"/>
    <d v="2026-05-02T00:00:00"/>
    <s v="Perrin Distribution SAS"/>
    <x v="5"/>
    <x v="1"/>
    <s v="Cahier"/>
    <x v="3"/>
    <n v="37"/>
    <n v="11151.8"/>
  </r>
  <r>
    <s v="CMD0198"/>
    <d v="2026-07-08T00:00:00"/>
    <s v="Moreau Services SAS"/>
    <x v="1"/>
    <x v="6"/>
    <s v="Ramette papier A4"/>
    <x v="4"/>
    <n v="3"/>
    <n v="1029.1500000000001"/>
  </r>
  <r>
    <s v="CMD0199"/>
    <d v="2026-09-25T00:00:00"/>
    <s v="Clement Informatique SARL"/>
    <x v="0"/>
    <x v="6"/>
    <s v="Armoire de rangement"/>
    <x v="0"/>
    <n v="30"/>
    <n v="9377.4"/>
  </r>
  <r>
    <s v="CMD0200"/>
    <d v="2026-06-25T00:00:00"/>
    <s v="Morin Equipements SARL"/>
    <x v="0"/>
    <x v="3"/>
    <s v="Post-it"/>
    <x v="3"/>
    <n v="40"/>
    <n v="1456"/>
  </r>
  <r>
    <s v="CMD0201"/>
    <d v="2026-08-04T00:00:00"/>
    <s v="Guerin Equipements SAS"/>
    <x v="2"/>
    <x v="8"/>
    <s v="Marqueur"/>
    <x v="3"/>
    <n v="37"/>
    <n v="16339.94"/>
  </r>
  <r>
    <s v="CMD0202"/>
    <d v="2026-05-14T00:00:00"/>
    <s v="Martin Negoce SAS"/>
    <x v="5"/>
    <x v="8"/>
    <s v="Disque dur externe"/>
    <x v="2"/>
    <n v="20"/>
    <n v="8751"/>
  </r>
  <r>
    <s v="CMD0203"/>
    <d v="2026-01-14T00:00:00"/>
    <s v="Mercier Solutions SARL"/>
    <x v="6"/>
    <x v="5"/>
    <s v="Cahier"/>
    <x v="3"/>
    <n v="19"/>
    <n v="9239.51"/>
  </r>
  <r>
    <s v="CMD0204"/>
    <d v="2026-05-24T00:00:00"/>
    <s v="Andre Equipements SAS"/>
    <x v="3"/>
    <x v="6"/>
    <s v="Clavier sans fil"/>
    <x v="2"/>
    <n v="17"/>
    <n v="1425.62"/>
  </r>
  <r>
    <s v="CMD0205"/>
    <d v="2026-08-17T00:00:00"/>
    <s v="Guerin Equipements SARL"/>
    <x v="2"/>
    <x v="7"/>
    <s v="Bloc-notes"/>
    <x v="3"/>
    <n v="38"/>
    <n v="16898.22"/>
  </r>
  <r>
    <s v="CMD0206"/>
    <d v="2026-06-25T00:00:00"/>
    <s v="Lefevre Bureau EURL"/>
    <x v="4"/>
    <x v="8"/>
    <s v="Bouilloire"/>
    <x v="1"/>
    <n v="34"/>
    <n v="17608.599999999999"/>
  </r>
  <r>
    <s v="CMD0207"/>
    <d v="2026-08-14T00:00:00"/>
    <s v="Bonnet Bureau EURL"/>
    <x v="1"/>
    <x v="4"/>
    <s v="Refrigerateur mini"/>
    <x v="1"/>
    <n v="25"/>
    <n v="3664.5000000000005"/>
  </r>
  <r>
    <s v="CMD0208"/>
    <d v="2026-08-26T00:00:00"/>
    <s v="Muller Solutions SAS"/>
    <x v="0"/>
    <x v="5"/>
    <s v="Clavier sans fil"/>
    <x v="2"/>
    <n v="8"/>
    <n v="290"/>
  </r>
  <r>
    <s v="CMD0209"/>
    <d v="2026-03-16T00:00:00"/>
    <s v="Perrin Equipements SAS"/>
    <x v="3"/>
    <x v="2"/>
    <s v="Caisson a roulettes"/>
    <x v="0"/>
    <n v="25"/>
    <n v="7184.5"/>
  </r>
  <r>
    <s v="CMD0210"/>
    <d v="2026-01-22T00:00:00"/>
    <s v="Moreau Services EURL"/>
    <x v="2"/>
    <x v="0"/>
    <s v="Refrigerateur mini"/>
    <x v="1"/>
    <n v="21"/>
    <n v="12122.25"/>
  </r>
  <r>
    <s v="CMD0211"/>
    <d v="2026-02-20T00:00:00"/>
    <s v="Andre Negoce EURL"/>
    <x v="0"/>
    <x v="3"/>
    <s v="Post-it"/>
    <x v="3"/>
    <n v="22"/>
    <n v="3648.48"/>
  </r>
  <r>
    <s v="CMD0212"/>
    <d v="2026-04-03T00:00:00"/>
    <s v="Blanc Services SARL"/>
    <x v="1"/>
    <x v="9"/>
    <s v="Chaise ergonomique"/>
    <x v="0"/>
    <n v="34"/>
    <n v="6995.84"/>
  </r>
  <r>
    <s v="CMD0213"/>
    <d v="2026-02-23T00:00:00"/>
    <s v="Roussel Distribution SARL"/>
    <x v="1"/>
    <x v="2"/>
    <s v="Ordinateur portable"/>
    <x v="2"/>
    <n v="27"/>
    <n v="1704.51"/>
  </r>
  <r>
    <s v="CMD0214"/>
    <d v="2026-02-17T00:00:00"/>
    <s v="Martin Services EURL"/>
    <x v="4"/>
    <x v="7"/>
    <s v="Classeur"/>
    <x v="4"/>
    <n v="3"/>
    <n v="57.300000000000004"/>
  </r>
  <r>
    <s v="CMD0215"/>
    <d v="2026-03-08T00:00:00"/>
    <s v="Muller Negoce EURL"/>
    <x v="5"/>
    <x v="8"/>
    <s v="Cahier"/>
    <x v="3"/>
    <n v="8"/>
    <n v="451.2"/>
  </r>
  <r>
    <s v="CMD0216"/>
    <d v="2026-02-08T00:00:00"/>
    <s v="Roussel Distribution SAS"/>
    <x v="1"/>
    <x v="4"/>
    <s v="Ecran 24 pouces"/>
    <x v="2"/>
    <n v="17"/>
    <n v="3064.59"/>
  </r>
  <r>
    <s v="CMD0217"/>
    <d v="2026-02-01T00:00:00"/>
    <s v="Muller Solutions SAS"/>
    <x v="3"/>
    <x v="2"/>
    <s v="Classeur"/>
    <x v="4"/>
    <n v="5"/>
    <n v="849.95"/>
  </r>
  <r>
    <s v="CMD0218"/>
    <d v="2026-04-13T00:00:00"/>
    <s v="Clement Solutions SARL"/>
    <x v="1"/>
    <x v="3"/>
    <s v="Classeur"/>
    <x v="4"/>
    <n v="29"/>
    <n v="1342.41"/>
  </r>
  <r>
    <s v="CMD0219"/>
    <d v="2026-04-22T00:00:00"/>
    <s v="Clement Negoce SARL"/>
    <x v="0"/>
    <x v="2"/>
    <s v="Ecran 24 pouces"/>
    <x v="2"/>
    <n v="35"/>
    <n v="16183.3"/>
  </r>
  <r>
    <s v="CMD0220"/>
    <d v="2026-05-09T00:00:00"/>
    <s v="Roussel Informatique SAS"/>
    <x v="6"/>
    <x v="9"/>
    <s v="Ordinateur portable"/>
    <x v="2"/>
    <n v="5"/>
    <n v="234.5"/>
  </r>
  <r>
    <s v="CMD0221"/>
    <d v="2026-06-18T00:00:00"/>
    <s v="Muller Services SARL"/>
    <x v="5"/>
    <x v="3"/>
    <s v="Souris optique"/>
    <x v="2"/>
    <n v="18"/>
    <n v="1713.78"/>
  </r>
  <r>
    <s v="CMD0222"/>
    <d v="2026-02-05T00:00:00"/>
    <s v="Morin Bureau SARL"/>
    <x v="0"/>
    <x v="3"/>
    <s v="Refrigerateur mini"/>
    <x v="1"/>
    <n v="26"/>
    <n v="13187.46"/>
  </r>
  <r>
    <s v="CMD0223"/>
    <d v="2026-07-03T00:00:00"/>
    <s v="Blanc Negoce SAS"/>
    <x v="0"/>
    <x v="9"/>
    <s v="Disque dur externe"/>
    <x v="2"/>
    <n v="35"/>
    <n v="19647.25"/>
  </r>
  <r>
    <s v="CMD0224"/>
    <d v="2026-06-24T00:00:00"/>
    <s v="Lefevre Equipements SAS"/>
    <x v="4"/>
    <x v="2"/>
    <s v="Clavier sans fil"/>
    <x v="2"/>
    <n v="35"/>
    <n v="17945.900000000001"/>
  </r>
  <r>
    <s v="CMD0225"/>
    <d v="2026-07-16T00:00:00"/>
    <s v="Francois Distribution EURL"/>
    <x v="0"/>
    <x v="6"/>
    <s v="Chaise ergonomique"/>
    <x v="0"/>
    <n v="36"/>
    <n v="1022.4"/>
  </r>
  <r>
    <s v="CMD0226"/>
    <d v="2026-08-13T00:00:00"/>
    <s v="Francois Bureau SARL"/>
    <x v="6"/>
    <x v="9"/>
    <s v="Agrafeuse"/>
    <x v="4"/>
    <n v="6"/>
    <n v="3190.2000000000003"/>
  </r>
  <r>
    <s v="CMD0227"/>
    <d v="2026-06-07T00:00:00"/>
    <s v="Nicolas Services SAS"/>
    <x v="3"/>
    <x v="9"/>
    <s v="Bloc-notes"/>
    <x v="3"/>
    <n v="32"/>
    <n v="7562.24"/>
  </r>
  <r>
    <s v="CMD0228"/>
    <d v="2026-01-22T00:00:00"/>
    <s v="Muller Informatique SARL"/>
    <x v="4"/>
    <x v="5"/>
    <s v="Ramette papier A4"/>
    <x v="4"/>
    <n v="22"/>
    <n v="10422.060000000001"/>
  </r>
  <r>
    <s v="CMD0229"/>
    <d v="2026-02-06T00:00:00"/>
    <s v="Martin Negoce SARL"/>
    <x v="0"/>
    <x v="9"/>
    <s v="Bouilloire"/>
    <x v="1"/>
    <n v="38"/>
    <n v="5457.94"/>
  </r>
  <r>
    <s v="CMD0230"/>
    <d v="2026-03-08T00:00:00"/>
    <s v="Dupont Bureau EURL"/>
    <x v="3"/>
    <x v="2"/>
    <s v="Cafetiere"/>
    <x v="1"/>
    <n v="16"/>
    <n v="6756.32"/>
  </r>
  <r>
    <s v="CMD0231"/>
    <d v="2026-02-02T00:00:00"/>
    <s v="Moreau Informatique SAS"/>
    <x v="5"/>
    <x v="1"/>
    <s v="Souris optique"/>
    <x v="2"/>
    <n v="40"/>
    <n v="4262.3999999999996"/>
  </r>
  <r>
    <s v="CMD0232"/>
    <d v="2026-07-25T00:00:00"/>
    <s v="Blanc Informatique EURL"/>
    <x v="5"/>
    <x v="5"/>
    <s v="Bureau reglable"/>
    <x v="0"/>
    <n v="13"/>
    <n v="3361.8"/>
  </r>
  <r>
    <s v="CMD0233"/>
    <d v="2026-03-30T00:00:00"/>
    <s v="Blanc Informatique SARL"/>
    <x v="2"/>
    <x v="8"/>
    <s v="Armoire de rangement"/>
    <x v="0"/>
    <n v="14"/>
    <n v="6436.08"/>
  </r>
  <r>
    <s v="CMD0234"/>
    <d v="2026-08-13T00:00:00"/>
    <s v="Faure Services SARL"/>
    <x v="6"/>
    <x v="6"/>
    <s v="Bouilloire"/>
    <x v="1"/>
    <n v="24"/>
    <n v="8022.7199999999993"/>
  </r>
  <r>
    <s v="CMD0235"/>
    <d v="2026-09-07T00:00:00"/>
    <s v="Lefevre Informatique SARL"/>
    <x v="6"/>
    <x v="6"/>
    <s v="Marqueur"/>
    <x v="3"/>
    <n v="11"/>
    <n v="157.30000000000001"/>
  </r>
  <r>
    <s v="CMD0236"/>
    <d v="2026-09-01T00:00:00"/>
    <s v="Girard Bureau SARL"/>
    <x v="1"/>
    <x v="2"/>
    <s v="Post-it"/>
    <x v="3"/>
    <n v="27"/>
    <n v="11276.01"/>
  </r>
  <r>
    <s v="CMD0237"/>
    <d v="2026-03-31T00:00:00"/>
    <s v="Clement Negoce SARL"/>
    <x v="5"/>
    <x v="8"/>
    <s v="Marqueur"/>
    <x v="3"/>
    <n v="27"/>
    <n v="3978.7200000000003"/>
  </r>
  <r>
    <s v="CMD0238"/>
    <d v="2026-01-03T00:00:00"/>
    <s v="Morin Bureau SARL"/>
    <x v="3"/>
    <x v="5"/>
    <s v="Cafetiere"/>
    <x v="1"/>
    <n v="20"/>
    <n v="4239.3999999999996"/>
  </r>
  <r>
    <s v="CMD0239"/>
    <d v="2026-09-17T00:00:00"/>
    <s v="Faure Solutions EURL"/>
    <x v="1"/>
    <x v="7"/>
    <s v="Disque dur externe"/>
    <x v="2"/>
    <n v="24"/>
    <n v="12439.68"/>
  </r>
  <r>
    <s v="CMD0240"/>
    <d v="2026-03-18T00:00:00"/>
    <s v="Nicolas Solutions SARL"/>
    <x v="6"/>
    <x v="9"/>
    <s v="Ramette papier A4"/>
    <x v="4"/>
    <n v="13"/>
    <n v="936.5200000000001"/>
  </r>
  <r>
    <s v="CMD0241"/>
    <d v="2026-05-09T00:00:00"/>
    <s v="Blanc Services SAS"/>
    <x v="3"/>
    <x v="6"/>
    <s v="Clavier sans fil"/>
    <x v="2"/>
    <n v="19"/>
    <n v="2464.4900000000002"/>
  </r>
  <r>
    <s v="CMD0242"/>
    <d v="2026-01-15T00:00:00"/>
    <s v="Nicolas Services SARL"/>
    <x v="3"/>
    <x v="7"/>
    <s v="Disque dur externe"/>
    <x v="2"/>
    <n v="12"/>
    <n v="1188.48"/>
  </r>
  <r>
    <s v="CMD0243"/>
    <d v="2026-06-16T00:00:00"/>
    <s v="Faure Equipements SARL"/>
    <x v="2"/>
    <x v="7"/>
    <s v="Micro-ondes"/>
    <x v="1"/>
    <n v="27"/>
    <n v="3328.02"/>
  </r>
  <r>
    <s v="CMD0244"/>
    <d v="2026-07-12T00:00:00"/>
    <s v="Faure Informatique SAS"/>
    <x v="5"/>
    <x v="3"/>
    <s v="Ecran 24 pouces"/>
    <x v="2"/>
    <n v="27"/>
    <n v="14109.660000000002"/>
  </r>
  <r>
    <s v="CMD0245"/>
    <d v="2026-08-21T00:00:00"/>
    <s v="Bonnet Solutions SAS"/>
    <x v="6"/>
    <x v="3"/>
    <s v="Souris optique"/>
    <x v="2"/>
    <n v="10"/>
    <n v="1336.2"/>
  </r>
  <r>
    <s v="CMD0246"/>
    <d v="2026-03-07T00:00:00"/>
    <s v="Martin Negoce EURL"/>
    <x v="3"/>
    <x v="2"/>
    <s v="Armoire de rangement"/>
    <x v="0"/>
    <n v="18"/>
    <n v="2255.7599999999998"/>
  </r>
  <r>
    <s v="CMD0247"/>
    <d v="2026-03-29T00:00:00"/>
    <s v="Blanc Bureau SAS"/>
    <x v="5"/>
    <x v="8"/>
    <s v="Bureau reglable"/>
    <x v="0"/>
    <n v="30"/>
    <n v="8335.5"/>
  </r>
  <r>
    <s v="CMD0248"/>
    <d v="2026-04-28T00:00:00"/>
    <s v="Lefevre Solutions EURL"/>
    <x v="0"/>
    <x v="7"/>
    <s v="Bloc-notes"/>
    <x v="3"/>
    <n v="37"/>
    <n v="21542.510000000002"/>
  </r>
  <r>
    <s v="CMD0249"/>
    <d v="2026-08-08T00:00:00"/>
    <s v="Faure Bureau SAS"/>
    <x v="0"/>
    <x v="1"/>
    <s v="Marqueur"/>
    <x v="3"/>
    <n v="30"/>
    <n v="5133.3"/>
  </r>
  <r>
    <s v="CMD0250"/>
    <d v="2026-08-02T00:00:00"/>
    <s v="Martin Informatique SAS"/>
    <x v="1"/>
    <x v="5"/>
    <s v="Chaise ergonomique"/>
    <x v="0"/>
    <n v="37"/>
    <n v="19960.02"/>
  </r>
  <r>
    <s v="CMD0251"/>
    <d v="2026-02-20T00:00:00"/>
    <s v="Roussel Solutions SARL"/>
    <x v="3"/>
    <x v="5"/>
    <s v="Souris optique"/>
    <x v="2"/>
    <n v="34"/>
    <n v="8147.08"/>
  </r>
  <r>
    <s v="CMD0252"/>
    <d v="2026-06-01T00:00:00"/>
    <s v="Faure Negoce SARL"/>
    <x v="3"/>
    <x v="3"/>
    <s v="Souris optique"/>
    <x v="2"/>
    <n v="14"/>
    <n v="1175.4399999999998"/>
  </r>
  <r>
    <s v="CMD0253"/>
    <d v="2026-01-13T00:00:00"/>
    <s v="Roussel Solutions SARL"/>
    <x v="4"/>
    <x v="0"/>
    <s v="Classeur"/>
    <x v="4"/>
    <n v="30"/>
    <n v="15463.800000000001"/>
  </r>
  <r>
    <s v="CMD0254"/>
    <d v="2026-01-01T00:00:00"/>
    <s v="Lefevre Solutions EURL"/>
    <x v="2"/>
    <x v="5"/>
    <s v="Armoire de rangement"/>
    <x v="0"/>
    <n v="30"/>
    <n v="12714.6"/>
  </r>
  <r>
    <s v="CMD0255"/>
    <d v="2026-04-17T00:00:00"/>
    <s v="Lefevre Services SAS"/>
    <x v="1"/>
    <x v="9"/>
    <s v="Clavier sans fil"/>
    <x v="2"/>
    <n v="28"/>
    <n v="12683.16"/>
  </r>
  <r>
    <s v="CMD0256"/>
    <d v="2026-07-07T00:00:00"/>
    <s v="Roussel Services SARL"/>
    <x v="2"/>
    <x v="4"/>
    <s v="Post-it"/>
    <x v="3"/>
    <n v="4"/>
    <n v="284.12"/>
  </r>
  <r>
    <s v="CMD0257"/>
    <d v="2026-04-15T00:00:00"/>
    <s v="Girard Distribution SARL"/>
    <x v="5"/>
    <x v="6"/>
    <s v="Bureau reglable"/>
    <x v="0"/>
    <n v="36"/>
    <n v="15374.16"/>
  </r>
  <r>
    <s v="CMD0258"/>
    <d v="2026-05-17T00:00:00"/>
    <s v="Perrin Negoce SAS"/>
    <x v="2"/>
    <x v="9"/>
    <s v="Bouilloire"/>
    <x v="1"/>
    <n v="15"/>
    <n v="2935.2000000000003"/>
  </r>
  <r>
    <s v="CMD0259"/>
    <d v="2026-09-14T00:00:00"/>
    <s v="Perrin Equipements SARL"/>
    <x v="0"/>
    <x v="5"/>
    <s v="Clavier sans fil"/>
    <x v="2"/>
    <n v="23"/>
    <n v="6306.14"/>
  </r>
  <r>
    <s v="CMD0260"/>
    <d v="2026-02-03T00:00:00"/>
    <s v="Francois Solutions SARL"/>
    <x v="3"/>
    <x v="0"/>
    <s v="Post-it"/>
    <x v="3"/>
    <n v="29"/>
    <n v="10859.630000000001"/>
  </r>
  <r>
    <s v="CMD0261"/>
    <d v="2026-05-22T00:00:00"/>
    <s v="Moreau Negoce SARL"/>
    <x v="0"/>
    <x v="8"/>
    <s v="Armoire de rangement"/>
    <x v="0"/>
    <n v="5"/>
    <n v="350.34999999999997"/>
  </r>
  <r>
    <s v="CMD0262"/>
    <d v="2026-03-09T00:00:00"/>
    <s v="Nicolas Distribution SAS"/>
    <x v="0"/>
    <x v="9"/>
    <s v="Bureau reglable"/>
    <x v="0"/>
    <n v="19"/>
    <n v="4803.96"/>
  </r>
  <r>
    <s v="CMD0263"/>
    <d v="2026-04-29T00:00:00"/>
    <s v="Perrin Negoce SAS"/>
    <x v="0"/>
    <x v="1"/>
    <s v="Classeur"/>
    <x v="4"/>
    <n v="5"/>
    <n v="90.55"/>
  </r>
  <r>
    <s v="CMD0264"/>
    <d v="2026-08-16T00:00:00"/>
    <s v="Roussel Distribution EURL"/>
    <x v="6"/>
    <x v="2"/>
    <s v="Stylo (boite de 10)"/>
    <x v="4"/>
    <n v="32"/>
    <n v="11457.6"/>
  </r>
  <r>
    <s v="CMD0265"/>
    <d v="2026-05-28T00:00:00"/>
    <s v="Martin Bureau SAS"/>
    <x v="2"/>
    <x v="3"/>
    <s v="Armoire de rangement"/>
    <x v="0"/>
    <n v="15"/>
    <n v="4396.8"/>
  </r>
  <r>
    <s v="CMD0266"/>
    <d v="2026-03-31T00:00:00"/>
    <s v="Girard Bureau SARL"/>
    <x v="3"/>
    <x v="9"/>
    <s v="Chaise ergonomique"/>
    <x v="0"/>
    <n v="35"/>
    <n v="6115.2"/>
  </r>
  <r>
    <s v="CMD0267"/>
    <d v="2026-04-05T00:00:00"/>
    <s v="Francois Services EURL"/>
    <x v="3"/>
    <x v="4"/>
    <s v="Classeur"/>
    <x v="4"/>
    <n v="29"/>
    <n v="4638.26"/>
  </r>
  <r>
    <s v="CMD0268"/>
    <d v="2026-03-25T00:00:00"/>
    <s v="Morin Distribution SARL"/>
    <x v="3"/>
    <x v="0"/>
    <s v="Classeur"/>
    <x v="4"/>
    <n v="24"/>
    <n v="6523.68"/>
  </r>
  <r>
    <s v="CMD0269"/>
    <d v="2026-03-21T00:00:00"/>
    <s v="Dupont Negoce EURL"/>
    <x v="5"/>
    <x v="4"/>
    <s v="Bouilloire"/>
    <x v="1"/>
    <n v="30"/>
    <n v="16711.5"/>
  </r>
  <r>
    <s v="CMD0270"/>
    <d v="2026-03-17T00:00:00"/>
    <s v="Mathieu Negoce SAS"/>
    <x v="2"/>
    <x v="6"/>
    <s v="Agrafeuse"/>
    <x v="4"/>
    <n v="19"/>
    <n v="11056.48"/>
  </r>
  <r>
    <s v="CMD0271"/>
    <d v="2026-03-01T00:00:00"/>
    <s v="Mercier Informatique SAS"/>
    <x v="5"/>
    <x v="7"/>
    <s v="Cafetiere"/>
    <x v="1"/>
    <n v="9"/>
    <n v="3675.69"/>
  </r>
  <r>
    <s v="CMD0272"/>
    <d v="2026-04-10T00:00:00"/>
    <s v="Mathieu Services SARL"/>
    <x v="4"/>
    <x v="2"/>
    <s v="Micro-ondes"/>
    <x v="1"/>
    <n v="6"/>
    <n v="1195.1399999999999"/>
  </r>
  <r>
    <s v="CMD0273"/>
    <d v="2026-08-17T00:00:00"/>
    <s v="Lefevre Services SAS"/>
    <x v="6"/>
    <x v="3"/>
    <s v="Bureau reglable"/>
    <x v="0"/>
    <n v="6"/>
    <n v="1952.16"/>
  </r>
  <r>
    <s v="CMD0274"/>
    <d v="2026-08-07T00:00:00"/>
    <s v="Guerin Solutions SAS"/>
    <x v="3"/>
    <x v="2"/>
    <s v="Ramette papier A4"/>
    <x v="4"/>
    <n v="24"/>
    <n v="5797.2000000000007"/>
  </r>
  <r>
    <s v="CMD0275"/>
    <d v="2026-02-14T00:00:00"/>
    <s v="Francois Negoce SAS"/>
    <x v="1"/>
    <x v="0"/>
    <s v="Stylo (boite de 10)"/>
    <x v="4"/>
    <n v="20"/>
    <n v="11732.6"/>
  </r>
  <r>
    <s v="CMD0276"/>
    <d v="2026-08-06T00:00:00"/>
    <s v="Henry Bureau EURL"/>
    <x v="5"/>
    <x v="6"/>
    <s v="Micro-ondes"/>
    <x v="1"/>
    <n v="11"/>
    <n v="5328.18"/>
  </r>
  <r>
    <s v="CMD0277"/>
    <d v="2026-09-26T00:00:00"/>
    <s v="Blanc Informatique EURL"/>
    <x v="4"/>
    <x v="0"/>
    <s v="Chaise ergonomique"/>
    <x v="0"/>
    <n v="20"/>
    <n v="5747.7999999999993"/>
  </r>
  <r>
    <s v="CMD0278"/>
    <d v="2026-05-20T00:00:00"/>
    <s v="Henry Bureau EURL"/>
    <x v="0"/>
    <x v="1"/>
    <s v="Ordinateur portable"/>
    <x v="2"/>
    <n v="27"/>
    <n v="10397.429999999998"/>
  </r>
  <r>
    <s v="CMD0279"/>
    <d v="2026-05-29T00:00:00"/>
    <s v="Morin Solutions SARL"/>
    <x v="4"/>
    <x v="2"/>
    <s v="Chaise ergonomique"/>
    <x v="0"/>
    <n v="12"/>
    <n v="6002.5199999999995"/>
  </r>
  <r>
    <s v="CMD0280"/>
    <d v="2026-08-26T00:00:00"/>
    <s v="Faure Informatique SARL"/>
    <x v="6"/>
    <x v="2"/>
    <s v="Post-it"/>
    <x v="3"/>
    <n v="32"/>
    <n v="10808.64"/>
  </r>
  <r>
    <s v="CMD0281"/>
    <d v="2026-05-28T00:00:00"/>
    <s v="Henry Bureau SAS"/>
    <x v="1"/>
    <x v="7"/>
    <s v="Agrafeuse"/>
    <x v="4"/>
    <n v="8"/>
    <n v="3152.16"/>
  </r>
  <r>
    <s v="CMD0282"/>
    <d v="2026-02-04T00:00:00"/>
    <s v="Clement Negoce SAS"/>
    <x v="5"/>
    <x v="3"/>
    <s v="Ordinateur portable"/>
    <x v="2"/>
    <n v="18"/>
    <n v="5370.4800000000005"/>
  </r>
  <r>
    <s v="CMD0283"/>
    <d v="2026-09-01T00:00:00"/>
    <s v="Moreau Distribution EURL"/>
    <x v="1"/>
    <x v="1"/>
    <s v="Marqueur"/>
    <x v="3"/>
    <n v="17"/>
    <n v="6437.22"/>
  </r>
  <r>
    <s v="CMD0284"/>
    <d v="2026-03-16T00:00:00"/>
    <s v="Blanc Solutions EURL"/>
    <x v="6"/>
    <x v="4"/>
    <s v="Clavier sans fil"/>
    <x v="2"/>
    <n v="11"/>
    <n v="3861.8799999999997"/>
  </r>
  <r>
    <s v="CMD0285"/>
    <d v="2026-07-02T00:00:00"/>
    <s v="Martin Distribution SAS"/>
    <x v="5"/>
    <x v="6"/>
    <s v="Bureau reglable"/>
    <x v="0"/>
    <n v="18"/>
    <n v="3958.0199999999995"/>
  </r>
  <r>
    <s v="CMD0286"/>
    <d v="2026-03-27T00:00:00"/>
    <s v="Morin Distribution SAS"/>
    <x v="4"/>
    <x v="2"/>
    <s v="Bloc-notes"/>
    <x v="3"/>
    <n v="12"/>
    <n v="5519.88"/>
  </r>
  <r>
    <s v="CMD0287"/>
    <d v="2026-06-30T00:00:00"/>
    <s v="Girard Informatique SARL"/>
    <x v="5"/>
    <x v="2"/>
    <s v="Stylo (boite de 10)"/>
    <x v="4"/>
    <n v="7"/>
    <n v="2260.86"/>
  </r>
  <r>
    <s v="CMD0288"/>
    <d v="2026-03-25T00:00:00"/>
    <s v="Moreau Bureau SARL"/>
    <x v="5"/>
    <x v="7"/>
    <s v="Agrafeuse"/>
    <x v="4"/>
    <n v="27"/>
    <n v="5602.2300000000005"/>
  </r>
  <r>
    <s v="CMD0289"/>
    <d v="2026-02-09T00:00:00"/>
    <s v="Moreau Equipements SARL"/>
    <x v="3"/>
    <x v="3"/>
    <s v="Bureau reglable"/>
    <x v="0"/>
    <n v="27"/>
    <n v="7532.7300000000005"/>
  </r>
  <r>
    <s v="CMD0290"/>
    <d v="2026-08-15T00:00:00"/>
    <s v="Clement Services SAS"/>
    <x v="6"/>
    <x v="2"/>
    <s v="Stylo (boite de 10)"/>
    <x v="4"/>
    <n v="24"/>
    <n v="2105.04"/>
  </r>
  <r>
    <s v="CMD0291"/>
    <d v="2026-03-14T00:00:00"/>
    <s v="Faure Distribution SARL"/>
    <x v="6"/>
    <x v="8"/>
    <s v="Ordinateur portable"/>
    <x v="2"/>
    <n v="15"/>
    <n v="1223.8500000000001"/>
  </r>
  <r>
    <s v="CMD0292"/>
    <d v="2026-09-05T00:00:00"/>
    <s v="Henry Informatique SARL"/>
    <x v="3"/>
    <x v="9"/>
    <s v="Souris optique"/>
    <x v="2"/>
    <n v="8"/>
    <n v="410"/>
  </r>
  <r>
    <s v="CMD0293"/>
    <d v="2026-05-10T00:00:00"/>
    <s v="Martin Informatique SAS"/>
    <x v="1"/>
    <x v="9"/>
    <s v="Cahier"/>
    <x v="3"/>
    <n v="31"/>
    <n v="2348.56"/>
  </r>
  <r>
    <s v="CMD0294"/>
    <d v="2026-04-13T00:00:00"/>
    <s v="Bonnet Negoce SAS"/>
    <x v="3"/>
    <x v="6"/>
    <s v="Ordinateur portable"/>
    <x v="2"/>
    <n v="39"/>
    <n v="4961.1899999999996"/>
  </r>
  <r>
    <s v="CMD0295"/>
    <d v="2026-03-24T00:00:00"/>
    <s v="Perrin Equipements EURL"/>
    <x v="5"/>
    <x v="7"/>
    <s v="Armoire de rangement"/>
    <x v="0"/>
    <n v="38"/>
    <n v="8054.4800000000005"/>
  </r>
  <r>
    <s v="CMD0296"/>
    <d v="2026-01-08T00:00:00"/>
    <s v="Perrin Bureau EURL"/>
    <x v="6"/>
    <x v="2"/>
    <s v="Cahier"/>
    <x v="3"/>
    <n v="7"/>
    <n v="3448.5499999999997"/>
  </r>
  <r>
    <s v="CMD0297"/>
    <d v="2026-09-16T00:00:00"/>
    <s v="Nicolas Distribution EURL"/>
    <x v="5"/>
    <x v="8"/>
    <s v="Bureau reglable"/>
    <x v="0"/>
    <n v="7"/>
    <n v="3884.4399999999996"/>
  </r>
  <r>
    <s v="CMD0298"/>
    <d v="2026-07-14T00:00:00"/>
    <s v="Henry Bureau EURL"/>
    <x v="6"/>
    <x v="0"/>
    <s v="Cafetiere"/>
    <x v="1"/>
    <n v="12"/>
    <n v="6020.04"/>
  </r>
  <r>
    <s v="CMD0299"/>
    <d v="2026-09-24T00:00:00"/>
    <s v="Girard Solutions SAS"/>
    <x v="1"/>
    <x v="2"/>
    <s v="Clavier sans fil"/>
    <x v="2"/>
    <n v="8"/>
    <n v="2257.6799999999998"/>
  </r>
  <r>
    <s v="CMD0300"/>
    <d v="2026-03-01T00:00:00"/>
    <s v="Muller Distribution SAS"/>
    <x v="5"/>
    <x v="2"/>
    <s v="Cahier"/>
    <x v="3"/>
    <n v="6"/>
    <n v="1201.3799999999999"/>
  </r>
  <r>
    <s v="CMD0301"/>
    <d v="2026-08-08T00:00:00"/>
    <s v="Francois Equipements SARL"/>
    <x v="4"/>
    <x v="3"/>
    <s v="Bouilloire"/>
    <x v="1"/>
    <n v="36"/>
    <n v="8903.880000000001"/>
  </r>
  <r>
    <s v="CMD0302"/>
    <d v="2026-09-09T00:00:00"/>
    <s v="Moreau Solutions SAS"/>
    <x v="5"/>
    <x v="6"/>
    <s v="Classeur"/>
    <x v="4"/>
    <n v="1"/>
    <n v="599.24"/>
  </r>
  <r>
    <s v="CMD0303"/>
    <d v="2026-02-22T00:00:00"/>
    <s v="Bonnet Informatique SAS"/>
    <x v="6"/>
    <x v="4"/>
    <s v="Ecran 24 pouces"/>
    <x v="2"/>
    <n v="26"/>
    <n v="6327.62"/>
  </r>
  <r>
    <s v="CMD0304"/>
    <d v="2026-08-06T00:00:00"/>
    <s v="Nicolas Distribution EURL"/>
    <x v="4"/>
    <x v="1"/>
    <s v="Caisson a roulettes"/>
    <x v="0"/>
    <n v="8"/>
    <n v="1148.48"/>
  </r>
  <r>
    <s v="CMD0305"/>
    <d v="2026-07-27T00:00:00"/>
    <s v="Nicolas Services SAS"/>
    <x v="6"/>
    <x v="3"/>
    <s v="Post-it"/>
    <x v="3"/>
    <n v="26"/>
    <n v="5638.88"/>
  </r>
  <r>
    <s v="CMD0306"/>
    <d v="2026-04-29T00:00:00"/>
    <s v="Girard Informatique SARL"/>
    <x v="1"/>
    <x v="9"/>
    <s v="Ordinateur portable"/>
    <x v="2"/>
    <n v="17"/>
    <n v="5034.72"/>
  </r>
  <r>
    <s v="CMD0307"/>
    <d v="2026-07-15T00:00:00"/>
    <s v="Clement Negoce SAS"/>
    <x v="6"/>
    <x v="2"/>
    <s v="Souris optique"/>
    <x v="2"/>
    <n v="2"/>
    <n v="1166.76"/>
  </r>
  <r>
    <s v="CMD0308"/>
    <d v="2026-09-24T00:00:00"/>
    <s v="Nicolas Equipements SAS"/>
    <x v="6"/>
    <x v="2"/>
    <s v="Cahier"/>
    <x v="3"/>
    <n v="5"/>
    <n v="1991.6999999999998"/>
  </r>
  <r>
    <s v="CMD0309"/>
    <d v="2026-06-25T00:00:00"/>
    <s v="Morin Services SARL"/>
    <x v="4"/>
    <x v="9"/>
    <s v="Refrigerateur mini"/>
    <x v="1"/>
    <n v="33"/>
    <n v="5302.7699999999995"/>
  </r>
  <r>
    <s v="CMD0310"/>
    <d v="2026-07-12T00:00:00"/>
    <s v="Roussel Solutions SARL"/>
    <x v="3"/>
    <x v="8"/>
    <s v="Cafetiere"/>
    <x v="1"/>
    <n v="25"/>
    <n v="6820.5"/>
  </r>
  <r>
    <s v="CMD0311"/>
    <d v="2026-03-10T00:00:00"/>
    <s v="Mercier Negoce SAS"/>
    <x v="0"/>
    <x v="6"/>
    <s v="Post-it"/>
    <x v="3"/>
    <n v="11"/>
    <n v="3271.73"/>
  </r>
  <r>
    <s v="CMD0312"/>
    <d v="2026-08-29T00:00:00"/>
    <s v="Nicolas Services SARL"/>
    <x v="5"/>
    <x v="9"/>
    <s v="Marqueur"/>
    <x v="3"/>
    <n v="36"/>
    <n v="14860.800000000001"/>
  </r>
  <r>
    <s v="CMD0313"/>
    <d v="2026-07-13T00:00:00"/>
    <s v="Clement Negoce SAS"/>
    <x v="4"/>
    <x v="2"/>
    <s v="Micro-ondes"/>
    <x v="1"/>
    <n v="32"/>
    <n v="11413.44"/>
  </r>
  <r>
    <s v="CMD0314"/>
    <d v="2026-03-07T00:00:00"/>
    <s v="Guerin Distribution EURL"/>
    <x v="5"/>
    <x v="9"/>
    <s v="Ramette papier A4"/>
    <x v="4"/>
    <n v="2"/>
    <n v="712.66"/>
  </r>
  <r>
    <s v="CMD0315"/>
    <d v="2026-07-02T00:00:00"/>
    <s v="Henry Distribution SARL"/>
    <x v="1"/>
    <x v="7"/>
    <s v="Agrafeuse"/>
    <x v="4"/>
    <n v="7"/>
    <n v="1818.25"/>
  </r>
  <r>
    <s v="CMD0316"/>
    <d v="2026-02-03T00:00:00"/>
    <s v="Mercier Informatique SAS"/>
    <x v="6"/>
    <x v="9"/>
    <s v="Chaise ergonomique"/>
    <x v="0"/>
    <n v="20"/>
    <n v="7151.2"/>
  </r>
  <r>
    <s v="CMD0317"/>
    <d v="2026-08-05T00:00:00"/>
    <s v="Mathieu Services SAS"/>
    <x v="2"/>
    <x v="9"/>
    <s v="Post-it"/>
    <x v="3"/>
    <n v="3"/>
    <n v="837.72"/>
  </r>
  <r>
    <s v="CMD0318"/>
    <d v="2026-07-19T00:00:00"/>
    <s v="Blanc Services SARL"/>
    <x v="4"/>
    <x v="3"/>
    <s v="Cafetiere"/>
    <x v="1"/>
    <n v="21"/>
    <n v="4824.75"/>
  </r>
  <r>
    <s v="CMD0319"/>
    <d v="2026-06-23T00:00:00"/>
    <s v="Bonnet Services SAS"/>
    <x v="2"/>
    <x v="0"/>
    <s v="Ecran 24 pouces"/>
    <x v="2"/>
    <n v="22"/>
    <n v="6612.32"/>
  </r>
  <r>
    <s v="CMD0320"/>
    <d v="2026-04-20T00:00:00"/>
    <s v="Mercier Distribution SARL"/>
    <x v="2"/>
    <x v="1"/>
    <s v="Caisson a roulettes"/>
    <x v="0"/>
    <n v="5"/>
    <n v="2525.1499999999996"/>
  </r>
  <r>
    <s v="CMD0321"/>
    <d v="2026-02-17T00:00:00"/>
    <s v="Mathieu Informatique EURL"/>
    <x v="2"/>
    <x v="2"/>
    <s v="Bouilloire"/>
    <x v="1"/>
    <n v="40"/>
    <n v="17880.8"/>
  </r>
  <r>
    <s v="CMD0322"/>
    <d v="2026-04-18T00:00:00"/>
    <s v="Guerin Equipements SARL"/>
    <x v="1"/>
    <x v="2"/>
    <s v="Disque dur externe"/>
    <x v="2"/>
    <n v="34"/>
    <n v="9784.5199999999986"/>
  </r>
  <r>
    <s v="CMD0323"/>
    <d v="2026-06-10T00:00:00"/>
    <s v="Francois Solutions SAS"/>
    <x v="2"/>
    <x v="1"/>
    <s v="Post-it"/>
    <x v="3"/>
    <n v="28"/>
    <n v="11193.279999999999"/>
  </r>
  <r>
    <s v="CMD0324"/>
    <d v="2026-01-10T00:00:00"/>
    <s v="Perrin Equipements SARL"/>
    <x v="5"/>
    <x v="3"/>
    <s v="Marqueur"/>
    <x v="3"/>
    <n v="36"/>
    <n v="4048.56"/>
  </r>
  <r>
    <s v="CMD0325"/>
    <d v="2026-08-11T00:00:00"/>
    <s v="Mathieu Negoce EURL"/>
    <x v="3"/>
    <x v="5"/>
    <s v="Caisson a roulettes"/>
    <x v="0"/>
    <n v="18"/>
    <n v="10126.98"/>
  </r>
  <r>
    <s v="CMD0326"/>
    <d v="2026-03-19T00:00:00"/>
    <s v="Mercier Equipements SAS"/>
    <x v="0"/>
    <x v="4"/>
    <s v="Armoire de rangement"/>
    <x v="0"/>
    <n v="30"/>
    <n v="2787.2999999999997"/>
  </r>
  <r>
    <s v="CMD0327"/>
    <d v="2026-05-27T00:00:00"/>
    <s v="Bonnet Distribution EURL"/>
    <x v="5"/>
    <x v="7"/>
    <s v="Ecran 24 pouces"/>
    <x v="2"/>
    <n v="27"/>
    <n v="4423.4100000000008"/>
  </r>
  <r>
    <s v="CMD0328"/>
    <d v="2026-01-15T00:00:00"/>
    <s v="Faure Equipements SAS"/>
    <x v="0"/>
    <x v="3"/>
    <s v="Bouilloire"/>
    <x v="1"/>
    <n v="8"/>
    <n v="753.84"/>
  </r>
  <r>
    <s v="CMD0329"/>
    <d v="2026-01-19T00:00:00"/>
    <s v="Francois Bureau SAS"/>
    <x v="6"/>
    <x v="9"/>
    <s v="Marqueur"/>
    <x v="3"/>
    <n v="28"/>
    <n v="10917.76"/>
  </r>
  <r>
    <s v="CMD0330"/>
    <d v="2026-01-22T00:00:00"/>
    <s v="Nicolas Equipements SARL"/>
    <x v="3"/>
    <x v="6"/>
    <s v="Stylo (boite de 10)"/>
    <x v="4"/>
    <n v="36"/>
    <n v="3949.56"/>
  </r>
  <r>
    <s v="CMD0331"/>
    <d v="2026-07-28T00:00:00"/>
    <s v="Guerin Negoce EURL"/>
    <x v="3"/>
    <x v="0"/>
    <s v="Stylo (boite de 10)"/>
    <x v="4"/>
    <n v="5"/>
    <n v="2704.2000000000003"/>
  </r>
  <r>
    <s v="CMD0332"/>
    <d v="2026-09-14T00:00:00"/>
    <s v="Moreau Services EURL"/>
    <x v="4"/>
    <x v="1"/>
    <s v="Chaise ergonomique"/>
    <x v="0"/>
    <n v="8"/>
    <n v="2757.84"/>
  </r>
  <r>
    <s v="CMD0333"/>
    <d v="2026-05-02T00:00:00"/>
    <s v="Clement Informatique SAS"/>
    <x v="2"/>
    <x v="1"/>
    <s v="Post-it"/>
    <x v="3"/>
    <n v="32"/>
    <n v="17002.240000000002"/>
  </r>
  <r>
    <s v="CMD0334"/>
    <d v="2026-02-24T00:00:00"/>
    <s v="Bonnet Bureau SAS"/>
    <x v="0"/>
    <x v="0"/>
    <s v="Bouilloire"/>
    <x v="1"/>
    <n v="28"/>
    <n v="3771.88"/>
  </r>
  <r>
    <s v="CMD0335"/>
    <d v="2026-02-27T00:00:00"/>
    <s v="Blanc Services SAS"/>
    <x v="0"/>
    <x v="7"/>
    <s v="Ramette papier A4"/>
    <x v="4"/>
    <n v="32"/>
    <n v="10317.120000000001"/>
  </r>
  <r>
    <s v="CMD0336"/>
    <d v="2026-07-08T00:00:00"/>
    <s v="Mercier Informatique EURL"/>
    <x v="5"/>
    <x v="9"/>
    <s v="Classeur"/>
    <x v="4"/>
    <n v="24"/>
    <n v="6906.24"/>
  </r>
  <r>
    <s v="CMD0337"/>
    <d v="2026-06-08T00:00:00"/>
    <s v="Guerin Equipements EURL"/>
    <x v="3"/>
    <x v="5"/>
    <s v="Ecran 24 pouces"/>
    <x v="2"/>
    <n v="17"/>
    <n v="5675.79"/>
  </r>
  <r>
    <s v="CMD0338"/>
    <d v="2026-07-21T00:00:00"/>
    <s v="Andre Distribution SARL"/>
    <x v="4"/>
    <x v="7"/>
    <s v="Caisson a roulettes"/>
    <x v="0"/>
    <n v="25"/>
    <n v="242"/>
  </r>
  <r>
    <s v="CMD0339"/>
    <d v="2026-06-12T00:00:00"/>
    <s v="Henry Equipements SARL"/>
    <x v="2"/>
    <x v="6"/>
    <s v="Classeur"/>
    <x v="4"/>
    <n v="11"/>
    <n v="6049.56"/>
  </r>
  <r>
    <s v="CMD0340"/>
    <d v="2026-06-20T00:00:00"/>
    <s v="Henry Equipements SARL"/>
    <x v="4"/>
    <x v="8"/>
    <s v="Refrigerateur mini"/>
    <x v="1"/>
    <n v="27"/>
    <n v="15019.289999999999"/>
  </r>
  <r>
    <s v="CMD0341"/>
    <d v="2026-06-17T00:00:00"/>
    <s v="Roussel Negoce SARL"/>
    <x v="4"/>
    <x v="9"/>
    <s v="Ramette papier A4"/>
    <x v="4"/>
    <n v="23"/>
    <n v="5874.66"/>
  </r>
  <r>
    <s v="CMD0342"/>
    <d v="2026-04-13T00:00:00"/>
    <s v="Mercier Distribution EURL"/>
    <x v="3"/>
    <x v="6"/>
    <s v="Caisson a roulettes"/>
    <x v="0"/>
    <n v="9"/>
    <n v="61.47"/>
  </r>
  <r>
    <s v="CMD0343"/>
    <d v="2026-03-08T00:00:00"/>
    <s v="Clement Negoce SAS"/>
    <x v="4"/>
    <x v="4"/>
    <s v="Chaise ergonomique"/>
    <x v="0"/>
    <n v="34"/>
    <n v="14605.38"/>
  </r>
  <r>
    <s v="CMD0344"/>
    <d v="2026-06-17T00:00:00"/>
    <s v="Mercier Bureau SARL"/>
    <x v="0"/>
    <x v="4"/>
    <s v="Refrigerateur mini"/>
    <x v="1"/>
    <n v="9"/>
    <n v="1440.8999999999999"/>
  </r>
  <r>
    <s v="CMD0345"/>
    <d v="2026-04-25T00:00:00"/>
    <s v="Dupont Informatique EURL"/>
    <x v="1"/>
    <x v="1"/>
    <s v="Caisson a roulettes"/>
    <x v="0"/>
    <n v="25"/>
    <n v="14178.25"/>
  </r>
  <r>
    <s v="CMD0346"/>
    <d v="2026-03-28T00:00:00"/>
    <s v="Martin Solutions EURL"/>
    <x v="0"/>
    <x v="1"/>
    <s v="Bureau reglable"/>
    <x v="0"/>
    <n v="30"/>
    <n v="3689.1"/>
  </r>
  <r>
    <s v="CMD0347"/>
    <d v="2026-03-29T00:00:00"/>
    <s v="Mathieu Informatique SARL"/>
    <x v="1"/>
    <x v="5"/>
    <s v="Classeur"/>
    <x v="4"/>
    <n v="6"/>
    <n v="3450.18"/>
  </r>
  <r>
    <s v="CMD0348"/>
    <d v="2026-04-15T00:00:00"/>
    <s v="Francois Equipements SAS"/>
    <x v="2"/>
    <x v="3"/>
    <s v="Refrigerateur mini"/>
    <x v="1"/>
    <n v="32"/>
    <n v="2416.3200000000002"/>
  </r>
  <r>
    <s v="CMD0349"/>
    <d v="2026-04-21T00:00:00"/>
    <s v="Mercier Negoce EURL"/>
    <x v="6"/>
    <x v="0"/>
    <s v="Bouilloire"/>
    <x v="1"/>
    <n v="28"/>
    <n v="14406.56"/>
  </r>
  <r>
    <s v="CMD0350"/>
    <d v="2026-05-15T00:00:00"/>
    <s v="Faure Services SAS"/>
    <x v="6"/>
    <x v="4"/>
    <s v="Caisson a roulettes"/>
    <x v="0"/>
    <n v="10"/>
    <n v="221.20000000000002"/>
  </r>
  <r>
    <s v="CMD0351"/>
    <d v="2026-03-10T00:00:00"/>
    <s v="Blanc Negoce SAS"/>
    <x v="1"/>
    <x v="7"/>
    <s v="Marqueur"/>
    <x v="3"/>
    <n v="6"/>
    <n v="66.84"/>
  </r>
  <r>
    <s v="CMD0352"/>
    <d v="2026-02-18T00:00:00"/>
    <s v="Morin Informatique SARL"/>
    <x v="2"/>
    <x v="7"/>
    <s v="Refrigerateur mini"/>
    <x v="1"/>
    <n v="39"/>
    <n v="6140.5499999999993"/>
  </r>
  <r>
    <s v="CMD0353"/>
    <d v="2026-01-24T00:00:00"/>
    <s v="Dupont Distribution EURL"/>
    <x v="5"/>
    <x v="0"/>
    <s v="Micro-ondes"/>
    <x v="1"/>
    <n v="39"/>
    <n v="21992.1"/>
  </r>
  <r>
    <s v="CMD0354"/>
    <d v="2026-01-22T00:00:00"/>
    <s v="Mathieu Bureau SAS"/>
    <x v="6"/>
    <x v="5"/>
    <s v="Agrafeuse"/>
    <x v="4"/>
    <n v="24"/>
    <n v="2008.3200000000002"/>
  </r>
  <r>
    <s v="CMD0355"/>
    <d v="2026-06-12T00:00:00"/>
    <s v="Perrin Solutions SARL"/>
    <x v="2"/>
    <x v="6"/>
    <s v="Micro-ondes"/>
    <x v="1"/>
    <n v="30"/>
    <n v="2504.6999999999998"/>
  </r>
  <r>
    <s v="CMD0356"/>
    <d v="2026-05-24T00:00:00"/>
    <s v="Guerin Solutions SAS"/>
    <x v="2"/>
    <x v="1"/>
    <s v="Ramette papier A4"/>
    <x v="4"/>
    <n v="9"/>
    <n v="2718.2699999999995"/>
  </r>
  <r>
    <s v="CMD0357"/>
    <d v="2026-06-11T00:00:00"/>
    <s v="Nicolas Equipements SARL"/>
    <x v="5"/>
    <x v="3"/>
    <s v="Stylo (boite de 10)"/>
    <x v="4"/>
    <n v="28"/>
    <n v="15011.92"/>
  </r>
  <r>
    <s v="CMD0358"/>
    <d v="2026-04-04T00:00:00"/>
    <s v="Martin Solutions SAS"/>
    <x v="6"/>
    <x v="3"/>
    <s v="Ecran 24 pouces"/>
    <x v="2"/>
    <n v="10"/>
    <n v="374.7"/>
  </r>
  <r>
    <s v="CMD0359"/>
    <d v="2026-07-02T00:00:00"/>
    <s v="Morin Solutions SAS"/>
    <x v="0"/>
    <x v="6"/>
    <s v="Cafetiere"/>
    <x v="1"/>
    <n v="32"/>
    <n v="936.64"/>
  </r>
  <r>
    <s v="CMD0360"/>
    <d v="2026-05-26T00:00:00"/>
    <s v="Bonnet Equipements SARL"/>
    <x v="1"/>
    <x v="5"/>
    <s v="Bureau reglable"/>
    <x v="0"/>
    <n v="23"/>
    <n v="1395.64"/>
  </r>
  <r>
    <s v="CMD0361"/>
    <d v="2026-01-03T00:00:00"/>
    <s v="Perrin Equipements EURL"/>
    <x v="6"/>
    <x v="0"/>
    <s v="Classeur"/>
    <x v="4"/>
    <n v="38"/>
    <n v="22754.78"/>
  </r>
  <r>
    <s v="CMD0362"/>
    <d v="2026-06-18T00:00:00"/>
    <s v="Dupont Distribution EURL"/>
    <x v="1"/>
    <x v="6"/>
    <s v="Ecran 24 pouces"/>
    <x v="2"/>
    <n v="32"/>
    <n v="13048.32"/>
  </r>
  <r>
    <s v="CMD0363"/>
    <d v="2026-02-24T00:00:00"/>
    <s v="Blanc Bureau SARL"/>
    <x v="3"/>
    <x v="3"/>
    <s v="Micro-ondes"/>
    <x v="1"/>
    <n v="38"/>
    <n v="21197.920000000002"/>
  </r>
  <r>
    <s v="CMD0364"/>
    <d v="2026-01-03T00:00:00"/>
    <s v="Blanc Informatique EURL"/>
    <x v="5"/>
    <x v="3"/>
    <s v="Refrigerateur mini"/>
    <x v="1"/>
    <n v="18"/>
    <n v="6453.9000000000005"/>
  </r>
  <r>
    <s v="CMD0365"/>
    <d v="2026-05-25T00:00:00"/>
    <s v="Blanc Equipements SARL"/>
    <x v="1"/>
    <x v="6"/>
    <s v="Classeur"/>
    <x v="4"/>
    <n v="14"/>
    <n v="7261.0999999999995"/>
  </r>
  <r>
    <s v="CMD0366"/>
    <d v="2026-04-02T00:00:00"/>
    <s v="Faure Equipements SAS"/>
    <x v="3"/>
    <x v="9"/>
    <s v="Marqueur"/>
    <x v="3"/>
    <n v="6"/>
    <n v="1453.92"/>
  </r>
  <r>
    <s v="CMD0367"/>
    <d v="2026-05-26T00:00:00"/>
    <s v="Girard Informatique SAS"/>
    <x v="0"/>
    <x v="0"/>
    <s v="Chaise ergonomique"/>
    <x v="0"/>
    <n v="25"/>
    <n v="11720"/>
  </r>
  <r>
    <s v="CMD0368"/>
    <d v="2026-07-08T00:00:00"/>
    <s v="Perrin Bureau SAS"/>
    <x v="0"/>
    <x v="0"/>
    <s v="Classeur"/>
    <x v="4"/>
    <n v="23"/>
    <n v="9222.5400000000009"/>
  </r>
  <r>
    <s v="CMD0369"/>
    <d v="2026-02-16T00:00:00"/>
    <s v="Henry Equipements SAS"/>
    <x v="5"/>
    <x v="8"/>
    <s v="Micro-ondes"/>
    <x v="1"/>
    <n v="37"/>
    <n v="13401.4"/>
  </r>
  <r>
    <s v="CMD0370"/>
    <d v="2026-06-24T00:00:00"/>
    <s v="Roussel Negoce SARL"/>
    <x v="1"/>
    <x v="8"/>
    <s v="Refrigerateur mini"/>
    <x v="1"/>
    <n v="6"/>
    <n v="174.35999999999999"/>
  </r>
  <r>
    <s v="CMD0371"/>
    <d v="2026-02-10T00:00:00"/>
    <s v="Nicolas Distribution SARL"/>
    <x v="6"/>
    <x v="2"/>
    <s v="Cafetiere"/>
    <x v="1"/>
    <n v="19"/>
    <n v="5388.2099999999991"/>
  </r>
  <r>
    <s v="CMD0372"/>
    <d v="2026-02-09T00:00:00"/>
    <s v="Martin Services SARL"/>
    <x v="5"/>
    <x v="0"/>
    <s v="Caisson a roulettes"/>
    <x v="0"/>
    <n v="19"/>
    <n v="6522.32"/>
  </r>
  <r>
    <s v="CMD0373"/>
    <d v="2026-05-10T00:00:00"/>
    <s v="Guerin Distribution EURL"/>
    <x v="3"/>
    <x v="5"/>
    <s v="Cafetiere"/>
    <x v="1"/>
    <n v="30"/>
    <n v="11946.3"/>
  </r>
  <r>
    <s v="CMD0374"/>
    <d v="2026-04-04T00:00:00"/>
    <s v="Muller Informatique SARL"/>
    <x v="0"/>
    <x v="2"/>
    <s v="Ordinateur portable"/>
    <x v="2"/>
    <n v="30"/>
    <n v="3354.9"/>
  </r>
  <r>
    <s v="CMD0375"/>
    <d v="2026-05-16T00:00:00"/>
    <s v="Blanc Equipements SARL"/>
    <x v="6"/>
    <x v="8"/>
    <s v="Agrafeuse"/>
    <x v="4"/>
    <n v="29"/>
    <n v="10908.93"/>
  </r>
  <r>
    <s v="CMD0376"/>
    <d v="2026-02-24T00:00:00"/>
    <s v="Henry Services SARL"/>
    <x v="3"/>
    <x v="0"/>
    <s v="Disque dur externe"/>
    <x v="2"/>
    <n v="17"/>
    <n v="8901.3700000000008"/>
  </r>
  <r>
    <s v="CMD0377"/>
    <d v="2026-08-24T00:00:00"/>
    <s v="Muller Equipements EURL"/>
    <x v="1"/>
    <x v="1"/>
    <s v="Ordinateur portable"/>
    <x v="2"/>
    <n v="11"/>
    <n v="4347.2"/>
  </r>
  <r>
    <s v="CMD0378"/>
    <d v="2026-07-04T00:00:00"/>
    <s v="Muller Equipements SAS"/>
    <x v="3"/>
    <x v="8"/>
    <s v="Micro-ondes"/>
    <x v="1"/>
    <n v="40"/>
    <n v="19552.400000000001"/>
  </r>
  <r>
    <s v="CMD0379"/>
    <d v="2026-01-09T00:00:00"/>
    <s v="Francois Equipements SARL"/>
    <x v="6"/>
    <x v="3"/>
    <s v="Bureau reglable"/>
    <x v="0"/>
    <n v="13"/>
    <n v="930.67000000000007"/>
  </r>
  <r>
    <s v="CMD0380"/>
    <d v="2026-04-08T00:00:00"/>
    <s v="Lefevre Distribution SAS"/>
    <x v="6"/>
    <x v="3"/>
    <s v="Chaise ergonomique"/>
    <x v="0"/>
    <n v="28"/>
    <n v="14169.12"/>
  </r>
  <r>
    <s v="CMD0381"/>
    <d v="2026-03-20T00:00:00"/>
    <s v="Roussel Solutions SAS"/>
    <x v="3"/>
    <x v="3"/>
    <s v="Cafetiere"/>
    <x v="1"/>
    <n v="8"/>
    <n v="830.64"/>
  </r>
  <r>
    <s v="CMD0382"/>
    <d v="2026-07-20T00:00:00"/>
    <s v="Martin Distribution SARL"/>
    <x v="3"/>
    <x v="0"/>
    <s v="Bloc-notes"/>
    <x v="3"/>
    <n v="13"/>
    <n v="2345.46"/>
  </r>
  <r>
    <s v="CMD0383"/>
    <d v="2026-05-29T00:00:00"/>
    <s v="Martin Solutions SAS"/>
    <x v="0"/>
    <x v="5"/>
    <s v="Refrigerateur mini"/>
    <x v="1"/>
    <n v="38"/>
    <n v="13661.759999999998"/>
  </r>
  <r>
    <s v="CMD0384"/>
    <d v="2026-01-10T00:00:00"/>
    <s v="Henry Services SAS"/>
    <x v="5"/>
    <x v="6"/>
    <s v="Marqueur"/>
    <x v="3"/>
    <n v="15"/>
    <n v="6450"/>
  </r>
  <r>
    <s v="CMD0385"/>
    <d v="2026-06-27T00:00:00"/>
    <s v="Roussel Negoce SAS"/>
    <x v="3"/>
    <x v="8"/>
    <s v="Agrafeuse"/>
    <x v="4"/>
    <n v="31"/>
    <n v="2311.98"/>
  </r>
  <r>
    <s v="CMD0386"/>
    <d v="2026-04-29T00:00:00"/>
    <s v="Perrin Bureau EURL"/>
    <x v="1"/>
    <x v="4"/>
    <s v="Classeur"/>
    <x v="4"/>
    <n v="31"/>
    <n v="6497.29"/>
  </r>
  <r>
    <s v="CMD0387"/>
    <d v="2026-07-19T00:00:00"/>
    <s v="Henry Equipements EURL"/>
    <x v="1"/>
    <x v="4"/>
    <s v="Marqueur"/>
    <x v="3"/>
    <n v="9"/>
    <n v="4774.41"/>
  </r>
  <r>
    <s v="CMD0388"/>
    <d v="2026-02-14T00:00:00"/>
    <s v="Nicolas Bureau SARL"/>
    <x v="6"/>
    <x v="8"/>
    <s v="Bouilloire"/>
    <x v="1"/>
    <n v="40"/>
    <n v="5131.5999999999995"/>
  </r>
  <r>
    <s v="CMD0389"/>
    <d v="2026-09-10T00:00:00"/>
    <s v="Mercier Bureau SARL"/>
    <x v="5"/>
    <x v="9"/>
    <s v="Marqueur"/>
    <x v="3"/>
    <n v="7"/>
    <n v="3339.84"/>
  </r>
  <r>
    <s v="CMD0390"/>
    <d v="2026-03-23T00:00:00"/>
    <s v="Bonnet Equipements EURL"/>
    <x v="3"/>
    <x v="6"/>
    <s v="Clavier sans fil"/>
    <x v="2"/>
    <n v="17"/>
    <n v="3696.48"/>
  </r>
  <r>
    <s v="CMD0391"/>
    <d v="2026-03-03T00:00:00"/>
    <s v="Morin Bureau SAS"/>
    <x v="2"/>
    <x v="4"/>
    <s v="Agrafeuse"/>
    <x v="4"/>
    <n v="8"/>
    <n v="2979.6"/>
  </r>
  <r>
    <s v="CMD0392"/>
    <d v="2026-03-19T00:00:00"/>
    <s v="Perrin Services EURL"/>
    <x v="3"/>
    <x v="9"/>
    <s v="Ramette papier A4"/>
    <x v="4"/>
    <n v="36"/>
    <n v="5909.76"/>
  </r>
  <r>
    <s v="CMD0393"/>
    <d v="2026-02-22T00:00:00"/>
    <s v="Morin Informatique EURL"/>
    <x v="3"/>
    <x v="8"/>
    <s v="Refrigerateur mini"/>
    <x v="1"/>
    <n v="8"/>
    <n v="4679.3599999999997"/>
  </r>
  <r>
    <s v="CMD0394"/>
    <d v="2026-05-30T00:00:00"/>
    <s v="Roussel Equipements EURL"/>
    <x v="0"/>
    <x v="6"/>
    <s v="Ecran 24 pouces"/>
    <x v="2"/>
    <n v="24"/>
    <n v="2362.3200000000002"/>
  </r>
  <r>
    <s v="CMD0395"/>
    <d v="2026-03-04T00:00:00"/>
    <s v="Francois Solutions SAS"/>
    <x v="4"/>
    <x v="9"/>
    <s v="Armoire de rangement"/>
    <x v="0"/>
    <n v="22"/>
    <n v="10832.8"/>
  </r>
  <r>
    <s v="CMD0396"/>
    <d v="2026-03-29T00:00:00"/>
    <s v="Lefevre Distribution SAS"/>
    <x v="1"/>
    <x v="0"/>
    <s v="Caisson a roulettes"/>
    <x v="0"/>
    <n v="22"/>
    <n v="3863.6400000000003"/>
  </r>
  <r>
    <s v="CMD0397"/>
    <d v="2026-08-04T00:00:00"/>
    <s v="Faure Bureau SAS"/>
    <x v="0"/>
    <x v="0"/>
    <s v="Classeur"/>
    <x v="4"/>
    <n v="10"/>
    <n v="4531.6000000000004"/>
  </r>
  <r>
    <s v="CMD0398"/>
    <d v="2026-01-06T00:00:00"/>
    <s v="Perrin Informatique SARL"/>
    <x v="2"/>
    <x v="4"/>
    <s v="Micro-ondes"/>
    <x v="1"/>
    <n v="2"/>
    <n v="536.66"/>
  </r>
  <r>
    <s v="CMD0399"/>
    <d v="2026-01-19T00:00:00"/>
    <s v="Girard Services SARL"/>
    <x v="1"/>
    <x v="5"/>
    <s v="Bouilloire"/>
    <x v="1"/>
    <n v="28"/>
    <n v="1163.96"/>
  </r>
  <r>
    <s v="CMD0400"/>
    <d v="2026-06-05T00:00:00"/>
    <s v="Blanc Distribution SARL"/>
    <x v="4"/>
    <x v="2"/>
    <s v="Agrafeuse"/>
    <x v="4"/>
    <n v="26"/>
    <n v="13833.03999999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s v="CMD0001"/>
    <d v="2026-04-27T00:00:00"/>
    <s v="Andre Solutions SAS"/>
    <s v="Occitanie"/>
    <x v="0"/>
    <s v="Armoire de rangement"/>
    <s v="Mobilier"/>
    <n v="36"/>
    <n v="1688.7599999999998"/>
  </r>
  <r>
    <s v="CMD0002"/>
    <d v="2026-03-02T00:00:00"/>
    <s v="Morin Informatique EURL"/>
    <s v="Grand Est"/>
    <x v="1"/>
    <s v="Micro-ondes"/>
    <s v="Electromenager"/>
    <n v="2"/>
    <n v="473.5"/>
  </r>
  <r>
    <s v="CMD0003"/>
    <d v="2026-02-07T00:00:00"/>
    <s v="Guerin Services SARL"/>
    <s v="Bretagne"/>
    <x v="2"/>
    <s v="Disque dur externe"/>
    <s v="Informatique"/>
    <n v="3"/>
    <n v="1266.06"/>
  </r>
  <r>
    <s v="CMD0004"/>
    <d v="2026-08-13T00:00:00"/>
    <s v="Muller Solutions EURL"/>
    <s v="Ile-de-France"/>
    <x v="3"/>
    <s v="Cahier"/>
    <s v="Papeterie"/>
    <n v="19"/>
    <n v="8746.4599999999991"/>
  </r>
  <r>
    <s v="CMD0005"/>
    <d v="2026-06-01T00:00:00"/>
    <s v="Girard Distribution EURL"/>
    <s v="Nouvelle-Aquitaine"/>
    <x v="4"/>
    <s v="Chaise ergonomique"/>
    <s v="Mobilier"/>
    <n v="9"/>
    <n v="4043.88"/>
  </r>
  <r>
    <s v="CMD0006"/>
    <d v="2026-01-22T00:00:00"/>
    <s v="Dupont Services EURL"/>
    <s v="Occitanie"/>
    <x v="5"/>
    <s v="Disque dur externe"/>
    <s v="Informatique"/>
    <n v="36"/>
    <n v="3208.32"/>
  </r>
  <r>
    <s v="CMD0007"/>
    <d v="2026-06-26T00:00:00"/>
    <s v="Francois Solutions EURL"/>
    <s v="Nouvelle-Aquitaine"/>
    <x v="5"/>
    <s v="Cahier"/>
    <s v="Papeterie"/>
    <n v="20"/>
    <n v="2599.6"/>
  </r>
  <r>
    <s v="CMD0008"/>
    <d v="2026-05-10T00:00:00"/>
    <s v="Francois Informatique SARL"/>
    <s v="Grand Est"/>
    <x v="1"/>
    <s v="Chaise ergonomique"/>
    <s v="Mobilier"/>
    <n v="12"/>
    <n v="1636.44"/>
  </r>
  <r>
    <s v="CMD0009"/>
    <d v="2026-02-07T00:00:00"/>
    <s v="Mercier Negoce SARL"/>
    <s v="Bretagne"/>
    <x v="6"/>
    <s v="Disque dur externe"/>
    <s v="Informatique"/>
    <n v="30"/>
    <n v="11657.4"/>
  </r>
  <r>
    <s v="CMD0010"/>
    <d v="2026-05-01T00:00:00"/>
    <s v="Moreau Distribution EURL"/>
    <s v="Ile-de-France"/>
    <x v="7"/>
    <s v="Caisson a roulettes"/>
    <s v="Mobilier"/>
    <n v="22"/>
    <n v="4785"/>
  </r>
  <r>
    <s v="CMD0011"/>
    <d v="2026-06-06T00:00:00"/>
    <s v="Mathieu Bureau EURL"/>
    <s v="Provence-Alpes-Cote d'Azur"/>
    <x v="4"/>
    <s v="Agrafeuse"/>
    <s v="Fournitures"/>
    <n v="29"/>
    <n v="5810.7300000000005"/>
  </r>
  <r>
    <s v="CMD0012"/>
    <d v="2026-05-07T00:00:00"/>
    <s v="Faure Negoce EURL"/>
    <s v="Grand Est"/>
    <x v="0"/>
    <s v="Agrafeuse"/>
    <s v="Fournitures"/>
    <n v="11"/>
    <n v="86.570000000000007"/>
  </r>
  <r>
    <s v="CMD0013"/>
    <d v="2026-06-19T00:00:00"/>
    <s v="Nicolas Solutions SAS"/>
    <s v="Bretagne"/>
    <x v="2"/>
    <s v="Stylo (boite de 10)"/>
    <s v="Fournitures"/>
    <n v="9"/>
    <n v="3684.15"/>
  </r>
  <r>
    <s v="CMD0014"/>
    <d v="2026-02-11T00:00:00"/>
    <s v="Andre Equipements SARL"/>
    <s v="Provence-Alpes-Cote d'Azur"/>
    <x v="7"/>
    <s v="Cafetiere"/>
    <s v="Electromenager"/>
    <n v="12"/>
    <n v="4669.2000000000007"/>
  </r>
  <r>
    <s v="CMD0015"/>
    <d v="2026-09-17T00:00:00"/>
    <s v="Dupont Equipements EURL"/>
    <s v="Provence-Alpes-Cote d'Azur"/>
    <x v="0"/>
    <s v="Ramette papier A4"/>
    <s v="Fournitures"/>
    <n v="5"/>
    <n v="2679"/>
  </r>
  <r>
    <s v="CMD0016"/>
    <d v="2026-08-30T00:00:00"/>
    <s v="Girard Distribution SAS"/>
    <s v="Hauts-de-France"/>
    <x v="1"/>
    <s v="Bloc-notes"/>
    <s v="Papeterie"/>
    <n v="3"/>
    <n v="999.59999999999991"/>
  </r>
  <r>
    <s v="CMD0017"/>
    <d v="2026-02-16T00:00:00"/>
    <s v="Muller Distribution EURL"/>
    <s v="Ile-de-France"/>
    <x v="7"/>
    <s v="Classeur"/>
    <s v="Fournitures"/>
    <n v="30"/>
    <n v="9095.1"/>
  </r>
  <r>
    <s v="CMD0018"/>
    <d v="2026-03-23T00:00:00"/>
    <s v="Bonnet Services EURL"/>
    <s v="Grand Est"/>
    <x v="8"/>
    <s v="Bloc-notes"/>
    <s v="Papeterie"/>
    <n v="33"/>
    <n v="2921.16"/>
  </r>
  <r>
    <s v="CMD0019"/>
    <d v="2026-09-07T00:00:00"/>
    <s v="Faure Informatique SAS"/>
    <s v="Bretagne"/>
    <x v="7"/>
    <s v="Micro-ondes"/>
    <s v="Electromenager"/>
    <n v="3"/>
    <n v="405.59999999999997"/>
  </r>
  <r>
    <s v="CMD0020"/>
    <d v="2026-07-04T00:00:00"/>
    <s v="Muller Solutions SAS"/>
    <s v="Ile-de-France"/>
    <x v="9"/>
    <s v="Ecran 24 pouces"/>
    <s v="Informatique"/>
    <n v="34"/>
    <n v="18533.400000000001"/>
  </r>
  <r>
    <s v="CMD0021"/>
    <d v="2026-05-21T00:00:00"/>
    <s v="Andre Services EURL"/>
    <s v="Provence-Alpes-Cote d'Azur"/>
    <x v="8"/>
    <s v="Ramette papier A4"/>
    <s v="Fournitures"/>
    <n v="34"/>
    <n v="12986.980000000001"/>
  </r>
  <r>
    <s v="CMD0022"/>
    <d v="2026-02-09T00:00:00"/>
    <s v="Perrin Distribution SAS"/>
    <s v="Hauts-de-France"/>
    <x v="5"/>
    <s v="Refrigerateur mini"/>
    <s v="Electromenager"/>
    <n v="24"/>
    <n v="8512.08"/>
  </r>
  <r>
    <s v="CMD0023"/>
    <d v="2026-09-04T00:00:00"/>
    <s v="Clement Informatique EURL"/>
    <s v="Hauts-de-France"/>
    <x v="3"/>
    <s v="Micro-ondes"/>
    <s v="Electromenager"/>
    <n v="23"/>
    <n v="6777.64"/>
  </r>
  <r>
    <s v="CMD0024"/>
    <d v="2026-05-24T00:00:00"/>
    <s v="Francois Bureau SARL"/>
    <s v="Hauts-de-France"/>
    <x v="4"/>
    <s v="Chaise ergonomique"/>
    <s v="Mobilier"/>
    <n v="5"/>
    <n v="1555.75"/>
  </r>
  <r>
    <s v="CMD0025"/>
    <d v="2026-06-19T00:00:00"/>
    <s v="Moreau Solutions EURL"/>
    <s v="Occitanie"/>
    <x v="3"/>
    <s v="Cahier"/>
    <s v="Papeterie"/>
    <n v="15"/>
    <n v="3775.5"/>
  </r>
  <r>
    <s v="CMD0026"/>
    <d v="2026-01-23T00:00:00"/>
    <s v="Girard Services EURL"/>
    <s v="Hauts-de-France"/>
    <x v="8"/>
    <s v="Chaise ergonomique"/>
    <s v="Mobilier"/>
    <n v="27"/>
    <n v="495.71999999999997"/>
  </r>
  <r>
    <s v="CMD0027"/>
    <d v="2026-03-27T00:00:00"/>
    <s v="Andre Bureau EURL"/>
    <s v="Occitanie"/>
    <x v="1"/>
    <s v="Cahier"/>
    <s v="Papeterie"/>
    <n v="37"/>
    <n v="3418.06"/>
  </r>
  <r>
    <s v="CMD0028"/>
    <d v="2026-04-21T00:00:00"/>
    <s v="Roussel Services SAS"/>
    <s v="Nouvelle-Aquitaine"/>
    <x v="3"/>
    <s v="Cahier"/>
    <s v="Papeterie"/>
    <n v="19"/>
    <n v="10803.78"/>
  </r>
  <r>
    <s v="CMD0029"/>
    <d v="2026-04-04T00:00:00"/>
    <s v="Clement Negoce EURL"/>
    <s v="Bretagne"/>
    <x v="8"/>
    <s v="Chaise ergonomique"/>
    <s v="Mobilier"/>
    <n v="27"/>
    <n v="9787.5"/>
  </r>
  <r>
    <s v="CMD0030"/>
    <d v="2026-04-28T00:00:00"/>
    <s v="Muller Solutions SARL"/>
    <s v="Ile-de-France"/>
    <x v="9"/>
    <s v="Agrafeuse"/>
    <s v="Fournitures"/>
    <n v="39"/>
    <n v="13899.599999999999"/>
  </r>
  <r>
    <s v="CMD0031"/>
    <d v="2026-04-01T00:00:00"/>
    <s v="Nicolas Services EURL"/>
    <s v="Ile-de-France"/>
    <x v="5"/>
    <s v="Caisson a roulettes"/>
    <s v="Mobilier"/>
    <n v="10"/>
    <n v="3652.7999999999997"/>
  </r>
  <r>
    <s v="CMD0032"/>
    <d v="2026-03-08T00:00:00"/>
    <s v="Clement Services SARL"/>
    <s v="Nouvelle-Aquitaine"/>
    <x v="0"/>
    <s v="Cahier"/>
    <s v="Papeterie"/>
    <n v="6"/>
    <n v="1751.58"/>
  </r>
  <r>
    <s v="CMD0033"/>
    <d v="2026-08-08T00:00:00"/>
    <s v="Faure Equipements SAS"/>
    <s v="Nouvelle-Aquitaine"/>
    <x v="0"/>
    <s v="Marqueur"/>
    <s v="Papeterie"/>
    <n v="24"/>
    <n v="12612.48"/>
  </r>
  <r>
    <s v="CMD0034"/>
    <d v="2026-09-02T00:00:00"/>
    <s v="Faure Equipements SARL"/>
    <s v="Bretagne"/>
    <x v="1"/>
    <s v="Ramette papier A4"/>
    <s v="Fournitures"/>
    <n v="28"/>
    <n v="2370.48"/>
  </r>
  <r>
    <s v="CMD0035"/>
    <d v="2026-01-04T00:00:00"/>
    <s v="Mathieu Services SARL"/>
    <s v="Provence-Alpes-Cote d'Azur"/>
    <x v="9"/>
    <s v="Marqueur"/>
    <s v="Papeterie"/>
    <n v="17"/>
    <n v="1996.99"/>
  </r>
  <r>
    <s v="CMD0036"/>
    <d v="2026-02-24T00:00:00"/>
    <s v="Girard Solutions EURL"/>
    <s v="Provence-Alpes-Cote d'Azur"/>
    <x v="2"/>
    <s v="Bouilloire"/>
    <s v="Electromenager"/>
    <n v="21"/>
    <n v="5213.46"/>
  </r>
  <r>
    <s v="CMD0037"/>
    <d v="2026-05-22T00:00:00"/>
    <s v="Muller Equipements SARL"/>
    <s v="Occitanie"/>
    <x v="5"/>
    <s v="Agrafeuse"/>
    <s v="Fournitures"/>
    <n v="37"/>
    <n v="8234.7199999999993"/>
  </r>
  <r>
    <s v="CMD0038"/>
    <d v="2026-09-05T00:00:00"/>
    <s v="Andre Distribution EURL"/>
    <s v="Bretagne"/>
    <x v="0"/>
    <s v="Marqueur"/>
    <s v="Papeterie"/>
    <n v="12"/>
    <n v="2703.36"/>
  </r>
  <r>
    <s v="CMD0039"/>
    <d v="2026-03-24T00:00:00"/>
    <s v="Moreau Bureau EURL"/>
    <s v="Occitanie"/>
    <x v="4"/>
    <s v="Bureau reglable"/>
    <s v="Mobilier"/>
    <n v="15"/>
    <n v="4060.8"/>
  </r>
  <r>
    <s v="CMD0040"/>
    <d v="2026-01-03T00:00:00"/>
    <s v="Lefevre Equipements SARL"/>
    <s v="Occitanie"/>
    <x v="1"/>
    <s v="Cahier"/>
    <s v="Papeterie"/>
    <n v="11"/>
    <n v="2601.7200000000003"/>
  </r>
  <r>
    <s v="CMD0041"/>
    <d v="2026-07-09T00:00:00"/>
    <s v="Lefevre Services SARL"/>
    <s v="Grand Est"/>
    <x v="0"/>
    <s v="Cafetiere"/>
    <s v="Electromenager"/>
    <n v="5"/>
    <n v="807.69999999999993"/>
  </r>
  <r>
    <s v="CMD0042"/>
    <d v="2026-03-31T00:00:00"/>
    <s v="Nicolas Solutions SARL"/>
    <s v="Hauts-de-France"/>
    <x v="5"/>
    <s v="Micro-ondes"/>
    <s v="Electromenager"/>
    <n v="39"/>
    <n v="1528.4099999999999"/>
  </r>
  <r>
    <s v="CMD0043"/>
    <d v="2026-09-19T00:00:00"/>
    <s v="Perrin Negoce SARL"/>
    <s v="Provence-Alpes-Cote d'Azur"/>
    <x v="8"/>
    <s v="Classeur"/>
    <s v="Fournitures"/>
    <n v="3"/>
    <n v="1414.3799999999999"/>
  </r>
  <r>
    <s v="CMD0044"/>
    <d v="2026-03-22T00:00:00"/>
    <s v="Lefevre Distribution SAS"/>
    <s v="Bretagne"/>
    <x v="0"/>
    <s v="Clavier sans fil"/>
    <s v="Informatique"/>
    <n v="16"/>
    <n v="6315.84"/>
  </r>
  <r>
    <s v="CMD0045"/>
    <d v="2026-02-05T00:00:00"/>
    <s v="Lefevre Services SAS"/>
    <s v="Grand Est"/>
    <x v="5"/>
    <s v="Bouilloire"/>
    <s v="Electromenager"/>
    <n v="34"/>
    <n v="480.76"/>
  </r>
  <r>
    <s v="CMD0046"/>
    <d v="2026-05-22T00:00:00"/>
    <s v="Faure Services SARL"/>
    <s v="Occitanie"/>
    <x v="0"/>
    <s v="Post-it"/>
    <s v="Papeterie"/>
    <n v="23"/>
    <n v="13297.679999999998"/>
  </r>
  <r>
    <s v="CMD0047"/>
    <d v="2026-09-17T00:00:00"/>
    <s v="Moreau Services SARL"/>
    <s v="Provence-Alpes-Cote d'Azur"/>
    <x v="2"/>
    <s v="Cahier"/>
    <s v="Papeterie"/>
    <n v="17"/>
    <n v="1855.5500000000002"/>
  </r>
  <r>
    <s v="CMD0048"/>
    <d v="2026-05-09T00:00:00"/>
    <s v="Roussel Solutions EURL"/>
    <s v="Occitanie"/>
    <x v="7"/>
    <s v="Ramette papier A4"/>
    <s v="Fournitures"/>
    <n v="33"/>
    <n v="18949.920000000002"/>
  </r>
  <r>
    <s v="CMD0049"/>
    <d v="2026-01-15T00:00:00"/>
    <s v="Nicolas Informatique SAS"/>
    <s v="Ile-de-France"/>
    <x v="0"/>
    <s v="Agrafeuse"/>
    <s v="Fournitures"/>
    <n v="30"/>
    <n v="16152.899999999998"/>
  </r>
  <r>
    <s v="CMD0050"/>
    <d v="2026-06-30T00:00:00"/>
    <s v="Perrin Services SARL"/>
    <s v="Grand Est"/>
    <x v="2"/>
    <s v="Chaise ergonomique"/>
    <s v="Mobilier"/>
    <n v="21"/>
    <n v="5258.19"/>
  </r>
  <r>
    <s v="CMD0051"/>
    <d v="2026-06-25T00:00:00"/>
    <s v="Lefevre Services SARL"/>
    <s v="Occitanie"/>
    <x v="4"/>
    <s v="Armoire de rangement"/>
    <s v="Mobilier"/>
    <n v="6"/>
    <n v="1454.16"/>
  </r>
  <r>
    <s v="CMD0052"/>
    <d v="2026-04-08T00:00:00"/>
    <s v="Nicolas Negoce SARL"/>
    <s v="Hauts-de-France"/>
    <x v="7"/>
    <s v="Classeur"/>
    <s v="Fournitures"/>
    <n v="37"/>
    <n v="6108.7"/>
  </r>
  <r>
    <s v="CMD0053"/>
    <d v="2026-05-08T00:00:00"/>
    <s v="Clement Distribution SARL"/>
    <s v="Nouvelle-Aquitaine"/>
    <x v="6"/>
    <s v="Classeur"/>
    <s v="Fournitures"/>
    <n v="15"/>
    <n v="1884.75"/>
  </r>
  <r>
    <s v="CMD0054"/>
    <d v="2026-01-22T00:00:00"/>
    <s v="Nicolas Distribution EURL"/>
    <s v="Bretagne"/>
    <x v="3"/>
    <s v="Ordinateur portable"/>
    <s v="Informatique"/>
    <n v="32"/>
    <n v="11847.36"/>
  </r>
  <r>
    <s v="CMD0055"/>
    <d v="2026-09-19T00:00:00"/>
    <s v="Andre Solutions SARL"/>
    <s v="Nouvelle-Aquitaine"/>
    <x v="1"/>
    <s v="Post-it"/>
    <s v="Papeterie"/>
    <n v="32"/>
    <n v="3641.92"/>
  </r>
  <r>
    <s v="CMD0056"/>
    <d v="2026-09-02T00:00:00"/>
    <s v="Morin Informatique EURL"/>
    <s v="Bretagne"/>
    <x v="0"/>
    <s v="Bureau reglable"/>
    <s v="Mobilier"/>
    <n v="34"/>
    <n v="16339.38"/>
  </r>
  <r>
    <s v="CMD0057"/>
    <d v="2026-08-24T00:00:00"/>
    <s v="Blanc Negoce SARL"/>
    <s v="Ile-de-France"/>
    <x v="7"/>
    <s v="Caisson a roulettes"/>
    <s v="Mobilier"/>
    <n v="8"/>
    <n v="3363.68"/>
  </r>
  <r>
    <s v="CMD0058"/>
    <d v="2026-05-13T00:00:00"/>
    <s v="Bonnet Services SAS"/>
    <s v="Hauts-de-France"/>
    <x v="2"/>
    <s v="Cafetiere"/>
    <s v="Electromenager"/>
    <n v="21"/>
    <n v="4623.1500000000005"/>
  </r>
  <r>
    <s v="CMD0059"/>
    <d v="2026-08-06T00:00:00"/>
    <s v="Francois Solutions EURL"/>
    <s v="Nouvelle-Aquitaine"/>
    <x v="4"/>
    <s v="Micro-ondes"/>
    <s v="Electromenager"/>
    <n v="24"/>
    <n v="2746.32"/>
  </r>
  <r>
    <s v="CMD0060"/>
    <d v="2026-03-09T00:00:00"/>
    <s v="Mathieu Negoce SARL"/>
    <s v="Nouvelle-Aquitaine"/>
    <x v="6"/>
    <s v="Agrafeuse"/>
    <s v="Fournitures"/>
    <n v="18"/>
    <n v="4917.24"/>
  </r>
  <r>
    <s v="CMD0061"/>
    <d v="2026-07-15T00:00:00"/>
    <s v="Francois Bureau EURL"/>
    <s v="Hauts-de-France"/>
    <x v="3"/>
    <s v="Classeur"/>
    <s v="Fournitures"/>
    <n v="36"/>
    <n v="9438.1200000000008"/>
  </r>
  <r>
    <s v="CMD0062"/>
    <d v="2026-09-22T00:00:00"/>
    <s v="Morin Negoce SAS"/>
    <s v="Nouvelle-Aquitaine"/>
    <x v="3"/>
    <s v="Ecran 24 pouces"/>
    <s v="Informatique"/>
    <n v="27"/>
    <n v="8161.0199999999995"/>
  </r>
  <r>
    <s v="CMD0063"/>
    <d v="2026-01-25T00:00:00"/>
    <s v="Muller Informatique EURL"/>
    <s v="Hauts-de-France"/>
    <x v="9"/>
    <s v="Stylo (boite de 10)"/>
    <s v="Fournitures"/>
    <n v="36"/>
    <n v="18569.159999999996"/>
  </r>
  <r>
    <s v="CMD0064"/>
    <d v="2026-02-19T00:00:00"/>
    <s v="Roussel Negoce SAS"/>
    <s v="Bretagne"/>
    <x v="4"/>
    <s v="Armoire de rangement"/>
    <s v="Mobilier"/>
    <n v="31"/>
    <n v="15629.89"/>
  </r>
  <r>
    <s v="CMD0065"/>
    <d v="2026-03-04T00:00:00"/>
    <s v="Guerin Equipements EURL"/>
    <s v="Provence-Alpes-Cote d'Azur"/>
    <x v="7"/>
    <s v="Stylo (boite de 10)"/>
    <s v="Fournitures"/>
    <n v="23"/>
    <n v="386.40000000000003"/>
  </r>
  <r>
    <s v="CMD0066"/>
    <d v="2026-09-19T00:00:00"/>
    <s v="Nicolas Equipements EURL"/>
    <s v="Occitanie"/>
    <x v="6"/>
    <s v="Bloc-notes"/>
    <s v="Papeterie"/>
    <n v="19"/>
    <n v="4109.51"/>
  </r>
  <r>
    <s v="CMD0067"/>
    <d v="2026-03-16T00:00:00"/>
    <s v="Bonnet Negoce SAS"/>
    <s v="Occitanie"/>
    <x v="1"/>
    <s v="Micro-ondes"/>
    <s v="Electromenager"/>
    <n v="30"/>
    <n v="11426.1"/>
  </r>
  <r>
    <s v="CMD0068"/>
    <d v="2026-06-25T00:00:00"/>
    <s v="Faure Distribution SAS"/>
    <s v="Grand Est"/>
    <x v="2"/>
    <s v="Marqueur"/>
    <s v="Papeterie"/>
    <n v="5"/>
    <n v="260.35000000000002"/>
  </r>
  <r>
    <s v="CMD0069"/>
    <d v="2026-07-05T00:00:00"/>
    <s v="Mathieu Services SAS"/>
    <s v="Occitanie"/>
    <x v="8"/>
    <s v="Agrafeuse"/>
    <s v="Fournitures"/>
    <n v="18"/>
    <n v="9597.24"/>
  </r>
  <r>
    <s v="CMD0070"/>
    <d v="2026-05-09T00:00:00"/>
    <s v="Lefevre Bureau SARL"/>
    <s v="Occitanie"/>
    <x v="6"/>
    <s v="Bureau reglable"/>
    <s v="Mobilier"/>
    <n v="9"/>
    <n v="3942.18"/>
  </r>
  <r>
    <s v="CMD0071"/>
    <d v="2026-01-14T00:00:00"/>
    <s v="Muller Services SARL"/>
    <s v="Ile-de-France"/>
    <x v="2"/>
    <s v="Ordinateur portable"/>
    <s v="Informatique"/>
    <n v="31"/>
    <n v="10270.92"/>
  </r>
  <r>
    <s v="CMD0072"/>
    <d v="2026-07-19T00:00:00"/>
    <s v="Mercier Bureau SARL"/>
    <s v="Grand Est"/>
    <x v="2"/>
    <s v="Bloc-notes"/>
    <s v="Papeterie"/>
    <n v="6"/>
    <n v="2367.7799999999997"/>
  </r>
  <r>
    <s v="CMD0073"/>
    <d v="2026-03-29T00:00:00"/>
    <s v="Dupont Informatique EURL"/>
    <s v="Bretagne"/>
    <x v="4"/>
    <s v="Bouilloire"/>
    <s v="Electromenager"/>
    <n v="9"/>
    <n v="2865.69"/>
  </r>
  <r>
    <s v="CMD0074"/>
    <d v="2026-08-16T00:00:00"/>
    <s v="Girard Negoce EURL"/>
    <s v="Hauts-de-France"/>
    <x v="1"/>
    <s v="Refrigerateur mini"/>
    <s v="Electromenager"/>
    <n v="35"/>
    <n v="19643.400000000001"/>
  </r>
  <r>
    <s v="CMD0075"/>
    <d v="2026-06-08T00:00:00"/>
    <s v="Guerin Solutions EURL"/>
    <s v="Hauts-de-France"/>
    <x v="6"/>
    <s v="Marqueur"/>
    <s v="Papeterie"/>
    <n v="37"/>
    <n v="9760.9699999999993"/>
  </r>
  <r>
    <s v="CMD0076"/>
    <d v="2026-03-21T00:00:00"/>
    <s v="Mercier Informatique SARL"/>
    <s v="Provence-Alpes-Cote d'Azur"/>
    <x v="8"/>
    <s v="Micro-ondes"/>
    <s v="Electromenager"/>
    <n v="24"/>
    <n v="6006.24"/>
  </r>
  <r>
    <s v="CMD0077"/>
    <d v="2026-09-09T00:00:00"/>
    <s v="Nicolas Distribution SARL"/>
    <s v="Nouvelle-Aquitaine"/>
    <x v="0"/>
    <s v="Stylo (boite de 10)"/>
    <s v="Fournitures"/>
    <n v="31"/>
    <n v="10024.780000000001"/>
  </r>
  <r>
    <s v="CMD0078"/>
    <d v="2026-04-07T00:00:00"/>
    <s v="Henry Services SAS"/>
    <s v="Occitanie"/>
    <x v="7"/>
    <s v="Classeur"/>
    <s v="Fournitures"/>
    <n v="1"/>
    <n v="331.19"/>
  </r>
  <r>
    <s v="CMD0079"/>
    <d v="2026-02-10T00:00:00"/>
    <s v="Henry Negoce SARL"/>
    <s v="Provence-Alpes-Cote d'Azur"/>
    <x v="1"/>
    <s v="Caisson a roulettes"/>
    <s v="Mobilier"/>
    <n v="25"/>
    <n v="3406.25"/>
  </r>
  <r>
    <s v="CMD0080"/>
    <d v="2026-07-31T00:00:00"/>
    <s v="Francois Equipements SARL"/>
    <s v="Hauts-de-France"/>
    <x v="8"/>
    <s v="Stylo (boite de 10)"/>
    <s v="Fournitures"/>
    <n v="35"/>
    <n v="17018.400000000001"/>
  </r>
  <r>
    <s v="CMD0081"/>
    <d v="2026-05-20T00:00:00"/>
    <s v="Clement Solutions SARL"/>
    <s v="Bretagne"/>
    <x v="9"/>
    <s v="Ramette papier A4"/>
    <s v="Fournitures"/>
    <n v="30"/>
    <n v="11176.5"/>
  </r>
  <r>
    <s v="CMD0082"/>
    <d v="2026-02-22T00:00:00"/>
    <s v="Mercier Distribution SARL"/>
    <s v="Grand Est"/>
    <x v="3"/>
    <s v="Bureau reglable"/>
    <s v="Mobilier"/>
    <n v="35"/>
    <n v="635.95000000000005"/>
  </r>
  <r>
    <s v="CMD0083"/>
    <d v="2026-09-10T00:00:00"/>
    <s v="Francois Distribution SAS"/>
    <s v="Bretagne"/>
    <x v="3"/>
    <s v="Ecran 24 pouces"/>
    <s v="Informatique"/>
    <n v="6"/>
    <n v="567.96"/>
  </r>
  <r>
    <s v="CMD0084"/>
    <d v="2026-03-16T00:00:00"/>
    <s v="Martin Distribution SAS"/>
    <s v="Ile-de-France"/>
    <x v="5"/>
    <s v="Agrafeuse"/>
    <s v="Fournitures"/>
    <n v="3"/>
    <n v="604.5"/>
  </r>
  <r>
    <s v="CMD0085"/>
    <d v="2026-05-09T00:00:00"/>
    <s v="Muller Equipements SARL"/>
    <s v="Ile-de-France"/>
    <x v="7"/>
    <s v="Bouilloire"/>
    <s v="Electromenager"/>
    <n v="13"/>
    <n v="6993.2200000000012"/>
  </r>
  <r>
    <s v="CMD0086"/>
    <d v="2026-01-18T00:00:00"/>
    <s v="Francois Solutions EURL"/>
    <s v="Nouvelle-Aquitaine"/>
    <x v="6"/>
    <s v="Refrigerateur mini"/>
    <s v="Electromenager"/>
    <n v="16"/>
    <n v="7102.08"/>
  </r>
  <r>
    <s v="CMD0087"/>
    <d v="2026-06-09T00:00:00"/>
    <s v="Blanc Bureau EURL"/>
    <s v="Grand Est"/>
    <x v="9"/>
    <s v="Bloc-notes"/>
    <s v="Papeterie"/>
    <n v="31"/>
    <n v="7332.43"/>
  </r>
  <r>
    <s v="CMD0088"/>
    <d v="2026-06-02T00:00:00"/>
    <s v="Francois Distribution SARL"/>
    <s v="Nouvelle-Aquitaine"/>
    <x v="7"/>
    <s v="Cahier"/>
    <s v="Papeterie"/>
    <n v="17"/>
    <n v="4952.6099999999997"/>
  </r>
  <r>
    <s v="CMD0089"/>
    <d v="2026-03-27T00:00:00"/>
    <s v="Andre Services SARL"/>
    <s v="Occitanie"/>
    <x v="7"/>
    <s v="Ecran 24 pouces"/>
    <s v="Informatique"/>
    <n v="28"/>
    <n v="5546.52"/>
  </r>
  <r>
    <s v="CMD0090"/>
    <d v="2026-09-01T00:00:00"/>
    <s v="Clement Bureau SAS"/>
    <s v="Nouvelle-Aquitaine"/>
    <x v="6"/>
    <s v="Ordinateur portable"/>
    <s v="Informatique"/>
    <n v="38"/>
    <n v="17904.46"/>
  </r>
  <r>
    <s v="CMD0091"/>
    <d v="2026-06-23T00:00:00"/>
    <s v="Martin Informatique SAS"/>
    <s v="Grand Est"/>
    <x v="8"/>
    <s v="Chaise ergonomique"/>
    <s v="Mobilier"/>
    <n v="32"/>
    <n v="1900.16"/>
  </r>
  <r>
    <s v="CMD0092"/>
    <d v="2026-06-12T00:00:00"/>
    <s v="Morin Equipements EURL"/>
    <s v="Nouvelle-Aquitaine"/>
    <x v="4"/>
    <s v="Cahier"/>
    <s v="Papeterie"/>
    <n v="9"/>
    <n v="2657.43"/>
  </r>
  <r>
    <s v="CMD0093"/>
    <d v="2026-07-03T00:00:00"/>
    <s v="Girard Distribution SARL"/>
    <s v="Occitanie"/>
    <x v="3"/>
    <s v="Bouilloire"/>
    <s v="Electromenager"/>
    <n v="2"/>
    <n v="830.2"/>
  </r>
  <r>
    <s v="CMD0094"/>
    <d v="2026-04-08T00:00:00"/>
    <s v="Mathieu Bureau EURL"/>
    <s v="Bretagne"/>
    <x v="4"/>
    <s v="Post-it"/>
    <s v="Papeterie"/>
    <n v="35"/>
    <n v="14690.9"/>
  </r>
  <r>
    <s v="CMD0095"/>
    <d v="2026-03-24T00:00:00"/>
    <s v="Lefevre Services SARL"/>
    <s v="Occitanie"/>
    <x v="2"/>
    <s v="Micro-ondes"/>
    <s v="Electromenager"/>
    <n v="39"/>
    <n v="21415.29"/>
  </r>
  <r>
    <s v="CMD0096"/>
    <d v="2026-09-17T00:00:00"/>
    <s v="Muller Negoce SARL"/>
    <s v="Ile-de-France"/>
    <x v="1"/>
    <s v="Stylo (boite de 10)"/>
    <s v="Fournitures"/>
    <n v="30"/>
    <n v="162.89999999999998"/>
  </r>
  <r>
    <s v="CMD0097"/>
    <d v="2026-07-18T00:00:00"/>
    <s v="Francois Services EURL"/>
    <s v="Occitanie"/>
    <x v="5"/>
    <s v="Classeur"/>
    <s v="Fournitures"/>
    <n v="21"/>
    <n v="9114"/>
  </r>
  <r>
    <s v="CMD0098"/>
    <d v="2026-06-14T00:00:00"/>
    <s v="Moreau Informatique EURL"/>
    <s v="Grand Est"/>
    <x v="6"/>
    <s v="Armoire de rangement"/>
    <s v="Mobilier"/>
    <n v="21"/>
    <n v="5225.43"/>
  </r>
  <r>
    <s v="CMD0099"/>
    <d v="2026-04-14T00:00:00"/>
    <s v="Moreau Solutions SARL"/>
    <s v="Ile-de-France"/>
    <x v="9"/>
    <s v="Ecran 24 pouces"/>
    <s v="Informatique"/>
    <n v="12"/>
    <n v="6296.76"/>
  </r>
  <r>
    <s v="CMD0100"/>
    <d v="2026-05-12T00:00:00"/>
    <s v="Martin Distribution SARL"/>
    <s v="Provence-Alpes-Cote d'Azur"/>
    <x v="6"/>
    <s v="Marqueur"/>
    <s v="Papeterie"/>
    <n v="32"/>
    <n v="10171.52"/>
  </r>
  <r>
    <s v="CMD0101"/>
    <d v="2026-02-10T00:00:00"/>
    <s v="Roussel Equipements EURL"/>
    <s v="Ile-de-France"/>
    <x v="4"/>
    <s v="Ecran 24 pouces"/>
    <s v="Informatique"/>
    <n v="32"/>
    <n v="17836.8"/>
  </r>
  <r>
    <s v="CMD0102"/>
    <d v="2026-01-30T00:00:00"/>
    <s v="Clement Distribution EURL"/>
    <s v="Ile-de-France"/>
    <x v="6"/>
    <s v="Marqueur"/>
    <s v="Papeterie"/>
    <n v="24"/>
    <n v="11461.92"/>
  </r>
  <r>
    <s v="CMD0103"/>
    <d v="2026-02-19T00:00:00"/>
    <s v="Moreau Negoce SARL"/>
    <s v="Provence-Alpes-Cote d'Azur"/>
    <x v="0"/>
    <s v="Ramette papier A4"/>
    <s v="Fournitures"/>
    <n v="14"/>
    <n v="8071.6999999999989"/>
  </r>
  <r>
    <s v="CMD0104"/>
    <d v="2026-04-02T00:00:00"/>
    <s v="Morin Negoce EURL"/>
    <s v="Occitanie"/>
    <x v="6"/>
    <s v="Chaise ergonomique"/>
    <s v="Mobilier"/>
    <n v="34"/>
    <n v="13458.56"/>
  </r>
  <r>
    <s v="CMD0105"/>
    <d v="2026-08-07T00:00:00"/>
    <s v="Moreau Bureau SARL"/>
    <s v="Provence-Alpes-Cote d'Azur"/>
    <x v="0"/>
    <s v="Post-it"/>
    <s v="Papeterie"/>
    <n v="30"/>
    <n v="12690.599999999999"/>
  </r>
  <r>
    <s v="CMD0106"/>
    <d v="2026-08-15T00:00:00"/>
    <s v="Guerin Distribution EURL"/>
    <s v="Bretagne"/>
    <x v="4"/>
    <s v="Post-it"/>
    <s v="Papeterie"/>
    <n v="11"/>
    <n v="3549.3700000000003"/>
  </r>
  <r>
    <s v="CMD0107"/>
    <d v="2026-04-20T00:00:00"/>
    <s v="Muller Equipements EURL"/>
    <s v="Grand Est"/>
    <x v="2"/>
    <s v="Refrigerateur mini"/>
    <s v="Electromenager"/>
    <n v="21"/>
    <n v="7707.21"/>
  </r>
  <r>
    <s v="CMD0108"/>
    <d v="2026-01-01T00:00:00"/>
    <s v="Martin Distribution EURL"/>
    <s v="Ile-de-France"/>
    <x v="5"/>
    <s v="Agrafeuse"/>
    <s v="Fournitures"/>
    <n v="29"/>
    <n v="16706.900000000001"/>
  </r>
  <r>
    <s v="CMD0109"/>
    <d v="2026-04-24T00:00:00"/>
    <s v="Francois Equipements SAS"/>
    <s v="Ile-de-France"/>
    <x v="2"/>
    <s v="Armoire de rangement"/>
    <s v="Mobilier"/>
    <n v="1"/>
    <n v="183.7"/>
  </r>
  <r>
    <s v="CMD0110"/>
    <d v="2026-07-02T00:00:00"/>
    <s v="Girard Bureau SAS"/>
    <s v="Bretagne"/>
    <x v="1"/>
    <s v="Bloc-notes"/>
    <s v="Papeterie"/>
    <n v="7"/>
    <n v="192.15"/>
  </r>
  <r>
    <s v="CMD0111"/>
    <d v="2026-02-17T00:00:00"/>
    <s v="Mathieu Solutions EURL"/>
    <s v="Hauts-de-France"/>
    <x v="6"/>
    <s v="Chaise ergonomique"/>
    <s v="Mobilier"/>
    <n v="17"/>
    <n v="8289.0299999999988"/>
  </r>
  <r>
    <s v="CMD0112"/>
    <d v="2026-02-18T00:00:00"/>
    <s v="Clement Negoce SAS"/>
    <s v="Ile-de-France"/>
    <x v="1"/>
    <s v="Agrafeuse"/>
    <s v="Fournitures"/>
    <n v="12"/>
    <n v="3546.24"/>
  </r>
  <r>
    <s v="CMD0113"/>
    <d v="2026-06-21T00:00:00"/>
    <s v="Guerin Equipements SAS"/>
    <s v="Occitanie"/>
    <x v="6"/>
    <s v="Cafetiere"/>
    <s v="Electromenager"/>
    <n v="4"/>
    <n v="2214.04"/>
  </r>
  <r>
    <s v="CMD0114"/>
    <d v="2026-09-26T00:00:00"/>
    <s v="Martin Distribution EURL"/>
    <s v="Provence-Alpes-Cote d'Azur"/>
    <x v="8"/>
    <s v="Bureau reglable"/>
    <s v="Mobilier"/>
    <n v="25"/>
    <n v="930.25"/>
  </r>
  <r>
    <s v="CMD0115"/>
    <d v="2026-07-21T00:00:00"/>
    <s v="Roussel Equipements EURL"/>
    <s v="Provence-Alpes-Cote d'Azur"/>
    <x v="5"/>
    <s v="Classeur"/>
    <s v="Fournitures"/>
    <n v="10"/>
    <n v="350.6"/>
  </r>
  <r>
    <s v="CMD0116"/>
    <d v="2026-07-21T00:00:00"/>
    <s v="Girard Bureau SAS"/>
    <s v="Ile-de-France"/>
    <x v="3"/>
    <s v="Ecran 24 pouces"/>
    <s v="Informatique"/>
    <n v="28"/>
    <n v="4967.7599999999993"/>
  </r>
  <r>
    <s v="CMD0117"/>
    <d v="2026-02-13T00:00:00"/>
    <s v="Muller Services SAS"/>
    <s v="Nouvelle-Aquitaine"/>
    <x v="8"/>
    <s v="Cahier"/>
    <s v="Papeterie"/>
    <n v="36"/>
    <n v="8730.7200000000012"/>
  </r>
  <r>
    <s v="CMD0118"/>
    <d v="2026-07-22T00:00:00"/>
    <s v="Mathieu Bureau EURL"/>
    <s v="Provence-Alpes-Cote d'Azur"/>
    <x v="5"/>
    <s v="Caisson a roulettes"/>
    <s v="Mobilier"/>
    <n v="36"/>
    <n v="4423.32"/>
  </r>
  <r>
    <s v="CMD0119"/>
    <d v="2026-08-09T00:00:00"/>
    <s v="Blanc Negoce EURL"/>
    <s v="Ile-de-France"/>
    <x v="6"/>
    <s v="Chaise ergonomique"/>
    <s v="Mobilier"/>
    <n v="5"/>
    <n v="817.09999999999991"/>
  </r>
  <r>
    <s v="CMD0120"/>
    <d v="2026-06-14T00:00:00"/>
    <s v="Guerin Services EURL"/>
    <s v="Ile-de-France"/>
    <x v="2"/>
    <s v="Refrigerateur mini"/>
    <s v="Electromenager"/>
    <n v="24"/>
    <n v="5093.76"/>
  </r>
  <r>
    <s v="CMD0121"/>
    <d v="2026-08-15T00:00:00"/>
    <s v="Clement Bureau SAS"/>
    <s v="Ile-de-France"/>
    <x v="7"/>
    <s v="Armoire de rangement"/>
    <s v="Mobilier"/>
    <n v="40"/>
    <n v="19753.599999999999"/>
  </r>
  <r>
    <s v="CMD0122"/>
    <d v="2026-02-13T00:00:00"/>
    <s v="Moreau Negoce SARL"/>
    <s v="Hauts-de-France"/>
    <x v="1"/>
    <s v="Armoire de rangement"/>
    <s v="Mobilier"/>
    <n v="10"/>
    <n v="4558.5"/>
  </r>
  <r>
    <s v="CMD0123"/>
    <d v="2026-02-26T00:00:00"/>
    <s v="Mercier Solutions SAS"/>
    <s v="Ile-de-France"/>
    <x v="4"/>
    <s v="Armoire de rangement"/>
    <s v="Mobilier"/>
    <n v="1"/>
    <n v="209.25"/>
  </r>
  <r>
    <s v="CMD0124"/>
    <d v="2026-05-13T00:00:00"/>
    <s v="Morin Solutions EURL"/>
    <s v="Grand Est"/>
    <x v="8"/>
    <s v="Chaise ergonomique"/>
    <s v="Mobilier"/>
    <n v="14"/>
    <n v="4621.68"/>
  </r>
  <r>
    <s v="CMD0125"/>
    <d v="2026-09-27T00:00:00"/>
    <s v="Martin Distribution SARL"/>
    <s v="Ile-de-France"/>
    <x v="2"/>
    <s v="Souris optique"/>
    <s v="Informatique"/>
    <n v="38"/>
    <n v="20675.420000000002"/>
  </r>
  <r>
    <s v="CMD0126"/>
    <d v="2026-01-05T00:00:00"/>
    <s v="Lefevre Solutions EURL"/>
    <s v="Bretagne"/>
    <x v="4"/>
    <s v="Armoire de rangement"/>
    <s v="Mobilier"/>
    <n v="4"/>
    <n v="1126.5999999999999"/>
  </r>
  <r>
    <s v="CMD0127"/>
    <d v="2026-07-17T00:00:00"/>
    <s v="Faure Solutions EURL"/>
    <s v="Grand Est"/>
    <x v="6"/>
    <s v="Ordinateur portable"/>
    <s v="Informatique"/>
    <n v="19"/>
    <n v="9901.09"/>
  </r>
  <r>
    <s v="CMD0128"/>
    <d v="2026-04-06T00:00:00"/>
    <s v="Francois Services SAS"/>
    <s v="Provence-Alpes-Cote d'Azur"/>
    <x v="9"/>
    <s v="Agrafeuse"/>
    <s v="Fournitures"/>
    <n v="39"/>
    <n v="12529.919999999998"/>
  </r>
  <r>
    <s v="CMD0129"/>
    <d v="2026-09-08T00:00:00"/>
    <s v="Muller Negoce SARL"/>
    <s v="Ile-de-France"/>
    <x v="4"/>
    <s v="Ecran 24 pouces"/>
    <s v="Informatique"/>
    <n v="34"/>
    <n v="6338.62"/>
  </r>
  <r>
    <s v="CMD0130"/>
    <d v="2026-09-14T00:00:00"/>
    <s v="Andre Equipements SARL"/>
    <s v="Grand Est"/>
    <x v="2"/>
    <s v="Stylo (boite de 10)"/>
    <s v="Fournitures"/>
    <n v="20"/>
    <n v="2910.7999999999997"/>
  </r>
  <r>
    <s v="CMD0131"/>
    <d v="2026-04-26T00:00:00"/>
    <s v="Girard Distribution SAS"/>
    <s v="Grand Est"/>
    <x v="8"/>
    <s v="Cafetiere"/>
    <s v="Electromenager"/>
    <n v="36"/>
    <n v="20509.920000000002"/>
  </r>
  <r>
    <s v="CMD0132"/>
    <d v="2026-04-27T00:00:00"/>
    <s v="Henry Bureau EURL"/>
    <s v="Hauts-de-France"/>
    <x v="0"/>
    <s v="Souris optique"/>
    <s v="Informatique"/>
    <n v="34"/>
    <n v="19603.039999999997"/>
  </r>
  <r>
    <s v="CMD0133"/>
    <d v="2026-04-16T00:00:00"/>
    <s v="Girard Services EURL"/>
    <s v="Grand Est"/>
    <x v="7"/>
    <s v="Stylo (boite de 10)"/>
    <s v="Fournitures"/>
    <n v="29"/>
    <n v="9501.27"/>
  </r>
  <r>
    <s v="CMD0134"/>
    <d v="2026-08-09T00:00:00"/>
    <s v="Girard Negoce EURL"/>
    <s v="Hauts-de-France"/>
    <x v="4"/>
    <s v="Armoire de rangement"/>
    <s v="Mobilier"/>
    <n v="34"/>
    <n v="18570.460000000003"/>
  </r>
  <r>
    <s v="CMD0135"/>
    <d v="2026-03-02T00:00:00"/>
    <s v="Bonnet Distribution SARL"/>
    <s v="Grand Est"/>
    <x v="9"/>
    <s v="Disque dur externe"/>
    <s v="Informatique"/>
    <n v="35"/>
    <n v="19929.699999999997"/>
  </r>
  <r>
    <s v="CMD0136"/>
    <d v="2026-05-21T00:00:00"/>
    <s v="Girard Equipements SARL"/>
    <s v="Ile-de-France"/>
    <x v="8"/>
    <s v="Agrafeuse"/>
    <s v="Fournitures"/>
    <n v="27"/>
    <n v="5008.2300000000005"/>
  </r>
  <r>
    <s v="CMD0137"/>
    <d v="2026-04-29T00:00:00"/>
    <s v="Clement Bureau SARL"/>
    <s v="Grand Est"/>
    <x v="9"/>
    <s v="Bureau reglable"/>
    <s v="Mobilier"/>
    <n v="40"/>
    <n v="14883.199999999999"/>
  </r>
  <r>
    <s v="CMD0138"/>
    <d v="2026-08-29T00:00:00"/>
    <s v="Guerin Bureau SAS"/>
    <s v="Occitanie"/>
    <x v="3"/>
    <s v="Ramette papier A4"/>
    <s v="Fournitures"/>
    <n v="31"/>
    <n v="2628.18"/>
  </r>
  <r>
    <s v="CMD0139"/>
    <d v="2026-07-29T00:00:00"/>
    <s v="Dupont Distribution SAS"/>
    <s v="Hauts-de-France"/>
    <x v="7"/>
    <s v="Chaise ergonomique"/>
    <s v="Mobilier"/>
    <n v="13"/>
    <n v="1815.19"/>
  </r>
  <r>
    <s v="CMD0140"/>
    <d v="2026-08-13T00:00:00"/>
    <s v="Clement Solutions EURL"/>
    <s v="Bretagne"/>
    <x v="3"/>
    <s v="Bureau reglable"/>
    <s v="Mobilier"/>
    <n v="12"/>
    <n v="6679.5599999999995"/>
  </r>
  <r>
    <s v="CMD0141"/>
    <d v="2026-07-14T00:00:00"/>
    <s v="Blanc Solutions EURL"/>
    <s v="Grand Est"/>
    <x v="1"/>
    <s v="Caisson a roulettes"/>
    <s v="Mobilier"/>
    <n v="26"/>
    <n v="12138.1"/>
  </r>
  <r>
    <s v="CMD0142"/>
    <d v="2026-08-22T00:00:00"/>
    <s v="Martin Bureau EURL"/>
    <s v="Provence-Alpes-Cote d'Azur"/>
    <x v="0"/>
    <s v="Cahier"/>
    <s v="Papeterie"/>
    <n v="34"/>
    <n v="2381.36"/>
  </r>
  <r>
    <s v="CMD0143"/>
    <d v="2026-01-26T00:00:00"/>
    <s v="Francois Distribution SAS"/>
    <s v="Occitanie"/>
    <x v="2"/>
    <s v="Disque dur externe"/>
    <s v="Informatique"/>
    <n v="25"/>
    <n v="7802.5000000000009"/>
  </r>
  <r>
    <s v="CMD0144"/>
    <d v="2026-01-28T00:00:00"/>
    <s v="Perrin Bureau SAS"/>
    <s v="Nouvelle-Aquitaine"/>
    <x v="3"/>
    <s v="Agrafeuse"/>
    <s v="Fournitures"/>
    <n v="11"/>
    <n v="2819.96"/>
  </r>
  <r>
    <s v="CMD0145"/>
    <d v="2026-03-11T00:00:00"/>
    <s v="Muller Solutions SAS"/>
    <s v="Occitanie"/>
    <x v="9"/>
    <s v="Disque dur externe"/>
    <s v="Informatique"/>
    <n v="8"/>
    <n v="895.68"/>
  </r>
  <r>
    <s v="CMD0146"/>
    <d v="2026-04-14T00:00:00"/>
    <s v="Roussel Informatique SAS"/>
    <s v="Bretagne"/>
    <x v="8"/>
    <s v="Caisson a roulettes"/>
    <s v="Mobilier"/>
    <n v="38"/>
    <n v="20462.62"/>
  </r>
  <r>
    <s v="CMD0147"/>
    <d v="2026-07-05T00:00:00"/>
    <s v="Lefevre Services EURL"/>
    <s v="Occitanie"/>
    <x v="5"/>
    <s v="Ordinateur portable"/>
    <s v="Informatique"/>
    <n v="8"/>
    <n v="3401.6"/>
  </r>
  <r>
    <s v="CMD0148"/>
    <d v="2026-01-23T00:00:00"/>
    <s v="Bonnet Distribution EURL"/>
    <s v="Nouvelle-Aquitaine"/>
    <x v="8"/>
    <s v="Bloc-notes"/>
    <s v="Papeterie"/>
    <n v="25"/>
    <n v="8311.5"/>
  </r>
  <r>
    <s v="CMD0149"/>
    <d v="2026-01-27T00:00:00"/>
    <s v="Henry Distribution SAS"/>
    <s v="Grand Est"/>
    <x v="3"/>
    <s v="Chaise ergonomique"/>
    <s v="Mobilier"/>
    <n v="12"/>
    <n v="5551.7999999999993"/>
  </r>
  <r>
    <s v="CMD0150"/>
    <d v="2026-04-14T00:00:00"/>
    <s v="Dupont Services SAS"/>
    <s v="Ile-de-France"/>
    <x v="3"/>
    <s v="Classeur"/>
    <s v="Fournitures"/>
    <n v="8"/>
    <n v="4317.04"/>
  </r>
  <r>
    <s v="CMD0151"/>
    <d v="2026-09-10T00:00:00"/>
    <s v="Faure Bureau EURL"/>
    <s v="Grand Est"/>
    <x v="3"/>
    <s v="Refrigerateur mini"/>
    <s v="Electromenager"/>
    <n v="35"/>
    <n v="16990.400000000001"/>
  </r>
  <r>
    <s v="CMD0152"/>
    <d v="2026-01-04T00:00:00"/>
    <s v="Faure Services SAS"/>
    <s v="Provence-Alpes-Cote d'Azur"/>
    <x v="5"/>
    <s v="Refrigerateur mini"/>
    <s v="Electromenager"/>
    <n v="29"/>
    <n v="1515.25"/>
  </r>
  <r>
    <s v="CMD0153"/>
    <d v="2026-06-28T00:00:00"/>
    <s v="Martin Bureau SARL"/>
    <s v="Grand Est"/>
    <x v="1"/>
    <s v="Bureau reglable"/>
    <s v="Mobilier"/>
    <n v="12"/>
    <n v="1118.52"/>
  </r>
  <r>
    <s v="CMD0154"/>
    <d v="2026-01-26T00:00:00"/>
    <s v="Moreau Solutions SARL"/>
    <s v="Hauts-de-France"/>
    <x v="2"/>
    <s v="Post-it"/>
    <s v="Papeterie"/>
    <n v="22"/>
    <n v="12157.86"/>
  </r>
  <r>
    <s v="CMD0155"/>
    <d v="2026-07-04T00:00:00"/>
    <s v="Martin Informatique SAS"/>
    <s v="Bretagne"/>
    <x v="4"/>
    <s v="Bloc-notes"/>
    <s v="Papeterie"/>
    <n v="30"/>
    <n v="13525.5"/>
  </r>
  <r>
    <s v="CMD0156"/>
    <d v="2026-02-03T00:00:00"/>
    <s v="Mercier Solutions SARL"/>
    <s v="Ile-de-France"/>
    <x v="2"/>
    <s v="Cafetiere"/>
    <s v="Electromenager"/>
    <n v="28"/>
    <n v="14189.56"/>
  </r>
  <r>
    <s v="CMD0157"/>
    <d v="2026-04-18T00:00:00"/>
    <s v="Clement Informatique SARL"/>
    <s v="Provence-Alpes-Cote d'Azur"/>
    <x v="5"/>
    <s v="Agrafeuse"/>
    <s v="Fournitures"/>
    <n v="34"/>
    <n v="4415.2400000000007"/>
  </r>
  <r>
    <s v="CMD0158"/>
    <d v="2026-05-28T00:00:00"/>
    <s v="Henry Services SAS"/>
    <s v="Bretagne"/>
    <x v="5"/>
    <s v="Souris optique"/>
    <s v="Informatique"/>
    <n v="39"/>
    <n v="21866.129999999997"/>
  </r>
  <r>
    <s v="CMD0159"/>
    <d v="2026-09-12T00:00:00"/>
    <s v="Perrin Negoce EURL"/>
    <s v="Occitanie"/>
    <x v="3"/>
    <s v="Post-it"/>
    <s v="Papeterie"/>
    <n v="9"/>
    <n v="3334.5"/>
  </r>
  <r>
    <s v="CMD0160"/>
    <d v="2026-01-01T00:00:00"/>
    <s v="Moreau Informatique SAS"/>
    <s v="Grand Est"/>
    <x v="6"/>
    <s v="Chaise ergonomique"/>
    <s v="Mobilier"/>
    <n v="19"/>
    <n v="11165.539999999999"/>
  </r>
  <r>
    <s v="CMD0161"/>
    <d v="2026-06-29T00:00:00"/>
    <s v="Morin Equipements EURL"/>
    <s v="Hauts-de-France"/>
    <x v="9"/>
    <s v="Caisson a roulettes"/>
    <s v="Mobilier"/>
    <n v="27"/>
    <n v="865.89"/>
  </r>
  <r>
    <s v="CMD0162"/>
    <d v="2026-06-07T00:00:00"/>
    <s v="Mercier Services EURL"/>
    <s v="Bretagne"/>
    <x v="9"/>
    <s v="Armoire de rangement"/>
    <s v="Mobilier"/>
    <n v="17"/>
    <n v="8077.89"/>
  </r>
  <r>
    <s v="CMD0163"/>
    <d v="2026-01-15T00:00:00"/>
    <s v="Bonnet Bureau SAS"/>
    <s v="Nouvelle-Aquitaine"/>
    <x v="4"/>
    <s v="Clavier sans fil"/>
    <s v="Informatique"/>
    <n v="22"/>
    <n v="5294.3"/>
  </r>
  <r>
    <s v="CMD0164"/>
    <d v="2026-09-04T00:00:00"/>
    <s v="Girard Negoce SAS"/>
    <s v="Nouvelle-Aquitaine"/>
    <x v="5"/>
    <s v="Refrigerateur mini"/>
    <s v="Electromenager"/>
    <n v="3"/>
    <n v="1167.48"/>
  </r>
  <r>
    <s v="CMD0165"/>
    <d v="2026-01-29T00:00:00"/>
    <s v="Perrin Distribution EURL"/>
    <s v="Grand Est"/>
    <x v="4"/>
    <s v="Agrafeuse"/>
    <s v="Fournitures"/>
    <n v="27"/>
    <n v="15040.079999999998"/>
  </r>
  <r>
    <s v="CMD0166"/>
    <d v="2026-06-19T00:00:00"/>
    <s v="Guerin Informatique SARL"/>
    <s v="Bretagne"/>
    <x v="9"/>
    <s v="Cahier"/>
    <s v="Papeterie"/>
    <n v="14"/>
    <n v="4879.7"/>
  </r>
  <r>
    <s v="CMD0167"/>
    <d v="2026-07-19T00:00:00"/>
    <s v="Bonnet Services SARL"/>
    <s v="Nouvelle-Aquitaine"/>
    <x v="2"/>
    <s v="Agrafeuse"/>
    <s v="Fournitures"/>
    <n v="35"/>
    <n v="17718.05"/>
  </r>
  <r>
    <s v="CMD0168"/>
    <d v="2026-09-12T00:00:00"/>
    <s v="Faure Distribution SAS"/>
    <s v="Nouvelle-Aquitaine"/>
    <x v="2"/>
    <s v="Ramette papier A4"/>
    <s v="Fournitures"/>
    <n v="18"/>
    <n v="4522.5"/>
  </r>
  <r>
    <s v="CMD0169"/>
    <d v="2026-01-20T00:00:00"/>
    <s v="Francois Informatique SAS"/>
    <s v="Provence-Alpes-Cote d'Azur"/>
    <x v="9"/>
    <s v="Armoire de rangement"/>
    <s v="Mobilier"/>
    <n v="12"/>
    <n v="861.36"/>
  </r>
  <r>
    <s v="CMD0170"/>
    <d v="2026-09-05T00:00:00"/>
    <s v="Perrin Distribution SAS"/>
    <s v="Hauts-de-France"/>
    <x v="6"/>
    <s v="Bouilloire"/>
    <s v="Electromenager"/>
    <n v="13"/>
    <n v="2695.81"/>
  </r>
  <r>
    <s v="CMD0171"/>
    <d v="2026-08-24T00:00:00"/>
    <s v="Muller Negoce EURL"/>
    <s v="Ile-de-France"/>
    <x v="9"/>
    <s v="Bloc-notes"/>
    <s v="Papeterie"/>
    <n v="14"/>
    <n v="6105.68"/>
  </r>
  <r>
    <s v="CMD0172"/>
    <d v="2026-06-20T00:00:00"/>
    <s v="Roussel Informatique SARL"/>
    <s v="Provence-Alpes-Cote d'Azur"/>
    <x v="2"/>
    <s v="Ramette papier A4"/>
    <s v="Fournitures"/>
    <n v="39"/>
    <n v="20427.03"/>
  </r>
  <r>
    <s v="CMD0173"/>
    <d v="2026-04-18T00:00:00"/>
    <s v="Blanc Bureau SARL"/>
    <s v="Bretagne"/>
    <x v="2"/>
    <s v="Disque dur externe"/>
    <s v="Informatique"/>
    <n v="20"/>
    <n v="7702.4"/>
  </r>
  <r>
    <s v="CMD0174"/>
    <d v="2026-05-20T00:00:00"/>
    <s v="Girard Bureau SAS"/>
    <s v="Ile-de-France"/>
    <x v="9"/>
    <s v="Post-it"/>
    <s v="Papeterie"/>
    <n v="29"/>
    <n v="11725.28"/>
  </r>
  <r>
    <s v="CMD0175"/>
    <d v="2026-06-13T00:00:00"/>
    <s v="Andre Bureau EURL"/>
    <s v="Nouvelle-Aquitaine"/>
    <x v="2"/>
    <s v="Cahier"/>
    <s v="Papeterie"/>
    <n v="14"/>
    <n v="4589.2"/>
  </r>
  <r>
    <s v="CMD0176"/>
    <d v="2026-06-23T00:00:00"/>
    <s v="Morin Solutions SARL"/>
    <s v="Hauts-de-France"/>
    <x v="9"/>
    <s v="Bloc-notes"/>
    <s v="Papeterie"/>
    <n v="11"/>
    <n v="521.29"/>
  </r>
  <r>
    <s v="CMD0177"/>
    <d v="2026-02-14T00:00:00"/>
    <s v="Henry Solutions SARL"/>
    <s v="Grand Est"/>
    <x v="1"/>
    <s v="Cafetiere"/>
    <s v="Electromenager"/>
    <n v="7"/>
    <n v="1632.68"/>
  </r>
  <r>
    <s v="CMD0178"/>
    <d v="2026-06-20T00:00:00"/>
    <s v="Francois Negoce EURL"/>
    <s v="Nouvelle-Aquitaine"/>
    <x v="5"/>
    <s v="Marqueur"/>
    <s v="Papeterie"/>
    <n v="40"/>
    <n v="8664"/>
  </r>
  <r>
    <s v="CMD0179"/>
    <d v="2026-08-28T00:00:00"/>
    <s v="Moreau Solutions SAS"/>
    <s v="Grand Est"/>
    <x v="3"/>
    <s v="Souris optique"/>
    <s v="Informatique"/>
    <n v="37"/>
    <n v="3086.54"/>
  </r>
  <r>
    <s v="CMD0180"/>
    <d v="2026-05-13T00:00:00"/>
    <s v="Guerin Solutions SARL"/>
    <s v="Grand Est"/>
    <x v="4"/>
    <s v="Bouilloire"/>
    <s v="Electromenager"/>
    <n v="15"/>
    <n v="1357.65"/>
  </r>
  <r>
    <s v="CMD0181"/>
    <d v="2026-09-01T00:00:00"/>
    <s v="Moreau Distribution SAS"/>
    <s v="Occitanie"/>
    <x v="8"/>
    <s v="Agrafeuse"/>
    <s v="Fournitures"/>
    <n v="32"/>
    <n v="736.32"/>
  </r>
  <r>
    <s v="CMD0182"/>
    <d v="2026-09-18T00:00:00"/>
    <s v="Moreau Solutions EURL"/>
    <s v="Nouvelle-Aquitaine"/>
    <x v="6"/>
    <s v="Stylo (boite de 10)"/>
    <s v="Fournitures"/>
    <n v="39"/>
    <n v="13530.27"/>
  </r>
  <r>
    <s v="CMD0183"/>
    <d v="2026-07-25T00:00:00"/>
    <s v="Mathieu Solutions SARL"/>
    <s v="Provence-Alpes-Cote d'Azur"/>
    <x v="7"/>
    <s v="Ramette papier A4"/>
    <s v="Fournitures"/>
    <n v="20"/>
    <n v="6439.6"/>
  </r>
  <r>
    <s v="CMD0184"/>
    <d v="2026-06-24T00:00:00"/>
    <s v="Francois Equipements EURL"/>
    <s v="Provence-Alpes-Cote d'Azur"/>
    <x v="0"/>
    <s v="Bloc-notes"/>
    <s v="Papeterie"/>
    <n v="31"/>
    <n v="7234.47"/>
  </r>
  <r>
    <s v="CMD0185"/>
    <d v="2026-03-30T00:00:00"/>
    <s v="Lefevre Negoce EURL"/>
    <s v="Provence-Alpes-Cote d'Azur"/>
    <x v="3"/>
    <s v="Micro-ondes"/>
    <s v="Electromenager"/>
    <n v="35"/>
    <n v="14630.35"/>
  </r>
  <r>
    <s v="CMD0186"/>
    <d v="2026-02-19T00:00:00"/>
    <s v="Roussel Bureau SAS"/>
    <s v="Occitanie"/>
    <x v="6"/>
    <s v="Disque dur externe"/>
    <s v="Informatique"/>
    <n v="39"/>
    <n v="10936.77"/>
  </r>
  <r>
    <s v="CMD0187"/>
    <d v="2026-07-14T00:00:00"/>
    <s v="Blanc Solutions EURL"/>
    <s v="Grand Est"/>
    <x v="9"/>
    <s v="Cahier"/>
    <s v="Papeterie"/>
    <n v="39"/>
    <n v="18094.05"/>
  </r>
  <r>
    <s v="CMD0188"/>
    <d v="2026-01-01T00:00:00"/>
    <s v="Girard Negoce SARL"/>
    <s v="Occitanie"/>
    <x v="5"/>
    <s v="Ecran 24 pouces"/>
    <s v="Informatique"/>
    <n v="9"/>
    <n v="4796.28"/>
  </r>
  <r>
    <s v="CMD0189"/>
    <d v="2026-04-11T00:00:00"/>
    <s v="Francois Negoce SAS"/>
    <s v="Bretagne"/>
    <x v="1"/>
    <s v="Agrafeuse"/>
    <s v="Fournitures"/>
    <n v="40"/>
    <n v="13954.8"/>
  </r>
  <r>
    <s v="CMD0190"/>
    <d v="2026-01-05T00:00:00"/>
    <s v="Clement Services SAS"/>
    <s v="Nouvelle-Aquitaine"/>
    <x v="8"/>
    <s v="Agrafeuse"/>
    <s v="Fournitures"/>
    <n v="23"/>
    <n v="13667.060000000001"/>
  </r>
  <r>
    <s v="CMD0191"/>
    <d v="2026-01-28T00:00:00"/>
    <s v="Dupont Negoce EURL"/>
    <s v="Nouvelle-Aquitaine"/>
    <x v="4"/>
    <s v="Ramette papier A4"/>
    <s v="Fournitures"/>
    <n v="24"/>
    <n v="12987.36"/>
  </r>
  <r>
    <s v="CMD0192"/>
    <d v="2026-07-21T00:00:00"/>
    <s v="Blanc Negoce SAS"/>
    <s v="Occitanie"/>
    <x v="0"/>
    <s v="Clavier sans fil"/>
    <s v="Informatique"/>
    <n v="2"/>
    <n v="289.94"/>
  </r>
  <r>
    <s v="CMD0193"/>
    <d v="2026-04-07T00:00:00"/>
    <s v="Morin Solutions SAS"/>
    <s v="Nouvelle-Aquitaine"/>
    <x v="0"/>
    <s v="Bouilloire"/>
    <s v="Electromenager"/>
    <n v="12"/>
    <n v="3450.6000000000004"/>
  </r>
  <r>
    <s v="CMD0194"/>
    <d v="2026-02-06T00:00:00"/>
    <s v="Dupont Bureau EURL"/>
    <s v="Occitanie"/>
    <x v="0"/>
    <s v="Armoire de rangement"/>
    <s v="Mobilier"/>
    <n v="9"/>
    <n v="764.1"/>
  </r>
  <r>
    <s v="CMD0195"/>
    <d v="2026-08-01T00:00:00"/>
    <s v="Roussel Equipements EURL"/>
    <s v="Provence-Alpes-Cote d'Azur"/>
    <x v="0"/>
    <s v="Bureau reglable"/>
    <s v="Mobilier"/>
    <n v="9"/>
    <n v="3484.17"/>
  </r>
  <r>
    <s v="CMD0196"/>
    <d v="2026-08-19T00:00:00"/>
    <s v="Muller Distribution SARL"/>
    <s v="Hauts-de-France"/>
    <x v="0"/>
    <s v="Bloc-notes"/>
    <s v="Papeterie"/>
    <n v="30"/>
    <n v="9243"/>
  </r>
  <r>
    <s v="CMD0197"/>
    <d v="2026-05-02T00:00:00"/>
    <s v="Perrin Distribution SAS"/>
    <s v="Provence-Alpes-Cote d'Azur"/>
    <x v="1"/>
    <s v="Cahier"/>
    <s v="Papeterie"/>
    <n v="37"/>
    <n v="11151.8"/>
  </r>
  <r>
    <s v="CMD0198"/>
    <d v="2026-07-08T00:00:00"/>
    <s v="Moreau Services SAS"/>
    <s v="Grand Est"/>
    <x v="6"/>
    <s v="Ramette papier A4"/>
    <s v="Fournitures"/>
    <n v="3"/>
    <n v="1029.1500000000001"/>
  </r>
  <r>
    <s v="CMD0199"/>
    <d v="2026-09-25T00:00:00"/>
    <s v="Clement Informatique SARL"/>
    <s v="Occitanie"/>
    <x v="6"/>
    <s v="Armoire de rangement"/>
    <s v="Mobilier"/>
    <n v="30"/>
    <n v="9377.4"/>
  </r>
  <r>
    <s v="CMD0200"/>
    <d v="2026-06-25T00:00:00"/>
    <s v="Morin Equipements SARL"/>
    <s v="Occitanie"/>
    <x v="3"/>
    <s v="Post-it"/>
    <s v="Papeterie"/>
    <n v="40"/>
    <n v="1456"/>
  </r>
  <r>
    <s v="CMD0201"/>
    <d v="2026-08-04T00:00:00"/>
    <s v="Guerin Equipements SAS"/>
    <s v="Bretagne"/>
    <x v="8"/>
    <s v="Marqueur"/>
    <s v="Papeterie"/>
    <n v="37"/>
    <n v="16339.94"/>
  </r>
  <r>
    <s v="CMD0202"/>
    <d v="2026-05-14T00:00:00"/>
    <s v="Martin Negoce SAS"/>
    <s v="Provence-Alpes-Cote d'Azur"/>
    <x v="8"/>
    <s v="Disque dur externe"/>
    <s v="Informatique"/>
    <n v="20"/>
    <n v="8751"/>
  </r>
  <r>
    <s v="CMD0203"/>
    <d v="2026-01-14T00:00:00"/>
    <s v="Mercier Solutions SARL"/>
    <s v="Hauts-de-France"/>
    <x v="5"/>
    <s v="Cahier"/>
    <s v="Papeterie"/>
    <n v="19"/>
    <n v="9239.51"/>
  </r>
  <r>
    <s v="CMD0204"/>
    <d v="2026-05-24T00:00:00"/>
    <s v="Andre Equipements SAS"/>
    <s v="Ile-de-France"/>
    <x v="6"/>
    <s v="Clavier sans fil"/>
    <s v="Informatique"/>
    <n v="17"/>
    <n v="1425.62"/>
  </r>
  <r>
    <s v="CMD0205"/>
    <d v="2026-08-17T00:00:00"/>
    <s v="Guerin Equipements SARL"/>
    <s v="Bretagne"/>
    <x v="7"/>
    <s v="Bloc-notes"/>
    <s v="Papeterie"/>
    <n v="38"/>
    <n v="16898.22"/>
  </r>
  <r>
    <s v="CMD0206"/>
    <d v="2026-06-25T00:00:00"/>
    <s v="Lefevre Bureau EURL"/>
    <s v="Nouvelle-Aquitaine"/>
    <x v="8"/>
    <s v="Bouilloire"/>
    <s v="Electromenager"/>
    <n v="34"/>
    <n v="17608.599999999999"/>
  </r>
  <r>
    <s v="CMD0207"/>
    <d v="2026-08-14T00:00:00"/>
    <s v="Bonnet Bureau EURL"/>
    <s v="Grand Est"/>
    <x v="4"/>
    <s v="Refrigerateur mini"/>
    <s v="Electromenager"/>
    <n v="25"/>
    <n v="3664.5000000000005"/>
  </r>
  <r>
    <s v="CMD0208"/>
    <d v="2026-08-26T00:00:00"/>
    <s v="Muller Solutions SAS"/>
    <s v="Occitanie"/>
    <x v="5"/>
    <s v="Clavier sans fil"/>
    <s v="Informatique"/>
    <n v="8"/>
    <n v="290"/>
  </r>
  <r>
    <s v="CMD0209"/>
    <d v="2026-03-16T00:00:00"/>
    <s v="Perrin Equipements SAS"/>
    <s v="Ile-de-France"/>
    <x v="2"/>
    <s v="Caisson a roulettes"/>
    <s v="Mobilier"/>
    <n v="25"/>
    <n v="7184.5"/>
  </r>
  <r>
    <s v="CMD0210"/>
    <d v="2026-01-22T00:00:00"/>
    <s v="Moreau Services EURL"/>
    <s v="Bretagne"/>
    <x v="0"/>
    <s v="Refrigerateur mini"/>
    <s v="Electromenager"/>
    <n v="21"/>
    <n v="12122.25"/>
  </r>
  <r>
    <s v="CMD0211"/>
    <d v="2026-02-20T00:00:00"/>
    <s v="Andre Negoce EURL"/>
    <s v="Occitanie"/>
    <x v="3"/>
    <s v="Post-it"/>
    <s v="Papeterie"/>
    <n v="22"/>
    <n v="3648.48"/>
  </r>
  <r>
    <s v="CMD0212"/>
    <d v="2026-04-03T00:00:00"/>
    <s v="Blanc Services SARL"/>
    <s v="Grand Est"/>
    <x v="9"/>
    <s v="Chaise ergonomique"/>
    <s v="Mobilier"/>
    <n v="34"/>
    <n v="6995.84"/>
  </r>
  <r>
    <s v="CMD0213"/>
    <d v="2026-02-23T00:00:00"/>
    <s v="Roussel Distribution SARL"/>
    <s v="Grand Est"/>
    <x v="2"/>
    <s v="Ordinateur portable"/>
    <s v="Informatique"/>
    <n v="27"/>
    <n v="1704.51"/>
  </r>
  <r>
    <s v="CMD0214"/>
    <d v="2026-02-17T00:00:00"/>
    <s v="Martin Services EURL"/>
    <s v="Nouvelle-Aquitaine"/>
    <x v="7"/>
    <s v="Classeur"/>
    <s v="Fournitures"/>
    <n v="3"/>
    <n v="57.300000000000004"/>
  </r>
  <r>
    <s v="CMD0215"/>
    <d v="2026-03-08T00:00:00"/>
    <s v="Muller Negoce EURL"/>
    <s v="Provence-Alpes-Cote d'Azur"/>
    <x v="8"/>
    <s v="Cahier"/>
    <s v="Papeterie"/>
    <n v="8"/>
    <n v="451.2"/>
  </r>
  <r>
    <s v="CMD0216"/>
    <d v="2026-02-08T00:00:00"/>
    <s v="Roussel Distribution SAS"/>
    <s v="Grand Est"/>
    <x v="4"/>
    <s v="Ecran 24 pouces"/>
    <s v="Informatique"/>
    <n v="17"/>
    <n v="3064.59"/>
  </r>
  <r>
    <s v="CMD0217"/>
    <d v="2026-02-01T00:00:00"/>
    <s v="Muller Solutions SAS"/>
    <s v="Ile-de-France"/>
    <x v="2"/>
    <s v="Classeur"/>
    <s v="Fournitures"/>
    <n v="5"/>
    <n v="849.95"/>
  </r>
  <r>
    <s v="CMD0218"/>
    <d v="2026-04-13T00:00:00"/>
    <s v="Clement Solutions SARL"/>
    <s v="Grand Est"/>
    <x v="3"/>
    <s v="Classeur"/>
    <s v="Fournitures"/>
    <n v="29"/>
    <n v="1342.41"/>
  </r>
  <r>
    <s v="CMD0219"/>
    <d v="2026-04-22T00:00:00"/>
    <s v="Clement Negoce SARL"/>
    <s v="Occitanie"/>
    <x v="2"/>
    <s v="Ecran 24 pouces"/>
    <s v="Informatique"/>
    <n v="35"/>
    <n v="16183.3"/>
  </r>
  <r>
    <s v="CMD0220"/>
    <d v="2026-05-09T00:00:00"/>
    <s v="Roussel Informatique SAS"/>
    <s v="Hauts-de-France"/>
    <x v="9"/>
    <s v="Ordinateur portable"/>
    <s v="Informatique"/>
    <n v="5"/>
    <n v="234.5"/>
  </r>
  <r>
    <s v="CMD0221"/>
    <d v="2026-06-18T00:00:00"/>
    <s v="Muller Services SARL"/>
    <s v="Provence-Alpes-Cote d'Azur"/>
    <x v="3"/>
    <s v="Souris optique"/>
    <s v="Informatique"/>
    <n v="18"/>
    <n v="1713.78"/>
  </r>
  <r>
    <s v="CMD0222"/>
    <d v="2026-02-05T00:00:00"/>
    <s v="Morin Bureau SARL"/>
    <s v="Occitanie"/>
    <x v="3"/>
    <s v="Refrigerateur mini"/>
    <s v="Electromenager"/>
    <n v="26"/>
    <n v="13187.46"/>
  </r>
  <r>
    <s v="CMD0223"/>
    <d v="2026-07-03T00:00:00"/>
    <s v="Blanc Negoce SAS"/>
    <s v="Occitanie"/>
    <x v="9"/>
    <s v="Disque dur externe"/>
    <s v="Informatique"/>
    <n v="35"/>
    <n v="19647.25"/>
  </r>
  <r>
    <s v="CMD0224"/>
    <d v="2026-06-24T00:00:00"/>
    <s v="Lefevre Equipements SAS"/>
    <s v="Nouvelle-Aquitaine"/>
    <x v="2"/>
    <s v="Clavier sans fil"/>
    <s v="Informatique"/>
    <n v="35"/>
    <n v="17945.900000000001"/>
  </r>
  <r>
    <s v="CMD0225"/>
    <d v="2026-07-16T00:00:00"/>
    <s v="Francois Distribution EURL"/>
    <s v="Occitanie"/>
    <x v="6"/>
    <s v="Chaise ergonomique"/>
    <s v="Mobilier"/>
    <n v="36"/>
    <n v="1022.4"/>
  </r>
  <r>
    <s v="CMD0226"/>
    <d v="2026-08-13T00:00:00"/>
    <s v="Francois Bureau SARL"/>
    <s v="Hauts-de-France"/>
    <x v="9"/>
    <s v="Agrafeuse"/>
    <s v="Fournitures"/>
    <n v="6"/>
    <n v="3190.2000000000003"/>
  </r>
  <r>
    <s v="CMD0227"/>
    <d v="2026-06-07T00:00:00"/>
    <s v="Nicolas Services SAS"/>
    <s v="Ile-de-France"/>
    <x v="9"/>
    <s v="Bloc-notes"/>
    <s v="Papeterie"/>
    <n v="32"/>
    <n v="7562.24"/>
  </r>
  <r>
    <s v="CMD0228"/>
    <d v="2026-01-22T00:00:00"/>
    <s v="Muller Informatique SARL"/>
    <s v="Nouvelle-Aquitaine"/>
    <x v="5"/>
    <s v="Ramette papier A4"/>
    <s v="Fournitures"/>
    <n v="22"/>
    <n v="10422.060000000001"/>
  </r>
  <r>
    <s v="CMD0229"/>
    <d v="2026-02-06T00:00:00"/>
    <s v="Martin Negoce SARL"/>
    <s v="Occitanie"/>
    <x v="9"/>
    <s v="Bouilloire"/>
    <s v="Electromenager"/>
    <n v="38"/>
    <n v="5457.94"/>
  </r>
  <r>
    <s v="CMD0230"/>
    <d v="2026-03-08T00:00:00"/>
    <s v="Dupont Bureau EURL"/>
    <s v="Ile-de-France"/>
    <x v="2"/>
    <s v="Cafetiere"/>
    <s v="Electromenager"/>
    <n v="16"/>
    <n v="6756.32"/>
  </r>
  <r>
    <s v="CMD0231"/>
    <d v="2026-02-02T00:00:00"/>
    <s v="Moreau Informatique SAS"/>
    <s v="Provence-Alpes-Cote d'Azur"/>
    <x v="1"/>
    <s v="Souris optique"/>
    <s v="Informatique"/>
    <n v="40"/>
    <n v="4262.3999999999996"/>
  </r>
  <r>
    <s v="CMD0232"/>
    <d v="2026-07-25T00:00:00"/>
    <s v="Blanc Informatique EURL"/>
    <s v="Provence-Alpes-Cote d'Azur"/>
    <x v="5"/>
    <s v="Bureau reglable"/>
    <s v="Mobilier"/>
    <n v="13"/>
    <n v="3361.8"/>
  </r>
  <r>
    <s v="CMD0233"/>
    <d v="2026-03-30T00:00:00"/>
    <s v="Blanc Informatique SARL"/>
    <s v="Bretagne"/>
    <x v="8"/>
    <s v="Armoire de rangement"/>
    <s v="Mobilier"/>
    <n v="14"/>
    <n v="6436.08"/>
  </r>
  <r>
    <s v="CMD0234"/>
    <d v="2026-08-13T00:00:00"/>
    <s v="Faure Services SARL"/>
    <s v="Hauts-de-France"/>
    <x v="6"/>
    <s v="Bouilloire"/>
    <s v="Electromenager"/>
    <n v="24"/>
    <n v="8022.7199999999993"/>
  </r>
  <r>
    <s v="CMD0235"/>
    <d v="2026-09-07T00:00:00"/>
    <s v="Lefevre Informatique SARL"/>
    <s v="Hauts-de-France"/>
    <x v="6"/>
    <s v="Marqueur"/>
    <s v="Papeterie"/>
    <n v="11"/>
    <n v="157.30000000000001"/>
  </r>
  <r>
    <s v="CMD0236"/>
    <d v="2026-09-01T00:00:00"/>
    <s v="Girard Bureau SARL"/>
    <s v="Grand Est"/>
    <x v="2"/>
    <s v="Post-it"/>
    <s v="Papeterie"/>
    <n v="27"/>
    <n v="11276.01"/>
  </r>
  <r>
    <s v="CMD0237"/>
    <d v="2026-03-31T00:00:00"/>
    <s v="Clement Negoce SARL"/>
    <s v="Provence-Alpes-Cote d'Azur"/>
    <x v="8"/>
    <s v="Marqueur"/>
    <s v="Papeterie"/>
    <n v="27"/>
    <n v="3978.7200000000003"/>
  </r>
  <r>
    <s v="CMD0238"/>
    <d v="2026-01-03T00:00:00"/>
    <s v="Morin Bureau SARL"/>
    <s v="Ile-de-France"/>
    <x v="5"/>
    <s v="Cafetiere"/>
    <s v="Electromenager"/>
    <n v="20"/>
    <n v="4239.3999999999996"/>
  </r>
  <r>
    <s v="CMD0239"/>
    <d v="2026-09-17T00:00:00"/>
    <s v="Faure Solutions EURL"/>
    <s v="Grand Est"/>
    <x v="7"/>
    <s v="Disque dur externe"/>
    <s v="Informatique"/>
    <n v="24"/>
    <n v="12439.68"/>
  </r>
  <r>
    <s v="CMD0240"/>
    <d v="2026-03-18T00:00:00"/>
    <s v="Nicolas Solutions SARL"/>
    <s v="Hauts-de-France"/>
    <x v="9"/>
    <s v="Ramette papier A4"/>
    <s v="Fournitures"/>
    <n v="13"/>
    <n v="936.5200000000001"/>
  </r>
  <r>
    <s v="CMD0241"/>
    <d v="2026-05-09T00:00:00"/>
    <s v="Blanc Services SAS"/>
    <s v="Ile-de-France"/>
    <x v="6"/>
    <s v="Clavier sans fil"/>
    <s v="Informatique"/>
    <n v="19"/>
    <n v="2464.4900000000002"/>
  </r>
  <r>
    <s v="CMD0242"/>
    <d v="2026-01-15T00:00:00"/>
    <s v="Nicolas Services SARL"/>
    <s v="Ile-de-France"/>
    <x v="7"/>
    <s v="Disque dur externe"/>
    <s v="Informatique"/>
    <n v="12"/>
    <n v="1188.48"/>
  </r>
  <r>
    <s v="CMD0243"/>
    <d v="2026-06-16T00:00:00"/>
    <s v="Faure Equipements SARL"/>
    <s v="Bretagne"/>
    <x v="7"/>
    <s v="Micro-ondes"/>
    <s v="Electromenager"/>
    <n v="27"/>
    <n v="3328.02"/>
  </r>
  <r>
    <s v="CMD0244"/>
    <d v="2026-07-12T00:00:00"/>
    <s v="Faure Informatique SAS"/>
    <s v="Provence-Alpes-Cote d'Azur"/>
    <x v="3"/>
    <s v="Ecran 24 pouces"/>
    <s v="Informatique"/>
    <n v="27"/>
    <n v="14109.660000000002"/>
  </r>
  <r>
    <s v="CMD0245"/>
    <d v="2026-08-21T00:00:00"/>
    <s v="Bonnet Solutions SAS"/>
    <s v="Hauts-de-France"/>
    <x v="3"/>
    <s v="Souris optique"/>
    <s v="Informatique"/>
    <n v="10"/>
    <n v="1336.2"/>
  </r>
  <r>
    <s v="CMD0246"/>
    <d v="2026-03-07T00:00:00"/>
    <s v="Martin Negoce EURL"/>
    <s v="Ile-de-France"/>
    <x v="2"/>
    <s v="Armoire de rangement"/>
    <s v="Mobilier"/>
    <n v="18"/>
    <n v="2255.7599999999998"/>
  </r>
  <r>
    <s v="CMD0247"/>
    <d v="2026-03-29T00:00:00"/>
    <s v="Blanc Bureau SAS"/>
    <s v="Provence-Alpes-Cote d'Azur"/>
    <x v="8"/>
    <s v="Bureau reglable"/>
    <s v="Mobilier"/>
    <n v="30"/>
    <n v="8335.5"/>
  </r>
  <r>
    <s v="CMD0248"/>
    <d v="2026-04-28T00:00:00"/>
    <s v="Lefevre Solutions EURL"/>
    <s v="Occitanie"/>
    <x v="7"/>
    <s v="Bloc-notes"/>
    <s v="Papeterie"/>
    <n v="37"/>
    <n v="21542.510000000002"/>
  </r>
  <r>
    <s v="CMD0249"/>
    <d v="2026-08-08T00:00:00"/>
    <s v="Faure Bureau SAS"/>
    <s v="Occitanie"/>
    <x v="1"/>
    <s v="Marqueur"/>
    <s v="Papeterie"/>
    <n v="30"/>
    <n v="5133.3"/>
  </r>
  <r>
    <s v="CMD0250"/>
    <d v="2026-08-02T00:00:00"/>
    <s v="Martin Informatique SAS"/>
    <s v="Grand Est"/>
    <x v="5"/>
    <s v="Chaise ergonomique"/>
    <s v="Mobilier"/>
    <n v="37"/>
    <n v="19960.02"/>
  </r>
  <r>
    <s v="CMD0251"/>
    <d v="2026-02-20T00:00:00"/>
    <s v="Roussel Solutions SARL"/>
    <s v="Ile-de-France"/>
    <x v="5"/>
    <s v="Souris optique"/>
    <s v="Informatique"/>
    <n v="34"/>
    <n v="8147.08"/>
  </r>
  <r>
    <s v="CMD0252"/>
    <d v="2026-06-01T00:00:00"/>
    <s v="Faure Negoce SARL"/>
    <s v="Ile-de-France"/>
    <x v="3"/>
    <s v="Souris optique"/>
    <s v="Informatique"/>
    <n v="14"/>
    <n v="1175.4399999999998"/>
  </r>
  <r>
    <s v="CMD0253"/>
    <d v="2026-01-13T00:00:00"/>
    <s v="Roussel Solutions SARL"/>
    <s v="Nouvelle-Aquitaine"/>
    <x v="0"/>
    <s v="Classeur"/>
    <s v="Fournitures"/>
    <n v="30"/>
    <n v="15463.800000000001"/>
  </r>
  <r>
    <s v="CMD0254"/>
    <d v="2026-01-01T00:00:00"/>
    <s v="Lefevre Solutions EURL"/>
    <s v="Bretagne"/>
    <x v="5"/>
    <s v="Armoire de rangement"/>
    <s v="Mobilier"/>
    <n v="30"/>
    <n v="12714.6"/>
  </r>
  <r>
    <s v="CMD0255"/>
    <d v="2026-04-17T00:00:00"/>
    <s v="Lefevre Services SAS"/>
    <s v="Grand Est"/>
    <x v="9"/>
    <s v="Clavier sans fil"/>
    <s v="Informatique"/>
    <n v="28"/>
    <n v="12683.16"/>
  </r>
  <r>
    <s v="CMD0256"/>
    <d v="2026-07-07T00:00:00"/>
    <s v="Roussel Services SARL"/>
    <s v="Bretagne"/>
    <x v="4"/>
    <s v="Post-it"/>
    <s v="Papeterie"/>
    <n v="4"/>
    <n v="284.12"/>
  </r>
  <r>
    <s v="CMD0257"/>
    <d v="2026-04-15T00:00:00"/>
    <s v="Girard Distribution SARL"/>
    <s v="Provence-Alpes-Cote d'Azur"/>
    <x v="6"/>
    <s v="Bureau reglable"/>
    <s v="Mobilier"/>
    <n v="36"/>
    <n v="15374.16"/>
  </r>
  <r>
    <s v="CMD0258"/>
    <d v="2026-05-17T00:00:00"/>
    <s v="Perrin Negoce SAS"/>
    <s v="Bretagne"/>
    <x v="9"/>
    <s v="Bouilloire"/>
    <s v="Electromenager"/>
    <n v="15"/>
    <n v="2935.2000000000003"/>
  </r>
  <r>
    <s v="CMD0259"/>
    <d v="2026-09-14T00:00:00"/>
    <s v="Perrin Equipements SARL"/>
    <s v="Occitanie"/>
    <x v="5"/>
    <s v="Clavier sans fil"/>
    <s v="Informatique"/>
    <n v="23"/>
    <n v="6306.14"/>
  </r>
  <r>
    <s v="CMD0260"/>
    <d v="2026-02-03T00:00:00"/>
    <s v="Francois Solutions SARL"/>
    <s v="Ile-de-France"/>
    <x v="0"/>
    <s v="Post-it"/>
    <s v="Papeterie"/>
    <n v="29"/>
    <n v="10859.630000000001"/>
  </r>
  <r>
    <s v="CMD0261"/>
    <d v="2026-05-22T00:00:00"/>
    <s v="Moreau Negoce SARL"/>
    <s v="Occitanie"/>
    <x v="8"/>
    <s v="Armoire de rangement"/>
    <s v="Mobilier"/>
    <n v="5"/>
    <n v="350.34999999999997"/>
  </r>
  <r>
    <s v="CMD0262"/>
    <d v="2026-03-09T00:00:00"/>
    <s v="Nicolas Distribution SAS"/>
    <s v="Occitanie"/>
    <x v="9"/>
    <s v="Bureau reglable"/>
    <s v="Mobilier"/>
    <n v="19"/>
    <n v="4803.96"/>
  </r>
  <r>
    <s v="CMD0263"/>
    <d v="2026-04-29T00:00:00"/>
    <s v="Perrin Negoce SAS"/>
    <s v="Occitanie"/>
    <x v="1"/>
    <s v="Classeur"/>
    <s v="Fournitures"/>
    <n v="5"/>
    <n v="90.55"/>
  </r>
  <r>
    <s v="CMD0264"/>
    <d v="2026-08-16T00:00:00"/>
    <s v="Roussel Distribution EURL"/>
    <s v="Hauts-de-France"/>
    <x v="2"/>
    <s v="Stylo (boite de 10)"/>
    <s v="Fournitures"/>
    <n v="32"/>
    <n v="11457.6"/>
  </r>
  <r>
    <s v="CMD0265"/>
    <d v="2026-05-28T00:00:00"/>
    <s v="Martin Bureau SAS"/>
    <s v="Bretagne"/>
    <x v="3"/>
    <s v="Armoire de rangement"/>
    <s v="Mobilier"/>
    <n v="15"/>
    <n v="4396.8"/>
  </r>
  <r>
    <s v="CMD0266"/>
    <d v="2026-03-31T00:00:00"/>
    <s v="Girard Bureau SARL"/>
    <s v="Ile-de-France"/>
    <x v="9"/>
    <s v="Chaise ergonomique"/>
    <s v="Mobilier"/>
    <n v="35"/>
    <n v="6115.2"/>
  </r>
  <r>
    <s v="CMD0267"/>
    <d v="2026-04-05T00:00:00"/>
    <s v="Francois Services EURL"/>
    <s v="Ile-de-France"/>
    <x v="4"/>
    <s v="Classeur"/>
    <s v="Fournitures"/>
    <n v="29"/>
    <n v="4638.26"/>
  </r>
  <r>
    <s v="CMD0268"/>
    <d v="2026-03-25T00:00:00"/>
    <s v="Morin Distribution SARL"/>
    <s v="Ile-de-France"/>
    <x v="0"/>
    <s v="Classeur"/>
    <s v="Fournitures"/>
    <n v="24"/>
    <n v="6523.68"/>
  </r>
  <r>
    <s v="CMD0269"/>
    <d v="2026-03-21T00:00:00"/>
    <s v="Dupont Negoce EURL"/>
    <s v="Provence-Alpes-Cote d'Azur"/>
    <x v="4"/>
    <s v="Bouilloire"/>
    <s v="Electromenager"/>
    <n v="30"/>
    <n v="16711.5"/>
  </r>
  <r>
    <s v="CMD0270"/>
    <d v="2026-03-17T00:00:00"/>
    <s v="Mathieu Negoce SAS"/>
    <s v="Bretagne"/>
    <x v="6"/>
    <s v="Agrafeuse"/>
    <s v="Fournitures"/>
    <n v="19"/>
    <n v="11056.48"/>
  </r>
  <r>
    <s v="CMD0271"/>
    <d v="2026-03-01T00:00:00"/>
    <s v="Mercier Informatique SAS"/>
    <s v="Provence-Alpes-Cote d'Azur"/>
    <x v="7"/>
    <s v="Cafetiere"/>
    <s v="Electromenager"/>
    <n v="9"/>
    <n v="3675.69"/>
  </r>
  <r>
    <s v="CMD0272"/>
    <d v="2026-04-10T00:00:00"/>
    <s v="Mathieu Services SARL"/>
    <s v="Nouvelle-Aquitaine"/>
    <x v="2"/>
    <s v="Micro-ondes"/>
    <s v="Electromenager"/>
    <n v="6"/>
    <n v="1195.1399999999999"/>
  </r>
  <r>
    <s v="CMD0273"/>
    <d v="2026-08-17T00:00:00"/>
    <s v="Lefevre Services SAS"/>
    <s v="Hauts-de-France"/>
    <x v="3"/>
    <s v="Bureau reglable"/>
    <s v="Mobilier"/>
    <n v="6"/>
    <n v="1952.16"/>
  </r>
  <r>
    <s v="CMD0274"/>
    <d v="2026-08-07T00:00:00"/>
    <s v="Guerin Solutions SAS"/>
    <s v="Ile-de-France"/>
    <x v="2"/>
    <s v="Ramette papier A4"/>
    <s v="Fournitures"/>
    <n v="24"/>
    <n v="5797.2000000000007"/>
  </r>
  <r>
    <s v="CMD0275"/>
    <d v="2026-02-14T00:00:00"/>
    <s v="Francois Negoce SAS"/>
    <s v="Grand Est"/>
    <x v="0"/>
    <s v="Stylo (boite de 10)"/>
    <s v="Fournitures"/>
    <n v="20"/>
    <n v="11732.6"/>
  </r>
  <r>
    <s v="CMD0276"/>
    <d v="2026-08-06T00:00:00"/>
    <s v="Henry Bureau EURL"/>
    <s v="Provence-Alpes-Cote d'Azur"/>
    <x v="6"/>
    <s v="Micro-ondes"/>
    <s v="Electromenager"/>
    <n v="11"/>
    <n v="5328.18"/>
  </r>
  <r>
    <s v="CMD0277"/>
    <d v="2026-09-26T00:00:00"/>
    <s v="Blanc Informatique EURL"/>
    <s v="Nouvelle-Aquitaine"/>
    <x v="0"/>
    <s v="Chaise ergonomique"/>
    <s v="Mobilier"/>
    <n v="20"/>
    <n v="5747.7999999999993"/>
  </r>
  <r>
    <s v="CMD0278"/>
    <d v="2026-05-20T00:00:00"/>
    <s v="Henry Bureau EURL"/>
    <s v="Occitanie"/>
    <x v="1"/>
    <s v="Ordinateur portable"/>
    <s v="Informatique"/>
    <n v="27"/>
    <n v="10397.429999999998"/>
  </r>
  <r>
    <s v="CMD0279"/>
    <d v="2026-05-29T00:00:00"/>
    <s v="Morin Solutions SARL"/>
    <s v="Nouvelle-Aquitaine"/>
    <x v="2"/>
    <s v="Chaise ergonomique"/>
    <s v="Mobilier"/>
    <n v="12"/>
    <n v="6002.5199999999995"/>
  </r>
  <r>
    <s v="CMD0280"/>
    <d v="2026-08-26T00:00:00"/>
    <s v="Faure Informatique SARL"/>
    <s v="Hauts-de-France"/>
    <x v="2"/>
    <s v="Post-it"/>
    <s v="Papeterie"/>
    <n v="32"/>
    <n v="10808.64"/>
  </r>
  <r>
    <s v="CMD0281"/>
    <d v="2026-05-28T00:00:00"/>
    <s v="Henry Bureau SAS"/>
    <s v="Grand Est"/>
    <x v="7"/>
    <s v="Agrafeuse"/>
    <s v="Fournitures"/>
    <n v="8"/>
    <n v="3152.16"/>
  </r>
  <r>
    <s v="CMD0282"/>
    <d v="2026-02-04T00:00:00"/>
    <s v="Clement Negoce SAS"/>
    <s v="Provence-Alpes-Cote d'Azur"/>
    <x v="3"/>
    <s v="Ordinateur portable"/>
    <s v="Informatique"/>
    <n v="18"/>
    <n v="5370.4800000000005"/>
  </r>
  <r>
    <s v="CMD0283"/>
    <d v="2026-09-01T00:00:00"/>
    <s v="Moreau Distribution EURL"/>
    <s v="Grand Est"/>
    <x v="1"/>
    <s v="Marqueur"/>
    <s v="Papeterie"/>
    <n v="17"/>
    <n v="6437.22"/>
  </r>
  <r>
    <s v="CMD0284"/>
    <d v="2026-03-16T00:00:00"/>
    <s v="Blanc Solutions EURL"/>
    <s v="Hauts-de-France"/>
    <x v="4"/>
    <s v="Clavier sans fil"/>
    <s v="Informatique"/>
    <n v="11"/>
    <n v="3861.8799999999997"/>
  </r>
  <r>
    <s v="CMD0285"/>
    <d v="2026-07-02T00:00:00"/>
    <s v="Martin Distribution SAS"/>
    <s v="Provence-Alpes-Cote d'Azur"/>
    <x v="6"/>
    <s v="Bureau reglable"/>
    <s v="Mobilier"/>
    <n v="18"/>
    <n v="3958.0199999999995"/>
  </r>
  <r>
    <s v="CMD0286"/>
    <d v="2026-03-27T00:00:00"/>
    <s v="Morin Distribution SAS"/>
    <s v="Nouvelle-Aquitaine"/>
    <x v="2"/>
    <s v="Bloc-notes"/>
    <s v="Papeterie"/>
    <n v="12"/>
    <n v="5519.88"/>
  </r>
  <r>
    <s v="CMD0287"/>
    <d v="2026-06-30T00:00:00"/>
    <s v="Girard Informatique SARL"/>
    <s v="Provence-Alpes-Cote d'Azur"/>
    <x v="2"/>
    <s v="Stylo (boite de 10)"/>
    <s v="Fournitures"/>
    <n v="7"/>
    <n v="2260.86"/>
  </r>
  <r>
    <s v="CMD0288"/>
    <d v="2026-03-25T00:00:00"/>
    <s v="Moreau Bureau SARL"/>
    <s v="Provence-Alpes-Cote d'Azur"/>
    <x v="7"/>
    <s v="Agrafeuse"/>
    <s v="Fournitures"/>
    <n v="27"/>
    <n v="5602.2300000000005"/>
  </r>
  <r>
    <s v="CMD0289"/>
    <d v="2026-02-09T00:00:00"/>
    <s v="Moreau Equipements SARL"/>
    <s v="Ile-de-France"/>
    <x v="3"/>
    <s v="Bureau reglable"/>
    <s v="Mobilier"/>
    <n v="27"/>
    <n v="7532.7300000000005"/>
  </r>
  <r>
    <s v="CMD0290"/>
    <d v="2026-08-15T00:00:00"/>
    <s v="Clement Services SAS"/>
    <s v="Hauts-de-France"/>
    <x v="2"/>
    <s v="Stylo (boite de 10)"/>
    <s v="Fournitures"/>
    <n v="24"/>
    <n v="2105.04"/>
  </r>
  <r>
    <s v="CMD0291"/>
    <d v="2026-03-14T00:00:00"/>
    <s v="Faure Distribution SARL"/>
    <s v="Hauts-de-France"/>
    <x v="8"/>
    <s v="Ordinateur portable"/>
    <s v="Informatique"/>
    <n v="15"/>
    <n v="1223.8500000000001"/>
  </r>
  <r>
    <s v="CMD0292"/>
    <d v="2026-09-05T00:00:00"/>
    <s v="Henry Informatique SARL"/>
    <s v="Ile-de-France"/>
    <x v="9"/>
    <s v="Souris optique"/>
    <s v="Informatique"/>
    <n v="8"/>
    <n v="410"/>
  </r>
  <r>
    <s v="CMD0293"/>
    <d v="2026-05-10T00:00:00"/>
    <s v="Martin Informatique SAS"/>
    <s v="Grand Est"/>
    <x v="9"/>
    <s v="Cahier"/>
    <s v="Papeterie"/>
    <n v="31"/>
    <n v="2348.56"/>
  </r>
  <r>
    <s v="CMD0294"/>
    <d v="2026-04-13T00:00:00"/>
    <s v="Bonnet Negoce SAS"/>
    <s v="Ile-de-France"/>
    <x v="6"/>
    <s v="Ordinateur portable"/>
    <s v="Informatique"/>
    <n v="39"/>
    <n v="4961.1899999999996"/>
  </r>
  <r>
    <s v="CMD0295"/>
    <d v="2026-03-24T00:00:00"/>
    <s v="Perrin Equipements EURL"/>
    <s v="Provence-Alpes-Cote d'Azur"/>
    <x v="7"/>
    <s v="Armoire de rangement"/>
    <s v="Mobilier"/>
    <n v="38"/>
    <n v="8054.4800000000005"/>
  </r>
  <r>
    <s v="CMD0296"/>
    <d v="2026-01-08T00:00:00"/>
    <s v="Perrin Bureau EURL"/>
    <s v="Hauts-de-France"/>
    <x v="2"/>
    <s v="Cahier"/>
    <s v="Papeterie"/>
    <n v="7"/>
    <n v="3448.5499999999997"/>
  </r>
  <r>
    <s v="CMD0297"/>
    <d v="2026-09-16T00:00:00"/>
    <s v="Nicolas Distribution EURL"/>
    <s v="Provence-Alpes-Cote d'Azur"/>
    <x v="8"/>
    <s v="Bureau reglable"/>
    <s v="Mobilier"/>
    <n v="7"/>
    <n v="3884.4399999999996"/>
  </r>
  <r>
    <s v="CMD0298"/>
    <d v="2026-07-14T00:00:00"/>
    <s v="Henry Bureau EURL"/>
    <s v="Hauts-de-France"/>
    <x v="0"/>
    <s v="Cafetiere"/>
    <s v="Electromenager"/>
    <n v="12"/>
    <n v="6020.04"/>
  </r>
  <r>
    <s v="CMD0299"/>
    <d v="2026-09-24T00:00:00"/>
    <s v="Girard Solutions SAS"/>
    <s v="Grand Est"/>
    <x v="2"/>
    <s v="Clavier sans fil"/>
    <s v="Informatique"/>
    <n v="8"/>
    <n v="2257.6799999999998"/>
  </r>
  <r>
    <s v="CMD0300"/>
    <d v="2026-03-01T00:00:00"/>
    <s v="Muller Distribution SAS"/>
    <s v="Provence-Alpes-Cote d'Azur"/>
    <x v="2"/>
    <s v="Cahier"/>
    <s v="Papeterie"/>
    <n v="6"/>
    <n v="1201.3799999999999"/>
  </r>
  <r>
    <s v="CMD0301"/>
    <d v="2026-08-08T00:00:00"/>
    <s v="Francois Equipements SARL"/>
    <s v="Nouvelle-Aquitaine"/>
    <x v="3"/>
    <s v="Bouilloire"/>
    <s v="Electromenager"/>
    <n v="36"/>
    <n v="8903.880000000001"/>
  </r>
  <r>
    <s v="CMD0302"/>
    <d v="2026-09-09T00:00:00"/>
    <s v="Moreau Solutions SAS"/>
    <s v="Provence-Alpes-Cote d'Azur"/>
    <x v="6"/>
    <s v="Classeur"/>
    <s v="Fournitures"/>
    <n v="1"/>
    <n v="599.24"/>
  </r>
  <r>
    <s v="CMD0303"/>
    <d v="2026-02-22T00:00:00"/>
    <s v="Bonnet Informatique SAS"/>
    <s v="Hauts-de-France"/>
    <x v="4"/>
    <s v="Ecran 24 pouces"/>
    <s v="Informatique"/>
    <n v="26"/>
    <n v="6327.62"/>
  </r>
  <r>
    <s v="CMD0304"/>
    <d v="2026-08-06T00:00:00"/>
    <s v="Nicolas Distribution EURL"/>
    <s v="Nouvelle-Aquitaine"/>
    <x v="1"/>
    <s v="Caisson a roulettes"/>
    <s v="Mobilier"/>
    <n v="8"/>
    <n v="1148.48"/>
  </r>
  <r>
    <s v="CMD0305"/>
    <d v="2026-07-27T00:00:00"/>
    <s v="Nicolas Services SAS"/>
    <s v="Hauts-de-France"/>
    <x v="3"/>
    <s v="Post-it"/>
    <s v="Papeterie"/>
    <n v="26"/>
    <n v="5638.88"/>
  </r>
  <r>
    <s v="CMD0306"/>
    <d v="2026-04-29T00:00:00"/>
    <s v="Girard Informatique SARL"/>
    <s v="Grand Est"/>
    <x v="9"/>
    <s v="Ordinateur portable"/>
    <s v="Informatique"/>
    <n v="17"/>
    <n v="5034.72"/>
  </r>
  <r>
    <s v="CMD0307"/>
    <d v="2026-07-15T00:00:00"/>
    <s v="Clement Negoce SAS"/>
    <s v="Hauts-de-France"/>
    <x v="2"/>
    <s v="Souris optique"/>
    <s v="Informatique"/>
    <n v="2"/>
    <n v="1166.76"/>
  </r>
  <r>
    <s v="CMD0308"/>
    <d v="2026-09-24T00:00:00"/>
    <s v="Nicolas Equipements SAS"/>
    <s v="Hauts-de-France"/>
    <x v="2"/>
    <s v="Cahier"/>
    <s v="Papeterie"/>
    <n v="5"/>
    <n v="1991.6999999999998"/>
  </r>
  <r>
    <s v="CMD0309"/>
    <d v="2026-06-25T00:00:00"/>
    <s v="Morin Services SARL"/>
    <s v="Nouvelle-Aquitaine"/>
    <x v="9"/>
    <s v="Refrigerateur mini"/>
    <s v="Electromenager"/>
    <n v="33"/>
    <n v="5302.7699999999995"/>
  </r>
  <r>
    <s v="CMD0310"/>
    <d v="2026-07-12T00:00:00"/>
    <s v="Roussel Solutions SARL"/>
    <s v="Ile-de-France"/>
    <x v="8"/>
    <s v="Cafetiere"/>
    <s v="Electromenager"/>
    <n v="25"/>
    <n v="6820.5"/>
  </r>
  <r>
    <s v="CMD0311"/>
    <d v="2026-03-10T00:00:00"/>
    <s v="Mercier Negoce SAS"/>
    <s v="Occitanie"/>
    <x v="6"/>
    <s v="Post-it"/>
    <s v="Papeterie"/>
    <n v="11"/>
    <n v="3271.73"/>
  </r>
  <r>
    <s v="CMD0312"/>
    <d v="2026-08-29T00:00:00"/>
    <s v="Nicolas Services SARL"/>
    <s v="Provence-Alpes-Cote d'Azur"/>
    <x v="9"/>
    <s v="Marqueur"/>
    <s v="Papeterie"/>
    <n v="36"/>
    <n v="14860.800000000001"/>
  </r>
  <r>
    <s v="CMD0313"/>
    <d v="2026-07-13T00:00:00"/>
    <s v="Clement Negoce SAS"/>
    <s v="Nouvelle-Aquitaine"/>
    <x v="2"/>
    <s v="Micro-ondes"/>
    <s v="Electromenager"/>
    <n v="32"/>
    <n v="11413.44"/>
  </r>
  <r>
    <s v="CMD0314"/>
    <d v="2026-03-07T00:00:00"/>
    <s v="Guerin Distribution EURL"/>
    <s v="Provence-Alpes-Cote d'Azur"/>
    <x v="9"/>
    <s v="Ramette papier A4"/>
    <s v="Fournitures"/>
    <n v="2"/>
    <n v="712.66"/>
  </r>
  <r>
    <s v="CMD0315"/>
    <d v="2026-07-02T00:00:00"/>
    <s v="Henry Distribution SARL"/>
    <s v="Grand Est"/>
    <x v="7"/>
    <s v="Agrafeuse"/>
    <s v="Fournitures"/>
    <n v="7"/>
    <n v="1818.25"/>
  </r>
  <r>
    <s v="CMD0316"/>
    <d v="2026-02-03T00:00:00"/>
    <s v="Mercier Informatique SAS"/>
    <s v="Hauts-de-France"/>
    <x v="9"/>
    <s v="Chaise ergonomique"/>
    <s v="Mobilier"/>
    <n v="20"/>
    <n v="7151.2"/>
  </r>
  <r>
    <s v="CMD0317"/>
    <d v="2026-08-05T00:00:00"/>
    <s v="Mathieu Services SAS"/>
    <s v="Bretagne"/>
    <x v="9"/>
    <s v="Post-it"/>
    <s v="Papeterie"/>
    <n v="3"/>
    <n v="837.72"/>
  </r>
  <r>
    <s v="CMD0318"/>
    <d v="2026-07-19T00:00:00"/>
    <s v="Blanc Services SARL"/>
    <s v="Nouvelle-Aquitaine"/>
    <x v="3"/>
    <s v="Cafetiere"/>
    <s v="Electromenager"/>
    <n v="21"/>
    <n v="4824.75"/>
  </r>
  <r>
    <s v="CMD0319"/>
    <d v="2026-06-23T00:00:00"/>
    <s v="Bonnet Services SAS"/>
    <s v="Bretagne"/>
    <x v="0"/>
    <s v="Ecran 24 pouces"/>
    <s v="Informatique"/>
    <n v="22"/>
    <n v="6612.32"/>
  </r>
  <r>
    <s v="CMD0320"/>
    <d v="2026-04-20T00:00:00"/>
    <s v="Mercier Distribution SARL"/>
    <s v="Bretagne"/>
    <x v="1"/>
    <s v="Caisson a roulettes"/>
    <s v="Mobilier"/>
    <n v="5"/>
    <n v="2525.1499999999996"/>
  </r>
  <r>
    <s v="CMD0321"/>
    <d v="2026-02-17T00:00:00"/>
    <s v="Mathieu Informatique EURL"/>
    <s v="Bretagne"/>
    <x v="2"/>
    <s v="Bouilloire"/>
    <s v="Electromenager"/>
    <n v="40"/>
    <n v="17880.8"/>
  </r>
  <r>
    <s v="CMD0322"/>
    <d v="2026-04-18T00:00:00"/>
    <s v="Guerin Equipements SARL"/>
    <s v="Grand Est"/>
    <x v="2"/>
    <s v="Disque dur externe"/>
    <s v="Informatique"/>
    <n v="34"/>
    <n v="9784.5199999999986"/>
  </r>
  <r>
    <s v="CMD0323"/>
    <d v="2026-06-10T00:00:00"/>
    <s v="Francois Solutions SAS"/>
    <s v="Bretagne"/>
    <x v="1"/>
    <s v="Post-it"/>
    <s v="Papeterie"/>
    <n v="28"/>
    <n v="11193.279999999999"/>
  </r>
  <r>
    <s v="CMD0324"/>
    <d v="2026-01-10T00:00:00"/>
    <s v="Perrin Equipements SARL"/>
    <s v="Provence-Alpes-Cote d'Azur"/>
    <x v="3"/>
    <s v="Marqueur"/>
    <s v="Papeterie"/>
    <n v="36"/>
    <n v="4048.56"/>
  </r>
  <r>
    <s v="CMD0325"/>
    <d v="2026-08-11T00:00:00"/>
    <s v="Mathieu Negoce EURL"/>
    <s v="Ile-de-France"/>
    <x v="5"/>
    <s v="Caisson a roulettes"/>
    <s v="Mobilier"/>
    <n v="18"/>
    <n v="10126.98"/>
  </r>
  <r>
    <s v="CMD0326"/>
    <d v="2026-03-19T00:00:00"/>
    <s v="Mercier Equipements SAS"/>
    <s v="Occitanie"/>
    <x v="4"/>
    <s v="Armoire de rangement"/>
    <s v="Mobilier"/>
    <n v="30"/>
    <n v="2787.2999999999997"/>
  </r>
  <r>
    <s v="CMD0327"/>
    <d v="2026-05-27T00:00:00"/>
    <s v="Bonnet Distribution EURL"/>
    <s v="Provence-Alpes-Cote d'Azur"/>
    <x v="7"/>
    <s v="Ecran 24 pouces"/>
    <s v="Informatique"/>
    <n v="27"/>
    <n v="4423.4100000000008"/>
  </r>
  <r>
    <s v="CMD0328"/>
    <d v="2026-01-15T00:00:00"/>
    <s v="Faure Equipements SAS"/>
    <s v="Occitanie"/>
    <x v="3"/>
    <s v="Bouilloire"/>
    <s v="Electromenager"/>
    <n v="8"/>
    <n v="753.84"/>
  </r>
  <r>
    <s v="CMD0329"/>
    <d v="2026-01-19T00:00:00"/>
    <s v="Francois Bureau SAS"/>
    <s v="Hauts-de-France"/>
    <x v="9"/>
    <s v="Marqueur"/>
    <s v="Papeterie"/>
    <n v="28"/>
    <n v="10917.76"/>
  </r>
  <r>
    <s v="CMD0330"/>
    <d v="2026-01-22T00:00:00"/>
    <s v="Nicolas Equipements SARL"/>
    <s v="Ile-de-France"/>
    <x v="6"/>
    <s v="Stylo (boite de 10)"/>
    <s v="Fournitures"/>
    <n v="36"/>
    <n v="3949.56"/>
  </r>
  <r>
    <s v="CMD0331"/>
    <d v="2026-07-28T00:00:00"/>
    <s v="Guerin Negoce EURL"/>
    <s v="Ile-de-France"/>
    <x v="0"/>
    <s v="Stylo (boite de 10)"/>
    <s v="Fournitures"/>
    <n v="5"/>
    <n v="2704.2000000000003"/>
  </r>
  <r>
    <s v="CMD0332"/>
    <d v="2026-09-14T00:00:00"/>
    <s v="Moreau Services EURL"/>
    <s v="Nouvelle-Aquitaine"/>
    <x v="1"/>
    <s v="Chaise ergonomique"/>
    <s v="Mobilier"/>
    <n v="8"/>
    <n v="2757.84"/>
  </r>
  <r>
    <s v="CMD0333"/>
    <d v="2026-05-02T00:00:00"/>
    <s v="Clement Informatique SAS"/>
    <s v="Bretagne"/>
    <x v="1"/>
    <s v="Post-it"/>
    <s v="Papeterie"/>
    <n v="32"/>
    <n v="17002.240000000002"/>
  </r>
  <r>
    <s v="CMD0334"/>
    <d v="2026-02-24T00:00:00"/>
    <s v="Bonnet Bureau SAS"/>
    <s v="Occitanie"/>
    <x v="0"/>
    <s v="Bouilloire"/>
    <s v="Electromenager"/>
    <n v="28"/>
    <n v="3771.88"/>
  </r>
  <r>
    <s v="CMD0335"/>
    <d v="2026-02-27T00:00:00"/>
    <s v="Blanc Services SAS"/>
    <s v="Occitanie"/>
    <x v="7"/>
    <s v="Ramette papier A4"/>
    <s v="Fournitures"/>
    <n v="32"/>
    <n v="10317.120000000001"/>
  </r>
  <r>
    <s v="CMD0336"/>
    <d v="2026-07-08T00:00:00"/>
    <s v="Mercier Informatique EURL"/>
    <s v="Provence-Alpes-Cote d'Azur"/>
    <x v="9"/>
    <s v="Classeur"/>
    <s v="Fournitures"/>
    <n v="24"/>
    <n v="6906.24"/>
  </r>
  <r>
    <s v="CMD0337"/>
    <d v="2026-06-08T00:00:00"/>
    <s v="Guerin Equipements EURL"/>
    <s v="Ile-de-France"/>
    <x v="5"/>
    <s v="Ecran 24 pouces"/>
    <s v="Informatique"/>
    <n v="17"/>
    <n v="5675.79"/>
  </r>
  <r>
    <s v="CMD0338"/>
    <d v="2026-07-21T00:00:00"/>
    <s v="Andre Distribution SARL"/>
    <s v="Nouvelle-Aquitaine"/>
    <x v="7"/>
    <s v="Caisson a roulettes"/>
    <s v="Mobilier"/>
    <n v="25"/>
    <n v="242"/>
  </r>
  <r>
    <s v="CMD0339"/>
    <d v="2026-06-12T00:00:00"/>
    <s v="Henry Equipements SARL"/>
    <s v="Bretagne"/>
    <x v="6"/>
    <s v="Classeur"/>
    <s v="Fournitures"/>
    <n v="11"/>
    <n v="6049.56"/>
  </r>
  <r>
    <s v="CMD0340"/>
    <d v="2026-06-20T00:00:00"/>
    <s v="Henry Equipements SARL"/>
    <s v="Nouvelle-Aquitaine"/>
    <x v="8"/>
    <s v="Refrigerateur mini"/>
    <s v="Electromenager"/>
    <n v="27"/>
    <n v="15019.289999999999"/>
  </r>
  <r>
    <s v="CMD0341"/>
    <d v="2026-06-17T00:00:00"/>
    <s v="Roussel Negoce SARL"/>
    <s v="Nouvelle-Aquitaine"/>
    <x v="9"/>
    <s v="Ramette papier A4"/>
    <s v="Fournitures"/>
    <n v="23"/>
    <n v="5874.66"/>
  </r>
  <r>
    <s v="CMD0342"/>
    <d v="2026-04-13T00:00:00"/>
    <s v="Mercier Distribution EURL"/>
    <s v="Ile-de-France"/>
    <x v="6"/>
    <s v="Caisson a roulettes"/>
    <s v="Mobilier"/>
    <n v="9"/>
    <n v="61.47"/>
  </r>
  <r>
    <s v="CMD0343"/>
    <d v="2026-03-08T00:00:00"/>
    <s v="Clement Negoce SAS"/>
    <s v="Nouvelle-Aquitaine"/>
    <x v="4"/>
    <s v="Chaise ergonomique"/>
    <s v="Mobilier"/>
    <n v="34"/>
    <n v="14605.38"/>
  </r>
  <r>
    <s v="CMD0344"/>
    <d v="2026-06-17T00:00:00"/>
    <s v="Mercier Bureau SARL"/>
    <s v="Occitanie"/>
    <x v="4"/>
    <s v="Refrigerateur mini"/>
    <s v="Electromenager"/>
    <n v="9"/>
    <n v="1440.8999999999999"/>
  </r>
  <r>
    <s v="CMD0345"/>
    <d v="2026-04-25T00:00:00"/>
    <s v="Dupont Informatique EURL"/>
    <s v="Grand Est"/>
    <x v="1"/>
    <s v="Caisson a roulettes"/>
    <s v="Mobilier"/>
    <n v="25"/>
    <n v="14178.25"/>
  </r>
  <r>
    <s v="CMD0346"/>
    <d v="2026-03-28T00:00:00"/>
    <s v="Martin Solutions EURL"/>
    <s v="Occitanie"/>
    <x v="1"/>
    <s v="Bureau reglable"/>
    <s v="Mobilier"/>
    <n v="30"/>
    <n v="3689.1"/>
  </r>
  <r>
    <s v="CMD0347"/>
    <d v="2026-03-29T00:00:00"/>
    <s v="Mathieu Informatique SARL"/>
    <s v="Grand Est"/>
    <x v="5"/>
    <s v="Classeur"/>
    <s v="Fournitures"/>
    <n v="6"/>
    <n v="3450.18"/>
  </r>
  <r>
    <s v="CMD0348"/>
    <d v="2026-04-15T00:00:00"/>
    <s v="Francois Equipements SAS"/>
    <s v="Bretagne"/>
    <x v="3"/>
    <s v="Refrigerateur mini"/>
    <s v="Electromenager"/>
    <n v="32"/>
    <n v="2416.3200000000002"/>
  </r>
  <r>
    <s v="CMD0349"/>
    <d v="2026-04-21T00:00:00"/>
    <s v="Mercier Negoce EURL"/>
    <s v="Hauts-de-France"/>
    <x v="0"/>
    <s v="Bouilloire"/>
    <s v="Electromenager"/>
    <n v="28"/>
    <n v="14406.56"/>
  </r>
  <r>
    <s v="CMD0350"/>
    <d v="2026-05-15T00:00:00"/>
    <s v="Faure Services SAS"/>
    <s v="Hauts-de-France"/>
    <x v="4"/>
    <s v="Caisson a roulettes"/>
    <s v="Mobilier"/>
    <n v="10"/>
    <n v="221.20000000000002"/>
  </r>
  <r>
    <s v="CMD0351"/>
    <d v="2026-03-10T00:00:00"/>
    <s v="Blanc Negoce SAS"/>
    <s v="Grand Est"/>
    <x v="7"/>
    <s v="Marqueur"/>
    <s v="Papeterie"/>
    <n v="6"/>
    <n v="66.84"/>
  </r>
  <r>
    <s v="CMD0352"/>
    <d v="2026-02-18T00:00:00"/>
    <s v="Morin Informatique SARL"/>
    <s v="Bretagne"/>
    <x v="7"/>
    <s v="Refrigerateur mini"/>
    <s v="Electromenager"/>
    <n v="39"/>
    <n v="6140.5499999999993"/>
  </r>
  <r>
    <s v="CMD0353"/>
    <d v="2026-01-24T00:00:00"/>
    <s v="Dupont Distribution EURL"/>
    <s v="Provence-Alpes-Cote d'Azur"/>
    <x v="0"/>
    <s v="Micro-ondes"/>
    <s v="Electromenager"/>
    <n v="39"/>
    <n v="21992.1"/>
  </r>
  <r>
    <s v="CMD0354"/>
    <d v="2026-01-22T00:00:00"/>
    <s v="Mathieu Bureau SAS"/>
    <s v="Hauts-de-France"/>
    <x v="5"/>
    <s v="Agrafeuse"/>
    <s v="Fournitures"/>
    <n v="24"/>
    <n v="2008.3200000000002"/>
  </r>
  <r>
    <s v="CMD0355"/>
    <d v="2026-06-12T00:00:00"/>
    <s v="Perrin Solutions SARL"/>
    <s v="Bretagne"/>
    <x v="6"/>
    <s v="Micro-ondes"/>
    <s v="Electromenager"/>
    <n v="30"/>
    <n v="2504.6999999999998"/>
  </r>
  <r>
    <s v="CMD0356"/>
    <d v="2026-05-24T00:00:00"/>
    <s v="Guerin Solutions SAS"/>
    <s v="Bretagne"/>
    <x v="1"/>
    <s v="Ramette papier A4"/>
    <s v="Fournitures"/>
    <n v="9"/>
    <n v="2718.2699999999995"/>
  </r>
  <r>
    <s v="CMD0357"/>
    <d v="2026-06-11T00:00:00"/>
    <s v="Nicolas Equipements SARL"/>
    <s v="Provence-Alpes-Cote d'Azur"/>
    <x v="3"/>
    <s v="Stylo (boite de 10)"/>
    <s v="Fournitures"/>
    <n v="28"/>
    <n v="15011.92"/>
  </r>
  <r>
    <s v="CMD0358"/>
    <d v="2026-04-04T00:00:00"/>
    <s v="Martin Solutions SAS"/>
    <s v="Hauts-de-France"/>
    <x v="3"/>
    <s v="Ecran 24 pouces"/>
    <s v="Informatique"/>
    <n v="10"/>
    <n v="374.7"/>
  </r>
  <r>
    <s v="CMD0359"/>
    <d v="2026-07-02T00:00:00"/>
    <s v="Morin Solutions SAS"/>
    <s v="Occitanie"/>
    <x v="6"/>
    <s v="Cafetiere"/>
    <s v="Electromenager"/>
    <n v="32"/>
    <n v="936.64"/>
  </r>
  <r>
    <s v="CMD0360"/>
    <d v="2026-05-26T00:00:00"/>
    <s v="Bonnet Equipements SARL"/>
    <s v="Grand Est"/>
    <x v="5"/>
    <s v="Bureau reglable"/>
    <s v="Mobilier"/>
    <n v="23"/>
    <n v="1395.64"/>
  </r>
  <r>
    <s v="CMD0361"/>
    <d v="2026-01-03T00:00:00"/>
    <s v="Perrin Equipements EURL"/>
    <s v="Hauts-de-France"/>
    <x v="0"/>
    <s v="Classeur"/>
    <s v="Fournitures"/>
    <n v="38"/>
    <n v="22754.78"/>
  </r>
  <r>
    <s v="CMD0362"/>
    <d v="2026-06-18T00:00:00"/>
    <s v="Dupont Distribution EURL"/>
    <s v="Grand Est"/>
    <x v="6"/>
    <s v="Ecran 24 pouces"/>
    <s v="Informatique"/>
    <n v="32"/>
    <n v="13048.32"/>
  </r>
  <r>
    <s v="CMD0363"/>
    <d v="2026-02-24T00:00:00"/>
    <s v="Blanc Bureau SARL"/>
    <s v="Ile-de-France"/>
    <x v="3"/>
    <s v="Micro-ondes"/>
    <s v="Electromenager"/>
    <n v="38"/>
    <n v="21197.920000000002"/>
  </r>
  <r>
    <s v="CMD0364"/>
    <d v="2026-01-03T00:00:00"/>
    <s v="Blanc Informatique EURL"/>
    <s v="Provence-Alpes-Cote d'Azur"/>
    <x v="3"/>
    <s v="Refrigerateur mini"/>
    <s v="Electromenager"/>
    <n v="18"/>
    <n v="6453.9000000000005"/>
  </r>
  <r>
    <s v="CMD0365"/>
    <d v="2026-05-25T00:00:00"/>
    <s v="Blanc Equipements SARL"/>
    <s v="Grand Est"/>
    <x v="6"/>
    <s v="Classeur"/>
    <s v="Fournitures"/>
    <n v="14"/>
    <n v="7261.0999999999995"/>
  </r>
  <r>
    <s v="CMD0366"/>
    <d v="2026-04-02T00:00:00"/>
    <s v="Faure Equipements SAS"/>
    <s v="Ile-de-France"/>
    <x v="9"/>
    <s v="Marqueur"/>
    <s v="Papeterie"/>
    <n v="6"/>
    <n v="1453.92"/>
  </r>
  <r>
    <s v="CMD0367"/>
    <d v="2026-05-26T00:00:00"/>
    <s v="Girard Informatique SAS"/>
    <s v="Occitanie"/>
    <x v="0"/>
    <s v="Chaise ergonomique"/>
    <s v="Mobilier"/>
    <n v="25"/>
    <n v="11720"/>
  </r>
  <r>
    <s v="CMD0368"/>
    <d v="2026-07-08T00:00:00"/>
    <s v="Perrin Bureau SAS"/>
    <s v="Occitanie"/>
    <x v="0"/>
    <s v="Classeur"/>
    <s v="Fournitures"/>
    <n v="23"/>
    <n v="9222.5400000000009"/>
  </r>
  <r>
    <s v="CMD0369"/>
    <d v="2026-02-16T00:00:00"/>
    <s v="Henry Equipements SAS"/>
    <s v="Provence-Alpes-Cote d'Azur"/>
    <x v="8"/>
    <s v="Micro-ondes"/>
    <s v="Electromenager"/>
    <n v="37"/>
    <n v="13401.4"/>
  </r>
  <r>
    <s v="CMD0370"/>
    <d v="2026-06-24T00:00:00"/>
    <s v="Roussel Negoce SARL"/>
    <s v="Grand Est"/>
    <x v="8"/>
    <s v="Refrigerateur mini"/>
    <s v="Electromenager"/>
    <n v="6"/>
    <n v="174.35999999999999"/>
  </r>
  <r>
    <s v="CMD0371"/>
    <d v="2026-02-10T00:00:00"/>
    <s v="Nicolas Distribution SARL"/>
    <s v="Hauts-de-France"/>
    <x v="2"/>
    <s v="Cafetiere"/>
    <s v="Electromenager"/>
    <n v="19"/>
    <n v="5388.2099999999991"/>
  </r>
  <r>
    <s v="CMD0372"/>
    <d v="2026-02-09T00:00:00"/>
    <s v="Martin Services SARL"/>
    <s v="Provence-Alpes-Cote d'Azur"/>
    <x v="0"/>
    <s v="Caisson a roulettes"/>
    <s v="Mobilier"/>
    <n v="19"/>
    <n v="6522.32"/>
  </r>
  <r>
    <s v="CMD0373"/>
    <d v="2026-05-10T00:00:00"/>
    <s v="Guerin Distribution EURL"/>
    <s v="Ile-de-France"/>
    <x v="5"/>
    <s v="Cafetiere"/>
    <s v="Electromenager"/>
    <n v="30"/>
    <n v="11946.3"/>
  </r>
  <r>
    <s v="CMD0374"/>
    <d v="2026-04-04T00:00:00"/>
    <s v="Muller Informatique SARL"/>
    <s v="Occitanie"/>
    <x v="2"/>
    <s v="Ordinateur portable"/>
    <s v="Informatique"/>
    <n v="30"/>
    <n v="3354.9"/>
  </r>
  <r>
    <s v="CMD0375"/>
    <d v="2026-05-16T00:00:00"/>
    <s v="Blanc Equipements SARL"/>
    <s v="Hauts-de-France"/>
    <x v="8"/>
    <s v="Agrafeuse"/>
    <s v="Fournitures"/>
    <n v="29"/>
    <n v="10908.93"/>
  </r>
  <r>
    <s v="CMD0376"/>
    <d v="2026-02-24T00:00:00"/>
    <s v="Henry Services SARL"/>
    <s v="Ile-de-France"/>
    <x v="0"/>
    <s v="Disque dur externe"/>
    <s v="Informatique"/>
    <n v="17"/>
    <n v="8901.3700000000008"/>
  </r>
  <r>
    <s v="CMD0377"/>
    <d v="2026-08-24T00:00:00"/>
    <s v="Muller Equipements EURL"/>
    <s v="Grand Est"/>
    <x v="1"/>
    <s v="Ordinateur portable"/>
    <s v="Informatique"/>
    <n v="11"/>
    <n v="4347.2"/>
  </r>
  <r>
    <s v="CMD0378"/>
    <d v="2026-07-04T00:00:00"/>
    <s v="Muller Equipements SAS"/>
    <s v="Ile-de-France"/>
    <x v="8"/>
    <s v="Micro-ondes"/>
    <s v="Electromenager"/>
    <n v="40"/>
    <n v="19552.400000000001"/>
  </r>
  <r>
    <s v="CMD0379"/>
    <d v="2026-01-09T00:00:00"/>
    <s v="Francois Equipements SARL"/>
    <s v="Hauts-de-France"/>
    <x v="3"/>
    <s v="Bureau reglable"/>
    <s v="Mobilier"/>
    <n v="13"/>
    <n v="930.67000000000007"/>
  </r>
  <r>
    <s v="CMD0380"/>
    <d v="2026-04-08T00:00:00"/>
    <s v="Lefevre Distribution SAS"/>
    <s v="Hauts-de-France"/>
    <x v="3"/>
    <s v="Chaise ergonomique"/>
    <s v="Mobilier"/>
    <n v="28"/>
    <n v="14169.12"/>
  </r>
  <r>
    <s v="CMD0381"/>
    <d v="2026-03-20T00:00:00"/>
    <s v="Roussel Solutions SAS"/>
    <s v="Ile-de-France"/>
    <x v="3"/>
    <s v="Cafetiere"/>
    <s v="Electromenager"/>
    <n v="8"/>
    <n v="830.64"/>
  </r>
  <r>
    <s v="CMD0382"/>
    <d v="2026-07-20T00:00:00"/>
    <s v="Martin Distribution SARL"/>
    <s v="Ile-de-France"/>
    <x v="0"/>
    <s v="Bloc-notes"/>
    <s v="Papeterie"/>
    <n v="13"/>
    <n v="2345.46"/>
  </r>
  <r>
    <s v="CMD0383"/>
    <d v="2026-05-29T00:00:00"/>
    <s v="Martin Solutions SAS"/>
    <s v="Occitanie"/>
    <x v="5"/>
    <s v="Refrigerateur mini"/>
    <s v="Electromenager"/>
    <n v="38"/>
    <n v="13661.759999999998"/>
  </r>
  <r>
    <s v="CMD0384"/>
    <d v="2026-01-10T00:00:00"/>
    <s v="Henry Services SAS"/>
    <s v="Provence-Alpes-Cote d'Azur"/>
    <x v="6"/>
    <s v="Marqueur"/>
    <s v="Papeterie"/>
    <n v="15"/>
    <n v="6450"/>
  </r>
  <r>
    <s v="CMD0385"/>
    <d v="2026-06-27T00:00:00"/>
    <s v="Roussel Negoce SAS"/>
    <s v="Ile-de-France"/>
    <x v="8"/>
    <s v="Agrafeuse"/>
    <s v="Fournitures"/>
    <n v="31"/>
    <n v="2311.98"/>
  </r>
  <r>
    <s v="CMD0386"/>
    <d v="2026-04-29T00:00:00"/>
    <s v="Perrin Bureau EURL"/>
    <s v="Grand Est"/>
    <x v="4"/>
    <s v="Classeur"/>
    <s v="Fournitures"/>
    <n v="31"/>
    <n v="6497.29"/>
  </r>
  <r>
    <s v="CMD0387"/>
    <d v="2026-07-19T00:00:00"/>
    <s v="Henry Equipements EURL"/>
    <s v="Grand Est"/>
    <x v="4"/>
    <s v="Marqueur"/>
    <s v="Papeterie"/>
    <n v="9"/>
    <n v="4774.41"/>
  </r>
  <r>
    <s v="CMD0388"/>
    <d v="2026-02-14T00:00:00"/>
    <s v="Nicolas Bureau SARL"/>
    <s v="Hauts-de-France"/>
    <x v="8"/>
    <s v="Bouilloire"/>
    <s v="Electromenager"/>
    <n v="40"/>
    <n v="5131.5999999999995"/>
  </r>
  <r>
    <s v="CMD0389"/>
    <d v="2026-09-10T00:00:00"/>
    <s v="Mercier Bureau SARL"/>
    <s v="Provence-Alpes-Cote d'Azur"/>
    <x v="9"/>
    <s v="Marqueur"/>
    <s v="Papeterie"/>
    <n v="7"/>
    <n v="3339.84"/>
  </r>
  <r>
    <s v="CMD0390"/>
    <d v="2026-03-23T00:00:00"/>
    <s v="Bonnet Equipements EURL"/>
    <s v="Ile-de-France"/>
    <x v="6"/>
    <s v="Clavier sans fil"/>
    <s v="Informatique"/>
    <n v="17"/>
    <n v="3696.48"/>
  </r>
  <r>
    <s v="CMD0391"/>
    <d v="2026-03-03T00:00:00"/>
    <s v="Morin Bureau SAS"/>
    <s v="Bretagne"/>
    <x v="4"/>
    <s v="Agrafeuse"/>
    <s v="Fournitures"/>
    <n v="8"/>
    <n v="2979.6"/>
  </r>
  <r>
    <s v="CMD0392"/>
    <d v="2026-03-19T00:00:00"/>
    <s v="Perrin Services EURL"/>
    <s v="Ile-de-France"/>
    <x v="9"/>
    <s v="Ramette papier A4"/>
    <s v="Fournitures"/>
    <n v="36"/>
    <n v="5909.76"/>
  </r>
  <r>
    <s v="CMD0393"/>
    <d v="2026-02-22T00:00:00"/>
    <s v="Morin Informatique EURL"/>
    <s v="Ile-de-France"/>
    <x v="8"/>
    <s v="Refrigerateur mini"/>
    <s v="Electromenager"/>
    <n v="8"/>
    <n v="4679.3599999999997"/>
  </r>
  <r>
    <s v="CMD0394"/>
    <d v="2026-05-30T00:00:00"/>
    <s v="Roussel Equipements EURL"/>
    <s v="Occitanie"/>
    <x v="6"/>
    <s v="Ecran 24 pouces"/>
    <s v="Informatique"/>
    <n v="24"/>
    <n v="2362.3200000000002"/>
  </r>
  <r>
    <s v="CMD0395"/>
    <d v="2026-03-04T00:00:00"/>
    <s v="Francois Solutions SAS"/>
    <s v="Nouvelle-Aquitaine"/>
    <x v="9"/>
    <s v="Armoire de rangement"/>
    <s v="Mobilier"/>
    <n v="22"/>
    <n v="10832.8"/>
  </r>
  <r>
    <s v="CMD0396"/>
    <d v="2026-03-29T00:00:00"/>
    <s v="Lefevre Distribution SAS"/>
    <s v="Grand Est"/>
    <x v="0"/>
    <s v="Caisson a roulettes"/>
    <s v="Mobilier"/>
    <n v="22"/>
    <n v="3863.6400000000003"/>
  </r>
  <r>
    <s v="CMD0397"/>
    <d v="2026-08-04T00:00:00"/>
    <s v="Faure Bureau SAS"/>
    <s v="Occitanie"/>
    <x v="0"/>
    <s v="Classeur"/>
    <s v="Fournitures"/>
    <n v="10"/>
    <n v="4531.6000000000004"/>
  </r>
  <r>
    <s v="CMD0398"/>
    <d v="2026-01-06T00:00:00"/>
    <s v="Perrin Informatique SARL"/>
    <s v="Bretagne"/>
    <x v="4"/>
    <s v="Micro-ondes"/>
    <s v="Electromenager"/>
    <n v="2"/>
    <n v="536.66"/>
  </r>
  <r>
    <s v="CMD0399"/>
    <d v="2026-01-19T00:00:00"/>
    <s v="Girard Services SARL"/>
    <s v="Grand Est"/>
    <x v="5"/>
    <s v="Bouilloire"/>
    <s v="Electromenager"/>
    <n v="28"/>
    <n v="1163.96"/>
  </r>
  <r>
    <s v="CMD0400"/>
    <d v="2026-06-05T00:00:00"/>
    <s v="Blanc Distribution SARL"/>
    <s v="Nouvelle-Aquitaine"/>
    <x v="2"/>
    <s v="Agrafeuse"/>
    <s v="Fournitures"/>
    <n v="26"/>
    <n v="13833.03999999999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s v="REF0052"/>
    <s v="Ordinateur portable"/>
    <x v="0"/>
    <x v="0"/>
    <n v="295"/>
    <n v="59"/>
    <n v="479.87"/>
    <n v="141561.65"/>
    <n v="5"/>
  </r>
  <r>
    <s v="REF0298"/>
    <s v="Ramette papier A4"/>
    <x v="1"/>
    <x v="0"/>
    <n v="277"/>
    <n v="49"/>
    <n v="468.74"/>
    <n v="129840.98"/>
    <n v="5.6530612244897958"/>
  </r>
  <r>
    <s v="REF0094"/>
    <s v="Micro-ondes"/>
    <x v="2"/>
    <x v="0"/>
    <n v="262"/>
    <n v="84"/>
    <n v="476.12"/>
    <n v="124743.44"/>
    <n v="3.1190476190476191"/>
  </r>
  <r>
    <s v="REF0148"/>
    <s v="Stylo (boite de 10)"/>
    <x v="1"/>
    <x v="0"/>
    <n v="246"/>
    <n v="30"/>
    <n v="476.71"/>
    <n v="117270.65999999999"/>
    <n v="8.1999999999999993"/>
  </r>
  <r>
    <s v="REF0091"/>
    <s v="Ecran 24 pouces"/>
    <x v="0"/>
    <x v="0"/>
    <n v="235"/>
    <n v="38"/>
    <n v="493.1"/>
    <n v="115878.5"/>
    <n v="6.1842105263157894"/>
  </r>
  <r>
    <s v="REF0154"/>
    <s v="Ramette papier A4"/>
    <x v="1"/>
    <x v="0"/>
    <n v="230"/>
    <n v="26"/>
    <n v="444.95"/>
    <n v="102338.5"/>
    <n v="8.8461538461538467"/>
  </r>
  <r>
    <s v="REF0178"/>
    <s v="Bloc-notes"/>
    <x v="3"/>
    <x v="0"/>
    <n v="295"/>
    <n v="66"/>
    <n v="331.31"/>
    <n v="97736.45"/>
    <n v="4.4696969696969697"/>
  </r>
  <r>
    <s v="REF0239"/>
    <s v="Marqueur"/>
    <x v="3"/>
    <x v="0"/>
    <n v="200"/>
    <n v="12"/>
    <n v="463.17"/>
    <n v="92634"/>
    <n v="16.666666666666668"/>
  </r>
  <r>
    <s v="REF0223"/>
    <s v="Refrigerateur mini"/>
    <x v="2"/>
    <x v="0"/>
    <n v="204"/>
    <n v="17"/>
    <n v="446.73"/>
    <n v="91132.92"/>
    <n v="12"/>
  </r>
  <r>
    <s v="REF0026"/>
    <s v="Post-it"/>
    <x v="3"/>
    <x v="0"/>
    <n v="166"/>
    <n v="15"/>
    <n v="473.32"/>
    <n v="78571.12"/>
    <n v="11.066666666666666"/>
  </r>
  <r>
    <s v="REF0301"/>
    <s v="Marqueur"/>
    <x v="3"/>
    <x v="0"/>
    <n v="217"/>
    <n v="78"/>
    <n v="360.17"/>
    <n v="78156.89"/>
    <n v="2.7820512820512819"/>
  </r>
  <r>
    <s v="REF0318"/>
    <s v="Post-it"/>
    <x v="3"/>
    <x v="0"/>
    <n v="171"/>
    <n v="57"/>
    <n v="448.9"/>
    <n v="76761.899999999994"/>
    <n v="3"/>
  </r>
  <r>
    <s v="REF0014"/>
    <s v="Chaise ergonomique"/>
    <x v="4"/>
    <x v="0"/>
    <n v="214"/>
    <n v="75"/>
    <n v="356.38"/>
    <n v="76265.319999999992"/>
    <n v="2.8533333333333335"/>
  </r>
  <r>
    <s v="REF0264"/>
    <s v="Chaise ergonomique"/>
    <x v="4"/>
    <x v="0"/>
    <n v="292"/>
    <n v="65"/>
    <n v="251.42"/>
    <n v="73414.64"/>
    <n v="4.4923076923076923"/>
  </r>
  <r>
    <s v="REF0009"/>
    <s v="Stylo (boite de 10)"/>
    <x v="1"/>
    <x v="0"/>
    <n v="185"/>
    <n v="100"/>
    <n v="389.85"/>
    <n v="72122.25"/>
    <n v="1.85"/>
  </r>
  <r>
    <s v="REF0287"/>
    <s v="Clavier sans fil"/>
    <x v="0"/>
    <x v="0"/>
    <n v="278"/>
    <n v="31"/>
    <n v="248.47"/>
    <n v="69074.66"/>
    <n v="8.9677419354838701"/>
  </r>
  <r>
    <s v="REF0152"/>
    <s v="Refrigerateur mini"/>
    <x v="2"/>
    <x v="0"/>
    <n v="228"/>
    <n v="59"/>
    <n v="298.97000000000003"/>
    <n v="68165.16"/>
    <n v="3.8644067796610169"/>
  </r>
  <r>
    <s v="REF0098"/>
    <s v="Ecran 24 pouces"/>
    <x v="0"/>
    <x v="0"/>
    <n v="198"/>
    <n v="64"/>
    <n v="335.24"/>
    <n v="66377.52"/>
    <n v="3.09375"/>
  </r>
  <r>
    <s v="REF0021"/>
    <s v="Cahier"/>
    <x v="3"/>
    <x v="0"/>
    <n v="262"/>
    <n v="63"/>
    <n v="252.9"/>
    <n v="66259.8"/>
    <n v="4.1587301587301591"/>
  </r>
  <r>
    <s v="REF0188"/>
    <s v="Ramette papier A4"/>
    <x v="1"/>
    <x v="0"/>
    <n v="243"/>
    <n v="89"/>
    <n v="266.38"/>
    <n v="64730.34"/>
    <n v="2.7303370786516852"/>
  </r>
  <r>
    <s v="REF0137"/>
    <s v="Chaise ergonomique"/>
    <x v="4"/>
    <x v="0"/>
    <n v="193"/>
    <n v="38"/>
    <n v="330.31"/>
    <n v="63749.83"/>
    <n v="5.0789473684210522"/>
  </r>
  <r>
    <s v="REF0214"/>
    <s v="Cahier"/>
    <x v="3"/>
    <x v="0"/>
    <n v="221"/>
    <n v="63"/>
    <n v="284.2"/>
    <n v="62808.2"/>
    <n v="3.5079365079365079"/>
  </r>
  <r>
    <s v="REF0155"/>
    <s v="Marqueur"/>
    <x v="3"/>
    <x v="0"/>
    <n v="150"/>
    <n v="82"/>
    <n v="413.69"/>
    <n v="62053.5"/>
    <n v="1.8292682926829269"/>
  </r>
  <r>
    <s v="REF0288"/>
    <s v="Caisson a roulettes"/>
    <x v="4"/>
    <x v="0"/>
    <n v="154"/>
    <n v="51"/>
    <n v="390.54"/>
    <n v="60143.16"/>
    <n v="3.0196078431372548"/>
  </r>
  <r>
    <s v="REF0324"/>
    <s v="Marqueur"/>
    <x v="3"/>
    <x v="0"/>
    <n v="268"/>
    <n v="71"/>
    <n v="221.63"/>
    <n v="59396.84"/>
    <n v="3.7746478873239435"/>
  </r>
  <r>
    <s v="REF0112"/>
    <s v="Ecran 24 pouces"/>
    <x v="0"/>
    <x v="0"/>
    <n v="234"/>
    <n v="23"/>
    <n v="250.72"/>
    <n v="58668.480000000003"/>
    <n v="10.173913043478262"/>
  </r>
  <r>
    <s v="REF0019"/>
    <s v="Refrigerateur mini"/>
    <x v="2"/>
    <x v="0"/>
    <n v="287"/>
    <n v="54"/>
    <n v="201.62"/>
    <n v="57864.94"/>
    <n v="5.3148148148148149"/>
  </r>
  <r>
    <s v="REF0303"/>
    <s v="Bureau reglable"/>
    <x v="4"/>
    <x v="0"/>
    <n v="143"/>
    <n v="0"/>
    <n v="400.2"/>
    <n v="57228.6"/>
    <s v="Seuil non defini"/>
  </r>
  <r>
    <s v="REF0169"/>
    <s v="Stylo (boite de 10)"/>
    <x v="1"/>
    <x v="0"/>
    <n v="204"/>
    <n v="15"/>
    <n v="279.11"/>
    <n v="56938.44"/>
    <n v="13.6"/>
  </r>
  <r>
    <s v="REF0136"/>
    <s v="Classeur"/>
    <x v="1"/>
    <x v="0"/>
    <n v="122"/>
    <n v="88"/>
    <n v="449.16"/>
    <n v="54797.520000000004"/>
    <n v="1.3863636363636365"/>
  </r>
  <r>
    <s v="REF0230"/>
    <s v="Ecran 24 pouces"/>
    <x v="0"/>
    <x v="0"/>
    <n v="154"/>
    <n v="36"/>
    <n v="291"/>
    <n v="44814"/>
    <n v="4.2777777777777777"/>
  </r>
  <r>
    <s v="REF0314"/>
    <s v="Clavier sans fil"/>
    <x v="0"/>
    <x v="0"/>
    <n v="131"/>
    <n v="7"/>
    <n v="339.84"/>
    <n v="44519.039999999994"/>
    <n v="18.714285714285715"/>
  </r>
  <r>
    <s v="REF0031"/>
    <s v="Caisson a roulettes"/>
    <x v="4"/>
    <x v="0"/>
    <n v="118"/>
    <n v="98"/>
    <n v="363.69"/>
    <n v="42915.42"/>
    <n v="1.2040816326530612"/>
  </r>
  <r>
    <s v="REF0309"/>
    <s v="Cafetiere"/>
    <x v="2"/>
    <x v="0"/>
    <n v="296"/>
    <n v="15"/>
    <n v="139.66999999999999"/>
    <n v="41342.32"/>
    <n v="19.733333333333334"/>
  </r>
  <r>
    <s v="REF0074"/>
    <s v="Bureau reglable"/>
    <x v="4"/>
    <x v="0"/>
    <n v="190"/>
    <n v="87"/>
    <n v="213.26"/>
    <n v="40519.4"/>
    <n v="2.1839080459770117"/>
  </r>
  <r>
    <s v="REF0240"/>
    <s v="Refrigerateur mini"/>
    <x v="2"/>
    <x v="0"/>
    <n v="94"/>
    <n v="35"/>
    <n v="421.18"/>
    <n v="39590.92"/>
    <n v="2.6857142857142855"/>
  </r>
  <r>
    <s v="REF0085"/>
    <s v="Armoire de rangement"/>
    <x v="4"/>
    <x v="0"/>
    <n v="229"/>
    <n v="21"/>
    <n v="170.83"/>
    <n v="39120.07"/>
    <n v="10.904761904761905"/>
  </r>
  <r>
    <s v="REF0080"/>
    <s v="Clavier sans fil"/>
    <x v="0"/>
    <x v="0"/>
    <n v="144"/>
    <n v="55"/>
    <n v="251.11"/>
    <n v="36159.840000000004"/>
    <n v="2.6181818181818182"/>
  </r>
  <r>
    <s v="REF0233"/>
    <s v="Ramette papier A4"/>
    <x v="1"/>
    <x v="0"/>
    <n v="148"/>
    <n v="77"/>
    <n v="241.77"/>
    <n v="35781.96"/>
    <n v="1.9220779220779221"/>
  </r>
  <r>
    <s v="REF0310"/>
    <s v="Souris optique"/>
    <x v="0"/>
    <x v="0"/>
    <n v="92"/>
    <n v="38"/>
    <n v="383.46"/>
    <n v="35278.32"/>
    <n v="2.4210526315789473"/>
  </r>
  <r>
    <s v="REF0252"/>
    <s v="Refrigerateur mini"/>
    <x v="2"/>
    <x v="0"/>
    <n v="92"/>
    <n v="78"/>
    <n v="354.83"/>
    <n v="32644.359999999997"/>
    <n v="1.1794871794871795"/>
  </r>
  <r>
    <s v="REF0195"/>
    <s v="Post-it"/>
    <x v="3"/>
    <x v="0"/>
    <n v="122"/>
    <n v="13"/>
    <n v="267"/>
    <n v="32574"/>
    <n v="9.384615384615385"/>
  </r>
  <r>
    <s v="REF0343"/>
    <s v="Ecran 24 pouces"/>
    <x v="0"/>
    <x v="0"/>
    <n v="220"/>
    <n v="71"/>
    <n v="140.57"/>
    <n v="30925.399999999998"/>
    <n v="3.0985915492957745"/>
  </r>
  <r>
    <s v="REF0192"/>
    <s v="Bouilloire"/>
    <x v="2"/>
    <x v="0"/>
    <n v="150"/>
    <n v="29"/>
    <n v="202.54"/>
    <n v="30381"/>
    <n v="5.1724137931034484"/>
  </r>
  <r>
    <s v="REF0041"/>
    <s v="Stylo (boite de 10)"/>
    <x v="1"/>
    <x v="0"/>
    <n v="245"/>
    <n v="24"/>
    <n v="123.42"/>
    <n v="30237.9"/>
    <n v="10.208333333333334"/>
  </r>
  <r>
    <s v="REF0259"/>
    <s v="Bouilloire"/>
    <x v="2"/>
    <x v="0"/>
    <n v="293"/>
    <n v="76"/>
    <n v="101.47"/>
    <n v="29730.71"/>
    <n v="3.8552631578947367"/>
  </r>
  <r>
    <s v="REF0281"/>
    <s v="Souris optique"/>
    <x v="0"/>
    <x v="0"/>
    <n v="60"/>
    <n v="83"/>
    <n v="491.3"/>
    <n v="29478"/>
    <n v="0.72289156626506024"/>
  </r>
  <r>
    <s v="REF0268"/>
    <s v="Ecran 24 pouces"/>
    <x v="0"/>
    <x v="0"/>
    <n v="148"/>
    <n v="37"/>
    <n v="196.43"/>
    <n v="29071.64"/>
    <n v="4"/>
  </r>
  <r>
    <s v="REF0111"/>
    <s v="Disque dur externe"/>
    <x v="0"/>
    <x v="0"/>
    <n v="74"/>
    <n v="46"/>
    <n v="332.7"/>
    <n v="24619.8"/>
    <n v="1.6086956521739131"/>
  </r>
  <r>
    <s v="REF0212"/>
    <s v="Bloc-notes"/>
    <x v="3"/>
    <x v="0"/>
    <n v="135"/>
    <n v="91"/>
    <n v="175.72"/>
    <n v="23722.2"/>
    <n v="1.4835164835164836"/>
  </r>
  <r>
    <s v="REF0007"/>
    <s v="Bouilloire"/>
    <x v="2"/>
    <x v="0"/>
    <n v="129"/>
    <n v="67"/>
    <n v="183.06"/>
    <n v="23614.74"/>
    <n v="1.9253731343283582"/>
  </r>
  <r>
    <s v="REF0012"/>
    <s v="Caisson a roulettes"/>
    <x v="4"/>
    <x v="0"/>
    <n v="50"/>
    <n v="14"/>
    <n v="471.03"/>
    <n v="23551.5"/>
    <n v="3.5714285714285716"/>
  </r>
  <r>
    <s v="REF0203"/>
    <s v="Caisson a roulettes"/>
    <x v="4"/>
    <x v="0"/>
    <n v="56"/>
    <n v="10"/>
    <n v="409.83"/>
    <n v="22950.48"/>
    <n v="5.6"/>
  </r>
  <r>
    <s v="REF0339"/>
    <s v="Cahier"/>
    <x v="3"/>
    <x v="0"/>
    <n v="77"/>
    <n v="5"/>
    <n v="297.58999999999997"/>
    <n v="22914.429999999997"/>
    <n v="15.4"/>
  </r>
  <r>
    <s v="REF0081"/>
    <s v="Micro-ondes"/>
    <x v="2"/>
    <x v="0"/>
    <n v="66"/>
    <n v="94"/>
    <n v="337.99"/>
    <n v="22307.34"/>
    <n v="0.7021276595744681"/>
  </r>
  <r>
    <s v="REF0325"/>
    <s v="Armoire de rangement"/>
    <x v="4"/>
    <x v="0"/>
    <n v="124"/>
    <n v="0"/>
    <n v="165.68"/>
    <n v="20544.32"/>
    <s v="Seuil non defini"/>
  </r>
  <r>
    <s v="REF0089"/>
    <s v="Cafetiere"/>
    <x v="2"/>
    <x v="0"/>
    <n v="232"/>
    <n v="45"/>
    <n v="86.52"/>
    <n v="20072.64"/>
    <n v="5.1555555555555559"/>
  </r>
  <r>
    <s v="REF0153"/>
    <s v="Ramette papier A4"/>
    <x v="1"/>
    <x v="0"/>
    <n v="196"/>
    <n v="59"/>
    <n v="101.46"/>
    <n v="19886.16"/>
    <n v="3.3220338983050848"/>
  </r>
  <r>
    <s v="REF0048"/>
    <s v="Micro-ondes"/>
    <x v="2"/>
    <x v="0"/>
    <n v="92"/>
    <n v="91"/>
    <n v="213.77"/>
    <n v="19666.84"/>
    <n v="1.0109890109890109"/>
  </r>
  <r>
    <s v="REF0224"/>
    <s v="Post-it"/>
    <x v="3"/>
    <x v="0"/>
    <n v="88"/>
    <n v="77"/>
    <n v="219.04"/>
    <n v="19275.52"/>
    <n v="1.1428571428571428"/>
  </r>
  <r>
    <s v="REF0305"/>
    <s v="Disque dur externe"/>
    <x v="0"/>
    <x v="0"/>
    <n v="140"/>
    <n v="51"/>
    <n v="135.84"/>
    <n v="19017.600000000002"/>
    <n v="2.7450980392156863"/>
  </r>
  <r>
    <s v="REF0306"/>
    <s v="Cahier"/>
    <x v="3"/>
    <x v="0"/>
    <n v="63"/>
    <n v="44"/>
    <n v="285.08"/>
    <n v="17960.039999999997"/>
    <n v="1.4318181818181819"/>
  </r>
  <r>
    <s v="REF0168"/>
    <s v="Souris optique"/>
    <x v="0"/>
    <x v="0"/>
    <n v="48"/>
    <n v="58"/>
    <n v="362.18"/>
    <n v="17384.64"/>
    <n v="0.82758620689655171"/>
  </r>
  <r>
    <s v="REF0066"/>
    <s v="Chaise ergonomique"/>
    <x v="4"/>
    <x v="0"/>
    <n v="240"/>
    <n v="100"/>
    <n v="71.78"/>
    <n v="17227.2"/>
    <n v="2.4"/>
  </r>
  <r>
    <s v="REF0345"/>
    <s v="Refrigerateur mini"/>
    <x v="2"/>
    <x v="0"/>
    <n v="114"/>
    <n v="26"/>
    <n v="145.66"/>
    <n v="16605.239999999998"/>
    <n v="4.384615384615385"/>
  </r>
  <r>
    <s v="REF0044"/>
    <s v="Ecran 24 pouces"/>
    <x v="0"/>
    <x v="0"/>
    <n v="218"/>
    <n v="54"/>
    <n v="75.39"/>
    <n v="16435.02"/>
    <n v="4.0370370370370372"/>
  </r>
  <r>
    <s v="REF0126"/>
    <s v="Clavier sans fil"/>
    <x v="0"/>
    <x v="0"/>
    <n v="114"/>
    <n v="69"/>
    <n v="143.24"/>
    <n v="16329.36"/>
    <n v="1.6521739130434783"/>
  </r>
  <r>
    <s v="REF0173"/>
    <s v="Chaise ergonomique"/>
    <x v="4"/>
    <x v="0"/>
    <n v="45"/>
    <n v="29"/>
    <n v="362.61"/>
    <n v="16317.45"/>
    <n v="1.5517241379310345"/>
  </r>
  <r>
    <s v="REF0317"/>
    <s v="Cafetiere"/>
    <x v="2"/>
    <x v="0"/>
    <n v="218"/>
    <n v="41"/>
    <n v="73.25"/>
    <n v="15968.5"/>
    <n v="5.3170731707317076"/>
  </r>
  <r>
    <s v="REF0266"/>
    <s v="Disque dur externe"/>
    <x v="0"/>
    <x v="0"/>
    <n v="40"/>
    <n v="21"/>
    <n v="391.63"/>
    <n v="15665.2"/>
    <n v="1.9047619047619047"/>
  </r>
  <r>
    <s v="REF0092"/>
    <s v="Bouilloire"/>
    <x v="2"/>
    <x v="0"/>
    <n v="63"/>
    <n v="77"/>
    <n v="245.15"/>
    <n v="15444.45"/>
    <n v="0.81818181818181823"/>
  </r>
  <r>
    <s v="REF0179"/>
    <s v="Agrafeuse"/>
    <x v="1"/>
    <x v="0"/>
    <n v="115"/>
    <n v="16"/>
    <n v="133.38"/>
    <n v="15338.699999999999"/>
    <n v="7.1875"/>
  </r>
  <r>
    <s v="REF0197"/>
    <s v="Bouilloire"/>
    <x v="2"/>
    <x v="0"/>
    <n v="87"/>
    <n v="31"/>
    <n v="175.12"/>
    <n v="15235.44"/>
    <n v="2.806451612903226"/>
  </r>
  <r>
    <s v="REF0340"/>
    <s v="Refrigerateur mini"/>
    <x v="2"/>
    <x v="0"/>
    <n v="164"/>
    <n v="61"/>
    <n v="90.01"/>
    <n v="14761.640000000001"/>
    <n v="2.6885245901639343"/>
  </r>
  <r>
    <s v="REF0213"/>
    <s v="Refrigerateur mini"/>
    <x v="2"/>
    <x v="0"/>
    <n v="141"/>
    <n v="44"/>
    <n v="96.91"/>
    <n v="13664.31"/>
    <n v="3.2045454545454546"/>
  </r>
  <r>
    <s v="REF0157"/>
    <s v="Armoire de rangement"/>
    <x v="4"/>
    <x v="0"/>
    <n v="125"/>
    <n v="14"/>
    <n v="109.16"/>
    <n v="13645"/>
    <n v="8.9285714285714288"/>
  </r>
  <r>
    <s v="REF0119"/>
    <s v="Post-it"/>
    <x v="3"/>
    <x v="0"/>
    <n v="58"/>
    <n v="27"/>
    <n v="230.49"/>
    <n v="13368.42"/>
    <n v="2.1481481481481484"/>
  </r>
  <r>
    <s v="REF0075"/>
    <s v="Ordinateur portable"/>
    <x v="0"/>
    <x v="0"/>
    <n v="39"/>
    <n v="51"/>
    <n v="302.39"/>
    <n v="11793.21"/>
    <n v="0.76470588235294112"/>
  </r>
  <r>
    <s v="REF0300"/>
    <s v="Cafetiere"/>
    <x v="2"/>
    <x v="0"/>
    <n v="55"/>
    <n v="75"/>
    <n v="195.28"/>
    <n v="10740.4"/>
    <n v="0.73333333333333328"/>
  </r>
  <r>
    <s v="REF0196"/>
    <s v="Caisson a roulettes"/>
    <x v="4"/>
    <x v="0"/>
    <n v="200"/>
    <n v="55"/>
    <n v="52.45"/>
    <n v="10490"/>
    <n v="3.6363636363636362"/>
  </r>
  <r>
    <s v="REF0004"/>
    <s v="Clavier sans fil"/>
    <x v="0"/>
    <x v="0"/>
    <n v="56"/>
    <n v="39"/>
    <n v="183.06"/>
    <n v="10251.36"/>
    <n v="1.4358974358974359"/>
  </r>
  <r>
    <s v="REF0344"/>
    <s v="Clavier sans fil"/>
    <x v="0"/>
    <x v="0"/>
    <n v="145"/>
    <n v="26"/>
    <n v="61.04"/>
    <n v="8850.7999999999993"/>
    <n v="5.5769230769230766"/>
  </r>
  <r>
    <s v="REF0150"/>
    <s v="Marqueur"/>
    <x v="3"/>
    <x v="0"/>
    <n v="98"/>
    <n v="37"/>
    <n v="88.13"/>
    <n v="8636.74"/>
    <n v="2.6486486486486487"/>
  </r>
  <r>
    <s v="REF0267"/>
    <s v="Ordinateur portable"/>
    <x v="0"/>
    <x v="0"/>
    <n v="255"/>
    <n v="34"/>
    <n v="27.64"/>
    <n v="7048.2"/>
    <n v="7.5"/>
  </r>
  <r>
    <s v="REF0163"/>
    <s v="Bureau reglable"/>
    <x v="4"/>
    <x v="0"/>
    <n v="252"/>
    <n v="68"/>
    <n v="25.3"/>
    <n v="6375.6"/>
    <n v="3.7058823529411766"/>
  </r>
  <r>
    <s v="REF0320"/>
    <s v="Bureau reglable"/>
    <x v="4"/>
    <x v="0"/>
    <n v="54"/>
    <n v="82"/>
    <n v="107.32"/>
    <n v="5795.28"/>
    <n v="0.65853658536585369"/>
  </r>
  <r>
    <s v="REF0046"/>
    <s v="Bureau reglable"/>
    <x v="4"/>
    <x v="0"/>
    <n v="144"/>
    <n v="50"/>
    <n v="39.99"/>
    <n v="5758.56"/>
    <n v="2.88"/>
  </r>
  <r>
    <s v="REF0164"/>
    <s v="Cafetiere"/>
    <x v="2"/>
    <x v="0"/>
    <n v="63"/>
    <n v="62"/>
    <n v="87.23"/>
    <n v="5495.4900000000007"/>
    <n v="1.0161290322580645"/>
  </r>
  <r>
    <s v="REF0128"/>
    <s v="Ordinateur portable"/>
    <x v="0"/>
    <x v="0"/>
    <n v="13"/>
    <n v="24"/>
    <n v="395.67"/>
    <n v="5143.71"/>
    <n v="0.54166666666666663"/>
  </r>
  <r>
    <s v="REF0139"/>
    <s v="Souris optique"/>
    <x v="0"/>
    <x v="0"/>
    <n v="62"/>
    <n v="18"/>
    <n v="72.63"/>
    <n v="4503.0599999999995"/>
    <n v="3.4444444444444446"/>
  </r>
  <r>
    <s v="REF0316"/>
    <s v="Disque dur externe"/>
    <x v="0"/>
    <x v="0"/>
    <n v="39"/>
    <n v="35"/>
    <n v="103.61"/>
    <n v="4040.79"/>
    <n v="1.1142857142857143"/>
  </r>
  <r>
    <s v="REF0204"/>
    <s v="Chaise ergonomique"/>
    <x v="4"/>
    <x v="0"/>
    <n v="75"/>
    <n v="17"/>
    <n v="51.8"/>
    <n v="3885"/>
    <n v="4.4117647058823533"/>
  </r>
  <r>
    <s v="REF0079"/>
    <s v="Marqueur"/>
    <x v="3"/>
    <x v="0"/>
    <n v="23"/>
    <n v="11"/>
    <n v="158.66"/>
    <n v="3649.18"/>
    <n v="2.0909090909090908"/>
  </r>
  <r>
    <s v="REF0319"/>
    <s v="Micro-ondes"/>
    <x v="2"/>
    <x v="0"/>
    <n v="15"/>
    <n v="25"/>
    <n v="185.41"/>
    <n v="2781.15"/>
    <n v="0.6"/>
  </r>
  <r>
    <s v="REF0271"/>
    <s v="Marqueur"/>
    <x v="3"/>
    <x v="0"/>
    <n v="134"/>
    <n v="88"/>
    <n v="16.93"/>
    <n v="2268.62"/>
    <n v="1.5227272727272727"/>
  </r>
  <r>
    <s v="REF0059"/>
    <s v="Agrafeuse"/>
    <x v="1"/>
    <x v="0"/>
    <n v="68"/>
    <n v="19"/>
    <n v="31.67"/>
    <n v="2153.56"/>
    <n v="3.5789473684210527"/>
  </r>
  <r>
    <s v="REF0206"/>
    <s v="Stylo (boite de 10)"/>
    <x v="1"/>
    <x v="0"/>
    <n v="234"/>
    <n v="0"/>
    <n v="8.75"/>
    <n v="2047.5"/>
    <s v="Seuil non defini"/>
  </r>
  <r>
    <s v="REF0116"/>
    <s v="Cahier"/>
    <x v="3"/>
    <x v="0"/>
    <n v="189"/>
    <n v="51"/>
    <n v="10.06"/>
    <n v="1901.3400000000001"/>
    <n v="3.7058823529411766"/>
  </r>
  <r>
    <s v="REF0025"/>
    <s v="Chaise ergonomique"/>
    <x v="4"/>
    <x v="0"/>
    <n v="273"/>
    <n v="19"/>
    <n v="2.7"/>
    <n v="737.1"/>
    <n v="14.368421052631579"/>
  </r>
  <r>
    <s v="REF0042"/>
    <s v="Cahier"/>
    <x v="3"/>
    <x v="0"/>
    <n v="10"/>
    <n v="10"/>
    <n v="53.2"/>
    <n v="532"/>
    <n v="1"/>
  </r>
  <r>
    <s v="REF0235"/>
    <s v="Chaise ergonomique"/>
    <x v="4"/>
    <x v="1"/>
    <n v="287"/>
    <n v="99"/>
    <n v="483.7"/>
    <n v="138821.9"/>
    <n v="2.8989898989898988"/>
  </r>
  <r>
    <s v="REF0033"/>
    <s v="Chaise ergonomique"/>
    <x v="4"/>
    <x v="1"/>
    <n v="291"/>
    <n v="67"/>
    <n v="471.79"/>
    <n v="137290.89000000001"/>
    <n v="4.3432835820895521"/>
  </r>
  <r>
    <s v="REF0018"/>
    <s v="Refrigerateur mini"/>
    <x v="2"/>
    <x v="1"/>
    <n v="272"/>
    <n v="70"/>
    <n v="485.83"/>
    <n v="132145.76"/>
    <n v="3.8857142857142857"/>
  </r>
  <r>
    <s v="REF0302"/>
    <s v="Caisson a roulettes"/>
    <x v="4"/>
    <x v="1"/>
    <n v="239"/>
    <n v="100"/>
    <n v="496.32"/>
    <n v="118620.48"/>
    <n v="2.39"/>
  </r>
  <r>
    <s v="REF0017"/>
    <s v="Ramette papier A4"/>
    <x v="1"/>
    <x v="1"/>
    <n v="289"/>
    <n v="12"/>
    <n v="397.61"/>
    <n v="114909.29000000001"/>
    <n v="24.083333333333332"/>
  </r>
  <r>
    <s v="REF0040"/>
    <s v="Chaise ergonomique"/>
    <x v="4"/>
    <x v="1"/>
    <n v="245"/>
    <n v="77"/>
    <n v="446.41"/>
    <n v="109370.45000000001"/>
    <n v="3.1818181818181817"/>
  </r>
  <r>
    <s v="REF0250"/>
    <s v="Stylo (boite de 10)"/>
    <x v="1"/>
    <x v="1"/>
    <n v="235"/>
    <n v="96"/>
    <n v="429.61"/>
    <n v="100958.35"/>
    <n v="2.4479166666666665"/>
  </r>
  <r>
    <s v="REF0093"/>
    <s v="Agrafeuse"/>
    <x v="1"/>
    <x v="1"/>
    <n v="209"/>
    <n v="84"/>
    <n v="458.74"/>
    <n v="95876.66"/>
    <n v="2.4880952380952381"/>
  </r>
  <r>
    <s v="REF0159"/>
    <s v="Classeur"/>
    <x v="1"/>
    <x v="1"/>
    <n v="238"/>
    <n v="77"/>
    <n v="398.03"/>
    <n v="94731.14"/>
    <n v="3.0909090909090908"/>
  </r>
  <r>
    <s v="REF0180"/>
    <s v="Clavier sans fil"/>
    <x v="0"/>
    <x v="1"/>
    <n v="285"/>
    <n v="36"/>
    <n v="330.42"/>
    <n v="94169.700000000012"/>
    <n v="7.916666666666667"/>
  </r>
  <r>
    <s v="REF0255"/>
    <s v="Souris optique"/>
    <x v="0"/>
    <x v="1"/>
    <n v="243"/>
    <n v="46"/>
    <n v="380.43"/>
    <n v="92444.49"/>
    <n v="5.2826086956521738"/>
  </r>
  <r>
    <s v="REF0162"/>
    <s v="Marqueur"/>
    <x v="3"/>
    <x v="1"/>
    <n v="222"/>
    <n v="45"/>
    <n v="407.07"/>
    <n v="90369.54"/>
    <n v="4.9333333333333336"/>
  </r>
  <r>
    <s v="REF0208"/>
    <s v="Clavier sans fil"/>
    <x v="0"/>
    <x v="1"/>
    <n v="265"/>
    <n v="98"/>
    <n v="320.62"/>
    <n v="84964.3"/>
    <n v="2.704081632653061"/>
  </r>
  <r>
    <s v="REF0216"/>
    <s v="Bouilloire"/>
    <x v="2"/>
    <x v="1"/>
    <n v="267"/>
    <n v="42"/>
    <n v="312.64999999999998"/>
    <n v="83477.549999999988"/>
    <n v="6.3571428571428568"/>
  </r>
  <r>
    <s v="REF0282"/>
    <s v="Classeur"/>
    <x v="1"/>
    <x v="1"/>
    <n v="175"/>
    <n v="60"/>
    <n v="459.2"/>
    <n v="80360"/>
    <n v="2.9166666666666665"/>
  </r>
  <r>
    <s v="REF0326"/>
    <s v="Caisson a roulettes"/>
    <x v="4"/>
    <x v="1"/>
    <n v="161"/>
    <n v="100"/>
    <n v="486.25"/>
    <n v="78286.25"/>
    <n v="1.61"/>
  </r>
  <r>
    <s v="REF0342"/>
    <s v="Stylo (boite de 10)"/>
    <x v="1"/>
    <x v="1"/>
    <n v="196"/>
    <n v="45"/>
    <n v="379.14"/>
    <n v="74311.44"/>
    <n v="4.3555555555555552"/>
  </r>
  <r>
    <s v="REF0210"/>
    <s v="Marqueur"/>
    <x v="3"/>
    <x v="1"/>
    <n v="184"/>
    <n v="31"/>
    <n v="372.69"/>
    <n v="68574.960000000006"/>
    <n v="5.935483870967742"/>
  </r>
  <r>
    <s v="REF0056"/>
    <s v="Refrigerateur mini"/>
    <x v="2"/>
    <x v="1"/>
    <n v="275"/>
    <n v="73"/>
    <n v="247.32"/>
    <n v="68013"/>
    <n v="3.7671232876712328"/>
  </r>
  <r>
    <s v="REF0057"/>
    <s v="Cafetiere"/>
    <x v="2"/>
    <x v="1"/>
    <n v="297"/>
    <n v="96"/>
    <n v="212.08"/>
    <n v="62987.76"/>
    <n v="3.09375"/>
  </r>
  <r>
    <s v="REF0160"/>
    <s v="Cahier"/>
    <x v="3"/>
    <x v="1"/>
    <n v="197"/>
    <n v="41"/>
    <n v="301.7"/>
    <n v="59434.899999999994"/>
    <n v="4.8048780487804876"/>
  </r>
  <r>
    <s v="REF0308"/>
    <s v="Cafetiere"/>
    <x v="2"/>
    <x v="1"/>
    <n v="183"/>
    <n v="66"/>
    <n v="319.60000000000002"/>
    <n v="58486.8"/>
    <n v="2.7727272727272729"/>
  </r>
  <r>
    <s v="REF0187"/>
    <s v="Ordinateur portable"/>
    <x v="0"/>
    <x v="1"/>
    <n v="123"/>
    <n v="7"/>
    <n v="447.26"/>
    <n v="55012.979999999996"/>
    <n v="17.571428571428573"/>
  </r>
  <r>
    <s v="REF0002"/>
    <s v="Ordinateur portable"/>
    <x v="0"/>
    <x v="1"/>
    <n v="194"/>
    <n v="57"/>
    <n v="263.44"/>
    <n v="51107.360000000001"/>
    <n v="3.4035087719298245"/>
  </r>
  <r>
    <s v="REF0189"/>
    <s v="Ramette papier A4"/>
    <x v="1"/>
    <x v="1"/>
    <n v="281"/>
    <n v="15"/>
    <n v="178.5"/>
    <n v="50158.5"/>
    <n v="18.733333333333334"/>
  </r>
  <r>
    <s v="REF0084"/>
    <s v="Ordinateur portable"/>
    <x v="0"/>
    <x v="1"/>
    <n v="118"/>
    <n v="32"/>
    <n v="404.12"/>
    <n v="47686.16"/>
    <n v="3.6875"/>
  </r>
  <r>
    <s v="REF0280"/>
    <s v="Bouilloire"/>
    <x v="2"/>
    <x v="1"/>
    <n v="220"/>
    <n v="94"/>
    <n v="214.56"/>
    <n v="47203.199999999997"/>
    <n v="2.3404255319148937"/>
  </r>
  <r>
    <s v="REF0151"/>
    <s v="Cafetiere"/>
    <x v="2"/>
    <x v="1"/>
    <n v="298"/>
    <n v="80"/>
    <n v="157.16999999999999"/>
    <n v="46836.659999999996"/>
    <n v="3.7250000000000001"/>
  </r>
  <r>
    <s v="REF0328"/>
    <s v="Agrafeuse"/>
    <x v="1"/>
    <x v="1"/>
    <n v="117"/>
    <n v="62"/>
    <n v="393.58"/>
    <n v="46048.86"/>
    <n v="1.8870967741935485"/>
  </r>
  <r>
    <s v="REF0070"/>
    <s v="Micro-ondes"/>
    <x v="2"/>
    <x v="1"/>
    <n v="292"/>
    <n v="69"/>
    <n v="154.4"/>
    <n v="45084.800000000003"/>
    <n v="4.2318840579710146"/>
  </r>
  <r>
    <s v="REF0291"/>
    <s v="Ramette papier A4"/>
    <x v="1"/>
    <x v="1"/>
    <n v="104"/>
    <n v="22"/>
    <n v="421.03"/>
    <n v="43787.119999999995"/>
    <n v="4.7272727272727275"/>
  </r>
  <r>
    <s v="REF0296"/>
    <s v="Cafetiere"/>
    <x v="2"/>
    <x v="1"/>
    <n v="195"/>
    <n v="54"/>
    <n v="223.12"/>
    <n v="43508.4"/>
    <n v="3.6111111111111112"/>
  </r>
  <r>
    <s v="REF0269"/>
    <s v="Ecran 24 pouces"/>
    <x v="0"/>
    <x v="1"/>
    <n v="147"/>
    <n v="14"/>
    <n v="268.14"/>
    <n v="39416.579999999994"/>
    <n v="10.5"/>
  </r>
  <r>
    <s v="REF0312"/>
    <s v="Cahier"/>
    <x v="3"/>
    <x v="1"/>
    <n v="119"/>
    <n v="19"/>
    <n v="327.99"/>
    <n v="39030.81"/>
    <n v="6.2631578947368425"/>
  </r>
  <r>
    <s v="REF0071"/>
    <s v="Bouilloire"/>
    <x v="2"/>
    <x v="1"/>
    <n v="139"/>
    <n v="16"/>
    <n v="261.70999999999998"/>
    <n v="36377.689999999995"/>
    <n v="8.6875"/>
  </r>
  <r>
    <s v="REF0183"/>
    <s v="Post-it"/>
    <x v="3"/>
    <x v="1"/>
    <n v="159"/>
    <n v="95"/>
    <n v="228.1"/>
    <n v="36267.9"/>
    <n v="1.6736842105263159"/>
  </r>
  <r>
    <s v="REF0115"/>
    <s v="Bouilloire"/>
    <x v="2"/>
    <x v="1"/>
    <n v="193"/>
    <n v="32"/>
    <n v="175.35"/>
    <n v="33842.549999999996"/>
    <n v="6.03125"/>
  </r>
  <r>
    <s v="REF0242"/>
    <s v="Chaise ergonomique"/>
    <x v="4"/>
    <x v="1"/>
    <n v="123"/>
    <n v="26"/>
    <n v="256.73"/>
    <n v="31577.79"/>
    <n v="4.7307692307692308"/>
  </r>
  <r>
    <s v="REF0220"/>
    <s v="Clavier sans fil"/>
    <x v="0"/>
    <x v="1"/>
    <n v="70"/>
    <n v="49"/>
    <n v="439.6"/>
    <n v="30772"/>
    <n v="1.4285714285714286"/>
  </r>
  <r>
    <s v="REF0199"/>
    <s v="Classeur"/>
    <x v="1"/>
    <x v="1"/>
    <n v="87"/>
    <n v="45"/>
    <n v="341.36"/>
    <n v="29698.32"/>
    <n v="1.9333333333333333"/>
  </r>
  <r>
    <s v="REF0181"/>
    <s v="Ordinateur portable"/>
    <x v="0"/>
    <x v="1"/>
    <n v="253"/>
    <n v="12"/>
    <n v="107.81"/>
    <n v="27275.93"/>
    <n v="21.083333333333332"/>
  </r>
  <r>
    <s v="REF0029"/>
    <s v="Cahier"/>
    <x v="3"/>
    <x v="1"/>
    <n v="195"/>
    <n v="88"/>
    <n v="130.16"/>
    <n v="25381.200000000001"/>
    <n v="2.2159090909090908"/>
  </r>
  <r>
    <s v="REF0104"/>
    <s v="Clavier sans fil"/>
    <x v="0"/>
    <x v="1"/>
    <n v="220"/>
    <n v="65"/>
    <n v="108.28"/>
    <n v="23821.599999999999"/>
    <n v="3.3846153846153846"/>
  </r>
  <r>
    <s v="REF0249"/>
    <s v="Agrafeuse"/>
    <x v="1"/>
    <x v="1"/>
    <n v="262"/>
    <n v="13"/>
    <n v="88.9"/>
    <n v="23291.800000000003"/>
    <n v="20.153846153846153"/>
  </r>
  <r>
    <s v="REF0335"/>
    <s v="Micro-ondes"/>
    <x v="2"/>
    <x v="1"/>
    <n v="65"/>
    <n v="56"/>
    <n v="349.07"/>
    <n v="22689.55"/>
    <n v="1.1607142857142858"/>
  </r>
  <r>
    <s v="REF0292"/>
    <s v="Classeur"/>
    <x v="1"/>
    <x v="1"/>
    <n v="62"/>
    <n v="52"/>
    <n v="363.01"/>
    <n v="22506.62"/>
    <n v="1.1923076923076923"/>
  </r>
  <r>
    <s v="REF0311"/>
    <s v="Agrafeuse"/>
    <x v="1"/>
    <x v="1"/>
    <n v="65"/>
    <n v="34"/>
    <n v="315.91000000000003"/>
    <n v="20534.150000000001"/>
    <n v="1.911764705882353"/>
  </r>
  <r>
    <s v="REF0322"/>
    <s v="Caisson a roulettes"/>
    <x v="4"/>
    <x v="1"/>
    <n v="40"/>
    <n v="14"/>
    <n v="479.4"/>
    <n v="19176"/>
    <n v="2.8571428571428572"/>
  </r>
  <r>
    <s v="REF0209"/>
    <s v="Bouilloire"/>
    <x v="2"/>
    <x v="1"/>
    <n v="72"/>
    <n v="50"/>
    <n v="249.92"/>
    <n v="17994.239999999998"/>
    <n v="1.44"/>
  </r>
  <r>
    <s v="REF0338"/>
    <s v="Micro-ondes"/>
    <x v="2"/>
    <x v="1"/>
    <n v="244"/>
    <n v="94"/>
    <n v="69.03"/>
    <n v="16843.32"/>
    <n v="2.5957446808510638"/>
  </r>
  <r>
    <s v="REF0050"/>
    <s v="Stylo (boite de 10)"/>
    <x v="1"/>
    <x v="1"/>
    <n v="39"/>
    <n v="5"/>
    <n v="431.13"/>
    <n v="16814.07"/>
    <n v="7.8"/>
  </r>
  <r>
    <s v="REF0140"/>
    <s v="Bureau reglable"/>
    <x v="4"/>
    <x v="1"/>
    <n v="39"/>
    <n v="68"/>
    <n v="422.62"/>
    <n v="16482.18"/>
    <n v="0.57352941176470584"/>
  </r>
  <r>
    <s v="REF0176"/>
    <s v="Classeur"/>
    <x v="1"/>
    <x v="1"/>
    <n v="70"/>
    <n v="79"/>
    <n v="231.43"/>
    <n v="16200.1"/>
    <n v="0.88607594936708856"/>
  </r>
  <r>
    <s v="REF0099"/>
    <s v="Refrigerateur mini"/>
    <x v="2"/>
    <x v="1"/>
    <n v="273"/>
    <n v="64"/>
    <n v="56.34"/>
    <n v="15380.820000000002"/>
    <n v="4.265625"/>
  </r>
  <r>
    <s v="REF0077"/>
    <s v="Bureau reglable"/>
    <x v="4"/>
    <x v="1"/>
    <n v="158"/>
    <n v="0"/>
    <n v="95.5"/>
    <n v="15089"/>
    <s v="Seuil non defini"/>
  </r>
  <r>
    <s v="REF0260"/>
    <s v="Refrigerateur mini"/>
    <x v="2"/>
    <x v="1"/>
    <n v="146"/>
    <n v="33"/>
    <n v="102.19"/>
    <n v="14919.74"/>
    <n v="4.4242424242424239"/>
  </r>
  <r>
    <s v="REF0131"/>
    <s v="Caisson a roulettes"/>
    <x v="4"/>
    <x v="1"/>
    <n v="162"/>
    <n v="71"/>
    <n v="80.900000000000006"/>
    <n v="13105.800000000001"/>
    <n v="2.2816901408450705"/>
  </r>
  <r>
    <s v="REF0047"/>
    <s v="Clavier sans fil"/>
    <x v="0"/>
    <x v="1"/>
    <n v="43"/>
    <n v="10"/>
    <n v="303.04000000000002"/>
    <n v="13030.720000000001"/>
    <n v="4.3"/>
  </r>
  <r>
    <s v="REF0016"/>
    <s v="Cahier"/>
    <x v="3"/>
    <x v="1"/>
    <n v="85"/>
    <n v="81"/>
    <n v="138.53"/>
    <n v="11775.05"/>
    <n v="1.0493827160493827"/>
  </r>
  <r>
    <s v="REF0350"/>
    <s v="Refrigerateur mini"/>
    <x v="2"/>
    <x v="1"/>
    <n v="252"/>
    <n v="38"/>
    <n v="45.26"/>
    <n v="11405.519999999999"/>
    <n v="6.6315789473684212"/>
  </r>
  <r>
    <s v="REF0011"/>
    <s v="Bureau reglable"/>
    <x v="4"/>
    <x v="1"/>
    <n v="21"/>
    <n v="80"/>
    <n v="484.23"/>
    <n v="10168.83"/>
    <n v="0.26250000000000001"/>
  </r>
  <r>
    <s v="REF0171"/>
    <s v="Cafetiere"/>
    <x v="2"/>
    <x v="1"/>
    <n v="191"/>
    <n v="84"/>
    <n v="53.17"/>
    <n v="10155.470000000001"/>
    <n v="2.2738095238095237"/>
  </r>
  <r>
    <s v="REF0222"/>
    <s v="Classeur"/>
    <x v="1"/>
    <x v="1"/>
    <n v="16"/>
    <n v="65"/>
    <n v="466.6"/>
    <n v="7465.6"/>
    <n v="0.24615384615384617"/>
  </r>
  <r>
    <s v="REF0225"/>
    <s v="Bloc-notes"/>
    <x v="3"/>
    <x v="1"/>
    <n v="102"/>
    <n v="37"/>
    <n v="69.569999999999993"/>
    <n v="7096.1399999999994"/>
    <n v="2.7567567567567566"/>
  </r>
  <r>
    <s v="REF0313"/>
    <s v="Marqueur"/>
    <x v="3"/>
    <x v="1"/>
    <n v="296"/>
    <n v="45"/>
    <n v="22.89"/>
    <n v="6775.4400000000005"/>
    <n v="6.5777777777777775"/>
  </r>
  <r>
    <s v="REF0146"/>
    <s v="Bloc-notes"/>
    <x v="3"/>
    <x v="1"/>
    <n v="110"/>
    <n v="51"/>
    <n v="59.16"/>
    <n v="6507.5999999999995"/>
    <n v="2.1568627450980391"/>
  </r>
  <r>
    <s v="REF0347"/>
    <s v="Chaise ergonomique"/>
    <x v="4"/>
    <x v="1"/>
    <n v="14"/>
    <n v="81"/>
    <n v="451.47"/>
    <n v="6320.58"/>
    <n v="0.1728395061728395"/>
  </r>
  <r>
    <s v="REF0114"/>
    <s v="Caisson a roulettes"/>
    <x v="4"/>
    <x v="1"/>
    <n v="296"/>
    <n v="17"/>
    <n v="20.170000000000002"/>
    <n v="5970.3200000000006"/>
    <n v="17.411764705882351"/>
  </r>
  <r>
    <s v="REF0182"/>
    <s v="Refrigerateur mini"/>
    <x v="2"/>
    <x v="1"/>
    <n v="96"/>
    <n v="67"/>
    <n v="54.06"/>
    <n v="5189.76"/>
    <n v="1.4328358208955223"/>
  </r>
  <r>
    <s v="REF0032"/>
    <s v="Caisson a roulettes"/>
    <x v="4"/>
    <x v="1"/>
    <n v="47"/>
    <n v="68"/>
    <n v="92.39"/>
    <n v="4342.33"/>
    <n v="0.69117647058823528"/>
  </r>
  <r>
    <s v="REF0285"/>
    <s v="Armoire de rangement"/>
    <x v="4"/>
    <x v="1"/>
    <n v="22"/>
    <n v="45"/>
    <n v="176.13"/>
    <n v="3874.8599999999997"/>
    <n v="0.48888888888888887"/>
  </r>
  <r>
    <s v="REF0147"/>
    <s v="Clavier sans fil"/>
    <x v="0"/>
    <x v="1"/>
    <n v="70"/>
    <n v="33"/>
    <n v="43.55"/>
    <n v="3048.5"/>
    <n v="2.1212121212121211"/>
  </r>
  <r>
    <s v="REF0110"/>
    <s v="Agrafeuse"/>
    <x v="1"/>
    <x v="1"/>
    <n v="5"/>
    <n v="76"/>
    <n v="391.97"/>
    <n v="1959.8500000000001"/>
    <n v="6.5789473684210523E-2"/>
  </r>
  <r>
    <s v="REF0215"/>
    <s v="Ramette papier A4"/>
    <x v="1"/>
    <x v="1"/>
    <n v="4"/>
    <n v="68"/>
    <n v="463.76"/>
    <n v="1855.04"/>
    <n v="5.8823529411764705E-2"/>
  </r>
  <r>
    <s v="REF0008"/>
    <s v="Ordinateur portable"/>
    <x v="0"/>
    <x v="1"/>
    <n v="6"/>
    <n v="92"/>
    <n v="276.77999999999997"/>
    <n v="1660.6799999999998"/>
    <n v="6.5217391304347824E-2"/>
  </r>
  <r>
    <s v="REF0035"/>
    <s v="Bloc-notes"/>
    <x v="3"/>
    <x v="1"/>
    <n v="35"/>
    <n v="23"/>
    <n v="37.880000000000003"/>
    <n v="1325.8000000000002"/>
    <n v="1.5217391304347827"/>
  </r>
  <r>
    <s v="REF0001"/>
    <s v="Classeur"/>
    <x v="1"/>
    <x v="1"/>
    <n v="74"/>
    <n v="59"/>
    <n v="10.8"/>
    <n v="799.2"/>
    <n v="1.2542372881355932"/>
  </r>
  <r>
    <s v="REF0248"/>
    <s v="Micro-ondes"/>
    <x v="2"/>
    <x v="1"/>
    <n v="4"/>
    <n v="25"/>
    <n v="180.16"/>
    <n v="720.64"/>
    <n v="0.16"/>
  </r>
  <r>
    <s v="REF0043"/>
    <s v="Disque dur externe"/>
    <x v="0"/>
    <x v="1"/>
    <n v="212"/>
    <n v="23"/>
    <n v="2.6"/>
    <n v="551.20000000000005"/>
    <n v="9.2173913043478262"/>
  </r>
  <r>
    <s v="REF0020"/>
    <s v="Chaise ergonomique"/>
    <x v="4"/>
    <x v="1"/>
    <n v="1"/>
    <n v="0"/>
    <n v="81.680000000000007"/>
    <n v="81.680000000000007"/>
    <s v="Seuil non defini"/>
  </r>
  <r>
    <s v="REF0117"/>
    <s v="Cahier"/>
    <x v="3"/>
    <x v="2"/>
    <n v="255"/>
    <n v="88"/>
    <n v="499.53"/>
    <n v="127380.15"/>
    <n v="2.8977272727272729"/>
  </r>
  <r>
    <s v="REF0207"/>
    <s v="Stylo (boite de 10)"/>
    <x v="1"/>
    <x v="2"/>
    <n v="265"/>
    <n v="89"/>
    <n v="428.76"/>
    <n v="113621.4"/>
    <n v="2.9775280898876404"/>
  </r>
  <r>
    <s v="REF0200"/>
    <s v="Armoire de rangement"/>
    <x v="4"/>
    <x v="2"/>
    <n v="233"/>
    <n v="23"/>
    <n v="481.2"/>
    <n v="112119.59999999999"/>
    <n v="10.130434782608695"/>
  </r>
  <r>
    <s v="REF0109"/>
    <s v="Refrigerateur mini"/>
    <x v="2"/>
    <x v="2"/>
    <n v="274"/>
    <n v="93"/>
    <n v="392.36"/>
    <n v="107506.64"/>
    <n v="2.946236559139785"/>
  </r>
  <r>
    <s v="REF0329"/>
    <s v="Bloc-notes"/>
    <x v="3"/>
    <x v="2"/>
    <n v="275"/>
    <n v="36"/>
    <n v="388.67"/>
    <n v="106884.25"/>
    <n v="7.6388888888888893"/>
  </r>
  <r>
    <s v="REF0331"/>
    <s v="Souris optique"/>
    <x v="0"/>
    <x v="2"/>
    <n v="215"/>
    <n v="69"/>
    <n v="491.66"/>
    <n v="105706.90000000001"/>
    <n v="3.1159420289855073"/>
  </r>
  <r>
    <s v="REF0290"/>
    <s v="Clavier sans fil"/>
    <x v="0"/>
    <x v="2"/>
    <n v="210"/>
    <n v="95"/>
    <n v="475.38"/>
    <n v="99829.8"/>
    <n v="2.2105263157894739"/>
  </r>
  <r>
    <s v="REF0149"/>
    <s v="Post-it"/>
    <x v="3"/>
    <x v="2"/>
    <n v="239"/>
    <n v="100"/>
    <n v="404.89"/>
    <n v="96768.709999999992"/>
    <n v="2.39"/>
  </r>
  <r>
    <s v="REF0142"/>
    <s v="Ecran 24 pouces"/>
    <x v="0"/>
    <x v="2"/>
    <n v="214"/>
    <n v="53"/>
    <n v="445.08"/>
    <n v="95247.12"/>
    <n v="4.0377358490566042"/>
  </r>
  <r>
    <s v="REF0251"/>
    <s v="Stylo (boite de 10)"/>
    <x v="1"/>
    <x v="2"/>
    <n v="201"/>
    <n v="13"/>
    <n v="458.25"/>
    <n v="92108.25"/>
    <n v="15.461538461538462"/>
  </r>
  <r>
    <s v="REF0101"/>
    <s v="Stylo (boite de 10)"/>
    <x v="1"/>
    <x v="2"/>
    <n v="248"/>
    <n v="32"/>
    <n v="351.74"/>
    <n v="87231.52"/>
    <n v="7.75"/>
  </r>
  <r>
    <s v="REF0253"/>
    <s v="Armoire de rangement"/>
    <x v="4"/>
    <x v="2"/>
    <n v="297"/>
    <n v="49"/>
    <n v="293.08"/>
    <n v="87044.76"/>
    <n v="6.0612244897959187"/>
  </r>
  <r>
    <s v="REF0277"/>
    <s v="Souris optique"/>
    <x v="0"/>
    <x v="2"/>
    <n v="259"/>
    <n v="33"/>
    <n v="325.87"/>
    <n v="84400.33"/>
    <n v="7.8484848484848486"/>
  </r>
  <r>
    <s v="REF0337"/>
    <s v="Ordinateur portable"/>
    <x v="0"/>
    <x v="2"/>
    <n v="181"/>
    <n v="62"/>
    <n v="455.52"/>
    <n v="82449.119999999995"/>
    <n v="2.9193548387096775"/>
  </r>
  <r>
    <s v="REF0132"/>
    <s v="Ecran 24 pouces"/>
    <x v="0"/>
    <x v="2"/>
    <n v="258"/>
    <n v="20"/>
    <n v="316.45999999999998"/>
    <n v="81646.679999999993"/>
    <n v="12.9"/>
  </r>
  <r>
    <s v="REF0118"/>
    <s v="Micro-ondes"/>
    <x v="2"/>
    <x v="2"/>
    <n v="180"/>
    <n v="0"/>
    <n v="414.44"/>
    <n v="74599.199999999997"/>
    <s v="Seuil non defini"/>
  </r>
  <r>
    <s v="REF0125"/>
    <s v="Agrafeuse"/>
    <x v="1"/>
    <x v="2"/>
    <n v="211"/>
    <n v="87"/>
    <n v="352.51"/>
    <n v="74379.61"/>
    <n v="2.4252873563218391"/>
  </r>
  <r>
    <s v="REF0170"/>
    <s v="Cafetiere"/>
    <x v="2"/>
    <x v="2"/>
    <n v="201"/>
    <n v="43"/>
    <n v="348.84"/>
    <n v="70116.84"/>
    <n v="4.6744186046511631"/>
  </r>
  <r>
    <s v="REF0034"/>
    <s v="Ramette papier A4"/>
    <x v="1"/>
    <x v="2"/>
    <n v="158"/>
    <n v="25"/>
    <n v="442.86"/>
    <n v="69971.88"/>
    <n v="6.32"/>
  </r>
  <r>
    <s v="REF0102"/>
    <s v="Clavier sans fil"/>
    <x v="0"/>
    <x v="2"/>
    <n v="232"/>
    <n v="9"/>
    <n v="273.45"/>
    <n v="63440.399999999994"/>
    <n v="25.777777777777779"/>
  </r>
  <r>
    <s v="REF0054"/>
    <s v="Stylo (boite de 10)"/>
    <x v="1"/>
    <x v="2"/>
    <n v="253"/>
    <n v="59"/>
    <n v="241.68"/>
    <n v="61145.04"/>
    <n v="4.2881355932203391"/>
  </r>
  <r>
    <s v="REF0263"/>
    <s v="Cahier"/>
    <x v="3"/>
    <x v="2"/>
    <n v="174"/>
    <n v="28"/>
    <n v="341.82"/>
    <n v="59476.68"/>
    <n v="6.2142857142857144"/>
  </r>
  <r>
    <s v="REF0127"/>
    <s v="Agrafeuse"/>
    <x v="1"/>
    <x v="2"/>
    <n v="123"/>
    <n v="5"/>
    <n v="450.29"/>
    <n v="55385.670000000006"/>
    <n v="24.6"/>
  </r>
  <r>
    <s v="REF0120"/>
    <s v="Chaise ergonomique"/>
    <x v="4"/>
    <x v="2"/>
    <n v="277"/>
    <n v="60"/>
    <n v="192.02"/>
    <n v="53189.54"/>
    <n v="4.6166666666666663"/>
  </r>
  <r>
    <s v="REF0202"/>
    <s v="Bureau reglable"/>
    <x v="4"/>
    <x v="2"/>
    <n v="180"/>
    <n v="65"/>
    <n v="292.41000000000003"/>
    <n v="52633.8"/>
    <n v="2.7692307692307692"/>
  </r>
  <r>
    <s v="REF0141"/>
    <s v="Cafetiere"/>
    <x v="2"/>
    <x v="2"/>
    <n v="251"/>
    <n v="7"/>
    <n v="208.05"/>
    <n v="52220.55"/>
    <n v="35.857142857142854"/>
  </r>
  <r>
    <s v="REF0073"/>
    <s v="Refrigerateur mini"/>
    <x v="2"/>
    <x v="2"/>
    <n v="160"/>
    <n v="88"/>
    <n v="321.66000000000003"/>
    <n v="51465.600000000006"/>
    <n v="1.8181818181818181"/>
  </r>
  <r>
    <s v="REF0228"/>
    <s v="Stylo (boite de 10)"/>
    <x v="1"/>
    <x v="2"/>
    <n v="239"/>
    <n v="50"/>
    <n v="214.98"/>
    <n v="51380.22"/>
    <n v="4.78"/>
  </r>
  <r>
    <s v="REF0243"/>
    <s v="Refrigerateur mini"/>
    <x v="2"/>
    <x v="2"/>
    <n v="148"/>
    <n v="42"/>
    <n v="334.43"/>
    <n v="49495.64"/>
    <n v="3.5238095238095237"/>
  </r>
  <r>
    <s v="REF0113"/>
    <s v="Souris optique"/>
    <x v="0"/>
    <x v="2"/>
    <n v="134"/>
    <n v="71"/>
    <n v="361.7"/>
    <n v="48467.799999999996"/>
    <n v="1.8873239436619718"/>
  </r>
  <r>
    <s v="REF0211"/>
    <s v="Cafetiere"/>
    <x v="2"/>
    <x v="2"/>
    <n v="140"/>
    <n v="85"/>
    <n v="340.04"/>
    <n v="47605.600000000006"/>
    <n v="1.6470588235294117"/>
  </r>
  <r>
    <s v="REF0304"/>
    <s v="Ecran 24 pouces"/>
    <x v="0"/>
    <x v="2"/>
    <n v="277"/>
    <n v="42"/>
    <n v="170.09"/>
    <n v="47114.93"/>
    <n v="6.5952380952380949"/>
  </r>
  <r>
    <s v="REF0129"/>
    <s v="Classeur"/>
    <x v="1"/>
    <x v="2"/>
    <n v="292"/>
    <n v="60"/>
    <n v="122.43"/>
    <n v="35749.560000000005"/>
    <n v="4.8666666666666663"/>
  </r>
  <r>
    <s v="REF0172"/>
    <s v="Ordinateur portable"/>
    <x v="0"/>
    <x v="2"/>
    <n v="71"/>
    <n v="18"/>
    <n v="496.78"/>
    <n v="35271.379999999997"/>
    <n v="3.9444444444444446"/>
  </r>
  <r>
    <s v="REF0055"/>
    <s v="Post-it"/>
    <x v="3"/>
    <x v="2"/>
    <n v="70"/>
    <n v="88"/>
    <n v="460.96"/>
    <n v="32267.199999999997"/>
    <n v="0.79545454545454541"/>
  </r>
  <r>
    <s v="REF0184"/>
    <s v="Cahier"/>
    <x v="3"/>
    <x v="2"/>
    <n v="66"/>
    <n v="33"/>
    <n v="458.52"/>
    <n v="30262.32"/>
    <n v="2"/>
  </r>
  <r>
    <s v="REF0097"/>
    <s v="Bureau reglable"/>
    <x v="4"/>
    <x v="2"/>
    <n v="148"/>
    <n v="0"/>
    <n v="189.16"/>
    <n v="27995.68"/>
    <s v="Seuil non defini"/>
  </r>
  <r>
    <s v="REF0341"/>
    <s v="Ecran 24 pouces"/>
    <x v="0"/>
    <x v="2"/>
    <n v="152"/>
    <n v="68"/>
    <n v="171.88"/>
    <n v="26125.759999999998"/>
    <n v="2.2352941176470589"/>
  </r>
  <r>
    <s v="REF0049"/>
    <s v="Post-it"/>
    <x v="3"/>
    <x v="2"/>
    <n v="178"/>
    <n v="18"/>
    <n v="137"/>
    <n v="24386"/>
    <n v="9.8888888888888893"/>
  </r>
  <r>
    <s v="REF0156"/>
    <s v="Cafetiere"/>
    <x v="2"/>
    <x v="2"/>
    <n v="58"/>
    <n v="28"/>
    <n v="404.9"/>
    <n v="23484.199999999997"/>
    <n v="2.0714285714285716"/>
  </r>
  <r>
    <s v="REF0205"/>
    <s v="Refrigerateur mini"/>
    <x v="2"/>
    <x v="2"/>
    <n v="179"/>
    <n v="74"/>
    <n v="130.16"/>
    <n v="23298.639999999999"/>
    <n v="2.4189189189189189"/>
  </r>
  <r>
    <s v="REF0333"/>
    <s v="Agrafeuse"/>
    <x v="1"/>
    <x v="2"/>
    <n v="51"/>
    <n v="21"/>
    <n v="434.99"/>
    <n v="22184.49"/>
    <n v="2.4285714285714284"/>
  </r>
  <r>
    <s v="REF0175"/>
    <s v="Ordinateur portable"/>
    <x v="0"/>
    <x v="2"/>
    <n v="155"/>
    <n v="14"/>
    <n v="133.34"/>
    <n v="20667.7"/>
    <n v="11.071428571428571"/>
  </r>
  <r>
    <s v="REF0332"/>
    <s v="Chaise ergonomique"/>
    <x v="4"/>
    <x v="2"/>
    <n v="232"/>
    <n v="6"/>
    <n v="85.05"/>
    <n v="19731.599999999999"/>
    <n v="38.666666666666664"/>
  </r>
  <r>
    <s v="REF0030"/>
    <s v="Bouilloire"/>
    <x v="2"/>
    <x v="2"/>
    <n v="166"/>
    <n v="39"/>
    <n v="103.55"/>
    <n v="17189.3"/>
    <n v="4.2564102564102564"/>
  </r>
  <r>
    <s v="REF0051"/>
    <s v="Armoire de rangement"/>
    <x v="4"/>
    <x v="2"/>
    <n v="75"/>
    <n v="54"/>
    <n v="224.45"/>
    <n v="16833.75"/>
    <n v="1.3888888888888888"/>
  </r>
  <r>
    <s v="REF0123"/>
    <s v="Cafetiere"/>
    <x v="2"/>
    <x v="2"/>
    <n v="148"/>
    <n v="58"/>
    <n v="107.51"/>
    <n v="15911.480000000001"/>
    <n v="2.5517241379310347"/>
  </r>
  <r>
    <s v="REF0166"/>
    <s v="Cahier"/>
    <x v="3"/>
    <x v="2"/>
    <n v="236"/>
    <n v="41"/>
    <n v="67.27"/>
    <n v="15875.72"/>
    <n v="5.7560975609756095"/>
  </r>
  <r>
    <s v="REF0063"/>
    <s v="Ramette papier A4"/>
    <x v="1"/>
    <x v="2"/>
    <n v="54"/>
    <n v="89"/>
    <n v="291.64"/>
    <n v="15748.56"/>
    <n v="0.6067415730337079"/>
  </r>
  <r>
    <s v="REF0186"/>
    <s v="Armoire de rangement"/>
    <x v="4"/>
    <x v="2"/>
    <n v="295"/>
    <n v="87"/>
    <n v="52.83"/>
    <n v="15584.85"/>
    <n v="3.3908045977011496"/>
  </r>
  <r>
    <s v="REF0108"/>
    <s v="Micro-ondes"/>
    <x v="2"/>
    <x v="2"/>
    <n v="152"/>
    <n v="26"/>
    <n v="100.91"/>
    <n v="15338.32"/>
    <n v="5.8461538461538458"/>
  </r>
  <r>
    <s v="REF0053"/>
    <s v="Bureau reglable"/>
    <x v="4"/>
    <x v="2"/>
    <n v="165"/>
    <n v="21"/>
    <n v="92.57"/>
    <n v="15274.05"/>
    <n v="7.8571428571428568"/>
  </r>
  <r>
    <s v="REF0262"/>
    <s v="Bureau reglable"/>
    <x v="4"/>
    <x v="2"/>
    <n v="71"/>
    <n v="5"/>
    <n v="181.06"/>
    <n v="12855.26"/>
    <n v="14.2"/>
  </r>
  <r>
    <s v="REF0295"/>
    <s v="Ramette papier A4"/>
    <x v="1"/>
    <x v="2"/>
    <n v="30"/>
    <n v="40"/>
    <n v="427.58"/>
    <n v="12827.4"/>
    <n v="0.75"/>
  </r>
  <r>
    <s v="REF0226"/>
    <s v="Stylo (boite de 10)"/>
    <x v="1"/>
    <x v="2"/>
    <n v="43"/>
    <n v="43"/>
    <n v="284.2"/>
    <n v="12220.6"/>
    <n v="1"/>
  </r>
  <r>
    <s v="REF0083"/>
    <s v="Cafetiere"/>
    <x v="2"/>
    <x v="2"/>
    <n v="148"/>
    <n v="25"/>
    <n v="77.47"/>
    <n v="11465.56"/>
    <n v="5.92"/>
  </r>
  <r>
    <s v="REF0060"/>
    <s v="Classeur"/>
    <x v="1"/>
    <x v="2"/>
    <n v="150"/>
    <n v="63"/>
    <n v="73.78"/>
    <n v="11067"/>
    <n v="2.3809523809523809"/>
  </r>
  <r>
    <s v="REF0087"/>
    <s v="Chaise ergonomique"/>
    <x v="4"/>
    <x v="2"/>
    <n v="38"/>
    <n v="24"/>
    <n v="284.32"/>
    <n v="10804.16"/>
    <n v="1.5833333333333333"/>
  </r>
  <r>
    <s v="REF0247"/>
    <s v="Marqueur"/>
    <x v="3"/>
    <x v="2"/>
    <n v="21"/>
    <n v="50"/>
    <n v="481.47"/>
    <n v="10110.870000000001"/>
    <n v="0.42"/>
  </r>
  <r>
    <s v="REF0227"/>
    <s v="Bloc-notes"/>
    <x v="3"/>
    <x v="2"/>
    <n v="192"/>
    <n v="60"/>
    <n v="49.83"/>
    <n v="9567.36"/>
    <n v="3.2"/>
  </r>
  <r>
    <s v="REF0334"/>
    <s v="Ecran 24 pouces"/>
    <x v="0"/>
    <x v="2"/>
    <n v="37"/>
    <n v="21"/>
    <n v="258.42"/>
    <n v="9561.5400000000009"/>
    <n v="1.7619047619047619"/>
  </r>
  <r>
    <s v="REF0086"/>
    <s v="Marqueur"/>
    <x v="3"/>
    <x v="2"/>
    <n v="20"/>
    <n v="96"/>
    <n v="387.54"/>
    <n v="7750.8"/>
    <n v="0.20833333333333334"/>
  </r>
  <r>
    <s v="REF0185"/>
    <s v="Bouilloire"/>
    <x v="2"/>
    <x v="2"/>
    <n v="204"/>
    <n v="29"/>
    <n v="36.18"/>
    <n v="7380.72"/>
    <n v="7.0344827586206895"/>
  </r>
  <r>
    <s v="REF0265"/>
    <s v="Bloc-notes"/>
    <x v="3"/>
    <x v="2"/>
    <n v="34"/>
    <n v="61"/>
    <n v="214.9"/>
    <n v="7306.6"/>
    <n v="0.55737704918032782"/>
  </r>
  <r>
    <s v="REF0003"/>
    <s v="Armoire de rangement"/>
    <x v="4"/>
    <x v="2"/>
    <n v="218"/>
    <n v="66"/>
    <n v="32.549999999999997"/>
    <n v="7095.9"/>
    <n v="3.3030303030303032"/>
  </r>
  <r>
    <s v="REF0315"/>
    <s v="Cahier"/>
    <x v="3"/>
    <x v="2"/>
    <n v="120"/>
    <n v="49"/>
    <n v="56.36"/>
    <n v="6763.2"/>
    <n v="2.4489795918367347"/>
  </r>
  <r>
    <s v="REF0106"/>
    <s v="Bureau reglable"/>
    <x v="4"/>
    <x v="2"/>
    <n v="140"/>
    <n v="56"/>
    <n v="42.69"/>
    <n v="5976.5999999999995"/>
    <n v="2.5"/>
  </r>
  <r>
    <s v="REF0130"/>
    <s v="Caisson a roulettes"/>
    <x v="4"/>
    <x v="2"/>
    <n v="26"/>
    <n v="78"/>
    <n v="215.69"/>
    <n v="5607.94"/>
    <n v="0.33333333333333331"/>
  </r>
  <r>
    <s v="REF0299"/>
    <s v="Classeur"/>
    <x v="1"/>
    <x v="2"/>
    <n v="14"/>
    <n v="48"/>
    <n v="363.44"/>
    <n v="5088.16"/>
    <n v="0.29166666666666669"/>
  </r>
  <r>
    <s v="REF0191"/>
    <s v="Micro-ondes"/>
    <x v="2"/>
    <x v="2"/>
    <n v="189"/>
    <n v="17"/>
    <n v="26.47"/>
    <n v="5002.83"/>
    <n v="11.117647058823529"/>
  </r>
  <r>
    <s v="REF0062"/>
    <s v="Caisson a roulettes"/>
    <x v="4"/>
    <x v="2"/>
    <n v="13"/>
    <n v="0"/>
    <n v="348.67"/>
    <n v="4532.71"/>
    <s v="Seuil non defini"/>
  </r>
  <r>
    <s v="REF0135"/>
    <s v="Marqueur"/>
    <x v="3"/>
    <x v="2"/>
    <n v="12"/>
    <n v="100"/>
    <n v="367.62"/>
    <n v="4411.4400000000005"/>
    <n v="0.12"/>
  </r>
  <r>
    <s v="REF0082"/>
    <s v="Cafetiere"/>
    <x v="2"/>
    <x v="2"/>
    <n v="257"/>
    <n v="24"/>
    <n v="13.8"/>
    <n v="3546.6000000000004"/>
    <n v="10.708333333333334"/>
  </r>
  <r>
    <s v="REF0245"/>
    <s v="Refrigerateur mini"/>
    <x v="2"/>
    <x v="2"/>
    <n v="217"/>
    <n v="23"/>
    <n v="15.93"/>
    <n v="3456.81"/>
    <n v="9.4347826086956523"/>
  </r>
  <r>
    <s v="REF0103"/>
    <s v="Chaise ergonomique"/>
    <x v="4"/>
    <x v="2"/>
    <n v="163"/>
    <n v="77"/>
    <n v="17.600000000000001"/>
    <n v="2868.8"/>
    <n v="2.116883116883117"/>
  </r>
  <r>
    <s v="REF0065"/>
    <s v="Bureau reglable"/>
    <x v="4"/>
    <x v="2"/>
    <n v="6"/>
    <n v="77"/>
    <n v="415.87"/>
    <n v="2495.2200000000003"/>
    <n v="7.792207792207792E-2"/>
  </r>
  <r>
    <s v="REF0258"/>
    <s v="Micro-ondes"/>
    <x v="2"/>
    <x v="2"/>
    <n v="15"/>
    <n v="27"/>
    <n v="161.94"/>
    <n v="2429.1"/>
    <n v="0.55555555555555558"/>
  </r>
  <r>
    <s v="REF0294"/>
    <s v="Souris optique"/>
    <x v="0"/>
    <x v="2"/>
    <n v="17"/>
    <n v="39"/>
    <n v="140.43"/>
    <n v="2387.31"/>
    <n v="0.4358974358974359"/>
  </r>
  <r>
    <s v="REF0279"/>
    <s v="Caisson a roulettes"/>
    <x v="4"/>
    <x v="2"/>
    <n v="9"/>
    <n v="75"/>
    <n v="242.12"/>
    <n v="2179.08"/>
    <n v="0.12"/>
  </r>
  <r>
    <s v="REF0015"/>
    <s v="Agrafeuse"/>
    <x v="1"/>
    <x v="2"/>
    <n v="60"/>
    <n v="60"/>
    <n v="35.72"/>
    <n v="2143.1999999999998"/>
    <n v="1"/>
  </r>
  <r>
    <s v="REF0069"/>
    <s v="Bloc-notes"/>
    <x v="3"/>
    <x v="2"/>
    <n v="257"/>
    <n v="25"/>
    <n v="7.41"/>
    <n v="1904.3700000000001"/>
    <n v="10.28"/>
  </r>
  <r>
    <s v="REF0348"/>
    <s v="Souris optique"/>
    <x v="0"/>
    <x v="2"/>
    <n v="13"/>
    <n v="52"/>
    <n v="103.16"/>
    <n v="1341.08"/>
    <n v="0.25"/>
  </r>
  <r>
    <s v="REF0284"/>
    <s v="Ecran 24 pouces"/>
    <x v="0"/>
    <x v="2"/>
    <n v="29"/>
    <n v="14"/>
    <n v="30.21"/>
    <n v="876.09"/>
    <n v="2.0714285714285716"/>
  </r>
  <r>
    <s v="REF0229"/>
    <s v="Refrigerateur mini"/>
    <x v="2"/>
    <x v="2"/>
    <n v="14"/>
    <n v="76"/>
    <n v="15.16"/>
    <n v="212.24"/>
    <n v="0.18421052631578946"/>
  </r>
  <r>
    <s v="REF0198"/>
    <s v="Post-it"/>
    <x v="3"/>
    <x v="2"/>
    <n v="1"/>
    <n v="17"/>
    <n v="94.17"/>
    <n v="94.17"/>
    <n v="5.8823529411764705E-2"/>
  </r>
  <r>
    <s v="REF0039"/>
    <s v="Ordinateur portable"/>
    <x v="0"/>
    <x v="3"/>
    <n v="277"/>
    <n v="99"/>
    <n v="409.49"/>
    <n v="113428.73"/>
    <n v="2.797979797979798"/>
  </r>
  <r>
    <s v="REF0349"/>
    <s v="Bouilloire"/>
    <x v="2"/>
    <x v="3"/>
    <n v="232"/>
    <n v="42"/>
    <n v="459.16"/>
    <n v="106525.12000000001"/>
    <n v="5.5238095238095237"/>
  </r>
  <r>
    <s v="REF0323"/>
    <s v="Marqueur"/>
    <x v="3"/>
    <x v="3"/>
    <n v="275"/>
    <n v="0"/>
    <n v="367.06"/>
    <n v="100941.5"/>
    <s v="Seuil non defini"/>
  </r>
  <r>
    <s v="REF0177"/>
    <s v="Classeur"/>
    <x v="1"/>
    <x v="3"/>
    <n v="299"/>
    <n v="57"/>
    <n v="319.18"/>
    <n v="95434.82"/>
    <n v="5.2456140350877192"/>
  </r>
  <r>
    <s v="REF0256"/>
    <s v="Ecran 24 pouces"/>
    <x v="0"/>
    <x v="3"/>
    <n v="196"/>
    <n v="58"/>
    <n v="461.34"/>
    <n v="90422.64"/>
    <n v="3.3793103448275863"/>
  </r>
  <r>
    <s v="REF0144"/>
    <s v="Clavier sans fil"/>
    <x v="0"/>
    <x v="3"/>
    <n v="177"/>
    <n v="66"/>
    <n v="497.47"/>
    <n v="88052.19"/>
    <n v="2.6818181818181817"/>
  </r>
  <r>
    <s v="REF0293"/>
    <s v="Ecran 24 pouces"/>
    <x v="0"/>
    <x v="3"/>
    <n v="225"/>
    <n v="88"/>
    <n v="382.57"/>
    <n v="86078.25"/>
    <n v="2.5568181818181817"/>
  </r>
  <r>
    <s v="REF0275"/>
    <s v="Ramette papier A4"/>
    <x v="1"/>
    <x v="3"/>
    <n v="213"/>
    <n v="81"/>
    <n v="370.17"/>
    <n v="78846.210000000006"/>
    <n v="2.6296296296296298"/>
  </r>
  <r>
    <s v="REF0234"/>
    <s v="Ordinateur portable"/>
    <x v="0"/>
    <x v="3"/>
    <n v="299"/>
    <n v="91"/>
    <n v="256.39"/>
    <n v="76660.61"/>
    <n v="3.2857142857142856"/>
  </r>
  <r>
    <s v="REF0027"/>
    <s v="Caisson a roulettes"/>
    <x v="4"/>
    <x v="3"/>
    <n v="150"/>
    <n v="46"/>
    <n v="492.66"/>
    <n v="73899"/>
    <n v="3.2608695652173911"/>
  </r>
  <r>
    <s v="REF0244"/>
    <s v="Stylo (boite de 10)"/>
    <x v="1"/>
    <x v="3"/>
    <n v="200"/>
    <n v="54"/>
    <n v="349.43"/>
    <n v="69886"/>
    <n v="3.7037037037037037"/>
  </r>
  <r>
    <s v="REF0143"/>
    <s v="Chaise ergonomique"/>
    <x v="4"/>
    <x v="3"/>
    <n v="152"/>
    <n v="6"/>
    <n v="452.01"/>
    <n v="68705.52"/>
    <n v="25.333333333333332"/>
  </r>
  <r>
    <s v="REF0067"/>
    <s v="Refrigerateur mini"/>
    <x v="2"/>
    <x v="3"/>
    <n v="172"/>
    <n v="61"/>
    <n v="391.14"/>
    <n v="67276.08"/>
    <n v="2.819672131147541"/>
  </r>
  <r>
    <s v="REF0078"/>
    <s v="Ecran 24 pouces"/>
    <x v="0"/>
    <x v="3"/>
    <n v="137"/>
    <n v="15"/>
    <n v="488.38"/>
    <n v="66908.06"/>
    <n v="9.1333333333333329"/>
  </r>
  <r>
    <s v="REF0286"/>
    <s v="Classeur"/>
    <x v="1"/>
    <x v="3"/>
    <n v="203"/>
    <n v="66"/>
    <n v="329.48"/>
    <n v="66884.44"/>
    <n v="3.0757575757575757"/>
  </r>
  <r>
    <s v="REF0190"/>
    <s v="Caisson a roulettes"/>
    <x v="4"/>
    <x v="3"/>
    <n v="257"/>
    <n v="60"/>
    <n v="254.95"/>
    <n v="65522.149999999994"/>
    <n v="4.2833333333333332"/>
  </r>
  <r>
    <s v="REF0217"/>
    <s v="Agrafeuse"/>
    <x v="1"/>
    <x v="3"/>
    <n v="147"/>
    <n v="13"/>
    <n v="400.29"/>
    <n v="58842.630000000005"/>
    <n v="11.307692307692308"/>
  </r>
  <r>
    <s v="REF0246"/>
    <s v="Disque dur externe"/>
    <x v="0"/>
    <x v="3"/>
    <n v="199"/>
    <n v="6"/>
    <n v="291.11"/>
    <n v="57930.89"/>
    <n v="33.166666666666664"/>
  </r>
  <r>
    <s v="REF0107"/>
    <s v="Bouilloire"/>
    <x v="2"/>
    <x v="3"/>
    <n v="132"/>
    <n v="28"/>
    <n v="415.61"/>
    <n v="54860.520000000004"/>
    <n v="4.7142857142857144"/>
  </r>
  <r>
    <s v="REF0278"/>
    <s v="Micro-ondes"/>
    <x v="2"/>
    <x v="3"/>
    <n v="116"/>
    <n v="7"/>
    <n v="465.76"/>
    <n v="54028.159999999996"/>
    <n v="16.571428571428573"/>
  </r>
  <r>
    <s v="REF0096"/>
    <s v="Cahier"/>
    <x v="3"/>
    <x v="3"/>
    <n v="125"/>
    <n v="94"/>
    <n v="410.98"/>
    <n v="51372.5"/>
    <n v="1.3297872340425532"/>
  </r>
  <r>
    <s v="REF0336"/>
    <s v="Ramette papier A4"/>
    <x v="1"/>
    <x v="3"/>
    <n v="172"/>
    <n v="48"/>
    <n v="296.56"/>
    <n v="51008.32"/>
    <n v="3.5833333333333335"/>
  </r>
  <r>
    <s v="REF0273"/>
    <s v="Chaise ergonomique"/>
    <x v="4"/>
    <x v="3"/>
    <n v="280"/>
    <n v="98"/>
    <n v="166.15"/>
    <n v="46522"/>
    <n v="2.8571428571428572"/>
  </r>
  <r>
    <s v="REF0167"/>
    <s v="Disque dur externe"/>
    <x v="0"/>
    <x v="3"/>
    <n v="270"/>
    <n v="10"/>
    <n v="170.02"/>
    <n v="45905.4"/>
    <n v="27"/>
  </r>
  <r>
    <s v="REF0218"/>
    <s v="Cafetiere"/>
    <x v="2"/>
    <x v="3"/>
    <n v="111"/>
    <n v="41"/>
    <n v="413.08"/>
    <n v="45851.88"/>
    <n v="2.7073170731707319"/>
  </r>
  <r>
    <s v="REF0321"/>
    <s v="Post-it"/>
    <x v="3"/>
    <x v="3"/>
    <n v="110"/>
    <n v="53"/>
    <n v="415.7"/>
    <n v="45727"/>
    <n v="2.0754716981132075"/>
  </r>
  <r>
    <s v="REF0272"/>
    <s v="Micro-ondes"/>
    <x v="2"/>
    <x v="3"/>
    <n v="102"/>
    <n v="47"/>
    <n v="444.24"/>
    <n v="45312.480000000003"/>
    <n v="2.1702127659574466"/>
  </r>
  <r>
    <s v="REF0100"/>
    <s v="Souris optique"/>
    <x v="0"/>
    <x v="3"/>
    <n v="221"/>
    <n v="30"/>
    <n v="201.96"/>
    <n v="44633.16"/>
    <n v="7.3666666666666663"/>
  </r>
  <r>
    <s v="REF0289"/>
    <s v="Armoire de rangement"/>
    <x v="4"/>
    <x v="3"/>
    <n v="163"/>
    <n v="94"/>
    <n v="271.63"/>
    <n v="44275.69"/>
    <n v="1.7340425531914894"/>
  </r>
  <r>
    <s v="REF0105"/>
    <s v="Souris optique"/>
    <x v="0"/>
    <x v="3"/>
    <n v="138"/>
    <n v="37"/>
    <n v="318.57"/>
    <n v="43962.659999999996"/>
    <n v="3.7297297297297298"/>
  </r>
  <r>
    <s v="REF0161"/>
    <s v="Disque dur externe"/>
    <x v="0"/>
    <x v="3"/>
    <n v="142"/>
    <n v="96"/>
    <n v="304.74"/>
    <n v="43273.08"/>
    <n v="1.4791666666666667"/>
  </r>
  <r>
    <s v="REF0061"/>
    <s v="Chaise ergonomique"/>
    <x v="4"/>
    <x v="3"/>
    <n v="114"/>
    <n v="12"/>
    <n v="374"/>
    <n v="42636"/>
    <n v="9.5"/>
  </r>
  <r>
    <s v="REF0076"/>
    <s v="Ecran 24 pouces"/>
    <x v="0"/>
    <x v="3"/>
    <n v="144"/>
    <n v="25"/>
    <n v="271.7"/>
    <n v="39124.799999999996"/>
    <n v="5.76"/>
  </r>
  <r>
    <s v="REF0013"/>
    <s v="Agrafeuse"/>
    <x v="1"/>
    <x v="3"/>
    <n v="103"/>
    <n v="73"/>
    <n v="360.94"/>
    <n v="37176.82"/>
    <n v="1.4109589041095891"/>
  </r>
  <r>
    <s v="REF0095"/>
    <s v="Souris optique"/>
    <x v="0"/>
    <x v="3"/>
    <n v="259"/>
    <n v="62"/>
    <n v="132.88999999999999"/>
    <n v="34418.509999999995"/>
    <n v="4.17741935483871"/>
  </r>
  <r>
    <s v="REF0219"/>
    <s v="Souris optique"/>
    <x v="0"/>
    <x v="3"/>
    <n v="156"/>
    <n v="5"/>
    <n v="216.3"/>
    <n v="33742.800000000003"/>
    <n v="31.2"/>
  </r>
  <r>
    <s v="REF0327"/>
    <s v="Refrigerateur mini"/>
    <x v="2"/>
    <x v="3"/>
    <n v="185"/>
    <n v="15"/>
    <n v="177.29"/>
    <n v="32798.65"/>
    <n v="12.333333333333334"/>
  </r>
  <r>
    <s v="REF0024"/>
    <s v="Armoire de rangement"/>
    <x v="4"/>
    <x v="3"/>
    <n v="68"/>
    <n v="39"/>
    <n v="436.94"/>
    <n v="29711.919999999998"/>
    <n v="1.7435897435897436"/>
  </r>
  <r>
    <s v="REF0090"/>
    <s v="Bureau reglable"/>
    <x v="4"/>
    <x v="3"/>
    <n v="143"/>
    <n v="78"/>
    <n v="182.94"/>
    <n v="26160.42"/>
    <n v="1.8333333333333333"/>
  </r>
  <r>
    <s v="REF0006"/>
    <s v="Clavier sans fil"/>
    <x v="0"/>
    <x v="3"/>
    <n v="108"/>
    <n v="41"/>
    <n v="237.08"/>
    <n v="25604.640000000003"/>
    <n v="2.6341463414634148"/>
  </r>
  <r>
    <s v="REF0124"/>
    <s v="Marqueur"/>
    <x v="3"/>
    <x v="3"/>
    <n v="58"/>
    <n v="30"/>
    <n v="428.46"/>
    <n v="24850.68"/>
    <n v="1.9333333333333333"/>
  </r>
  <r>
    <s v="REF0257"/>
    <s v="Post-it"/>
    <x v="3"/>
    <x v="3"/>
    <n v="58"/>
    <n v="9"/>
    <n v="423.71"/>
    <n v="24575.18"/>
    <n v="6.4444444444444446"/>
  </r>
  <r>
    <s v="REF0134"/>
    <s v="Cafetiere"/>
    <x v="2"/>
    <x v="3"/>
    <n v="78"/>
    <n v="8"/>
    <n v="309.81"/>
    <n v="24165.18"/>
    <n v="9.75"/>
  </r>
  <r>
    <s v="REF0236"/>
    <s v="Chaise ergonomique"/>
    <x v="4"/>
    <x v="3"/>
    <n v="154"/>
    <n v="85"/>
    <n v="156.82"/>
    <n v="24150.28"/>
    <n v="1.8117647058823529"/>
  </r>
  <r>
    <s v="REF0276"/>
    <s v="Marqueur"/>
    <x v="3"/>
    <x v="3"/>
    <n v="66"/>
    <n v="39"/>
    <n v="362.22"/>
    <n v="23906.52"/>
    <n v="1.6923076923076923"/>
  </r>
  <r>
    <s v="REF0330"/>
    <s v="Bloc-notes"/>
    <x v="3"/>
    <x v="3"/>
    <n v="133"/>
    <n v="41"/>
    <n v="172.1"/>
    <n v="22889.3"/>
    <n v="3.2439024390243905"/>
  </r>
  <r>
    <s v="REF0010"/>
    <s v="Armoire de rangement"/>
    <x v="4"/>
    <x v="3"/>
    <n v="107"/>
    <n v="79"/>
    <n v="193.26"/>
    <n v="20678.82"/>
    <n v="1.3544303797468353"/>
  </r>
  <r>
    <s v="REF0022"/>
    <s v="Classeur"/>
    <x v="1"/>
    <x v="3"/>
    <n v="151"/>
    <n v="95"/>
    <n v="135.72"/>
    <n v="20493.72"/>
    <n v="1.5894736842105264"/>
  </r>
  <r>
    <s v="REF0297"/>
    <s v="Caisson a roulettes"/>
    <x v="4"/>
    <x v="3"/>
    <n v="94"/>
    <n v="89"/>
    <n v="216.68"/>
    <n v="20367.920000000002"/>
    <n v="1.0561797752808988"/>
  </r>
  <r>
    <s v="REF0088"/>
    <s v="Ordinateur portable"/>
    <x v="0"/>
    <x v="3"/>
    <n v="73"/>
    <n v="44"/>
    <n v="274.47000000000003"/>
    <n v="20036.310000000001"/>
    <n v="1.6590909090909092"/>
  </r>
  <r>
    <s v="REF0122"/>
    <s v="Marqueur"/>
    <x v="3"/>
    <x v="3"/>
    <n v="53"/>
    <n v="68"/>
    <n v="375.47"/>
    <n v="19899.91"/>
    <n v="0.77941176470588236"/>
  </r>
  <r>
    <s v="REF0058"/>
    <s v="Ecran 24 pouces"/>
    <x v="0"/>
    <x v="3"/>
    <n v="185"/>
    <n v="5"/>
    <n v="103.23"/>
    <n v="19097.55"/>
    <n v="37"/>
  </r>
  <r>
    <s v="REF0145"/>
    <s v="Armoire de rangement"/>
    <x v="4"/>
    <x v="3"/>
    <n v="62"/>
    <n v="29"/>
    <n v="303.83999999999997"/>
    <n v="18838.079999999998"/>
    <n v="2.1379310344827585"/>
  </r>
  <r>
    <s v="REF0028"/>
    <s v="Classeur"/>
    <x v="1"/>
    <x v="3"/>
    <n v="143"/>
    <n v="27"/>
    <n v="129.47999999999999"/>
    <n v="18515.64"/>
    <n v="5.2962962962962967"/>
  </r>
  <r>
    <s v="REF0038"/>
    <s v="Ecran 24 pouces"/>
    <x v="0"/>
    <x v="3"/>
    <n v="127"/>
    <n v="15"/>
    <n v="135.29"/>
    <n v="17181.829999999998"/>
    <n v="8.4666666666666668"/>
  </r>
  <r>
    <s v="REF0274"/>
    <s v="Caisson a roulettes"/>
    <x v="4"/>
    <x v="3"/>
    <n v="37"/>
    <n v="77"/>
    <n v="452.35"/>
    <n v="16736.95"/>
    <n v="0.48051948051948051"/>
  </r>
  <r>
    <s v="REF0346"/>
    <s v="Cahier"/>
    <x v="3"/>
    <x v="3"/>
    <n v="118"/>
    <n v="90"/>
    <n v="140.76"/>
    <n v="16609.68"/>
    <n v="1.3111111111111111"/>
  </r>
  <r>
    <s v="REF0005"/>
    <s v="Bouilloire"/>
    <x v="2"/>
    <x v="3"/>
    <n v="163"/>
    <n v="11"/>
    <n v="92.51"/>
    <n v="15079.130000000001"/>
    <n v="14.818181818181818"/>
  </r>
  <r>
    <s v="REF0193"/>
    <s v="Marqueur"/>
    <x v="3"/>
    <x v="3"/>
    <n v="265"/>
    <n v="60"/>
    <n v="56.37"/>
    <n v="14938.05"/>
    <n v="4.416666666666667"/>
  </r>
  <r>
    <s v="REF0036"/>
    <s v="Refrigerateur mini"/>
    <x v="2"/>
    <x v="3"/>
    <n v="51"/>
    <n v="97"/>
    <n v="264.33999999999997"/>
    <n v="13481.339999999998"/>
    <n v="0.52577319587628868"/>
  </r>
  <r>
    <s v="REF0174"/>
    <s v="Cahier"/>
    <x v="3"/>
    <x v="3"/>
    <n v="26"/>
    <n v="38"/>
    <n v="441.89"/>
    <n v="11489.14"/>
    <n v="0.68421052631578949"/>
  </r>
  <r>
    <s v="REF0133"/>
    <s v="Classeur"/>
    <x v="1"/>
    <x v="3"/>
    <n v="165"/>
    <n v="31"/>
    <n v="48.44"/>
    <n v="7992.5999999999995"/>
    <n v="5.32258064516129"/>
  </r>
  <r>
    <s v="REF0221"/>
    <s v="Clavier sans fil"/>
    <x v="0"/>
    <x v="3"/>
    <n v="73"/>
    <n v="98"/>
    <n v="99.97"/>
    <n v="7297.8099999999995"/>
    <n v="0.74489795918367352"/>
  </r>
  <r>
    <s v="REF0238"/>
    <s v="Cahier"/>
    <x v="3"/>
    <x v="3"/>
    <n v="126"/>
    <n v="31"/>
    <n v="53.6"/>
    <n v="6753.6"/>
    <n v="4.064516129032258"/>
  </r>
  <r>
    <s v="REF0270"/>
    <s v="Post-it"/>
    <x v="3"/>
    <x v="3"/>
    <n v="204"/>
    <n v="84"/>
    <n v="30.21"/>
    <n v="6162.84"/>
    <n v="2.4285714285714284"/>
  </r>
  <r>
    <s v="REF0072"/>
    <s v="Caisson a roulettes"/>
    <x v="4"/>
    <x v="3"/>
    <n v="28"/>
    <n v="33"/>
    <n v="197.36"/>
    <n v="5526.08"/>
    <n v="0.84848484848484851"/>
  </r>
  <r>
    <s v="REF0138"/>
    <s v="Ecran 24 pouces"/>
    <x v="0"/>
    <x v="3"/>
    <n v="11"/>
    <n v="86"/>
    <n v="492.43"/>
    <n v="5416.7300000000005"/>
    <n v="0.12790697674418605"/>
  </r>
  <r>
    <s v="REF0045"/>
    <s v="Caisson a roulettes"/>
    <x v="4"/>
    <x v="3"/>
    <n v="57"/>
    <n v="67"/>
    <n v="86.44"/>
    <n v="4927.08"/>
    <n v="0.85074626865671643"/>
  </r>
  <r>
    <s v="REF0201"/>
    <s v="Micro-ondes"/>
    <x v="2"/>
    <x v="3"/>
    <n v="10"/>
    <n v="27"/>
    <n v="487.24"/>
    <n v="4872.3999999999996"/>
    <n v="0.37037037037037035"/>
  </r>
  <r>
    <s v="REF0241"/>
    <s v="Marqueur"/>
    <x v="3"/>
    <x v="3"/>
    <n v="63"/>
    <n v="60"/>
    <n v="74.83"/>
    <n v="4714.29"/>
    <n v="1.05"/>
  </r>
  <r>
    <s v="REF0194"/>
    <s v="Bureau reglable"/>
    <x v="4"/>
    <x v="3"/>
    <n v="112"/>
    <n v="19"/>
    <n v="28.46"/>
    <n v="3187.52"/>
    <n v="5.8947368421052628"/>
  </r>
  <r>
    <s v="REF0023"/>
    <s v="Chaise ergonomique"/>
    <x v="4"/>
    <x v="3"/>
    <n v="23"/>
    <n v="73"/>
    <n v="120.63"/>
    <n v="2774.49"/>
    <n v="0.31506849315068491"/>
  </r>
  <r>
    <s v="REF0064"/>
    <s v="Bloc-notes"/>
    <x v="3"/>
    <x v="3"/>
    <n v="15"/>
    <n v="23"/>
    <n v="183.89"/>
    <n v="2758.35"/>
    <n v="0.65217391304347827"/>
  </r>
  <r>
    <s v="REF0068"/>
    <s v="Ramette papier A4"/>
    <x v="1"/>
    <x v="3"/>
    <n v="79"/>
    <n v="0"/>
    <n v="31.88"/>
    <n v="2518.52"/>
    <s v="Seuil non defini"/>
  </r>
  <r>
    <s v="REF0307"/>
    <s v="Classeur"/>
    <x v="1"/>
    <x v="3"/>
    <n v="227"/>
    <n v="64"/>
    <n v="10.6"/>
    <n v="2406.1999999999998"/>
    <n v="3.546875"/>
  </r>
  <r>
    <s v="REF0037"/>
    <s v="Cahier"/>
    <x v="3"/>
    <x v="3"/>
    <n v="193"/>
    <n v="54"/>
    <n v="12.32"/>
    <n v="2377.7600000000002"/>
    <n v="3.574074074074074"/>
  </r>
  <r>
    <s v="REF0121"/>
    <s v="Ramette papier A4"/>
    <x v="1"/>
    <x v="3"/>
    <n v="44"/>
    <n v="18"/>
    <n v="46.64"/>
    <n v="2052.16"/>
    <n v="2.4444444444444446"/>
  </r>
  <r>
    <s v="REF0231"/>
    <s v="Armoire de rangement"/>
    <x v="4"/>
    <x v="3"/>
    <n v="27"/>
    <n v="55"/>
    <n v="64.72"/>
    <n v="1747.44"/>
    <n v="0.49090909090909091"/>
  </r>
  <r>
    <s v="REF0165"/>
    <s v="Marqueur"/>
    <x v="3"/>
    <x v="3"/>
    <n v="121"/>
    <n v="78"/>
    <n v="12.59"/>
    <n v="1523.3899999999999"/>
    <n v="1.5512820512820513"/>
  </r>
  <r>
    <s v="REF0254"/>
    <s v="Ordinateur portable"/>
    <x v="0"/>
    <x v="3"/>
    <n v="15"/>
    <n v="98"/>
    <n v="81.27"/>
    <n v="1219.05"/>
    <n v="0.15306122448979592"/>
  </r>
  <r>
    <s v="REF0158"/>
    <s v="Classeur"/>
    <x v="1"/>
    <x v="3"/>
    <n v="160"/>
    <n v="20"/>
    <n v="6.8"/>
    <n v="1088"/>
    <n v="8"/>
  </r>
  <r>
    <s v="REF0283"/>
    <s v="Bureau reglable"/>
    <x v="4"/>
    <x v="3"/>
    <n v="5"/>
    <n v="34"/>
    <n v="207.71"/>
    <n v="1038.55"/>
    <n v="0.14705882352941177"/>
  </r>
  <r>
    <s v="REF0232"/>
    <s v="Refrigerateur mini"/>
    <x v="2"/>
    <x v="3"/>
    <n v="27"/>
    <n v="15"/>
    <n v="29.24"/>
    <n v="789.4799999999999"/>
    <n v="1.8"/>
  </r>
  <r>
    <s v="REF0261"/>
    <s v="Bouilloire"/>
    <x v="2"/>
    <x v="3"/>
    <n v="44"/>
    <n v="79"/>
    <n v="14.07"/>
    <n v="619.08000000000004"/>
    <n v="0.55696202531645567"/>
  </r>
  <r>
    <s v="REF0237"/>
    <s v="Bouilloire"/>
    <x v="2"/>
    <x v="3"/>
    <n v="58"/>
    <n v="13"/>
    <n v="2.02"/>
    <n v="117.16"/>
    <n v="4.46153846153846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C85E3-0C17-4652-8261-6DE45B1B65DE}" name="TCD_Vendeur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4" firstHeaderRow="1" firstDataRow="1" firstDataCol="1"/>
  <pivotFields count="9">
    <pivotField dataField="1" showAll="0"/>
    <pivotField numFmtId="14" showAll="0"/>
    <pivotField showAll="0"/>
    <pivotField showAll="0"/>
    <pivotField axis="axisRow" showAll="0" sortType="descending">
      <items count="11">
        <item x="0"/>
        <item x="7"/>
        <item x="3"/>
        <item x="4"/>
        <item x="2"/>
        <item x="8"/>
        <item x="5"/>
        <item x="1"/>
        <item x="6"/>
        <item x="9"/>
        <item t="default"/>
      </items>
    </pivotField>
    <pivotField showAll="0"/>
    <pivotField showAll="0"/>
    <pivotField showAll="0"/>
    <pivotField numFmtId="164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Nombre de command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BE6A7F-A466-4BF8-BE64-9812B5E8E160}" name="TCD_Region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G12" firstHeaderRow="1" firstDataRow="2" firstDataCol="1" rowPageCount="1" colPageCount="1"/>
  <pivotFields count="9">
    <pivotField showAll="0"/>
    <pivotField numFmtId="14" showAll="0"/>
    <pivotField showAll="0"/>
    <pivotField axis="axisRow" showAll="0">
      <items count="8">
        <item x="2"/>
        <item x="1"/>
        <item x="6"/>
        <item x="3"/>
        <item x="4"/>
        <item x="0"/>
        <item x="5"/>
        <item t="default"/>
      </items>
    </pivotField>
    <pivotField name="TCD 1 - Montant total par Region et par Categorie (filtre : Vendeur)" axis="axisPage" showAll="0">
      <items count="11">
        <item x="9"/>
        <item x="6"/>
        <item x="1"/>
        <item x="5"/>
        <item x="8"/>
        <item x="2"/>
        <item x="4"/>
        <item x="3"/>
        <item x="7"/>
        <item x="0"/>
        <item t="default"/>
      </items>
    </pivotField>
    <pivotField showAll="0"/>
    <pivotField axis="axisCol" showAll="0">
      <items count="6">
        <item x="1"/>
        <item x="4"/>
        <item x="2"/>
        <item x="0"/>
        <item x="3"/>
        <item t="default"/>
      </items>
    </pivotField>
    <pivotField showAll="0"/>
    <pivotField dataField="1" numFmtId="164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4" hier="-1"/>
  </pageFields>
  <dataFields count="1">
    <dataField name="Somme du montant" fld="8" baseField="0" baseItem="0" numFmtId="168"/>
  </dataFields>
  <formats count="1">
    <format dxfId="3">
      <pivotArea field="4" type="button" dataOnly="0" labelOnly="1" outline="0" axis="axisPage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B1F02F-60C6-48BA-A809-0B9F8F67165D}" name="TCD_Stock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G9" firstHeaderRow="1" firstDataRow="2" firstDataCol="1"/>
  <pivotFields count="9">
    <pivotField showAll="0"/>
    <pivotField showAll="0"/>
    <pivotField axis="axisCol" showAll="0">
      <items count="6">
        <item x="2"/>
        <item x="1"/>
        <item x="0"/>
        <item x="4"/>
        <item x="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numFmtId="164" showAll="0"/>
    <pivotField dataField="1" numFmtId="164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me valeur stock" fld="7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06"/>
  <sheetViews>
    <sheetView tabSelected="1" zoomScaleNormal="100" workbookViewId="0">
      <pane ySplit="4" topLeftCell="A5" activePane="bottomLeft" state="frozen"/>
      <selection pane="bottomLeft" sqref="A1:J1"/>
    </sheetView>
  </sheetViews>
  <sheetFormatPr baseColWidth="10" defaultColWidth="8.7109375" defaultRowHeight="15" x14ac:dyDescent="0.25"/>
  <cols>
    <col min="1" max="1" width="124.42578125" bestFit="1" customWidth="1"/>
    <col min="2" max="2" width="10.140625" bestFit="1" customWidth="1"/>
    <col min="3" max="3" width="15.140625" bestFit="1" customWidth="1"/>
    <col min="4" max="4" width="24.28515625" bestFit="1" customWidth="1"/>
    <col min="5" max="5" width="19.42578125" bestFit="1" customWidth="1"/>
    <col min="6" max="6" width="14.42578125" bestFit="1" customWidth="1"/>
    <col min="7" max="7" width="13.28515625" bestFit="1" customWidth="1"/>
    <col min="8" max="8" width="16.85546875" bestFit="1" customWidth="1"/>
    <col min="9" max="9" width="12.85546875" bestFit="1" customWidth="1"/>
    <col min="10" max="10" width="14.42578125" bestFit="1" customWidth="1"/>
  </cols>
  <sheetData>
    <row r="1" spans="1:10" ht="25.5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25">
      <c r="A2" s="4" t="s">
        <v>1</v>
      </c>
    </row>
    <row r="4" spans="1:10" ht="27.75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idden="1" x14ac:dyDescent="0.25">
      <c r="A5" s="2" t="s">
        <v>90</v>
      </c>
      <c r="B5" s="6">
        <v>46027</v>
      </c>
      <c r="C5" s="2" t="s">
        <v>42</v>
      </c>
      <c r="D5" s="2" t="s">
        <v>54</v>
      </c>
      <c r="E5" s="2" t="s">
        <v>36</v>
      </c>
      <c r="F5" s="2" t="s">
        <v>21</v>
      </c>
      <c r="G5" s="2">
        <v>40</v>
      </c>
      <c r="H5" s="7">
        <v>787.15</v>
      </c>
      <c r="I5" s="7">
        <f t="shared" ref="I5:I68" si="0">G5*H5</f>
        <v>31486</v>
      </c>
      <c r="J5" s="8">
        <v>0.42</v>
      </c>
    </row>
    <row r="6" spans="1:10" hidden="1" x14ac:dyDescent="0.25">
      <c r="A6" s="2" t="s">
        <v>207</v>
      </c>
      <c r="B6" s="6">
        <v>46090</v>
      </c>
      <c r="C6" s="2" t="s">
        <v>35</v>
      </c>
      <c r="D6" s="2" t="s">
        <v>54</v>
      </c>
      <c r="E6" s="2" t="s">
        <v>96</v>
      </c>
      <c r="F6" s="2" t="s">
        <v>50</v>
      </c>
      <c r="G6" s="2">
        <v>43</v>
      </c>
      <c r="H6" s="7">
        <v>693.69</v>
      </c>
      <c r="I6" s="7">
        <f t="shared" si="0"/>
        <v>29828.670000000002</v>
      </c>
      <c r="J6" s="8">
        <v>0.37</v>
      </c>
    </row>
    <row r="7" spans="1:10" hidden="1" x14ac:dyDescent="0.25">
      <c r="A7" s="2" t="s">
        <v>343</v>
      </c>
      <c r="B7" s="6">
        <v>46034</v>
      </c>
      <c r="C7" s="2" t="s">
        <v>79</v>
      </c>
      <c r="D7" s="2" t="s">
        <v>54</v>
      </c>
      <c r="E7" s="2" t="s">
        <v>67</v>
      </c>
      <c r="F7" s="2" t="s">
        <v>21</v>
      </c>
      <c r="G7" s="2">
        <v>44</v>
      </c>
      <c r="H7" s="7">
        <v>646.29999999999995</v>
      </c>
      <c r="I7" s="7">
        <f t="shared" si="0"/>
        <v>28437.199999999997</v>
      </c>
      <c r="J7" s="8">
        <v>0.38</v>
      </c>
    </row>
    <row r="8" spans="1:10" hidden="1" x14ac:dyDescent="0.25">
      <c r="A8" s="2" t="s">
        <v>303</v>
      </c>
      <c r="B8" s="6">
        <v>46262</v>
      </c>
      <c r="C8" s="2" t="s">
        <v>47</v>
      </c>
      <c r="D8" s="2" t="s">
        <v>54</v>
      </c>
      <c r="E8" s="2" t="s">
        <v>123</v>
      </c>
      <c r="F8" s="2" t="s">
        <v>50</v>
      </c>
      <c r="G8" s="2">
        <v>32</v>
      </c>
      <c r="H8" s="7">
        <v>796.79</v>
      </c>
      <c r="I8" s="7">
        <f t="shared" si="0"/>
        <v>25497.279999999999</v>
      </c>
      <c r="J8" s="8">
        <v>0.25</v>
      </c>
    </row>
    <row r="9" spans="1:10" hidden="1" x14ac:dyDescent="0.25">
      <c r="A9" s="2" t="s">
        <v>174</v>
      </c>
      <c r="B9" s="6">
        <v>46216</v>
      </c>
      <c r="C9" s="2" t="s">
        <v>47</v>
      </c>
      <c r="D9" s="2" t="s">
        <v>54</v>
      </c>
      <c r="E9" s="2" t="s">
        <v>102</v>
      </c>
      <c r="F9" s="2" t="s">
        <v>31</v>
      </c>
      <c r="G9" s="2">
        <v>36</v>
      </c>
      <c r="H9" s="7">
        <v>611.25</v>
      </c>
      <c r="I9" s="7">
        <f t="shared" si="0"/>
        <v>22005</v>
      </c>
      <c r="J9" s="8">
        <v>0.4</v>
      </c>
    </row>
    <row r="10" spans="1:10" hidden="1" x14ac:dyDescent="0.25">
      <c r="A10" s="2" t="s">
        <v>312</v>
      </c>
      <c r="B10" s="6">
        <v>46273</v>
      </c>
      <c r="C10" s="2" t="s">
        <v>85</v>
      </c>
      <c r="D10" s="2" t="s">
        <v>54</v>
      </c>
      <c r="E10" s="2" t="s">
        <v>102</v>
      </c>
      <c r="F10" s="2" t="s">
        <v>31</v>
      </c>
      <c r="G10" s="2">
        <v>33</v>
      </c>
      <c r="H10" s="7">
        <v>663.32</v>
      </c>
      <c r="I10" s="7">
        <f t="shared" si="0"/>
        <v>21889.56</v>
      </c>
      <c r="J10" s="8">
        <v>0.24</v>
      </c>
    </row>
    <row r="11" spans="1:10" x14ac:dyDescent="0.25">
      <c r="A11" s="2" t="s">
        <v>86</v>
      </c>
      <c r="B11" s="6">
        <v>46290</v>
      </c>
      <c r="C11" s="2" t="s">
        <v>28</v>
      </c>
      <c r="D11" s="2" t="s">
        <v>54</v>
      </c>
      <c r="E11" s="2" t="s">
        <v>33</v>
      </c>
      <c r="F11" s="2" t="s">
        <v>16</v>
      </c>
      <c r="G11" s="2">
        <v>43</v>
      </c>
      <c r="H11" s="7">
        <v>468.6</v>
      </c>
      <c r="I11" s="7">
        <f t="shared" si="0"/>
        <v>20149.8</v>
      </c>
      <c r="J11" s="8">
        <v>0.13</v>
      </c>
    </row>
    <row r="12" spans="1:10" hidden="1" x14ac:dyDescent="0.25">
      <c r="A12" s="2" t="s">
        <v>186</v>
      </c>
      <c r="B12" s="6">
        <v>46060</v>
      </c>
      <c r="C12" s="2" t="s">
        <v>47</v>
      </c>
      <c r="D12" s="2" t="s">
        <v>54</v>
      </c>
      <c r="E12" s="2" t="s">
        <v>74</v>
      </c>
      <c r="F12" s="2" t="s">
        <v>56</v>
      </c>
      <c r="G12" s="2">
        <v>44</v>
      </c>
      <c r="H12" s="7">
        <v>439.09</v>
      </c>
      <c r="I12" s="7">
        <f t="shared" si="0"/>
        <v>19319.96</v>
      </c>
      <c r="J12" s="8">
        <v>0.45</v>
      </c>
    </row>
    <row r="13" spans="1:10" hidden="1" x14ac:dyDescent="0.25">
      <c r="A13" s="2" t="s">
        <v>353</v>
      </c>
      <c r="B13" s="6">
        <v>46187</v>
      </c>
      <c r="C13" s="2" t="s">
        <v>23</v>
      </c>
      <c r="D13" s="2" t="s">
        <v>54</v>
      </c>
      <c r="E13" s="2" t="s">
        <v>49</v>
      </c>
      <c r="F13" s="2" t="s">
        <v>50</v>
      </c>
      <c r="G13" s="2">
        <v>37</v>
      </c>
      <c r="H13" s="7">
        <v>479.94</v>
      </c>
      <c r="I13" s="7">
        <f t="shared" si="0"/>
        <v>17757.78</v>
      </c>
      <c r="J13" s="8">
        <v>0.4</v>
      </c>
    </row>
    <row r="14" spans="1:10" hidden="1" x14ac:dyDescent="0.25">
      <c r="A14" s="2" t="s">
        <v>281</v>
      </c>
      <c r="B14" s="6">
        <v>46093</v>
      </c>
      <c r="C14" s="2" t="s">
        <v>42</v>
      </c>
      <c r="D14" s="2" t="s">
        <v>54</v>
      </c>
      <c r="E14" s="2" t="s">
        <v>102</v>
      </c>
      <c r="F14" s="2" t="s">
        <v>31</v>
      </c>
      <c r="G14" s="2">
        <v>29</v>
      </c>
      <c r="H14" s="7">
        <v>611.41999999999996</v>
      </c>
      <c r="I14" s="7">
        <f t="shared" si="0"/>
        <v>17731.18</v>
      </c>
      <c r="J14" s="8">
        <v>0.21</v>
      </c>
    </row>
    <row r="15" spans="1:10" hidden="1" x14ac:dyDescent="0.25">
      <c r="A15" s="2" t="s">
        <v>267</v>
      </c>
      <c r="B15" s="6">
        <v>46045</v>
      </c>
      <c r="C15" s="2" t="s">
        <v>79</v>
      </c>
      <c r="D15" s="2" t="s">
        <v>54</v>
      </c>
      <c r="E15" s="2" t="s">
        <v>20</v>
      </c>
      <c r="F15" s="2" t="s">
        <v>21</v>
      </c>
      <c r="G15" s="2">
        <v>25</v>
      </c>
      <c r="H15" s="7">
        <v>699.17</v>
      </c>
      <c r="I15" s="7">
        <f t="shared" si="0"/>
        <v>17479.25</v>
      </c>
      <c r="J15" s="8">
        <v>0.15</v>
      </c>
    </row>
    <row r="16" spans="1:10" x14ac:dyDescent="0.25">
      <c r="A16" s="2" t="s">
        <v>60</v>
      </c>
      <c r="B16" s="6">
        <v>46124</v>
      </c>
      <c r="C16" s="2" t="s">
        <v>13</v>
      </c>
      <c r="D16" s="2" t="s">
        <v>54</v>
      </c>
      <c r="E16" s="2" t="s">
        <v>61</v>
      </c>
      <c r="F16" s="2" t="s">
        <v>16</v>
      </c>
      <c r="G16" s="2">
        <v>41</v>
      </c>
      <c r="H16" s="7">
        <v>408.1</v>
      </c>
      <c r="I16" s="7">
        <f t="shared" si="0"/>
        <v>16732.100000000002</v>
      </c>
      <c r="J16" s="8">
        <v>0.36</v>
      </c>
    </row>
    <row r="17" spans="1:10" hidden="1" x14ac:dyDescent="0.25">
      <c r="A17" s="2" t="s">
        <v>289</v>
      </c>
      <c r="B17" s="6">
        <v>46060</v>
      </c>
      <c r="C17" s="2" t="s">
        <v>13</v>
      </c>
      <c r="D17" s="2" t="s">
        <v>54</v>
      </c>
      <c r="E17" s="2" t="s">
        <v>112</v>
      </c>
      <c r="F17" s="2" t="s">
        <v>56</v>
      </c>
      <c r="G17" s="2">
        <v>50</v>
      </c>
      <c r="H17" s="7">
        <v>329.91</v>
      </c>
      <c r="I17" s="7">
        <f t="shared" si="0"/>
        <v>16495.5</v>
      </c>
      <c r="J17" s="8">
        <v>0.31</v>
      </c>
    </row>
    <row r="18" spans="1:10" hidden="1" x14ac:dyDescent="0.25">
      <c r="A18" s="2" t="s">
        <v>89</v>
      </c>
      <c r="B18" s="6">
        <v>46148</v>
      </c>
      <c r="C18" s="2" t="s">
        <v>28</v>
      </c>
      <c r="D18" s="2" t="s">
        <v>54</v>
      </c>
      <c r="E18" s="2" t="s">
        <v>40</v>
      </c>
      <c r="F18" s="2" t="s">
        <v>31</v>
      </c>
      <c r="G18" s="2">
        <v>23</v>
      </c>
      <c r="H18" s="7">
        <v>705.17</v>
      </c>
      <c r="I18" s="7">
        <f t="shared" si="0"/>
        <v>16218.91</v>
      </c>
      <c r="J18" s="8">
        <v>0.11</v>
      </c>
    </row>
    <row r="19" spans="1:10" hidden="1" x14ac:dyDescent="0.25">
      <c r="A19" s="2" t="s">
        <v>318</v>
      </c>
      <c r="B19" s="6">
        <v>46258</v>
      </c>
      <c r="C19" s="2" t="s">
        <v>42</v>
      </c>
      <c r="D19" s="2" t="s">
        <v>54</v>
      </c>
      <c r="E19" s="2" t="s">
        <v>112</v>
      </c>
      <c r="F19" s="2" t="s">
        <v>56</v>
      </c>
      <c r="G19" s="2">
        <v>21</v>
      </c>
      <c r="H19" s="7">
        <v>765.52</v>
      </c>
      <c r="I19" s="7">
        <f t="shared" si="0"/>
        <v>16075.92</v>
      </c>
      <c r="J19" s="8">
        <v>0.27</v>
      </c>
    </row>
    <row r="20" spans="1:10" hidden="1" x14ac:dyDescent="0.25">
      <c r="A20" s="2" t="s">
        <v>167</v>
      </c>
      <c r="B20" s="6">
        <v>46049</v>
      </c>
      <c r="C20" s="2" t="s">
        <v>23</v>
      </c>
      <c r="D20" s="2" t="s">
        <v>54</v>
      </c>
      <c r="E20" s="2" t="s">
        <v>69</v>
      </c>
      <c r="F20" s="2" t="s">
        <v>31</v>
      </c>
      <c r="G20" s="2">
        <v>41</v>
      </c>
      <c r="H20" s="7">
        <v>355.86</v>
      </c>
      <c r="I20" s="7">
        <f t="shared" si="0"/>
        <v>14590.26</v>
      </c>
      <c r="J20" s="8">
        <v>0.27</v>
      </c>
    </row>
    <row r="21" spans="1:10" hidden="1" x14ac:dyDescent="0.25">
      <c r="A21" s="2" t="s">
        <v>193</v>
      </c>
      <c r="B21" s="6">
        <v>46162</v>
      </c>
      <c r="C21" s="2" t="s">
        <v>13</v>
      </c>
      <c r="D21" s="2" t="s">
        <v>54</v>
      </c>
      <c r="E21" s="2" t="s">
        <v>36</v>
      </c>
      <c r="F21" s="2" t="s">
        <v>21</v>
      </c>
      <c r="G21" s="2">
        <v>34</v>
      </c>
      <c r="H21" s="7">
        <v>403.43</v>
      </c>
      <c r="I21" s="7">
        <f t="shared" si="0"/>
        <v>13716.62</v>
      </c>
      <c r="J21" s="8">
        <v>0.42</v>
      </c>
    </row>
    <row r="22" spans="1:10" hidden="1" x14ac:dyDescent="0.25">
      <c r="A22" s="2" t="s">
        <v>145</v>
      </c>
      <c r="B22" s="6">
        <v>46161</v>
      </c>
      <c r="C22" s="2" t="s">
        <v>38</v>
      </c>
      <c r="D22" s="2" t="s">
        <v>54</v>
      </c>
      <c r="E22" s="2" t="s">
        <v>36</v>
      </c>
      <c r="F22" s="2" t="s">
        <v>21</v>
      </c>
      <c r="G22" s="2">
        <v>23</v>
      </c>
      <c r="H22" s="7">
        <v>563.47</v>
      </c>
      <c r="I22" s="7">
        <f t="shared" si="0"/>
        <v>12959.810000000001</v>
      </c>
      <c r="J22" s="8">
        <v>0.14000000000000001</v>
      </c>
    </row>
    <row r="23" spans="1:10" x14ac:dyDescent="0.25">
      <c r="A23" s="2" t="s">
        <v>313</v>
      </c>
      <c r="B23" s="6">
        <v>46236</v>
      </c>
      <c r="C23" s="2" t="s">
        <v>85</v>
      </c>
      <c r="D23" s="2" t="s">
        <v>54</v>
      </c>
      <c r="E23" s="2" t="s">
        <v>61</v>
      </c>
      <c r="F23" s="2" t="s">
        <v>16</v>
      </c>
      <c r="G23" s="2">
        <v>22</v>
      </c>
      <c r="H23" s="7">
        <v>540.35</v>
      </c>
      <c r="I23" s="7">
        <f t="shared" si="0"/>
        <v>11887.7</v>
      </c>
      <c r="J23" s="8">
        <v>0.37</v>
      </c>
    </row>
    <row r="24" spans="1:10" x14ac:dyDescent="0.25">
      <c r="A24" s="2" t="s">
        <v>103</v>
      </c>
      <c r="B24" s="6">
        <v>46227</v>
      </c>
      <c r="C24" s="2" t="s">
        <v>42</v>
      </c>
      <c r="D24" s="2" t="s">
        <v>54</v>
      </c>
      <c r="E24" s="2" t="s">
        <v>61</v>
      </c>
      <c r="F24" s="2" t="s">
        <v>16</v>
      </c>
      <c r="G24" s="2">
        <v>23</v>
      </c>
      <c r="H24" s="7">
        <v>514.62</v>
      </c>
      <c r="I24" s="7">
        <f t="shared" si="0"/>
        <v>11836.26</v>
      </c>
      <c r="J24" s="8">
        <v>0.43</v>
      </c>
    </row>
    <row r="25" spans="1:10" hidden="1" x14ac:dyDescent="0.25">
      <c r="A25" s="2" t="s">
        <v>195</v>
      </c>
      <c r="B25" s="6">
        <v>46225</v>
      </c>
      <c r="C25" s="2" t="s">
        <v>35</v>
      </c>
      <c r="D25" s="2" t="s">
        <v>54</v>
      </c>
      <c r="E25" s="2" t="s">
        <v>52</v>
      </c>
      <c r="F25" s="2" t="s">
        <v>50</v>
      </c>
      <c r="G25" s="2">
        <v>36</v>
      </c>
      <c r="H25" s="7">
        <v>295.16000000000003</v>
      </c>
      <c r="I25" s="7">
        <f t="shared" si="0"/>
        <v>10625.76</v>
      </c>
      <c r="J25" s="8">
        <v>0.26</v>
      </c>
    </row>
    <row r="26" spans="1:10" hidden="1" x14ac:dyDescent="0.25">
      <c r="A26" s="2" t="s">
        <v>175</v>
      </c>
      <c r="B26" s="6">
        <v>46233</v>
      </c>
      <c r="C26" s="2" t="s">
        <v>35</v>
      </c>
      <c r="D26" s="2" t="s">
        <v>54</v>
      </c>
      <c r="E26" s="2" t="s">
        <v>52</v>
      </c>
      <c r="F26" s="2" t="s">
        <v>50</v>
      </c>
      <c r="G26" s="2">
        <v>15</v>
      </c>
      <c r="H26" s="7">
        <v>685.39</v>
      </c>
      <c r="I26" s="7">
        <f t="shared" si="0"/>
        <v>10280.85</v>
      </c>
      <c r="J26" s="8">
        <v>0.35</v>
      </c>
    </row>
    <row r="27" spans="1:10" hidden="1" x14ac:dyDescent="0.25">
      <c r="A27" s="2" t="s">
        <v>62</v>
      </c>
      <c r="B27" s="6">
        <v>46032</v>
      </c>
      <c r="C27" s="2" t="s">
        <v>18</v>
      </c>
      <c r="D27" s="2" t="s">
        <v>54</v>
      </c>
      <c r="E27" s="2" t="s">
        <v>20</v>
      </c>
      <c r="F27" s="2" t="s">
        <v>21</v>
      </c>
      <c r="G27" s="2">
        <v>39</v>
      </c>
      <c r="H27" s="7">
        <v>262.02999999999997</v>
      </c>
      <c r="I27" s="7">
        <f t="shared" si="0"/>
        <v>10219.169999999998</v>
      </c>
      <c r="J27" s="8">
        <v>0.4</v>
      </c>
    </row>
    <row r="28" spans="1:10" hidden="1" x14ac:dyDescent="0.25">
      <c r="A28" s="2" t="s">
        <v>319</v>
      </c>
      <c r="B28" s="6">
        <v>46165</v>
      </c>
      <c r="C28" s="2" t="s">
        <v>42</v>
      </c>
      <c r="D28" s="2" t="s">
        <v>54</v>
      </c>
      <c r="E28" s="2" t="s">
        <v>69</v>
      </c>
      <c r="F28" s="2" t="s">
        <v>31</v>
      </c>
      <c r="G28" s="2">
        <v>13</v>
      </c>
      <c r="H28" s="7">
        <v>766.04</v>
      </c>
      <c r="I28" s="7">
        <f t="shared" si="0"/>
        <v>9958.52</v>
      </c>
      <c r="J28" s="8">
        <v>0.14000000000000001</v>
      </c>
    </row>
    <row r="29" spans="1:10" hidden="1" x14ac:dyDescent="0.25">
      <c r="A29" s="2" t="s">
        <v>53</v>
      </c>
      <c r="B29" s="6">
        <v>46262</v>
      </c>
      <c r="C29" s="2" t="s">
        <v>42</v>
      </c>
      <c r="D29" s="2" t="s">
        <v>54</v>
      </c>
      <c r="E29" s="2" t="s">
        <v>55</v>
      </c>
      <c r="F29" s="2" t="s">
        <v>56</v>
      </c>
      <c r="G29" s="2">
        <v>25</v>
      </c>
      <c r="H29" s="7">
        <v>307.77</v>
      </c>
      <c r="I29" s="7">
        <f t="shared" si="0"/>
        <v>7694.25</v>
      </c>
      <c r="J29" s="8">
        <v>0.44</v>
      </c>
    </row>
    <row r="30" spans="1:10" hidden="1" x14ac:dyDescent="0.25">
      <c r="A30" s="2" t="s">
        <v>327</v>
      </c>
      <c r="B30" s="6">
        <v>46170</v>
      </c>
      <c r="C30" s="2" t="s">
        <v>28</v>
      </c>
      <c r="D30" s="2" t="s">
        <v>54</v>
      </c>
      <c r="E30" s="2" t="s">
        <v>112</v>
      </c>
      <c r="F30" s="2" t="s">
        <v>56</v>
      </c>
      <c r="G30" s="2">
        <v>42</v>
      </c>
      <c r="H30" s="7">
        <v>162.77000000000001</v>
      </c>
      <c r="I30" s="7">
        <f t="shared" si="0"/>
        <v>6836.34</v>
      </c>
      <c r="J30" s="8">
        <v>0.31</v>
      </c>
    </row>
    <row r="31" spans="1:10" hidden="1" x14ac:dyDescent="0.25">
      <c r="A31" s="2" t="s">
        <v>266</v>
      </c>
      <c r="B31" s="6">
        <v>46066</v>
      </c>
      <c r="C31" s="2" t="s">
        <v>42</v>
      </c>
      <c r="D31" s="2" t="s">
        <v>54</v>
      </c>
      <c r="E31" s="2" t="s">
        <v>67</v>
      </c>
      <c r="F31" s="2" t="s">
        <v>21</v>
      </c>
      <c r="G31" s="2">
        <v>12</v>
      </c>
      <c r="H31" s="7">
        <v>532.84</v>
      </c>
      <c r="I31" s="7">
        <f t="shared" si="0"/>
        <v>6394.08</v>
      </c>
      <c r="J31" s="8">
        <v>0.08</v>
      </c>
    </row>
    <row r="32" spans="1:10" x14ac:dyDescent="0.25">
      <c r="A32" s="2" t="s">
        <v>306</v>
      </c>
      <c r="B32" s="6">
        <v>46210</v>
      </c>
      <c r="C32" s="2" t="s">
        <v>79</v>
      </c>
      <c r="D32" s="2" t="s">
        <v>54</v>
      </c>
      <c r="E32" s="2" t="s">
        <v>33</v>
      </c>
      <c r="F32" s="2" t="s">
        <v>16</v>
      </c>
      <c r="G32" s="2">
        <v>9</v>
      </c>
      <c r="H32" s="7">
        <v>706.43</v>
      </c>
      <c r="I32" s="7">
        <f t="shared" si="0"/>
        <v>6357.87</v>
      </c>
      <c r="J32" s="8">
        <v>7.0000000000000007E-2</v>
      </c>
    </row>
    <row r="33" spans="1:10" x14ac:dyDescent="0.25">
      <c r="A33" s="2" t="s">
        <v>182</v>
      </c>
      <c r="B33" s="6">
        <v>46037</v>
      </c>
      <c r="C33" s="2" t="s">
        <v>35</v>
      </c>
      <c r="D33" s="2" t="s">
        <v>54</v>
      </c>
      <c r="E33" s="2" t="s">
        <v>33</v>
      </c>
      <c r="F33" s="2" t="s">
        <v>16</v>
      </c>
      <c r="G33" s="2">
        <v>11</v>
      </c>
      <c r="H33" s="7">
        <v>556.41999999999996</v>
      </c>
      <c r="I33" s="7">
        <f t="shared" si="0"/>
        <v>6120.62</v>
      </c>
      <c r="J33" s="8">
        <v>0.37</v>
      </c>
    </row>
    <row r="34" spans="1:10" hidden="1" x14ac:dyDescent="0.25">
      <c r="A34" s="2" t="s">
        <v>185</v>
      </c>
      <c r="B34" s="6">
        <v>46153</v>
      </c>
      <c r="C34" s="2" t="s">
        <v>47</v>
      </c>
      <c r="D34" s="2" t="s">
        <v>54</v>
      </c>
      <c r="E34" s="2" t="s">
        <v>43</v>
      </c>
      <c r="F34" s="2" t="s">
        <v>21</v>
      </c>
      <c r="G34" s="2">
        <v>15</v>
      </c>
      <c r="H34" s="7">
        <v>371.08</v>
      </c>
      <c r="I34" s="7">
        <f t="shared" si="0"/>
        <v>5566.2</v>
      </c>
      <c r="J34" s="8">
        <v>0.32</v>
      </c>
    </row>
    <row r="35" spans="1:10" hidden="1" x14ac:dyDescent="0.25">
      <c r="A35" s="2" t="s">
        <v>87</v>
      </c>
      <c r="B35" s="6">
        <v>46176</v>
      </c>
      <c r="C35" s="2" t="s">
        <v>47</v>
      </c>
      <c r="D35" s="2" t="s">
        <v>54</v>
      </c>
      <c r="E35" s="2" t="s">
        <v>40</v>
      </c>
      <c r="F35" s="2" t="s">
        <v>31</v>
      </c>
      <c r="G35" s="2">
        <v>17</v>
      </c>
      <c r="H35" s="7">
        <v>319.05</v>
      </c>
      <c r="I35" s="7">
        <f t="shared" si="0"/>
        <v>5423.85</v>
      </c>
      <c r="J35" s="8">
        <v>0.42</v>
      </c>
    </row>
    <row r="36" spans="1:10" hidden="1" x14ac:dyDescent="0.25">
      <c r="A36" s="2" t="s">
        <v>147</v>
      </c>
      <c r="B36" s="6">
        <v>46174</v>
      </c>
      <c r="C36" s="2" t="s">
        <v>23</v>
      </c>
      <c r="D36" s="2" t="s">
        <v>54</v>
      </c>
      <c r="E36" s="2" t="s">
        <v>102</v>
      </c>
      <c r="F36" s="2" t="s">
        <v>31</v>
      </c>
      <c r="G36" s="2">
        <v>7</v>
      </c>
      <c r="H36" s="7">
        <v>666.77</v>
      </c>
      <c r="I36" s="7">
        <f t="shared" si="0"/>
        <v>4667.3899999999994</v>
      </c>
      <c r="J36" s="8">
        <v>0.12</v>
      </c>
    </row>
    <row r="37" spans="1:10" hidden="1" x14ac:dyDescent="0.25">
      <c r="A37" s="2" t="s">
        <v>97</v>
      </c>
      <c r="B37" s="6">
        <v>46150</v>
      </c>
      <c r="C37" s="2" t="s">
        <v>18</v>
      </c>
      <c r="D37" s="2" t="s">
        <v>54</v>
      </c>
      <c r="E37" s="2" t="s">
        <v>30</v>
      </c>
      <c r="F37" s="2" t="s">
        <v>31</v>
      </c>
      <c r="G37" s="2">
        <v>23</v>
      </c>
      <c r="H37" s="7">
        <v>171.22</v>
      </c>
      <c r="I37" s="7">
        <f t="shared" si="0"/>
        <v>3938.06</v>
      </c>
      <c r="J37" s="8">
        <v>0.36</v>
      </c>
    </row>
    <row r="38" spans="1:10" hidden="1" x14ac:dyDescent="0.25">
      <c r="A38" s="2" t="s">
        <v>349</v>
      </c>
      <c r="B38" s="6">
        <v>46200</v>
      </c>
      <c r="C38" s="2" t="s">
        <v>13</v>
      </c>
      <c r="D38" s="2" t="s">
        <v>54</v>
      </c>
      <c r="E38" s="2" t="s">
        <v>112</v>
      </c>
      <c r="F38" s="2" t="s">
        <v>56</v>
      </c>
      <c r="G38" s="2">
        <v>15</v>
      </c>
      <c r="H38" s="7">
        <v>201.02</v>
      </c>
      <c r="I38" s="7">
        <f t="shared" si="0"/>
        <v>3015.3</v>
      </c>
      <c r="J38" s="8">
        <v>0.13</v>
      </c>
    </row>
    <row r="39" spans="1:10" hidden="1" x14ac:dyDescent="0.25">
      <c r="A39" s="2" t="s">
        <v>159</v>
      </c>
      <c r="B39" s="6">
        <v>46178</v>
      </c>
      <c r="C39" s="2" t="s">
        <v>79</v>
      </c>
      <c r="D39" s="2" t="s">
        <v>54</v>
      </c>
      <c r="E39" s="2" t="s">
        <v>36</v>
      </c>
      <c r="F39" s="2" t="s">
        <v>21</v>
      </c>
      <c r="G39" s="2">
        <v>29</v>
      </c>
      <c r="H39" s="7">
        <v>102.99</v>
      </c>
      <c r="I39" s="7">
        <f t="shared" si="0"/>
        <v>2986.71</v>
      </c>
      <c r="J39" s="8">
        <v>0.25</v>
      </c>
    </row>
    <row r="40" spans="1:10" hidden="1" x14ac:dyDescent="0.25">
      <c r="A40" s="2" t="s">
        <v>270</v>
      </c>
      <c r="B40" s="6">
        <v>46257</v>
      </c>
      <c r="C40" s="2" t="s">
        <v>35</v>
      </c>
      <c r="D40" s="2" t="s">
        <v>54</v>
      </c>
      <c r="E40" s="2" t="s">
        <v>123</v>
      </c>
      <c r="F40" s="2" t="s">
        <v>50</v>
      </c>
      <c r="G40" s="2">
        <v>5</v>
      </c>
      <c r="H40" s="7">
        <v>573.97</v>
      </c>
      <c r="I40" s="7">
        <f t="shared" si="0"/>
        <v>2869.8500000000004</v>
      </c>
      <c r="J40" s="8">
        <v>0.13</v>
      </c>
    </row>
    <row r="41" spans="1:10" hidden="1" x14ac:dyDescent="0.25">
      <c r="A41" s="2" t="s">
        <v>101</v>
      </c>
      <c r="B41" s="6">
        <v>46121</v>
      </c>
      <c r="C41" s="2" t="s">
        <v>79</v>
      </c>
      <c r="D41" s="2" t="s">
        <v>54</v>
      </c>
      <c r="E41" s="2" t="s">
        <v>102</v>
      </c>
      <c r="F41" s="2" t="s">
        <v>31</v>
      </c>
      <c r="G41" s="2">
        <v>15</v>
      </c>
      <c r="H41" s="7">
        <v>181.45</v>
      </c>
      <c r="I41" s="7">
        <f t="shared" si="0"/>
        <v>2721.75</v>
      </c>
      <c r="J41" s="8">
        <v>0.16</v>
      </c>
    </row>
    <row r="42" spans="1:10" hidden="1" x14ac:dyDescent="0.25">
      <c r="A42" s="2" t="s">
        <v>222</v>
      </c>
      <c r="B42" s="6">
        <v>46181</v>
      </c>
      <c r="C42" s="2" t="s">
        <v>28</v>
      </c>
      <c r="D42" s="2" t="s">
        <v>54</v>
      </c>
      <c r="E42" s="2" t="s">
        <v>30</v>
      </c>
      <c r="F42" s="2" t="s">
        <v>31</v>
      </c>
      <c r="G42" s="2">
        <v>12</v>
      </c>
      <c r="H42" s="7">
        <v>221.52</v>
      </c>
      <c r="I42" s="7">
        <f t="shared" si="0"/>
        <v>2658.2400000000002</v>
      </c>
      <c r="J42" s="8">
        <v>0.05</v>
      </c>
    </row>
    <row r="43" spans="1:10" x14ac:dyDescent="0.25">
      <c r="A43" s="2" t="s">
        <v>275</v>
      </c>
      <c r="B43" s="6">
        <v>46115</v>
      </c>
      <c r="C43" s="2" t="s">
        <v>42</v>
      </c>
      <c r="D43" s="2" t="s">
        <v>54</v>
      </c>
      <c r="E43" s="2" t="s">
        <v>33</v>
      </c>
      <c r="F43" s="2" t="s">
        <v>16</v>
      </c>
      <c r="G43" s="2">
        <v>6</v>
      </c>
      <c r="H43" s="7">
        <v>346.76</v>
      </c>
      <c r="I43" s="7">
        <f t="shared" si="0"/>
        <v>2080.56</v>
      </c>
      <c r="J43" s="8">
        <v>0.18</v>
      </c>
    </row>
    <row r="44" spans="1:10" x14ac:dyDescent="0.25">
      <c r="A44" s="2" t="s">
        <v>148</v>
      </c>
      <c r="B44" s="6">
        <v>46050</v>
      </c>
      <c r="C44" s="2" t="s">
        <v>42</v>
      </c>
      <c r="D44" s="2" t="s">
        <v>54</v>
      </c>
      <c r="E44" s="2" t="s">
        <v>65</v>
      </c>
      <c r="F44" s="2" t="s">
        <v>16</v>
      </c>
      <c r="G44" s="2">
        <v>9</v>
      </c>
      <c r="H44" s="7">
        <v>222.35</v>
      </c>
      <c r="I44" s="7">
        <f t="shared" si="0"/>
        <v>2001.1499999999999</v>
      </c>
      <c r="J44" s="8">
        <v>0.33</v>
      </c>
    </row>
    <row r="45" spans="1:10" hidden="1" x14ac:dyDescent="0.25">
      <c r="A45" s="2" t="s">
        <v>239</v>
      </c>
      <c r="B45" s="6">
        <v>46282</v>
      </c>
      <c r="C45" s="2" t="s">
        <v>18</v>
      </c>
      <c r="D45" s="2" t="s">
        <v>54</v>
      </c>
      <c r="E45" s="2" t="s">
        <v>102</v>
      </c>
      <c r="F45" s="2" t="s">
        <v>31</v>
      </c>
      <c r="G45" s="2">
        <v>38</v>
      </c>
      <c r="H45" s="7">
        <v>48.71</v>
      </c>
      <c r="I45" s="7">
        <f t="shared" si="0"/>
        <v>1850.98</v>
      </c>
      <c r="J45" s="8">
        <v>0.23</v>
      </c>
    </row>
    <row r="46" spans="1:10" hidden="1" x14ac:dyDescent="0.25">
      <c r="A46" s="2" t="s">
        <v>107</v>
      </c>
      <c r="B46" s="6">
        <v>46192</v>
      </c>
      <c r="C46" s="2" t="s">
        <v>85</v>
      </c>
      <c r="D46" s="2" t="s">
        <v>54</v>
      </c>
      <c r="E46" s="2" t="s">
        <v>49</v>
      </c>
      <c r="F46" s="2" t="s">
        <v>50</v>
      </c>
      <c r="G46" s="2">
        <v>28</v>
      </c>
      <c r="H46" s="7">
        <v>59.7</v>
      </c>
      <c r="I46" s="7">
        <f t="shared" si="0"/>
        <v>1671.6000000000001</v>
      </c>
      <c r="J46" s="8">
        <v>0.32</v>
      </c>
    </row>
    <row r="47" spans="1:10" hidden="1" x14ac:dyDescent="0.25">
      <c r="A47" s="2" t="s">
        <v>225</v>
      </c>
      <c r="B47" s="6">
        <v>46048</v>
      </c>
      <c r="C47" s="2" t="s">
        <v>18</v>
      </c>
      <c r="D47" s="2" t="s">
        <v>54</v>
      </c>
      <c r="E47" s="2" t="s">
        <v>20</v>
      </c>
      <c r="F47" s="2" t="s">
        <v>21</v>
      </c>
      <c r="G47" s="2">
        <v>4</v>
      </c>
      <c r="H47" s="7">
        <v>127.84</v>
      </c>
      <c r="I47" s="7">
        <f t="shared" si="0"/>
        <v>511.36</v>
      </c>
      <c r="J47" s="8">
        <v>0.23</v>
      </c>
    </row>
    <row r="48" spans="1:10" hidden="1" x14ac:dyDescent="0.25">
      <c r="A48" s="2" t="s">
        <v>285</v>
      </c>
      <c r="B48" s="6">
        <v>46186</v>
      </c>
      <c r="C48" s="2" t="s">
        <v>28</v>
      </c>
      <c r="D48" s="2" t="s">
        <v>14</v>
      </c>
      <c r="E48" s="2" t="s">
        <v>55</v>
      </c>
      <c r="F48" s="2" t="s">
        <v>56</v>
      </c>
      <c r="G48" s="2">
        <v>44</v>
      </c>
      <c r="H48" s="7">
        <v>774.18</v>
      </c>
      <c r="I48" s="7">
        <f t="shared" si="0"/>
        <v>34063.919999999998</v>
      </c>
      <c r="J48" s="8">
        <v>0.08</v>
      </c>
    </row>
    <row r="49" spans="1:10" hidden="1" x14ac:dyDescent="0.25">
      <c r="A49" s="2" t="s">
        <v>154</v>
      </c>
      <c r="B49" s="6">
        <v>46073</v>
      </c>
      <c r="C49" s="2" t="s">
        <v>23</v>
      </c>
      <c r="D49" s="2" t="s">
        <v>14</v>
      </c>
      <c r="E49" s="2" t="s">
        <v>20</v>
      </c>
      <c r="F49" s="2" t="s">
        <v>21</v>
      </c>
      <c r="G49" s="2">
        <v>40</v>
      </c>
      <c r="H49" s="7">
        <v>768.25</v>
      </c>
      <c r="I49" s="7">
        <f t="shared" si="0"/>
        <v>30730</v>
      </c>
      <c r="J49" s="8">
        <v>0.13</v>
      </c>
    </row>
    <row r="50" spans="1:10" hidden="1" x14ac:dyDescent="0.25">
      <c r="A50" s="2" t="s">
        <v>326</v>
      </c>
      <c r="B50" s="6">
        <v>46103</v>
      </c>
      <c r="C50" s="2" t="s">
        <v>79</v>
      </c>
      <c r="D50" s="2" t="s">
        <v>14</v>
      </c>
      <c r="E50" s="2" t="s">
        <v>96</v>
      </c>
      <c r="F50" s="2" t="s">
        <v>50</v>
      </c>
      <c r="G50" s="2">
        <v>36</v>
      </c>
      <c r="H50" s="7">
        <v>782.42</v>
      </c>
      <c r="I50" s="7">
        <f t="shared" si="0"/>
        <v>28167.119999999999</v>
      </c>
      <c r="J50" s="8">
        <v>0.42</v>
      </c>
    </row>
    <row r="51" spans="1:10" hidden="1" x14ac:dyDescent="0.25">
      <c r="A51" s="2" t="s">
        <v>221</v>
      </c>
      <c r="B51" s="6">
        <v>46036</v>
      </c>
      <c r="C51" s="2" t="s">
        <v>85</v>
      </c>
      <c r="D51" s="2" t="s">
        <v>14</v>
      </c>
      <c r="E51" s="2" t="s">
        <v>52</v>
      </c>
      <c r="F51" s="2" t="s">
        <v>50</v>
      </c>
      <c r="G51" s="2">
        <v>36</v>
      </c>
      <c r="H51" s="7">
        <v>779.74</v>
      </c>
      <c r="I51" s="7">
        <f t="shared" si="0"/>
        <v>28070.639999999999</v>
      </c>
      <c r="J51" s="8">
        <v>0.38</v>
      </c>
    </row>
    <row r="52" spans="1:10" x14ac:dyDescent="0.25">
      <c r="A52" s="2" t="s">
        <v>324</v>
      </c>
      <c r="B52" s="6">
        <v>46147</v>
      </c>
      <c r="C52" s="2" t="s">
        <v>35</v>
      </c>
      <c r="D52" s="2" t="s">
        <v>14</v>
      </c>
      <c r="E52" s="2" t="s">
        <v>65</v>
      </c>
      <c r="F52" s="2" t="s">
        <v>16</v>
      </c>
      <c r="G52" s="2">
        <v>48</v>
      </c>
      <c r="H52" s="7">
        <v>471.12</v>
      </c>
      <c r="I52" s="7">
        <f t="shared" si="0"/>
        <v>22613.760000000002</v>
      </c>
      <c r="J52" s="8">
        <v>0.41</v>
      </c>
    </row>
    <row r="53" spans="1:10" hidden="1" x14ac:dyDescent="0.25">
      <c r="A53" s="2" t="s">
        <v>290</v>
      </c>
      <c r="B53" s="6">
        <v>46088</v>
      </c>
      <c r="C53" s="2" t="s">
        <v>42</v>
      </c>
      <c r="D53" s="2" t="s">
        <v>14</v>
      </c>
      <c r="E53" s="2" t="s">
        <v>112</v>
      </c>
      <c r="F53" s="2" t="s">
        <v>56</v>
      </c>
      <c r="G53" s="2">
        <v>44</v>
      </c>
      <c r="H53" s="7">
        <v>415.82</v>
      </c>
      <c r="I53" s="7">
        <f t="shared" si="0"/>
        <v>18296.079999999998</v>
      </c>
      <c r="J53" s="8">
        <v>0.28999999999999998</v>
      </c>
    </row>
    <row r="54" spans="1:10" hidden="1" x14ac:dyDescent="0.25">
      <c r="A54" s="2" t="s">
        <v>243</v>
      </c>
      <c r="B54" s="6">
        <v>46043</v>
      </c>
      <c r="C54" s="2" t="s">
        <v>23</v>
      </c>
      <c r="D54" s="2" t="s">
        <v>14</v>
      </c>
      <c r="E54" s="2" t="s">
        <v>30</v>
      </c>
      <c r="F54" s="2" t="s">
        <v>31</v>
      </c>
      <c r="G54" s="2">
        <v>33</v>
      </c>
      <c r="H54" s="7">
        <v>518.32000000000005</v>
      </c>
      <c r="I54" s="7">
        <f t="shared" si="0"/>
        <v>17104.560000000001</v>
      </c>
      <c r="J54" s="8">
        <v>0.23</v>
      </c>
    </row>
    <row r="55" spans="1:10" hidden="1" x14ac:dyDescent="0.25">
      <c r="A55" s="2" t="s">
        <v>294</v>
      </c>
      <c r="B55" s="6">
        <v>46101</v>
      </c>
      <c r="C55" s="2" t="s">
        <v>13</v>
      </c>
      <c r="D55" s="2" t="s">
        <v>14</v>
      </c>
      <c r="E55" s="2" t="s">
        <v>20</v>
      </c>
      <c r="F55" s="2" t="s">
        <v>21</v>
      </c>
      <c r="G55" s="2">
        <v>33</v>
      </c>
      <c r="H55" s="7">
        <v>514.23</v>
      </c>
      <c r="I55" s="7">
        <f t="shared" si="0"/>
        <v>16969.59</v>
      </c>
      <c r="J55" s="8">
        <v>0.3</v>
      </c>
    </row>
    <row r="56" spans="1:10" hidden="1" x14ac:dyDescent="0.25">
      <c r="A56" s="2" t="s">
        <v>253</v>
      </c>
      <c r="B56" s="6">
        <v>46233</v>
      </c>
      <c r="C56" s="2" t="s">
        <v>28</v>
      </c>
      <c r="D56" s="2" t="s">
        <v>14</v>
      </c>
      <c r="E56" s="2" t="s">
        <v>123</v>
      </c>
      <c r="F56" s="2" t="s">
        <v>50</v>
      </c>
      <c r="G56" s="2">
        <v>47</v>
      </c>
      <c r="H56" s="7">
        <v>352.39</v>
      </c>
      <c r="I56" s="7">
        <f t="shared" si="0"/>
        <v>16562.329999999998</v>
      </c>
      <c r="J56" s="8">
        <v>0.34</v>
      </c>
    </row>
    <row r="57" spans="1:10" hidden="1" x14ac:dyDescent="0.25">
      <c r="A57" s="2" t="s">
        <v>201</v>
      </c>
      <c r="B57" s="6">
        <v>46166</v>
      </c>
      <c r="C57" s="2" t="s">
        <v>35</v>
      </c>
      <c r="D57" s="2" t="s">
        <v>14</v>
      </c>
      <c r="E57" s="2" t="s">
        <v>55</v>
      </c>
      <c r="F57" s="2" t="s">
        <v>56</v>
      </c>
      <c r="G57" s="2">
        <v>32</v>
      </c>
      <c r="H57" s="7">
        <v>494.06</v>
      </c>
      <c r="I57" s="7">
        <f t="shared" si="0"/>
        <v>15809.92</v>
      </c>
      <c r="J57" s="8">
        <v>0.2</v>
      </c>
    </row>
    <row r="58" spans="1:10" hidden="1" x14ac:dyDescent="0.25">
      <c r="A58" s="2" t="s">
        <v>125</v>
      </c>
      <c r="B58" s="6">
        <v>46237</v>
      </c>
      <c r="C58" s="2" t="s">
        <v>42</v>
      </c>
      <c r="D58" s="2" t="s">
        <v>14</v>
      </c>
      <c r="E58" s="2" t="s">
        <v>102</v>
      </c>
      <c r="F58" s="2" t="s">
        <v>31</v>
      </c>
      <c r="G58" s="2">
        <v>49</v>
      </c>
      <c r="H58" s="7">
        <v>314.43</v>
      </c>
      <c r="I58" s="7">
        <f t="shared" si="0"/>
        <v>15407.07</v>
      </c>
      <c r="J58" s="8">
        <v>0.34</v>
      </c>
    </row>
    <row r="59" spans="1:10" hidden="1" x14ac:dyDescent="0.25">
      <c r="A59" s="2" t="s">
        <v>351</v>
      </c>
      <c r="B59" s="6">
        <v>46047</v>
      </c>
      <c r="C59" s="2" t="s">
        <v>23</v>
      </c>
      <c r="D59" s="2" t="s">
        <v>14</v>
      </c>
      <c r="E59" s="2" t="s">
        <v>20</v>
      </c>
      <c r="F59" s="2" t="s">
        <v>21</v>
      </c>
      <c r="G59" s="2">
        <v>29</v>
      </c>
      <c r="H59" s="7">
        <v>479.84</v>
      </c>
      <c r="I59" s="7">
        <f t="shared" si="0"/>
        <v>13915.359999999999</v>
      </c>
      <c r="J59" s="8">
        <v>7.0000000000000007E-2</v>
      </c>
    </row>
    <row r="60" spans="1:10" hidden="1" x14ac:dyDescent="0.25">
      <c r="A60" s="2" t="s">
        <v>333</v>
      </c>
      <c r="B60" s="6">
        <v>46067</v>
      </c>
      <c r="C60" s="2" t="s">
        <v>79</v>
      </c>
      <c r="D60" s="2" t="s">
        <v>14</v>
      </c>
      <c r="E60" s="2" t="s">
        <v>52</v>
      </c>
      <c r="F60" s="2" t="s">
        <v>50</v>
      </c>
      <c r="G60" s="2">
        <v>28</v>
      </c>
      <c r="H60" s="7">
        <v>414.16</v>
      </c>
      <c r="I60" s="7">
        <f t="shared" si="0"/>
        <v>11596.480000000001</v>
      </c>
      <c r="J60" s="8">
        <v>0.09</v>
      </c>
    </row>
    <row r="61" spans="1:10" x14ac:dyDescent="0.25">
      <c r="A61" s="2" t="s">
        <v>248</v>
      </c>
      <c r="B61" s="6">
        <v>46191</v>
      </c>
      <c r="C61" s="2" t="s">
        <v>13</v>
      </c>
      <c r="D61" s="2" t="s">
        <v>14</v>
      </c>
      <c r="E61" s="2" t="s">
        <v>61</v>
      </c>
      <c r="F61" s="2" t="s">
        <v>16</v>
      </c>
      <c r="G61" s="2">
        <v>36</v>
      </c>
      <c r="H61" s="7">
        <v>303.83999999999997</v>
      </c>
      <c r="I61" s="7">
        <f t="shared" si="0"/>
        <v>10938.24</v>
      </c>
      <c r="J61" s="8">
        <v>0.33</v>
      </c>
    </row>
    <row r="62" spans="1:10" hidden="1" x14ac:dyDescent="0.25">
      <c r="A62" s="2" t="s">
        <v>299</v>
      </c>
      <c r="B62" s="6">
        <v>46183</v>
      </c>
      <c r="C62" s="2" t="s">
        <v>28</v>
      </c>
      <c r="D62" s="2" t="s">
        <v>14</v>
      </c>
      <c r="E62" s="2" t="s">
        <v>77</v>
      </c>
      <c r="F62" s="2" t="s">
        <v>56</v>
      </c>
      <c r="G62" s="2">
        <v>22</v>
      </c>
      <c r="H62" s="7">
        <v>486.9</v>
      </c>
      <c r="I62" s="7">
        <f t="shared" si="0"/>
        <v>10711.8</v>
      </c>
      <c r="J62" s="8">
        <v>0.45</v>
      </c>
    </row>
    <row r="63" spans="1:10" x14ac:dyDescent="0.25">
      <c r="A63" s="2" t="s">
        <v>12</v>
      </c>
      <c r="B63" s="6">
        <v>46137</v>
      </c>
      <c r="C63" s="2" t="s">
        <v>13</v>
      </c>
      <c r="D63" s="2" t="s">
        <v>14</v>
      </c>
      <c r="E63" s="2" t="s">
        <v>15</v>
      </c>
      <c r="F63" s="2" t="s">
        <v>16</v>
      </c>
      <c r="G63" s="2">
        <v>48</v>
      </c>
      <c r="H63" s="7">
        <v>222.92</v>
      </c>
      <c r="I63" s="7">
        <f t="shared" si="0"/>
        <v>10700.16</v>
      </c>
      <c r="J63" s="8">
        <v>0.09</v>
      </c>
    </row>
    <row r="64" spans="1:10" x14ac:dyDescent="0.25">
      <c r="A64" s="2" t="s">
        <v>276</v>
      </c>
      <c r="B64" s="6">
        <v>46251</v>
      </c>
      <c r="C64" s="2" t="s">
        <v>85</v>
      </c>
      <c r="D64" s="2" t="s">
        <v>14</v>
      </c>
      <c r="E64" s="2" t="s">
        <v>61</v>
      </c>
      <c r="F64" s="2" t="s">
        <v>16</v>
      </c>
      <c r="G64" s="2">
        <v>43</v>
      </c>
      <c r="H64" s="7">
        <v>239.33</v>
      </c>
      <c r="I64" s="7">
        <f t="shared" si="0"/>
        <v>10291.19</v>
      </c>
      <c r="J64" s="8">
        <v>0.22</v>
      </c>
    </row>
    <row r="65" spans="1:10" hidden="1" x14ac:dyDescent="0.25">
      <c r="A65" s="2" t="s">
        <v>269</v>
      </c>
      <c r="B65" s="6">
        <v>46112</v>
      </c>
      <c r="C65" s="2" t="s">
        <v>47</v>
      </c>
      <c r="D65" s="2" t="s">
        <v>14</v>
      </c>
      <c r="E65" s="2" t="s">
        <v>96</v>
      </c>
      <c r="F65" s="2" t="s">
        <v>50</v>
      </c>
      <c r="G65" s="2">
        <v>23</v>
      </c>
      <c r="H65" s="7">
        <v>438.63</v>
      </c>
      <c r="I65" s="7">
        <f t="shared" si="0"/>
        <v>10088.49</v>
      </c>
      <c r="J65" s="8">
        <v>0.24</v>
      </c>
    </row>
    <row r="66" spans="1:10" hidden="1" x14ac:dyDescent="0.25">
      <c r="A66" s="2" t="s">
        <v>335</v>
      </c>
      <c r="B66" s="6">
        <v>46028</v>
      </c>
      <c r="C66" s="2" t="s">
        <v>38</v>
      </c>
      <c r="D66" s="2" t="s">
        <v>14</v>
      </c>
      <c r="E66" s="2" t="s">
        <v>102</v>
      </c>
      <c r="F66" s="2" t="s">
        <v>31</v>
      </c>
      <c r="G66" s="2">
        <v>20</v>
      </c>
      <c r="H66" s="7">
        <v>467.64</v>
      </c>
      <c r="I66" s="7">
        <f t="shared" si="0"/>
        <v>9352.7999999999993</v>
      </c>
      <c r="J66" s="8">
        <v>0.19</v>
      </c>
    </row>
    <row r="67" spans="1:10" hidden="1" x14ac:dyDescent="0.25">
      <c r="A67" s="2" t="s">
        <v>200</v>
      </c>
      <c r="B67" s="6">
        <v>46237</v>
      </c>
      <c r="C67" s="2" t="s">
        <v>85</v>
      </c>
      <c r="D67" s="2" t="s">
        <v>14</v>
      </c>
      <c r="E67" s="2" t="s">
        <v>43</v>
      </c>
      <c r="F67" s="2" t="s">
        <v>21</v>
      </c>
      <c r="G67" s="2">
        <v>25</v>
      </c>
      <c r="H67" s="7">
        <v>365.1</v>
      </c>
      <c r="I67" s="7">
        <f t="shared" si="0"/>
        <v>9127.5</v>
      </c>
      <c r="J67" s="8">
        <v>0.34</v>
      </c>
    </row>
    <row r="68" spans="1:10" hidden="1" x14ac:dyDescent="0.25">
      <c r="A68" s="2" t="s">
        <v>163</v>
      </c>
      <c r="B68" s="6">
        <v>46193</v>
      </c>
      <c r="C68" s="2" t="s">
        <v>28</v>
      </c>
      <c r="D68" s="2" t="s">
        <v>14</v>
      </c>
      <c r="E68" s="2" t="s">
        <v>55</v>
      </c>
      <c r="F68" s="2" t="s">
        <v>56</v>
      </c>
      <c r="G68" s="2">
        <v>31</v>
      </c>
      <c r="H68" s="7">
        <v>280.98</v>
      </c>
      <c r="I68" s="7">
        <f t="shared" si="0"/>
        <v>8710.380000000001</v>
      </c>
      <c r="J68" s="8">
        <v>0.09</v>
      </c>
    </row>
    <row r="69" spans="1:10" hidden="1" x14ac:dyDescent="0.25">
      <c r="A69" s="2" t="s">
        <v>323</v>
      </c>
      <c r="B69" s="6">
        <v>46161</v>
      </c>
      <c r="C69" s="2" t="s">
        <v>42</v>
      </c>
      <c r="D69" s="2" t="s">
        <v>14</v>
      </c>
      <c r="E69" s="2" t="s">
        <v>77</v>
      </c>
      <c r="F69" s="2" t="s">
        <v>56</v>
      </c>
      <c r="G69" s="2">
        <v>13</v>
      </c>
      <c r="H69" s="7">
        <v>663.05</v>
      </c>
      <c r="I69" s="7">
        <f t="shared" ref="I69:I132" si="1">G69*H69</f>
        <v>8619.65</v>
      </c>
      <c r="J69" s="8">
        <v>0.16</v>
      </c>
    </row>
    <row r="70" spans="1:10" hidden="1" x14ac:dyDescent="0.25">
      <c r="A70" s="2" t="s">
        <v>331</v>
      </c>
      <c r="B70" s="6">
        <v>46192</v>
      </c>
      <c r="C70" s="2" t="s">
        <v>13</v>
      </c>
      <c r="D70" s="2" t="s">
        <v>14</v>
      </c>
      <c r="E70" s="2" t="s">
        <v>74</v>
      </c>
      <c r="F70" s="2" t="s">
        <v>56</v>
      </c>
      <c r="G70" s="2">
        <v>13</v>
      </c>
      <c r="H70" s="7">
        <v>647.82000000000005</v>
      </c>
      <c r="I70" s="7">
        <f t="shared" si="1"/>
        <v>8421.66</v>
      </c>
      <c r="J70" s="8">
        <v>0.23</v>
      </c>
    </row>
    <row r="71" spans="1:10" hidden="1" x14ac:dyDescent="0.25">
      <c r="A71" s="2" t="s">
        <v>224</v>
      </c>
      <c r="B71" s="6">
        <v>46212</v>
      </c>
      <c r="C71" s="2" t="s">
        <v>38</v>
      </c>
      <c r="D71" s="2" t="s">
        <v>14</v>
      </c>
      <c r="E71" s="2" t="s">
        <v>112</v>
      </c>
      <c r="F71" s="2" t="s">
        <v>56</v>
      </c>
      <c r="G71" s="2">
        <v>30</v>
      </c>
      <c r="H71" s="7">
        <v>275.35000000000002</v>
      </c>
      <c r="I71" s="7">
        <f t="shared" si="1"/>
        <v>8260.5</v>
      </c>
      <c r="J71" s="8">
        <v>0.18</v>
      </c>
    </row>
    <row r="72" spans="1:10" hidden="1" x14ac:dyDescent="0.25">
      <c r="A72" s="2" t="s">
        <v>120</v>
      </c>
      <c r="B72" s="6">
        <v>46248</v>
      </c>
      <c r="C72" s="2" t="s">
        <v>18</v>
      </c>
      <c r="D72" s="2" t="s">
        <v>14</v>
      </c>
      <c r="E72" s="2" t="s">
        <v>69</v>
      </c>
      <c r="F72" s="2" t="s">
        <v>31</v>
      </c>
      <c r="G72" s="2">
        <v>41</v>
      </c>
      <c r="H72" s="7">
        <v>194.44</v>
      </c>
      <c r="I72" s="7">
        <f t="shared" si="1"/>
        <v>7972.04</v>
      </c>
      <c r="J72" s="8">
        <v>0.16</v>
      </c>
    </row>
    <row r="73" spans="1:10" hidden="1" x14ac:dyDescent="0.25">
      <c r="A73" s="2" t="s">
        <v>296</v>
      </c>
      <c r="B73" s="6">
        <v>46236</v>
      </c>
      <c r="C73" s="2" t="s">
        <v>85</v>
      </c>
      <c r="D73" s="2" t="s">
        <v>14</v>
      </c>
      <c r="E73" s="2" t="s">
        <v>36</v>
      </c>
      <c r="F73" s="2" t="s">
        <v>21</v>
      </c>
      <c r="G73" s="2">
        <v>42</v>
      </c>
      <c r="H73" s="7">
        <v>171.8</v>
      </c>
      <c r="I73" s="7">
        <f t="shared" si="1"/>
        <v>7215.6</v>
      </c>
      <c r="J73" s="8">
        <v>0.06</v>
      </c>
    </row>
    <row r="74" spans="1:10" x14ac:dyDescent="0.25">
      <c r="A74" s="2" t="s">
        <v>293</v>
      </c>
      <c r="B74" s="6">
        <v>46163</v>
      </c>
      <c r="C74" s="2" t="s">
        <v>13</v>
      </c>
      <c r="D74" s="2" t="s">
        <v>14</v>
      </c>
      <c r="E74" s="2" t="s">
        <v>61</v>
      </c>
      <c r="F74" s="2" t="s">
        <v>16</v>
      </c>
      <c r="G74" s="2">
        <v>13</v>
      </c>
      <c r="H74" s="7">
        <v>509.51</v>
      </c>
      <c r="I74" s="7">
        <f t="shared" si="1"/>
        <v>6623.63</v>
      </c>
      <c r="J74" s="8">
        <v>0.17</v>
      </c>
    </row>
    <row r="75" spans="1:10" hidden="1" x14ac:dyDescent="0.25">
      <c r="A75" s="2" t="s">
        <v>34</v>
      </c>
      <c r="B75" s="6">
        <v>46058</v>
      </c>
      <c r="C75" s="2" t="s">
        <v>35</v>
      </c>
      <c r="D75" s="2" t="s">
        <v>14</v>
      </c>
      <c r="E75" s="2" t="s">
        <v>36</v>
      </c>
      <c r="F75" s="2" t="s">
        <v>21</v>
      </c>
      <c r="G75" s="2">
        <v>37</v>
      </c>
      <c r="H75" s="7">
        <v>157.06</v>
      </c>
      <c r="I75" s="7">
        <f t="shared" si="1"/>
        <v>5811.22</v>
      </c>
      <c r="J75" s="8">
        <v>0.14000000000000001</v>
      </c>
    </row>
    <row r="76" spans="1:10" hidden="1" x14ac:dyDescent="0.25">
      <c r="A76" s="2" t="s">
        <v>273</v>
      </c>
      <c r="B76" s="6">
        <v>46246</v>
      </c>
      <c r="C76" s="2" t="s">
        <v>79</v>
      </c>
      <c r="D76" s="2" t="s">
        <v>14</v>
      </c>
      <c r="E76" s="2" t="s">
        <v>102</v>
      </c>
      <c r="F76" s="2" t="s">
        <v>31</v>
      </c>
      <c r="G76" s="2">
        <v>8</v>
      </c>
      <c r="H76" s="7">
        <v>640.28</v>
      </c>
      <c r="I76" s="7">
        <f t="shared" si="1"/>
        <v>5122.24</v>
      </c>
      <c r="J76" s="8">
        <v>0.23</v>
      </c>
    </row>
    <row r="77" spans="1:10" x14ac:dyDescent="0.25">
      <c r="A77" s="2" t="s">
        <v>170</v>
      </c>
      <c r="B77" s="6">
        <v>46101</v>
      </c>
      <c r="C77" s="2" t="s">
        <v>47</v>
      </c>
      <c r="D77" s="2" t="s">
        <v>14</v>
      </c>
      <c r="E77" s="2" t="s">
        <v>33</v>
      </c>
      <c r="F77" s="2" t="s">
        <v>16</v>
      </c>
      <c r="G77" s="2">
        <v>8</v>
      </c>
      <c r="H77" s="7">
        <v>519.58000000000004</v>
      </c>
      <c r="I77" s="7">
        <f t="shared" si="1"/>
        <v>4156.6400000000003</v>
      </c>
      <c r="J77" s="8">
        <v>0.17</v>
      </c>
    </row>
    <row r="78" spans="1:10" hidden="1" x14ac:dyDescent="0.25">
      <c r="A78" s="2" t="s">
        <v>338</v>
      </c>
      <c r="B78" s="6">
        <v>46214</v>
      </c>
      <c r="C78" s="2" t="s">
        <v>79</v>
      </c>
      <c r="D78" s="2" t="s">
        <v>14</v>
      </c>
      <c r="E78" s="2" t="s">
        <v>52</v>
      </c>
      <c r="F78" s="2" t="s">
        <v>50</v>
      </c>
      <c r="G78" s="2">
        <v>10</v>
      </c>
      <c r="H78" s="7">
        <v>366.16</v>
      </c>
      <c r="I78" s="7">
        <f t="shared" si="1"/>
        <v>3661.6000000000004</v>
      </c>
      <c r="J78" s="8">
        <v>0.27</v>
      </c>
    </row>
    <row r="79" spans="1:10" hidden="1" x14ac:dyDescent="0.25">
      <c r="A79" s="2" t="s">
        <v>51</v>
      </c>
      <c r="B79" s="6">
        <v>46079</v>
      </c>
      <c r="C79" s="2" t="s">
        <v>13</v>
      </c>
      <c r="D79" s="2" t="s">
        <v>14</v>
      </c>
      <c r="E79" s="2" t="s">
        <v>52</v>
      </c>
      <c r="F79" s="2" t="s">
        <v>50</v>
      </c>
      <c r="G79" s="2">
        <v>6</v>
      </c>
      <c r="H79" s="7">
        <v>605.6</v>
      </c>
      <c r="I79" s="7">
        <f t="shared" si="1"/>
        <v>3633.6000000000004</v>
      </c>
      <c r="J79" s="8">
        <v>0.11</v>
      </c>
    </row>
    <row r="80" spans="1:10" x14ac:dyDescent="0.25">
      <c r="A80" s="2" t="s">
        <v>262</v>
      </c>
      <c r="B80" s="6">
        <v>46099</v>
      </c>
      <c r="C80" s="2" t="s">
        <v>42</v>
      </c>
      <c r="D80" s="2" t="s">
        <v>14</v>
      </c>
      <c r="E80" s="2" t="s">
        <v>15</v>
      </c>
      <c r="F80" s="2" t="s">
        <v>16</v>
      </c>
      <c r="G80" s="2">
        <v>17</v>
      </c>
      <c r="H80" s="7">
        <v>175.66</v>
      </c>
      <c r="I80" s="7">
        <f t="shared" si="1"/>
        <v>2986.22</v>
      </c>
      <c r="J80" s="8">
        <v>0.28999999999999998</v>
      </c>
    </row>
    <row r="81" spans="1:10" hidden="1" x14ac:dyDescent="0.25">
      <c r="A81" s="2" t="s">
        <v>198</v>
      </c>
      <c r="B81" s="6">
        <v>46260</v>
      </c>
      <c r="C81" s="2" t="s">
        <v>38</v>
      </c>
      <c r="D81" s="2" t="s">
        <v>14</v>
      </c>
      <c r="E81" s="2" t="s">
        <v>43</v>
      </c>
      <c r="F81" s="2" t="s">
        <v>21</v>
      </c>
      <c r="G81" s="2">
        <v>42</v>
      </c>
      <c r="H81" s="7">
        <v>54.32</v>
      </c>
      <c r="I81" s="7">
        <f t="shared" si="1"/>
        <v>2281.44</v>
      </c>
      <c r="J81" s="8">
        <v>0.21</v>
      </c>
    </row>
    <row r="82" spans="1:10" hidden="1" x14ac:dyDescent="0.25">
      <c r="A82" s="2" t="s">
        <v>227</v>
      </c>
      <c r="B82" s="6">
        <v>46272</v>
      </c>
      <c r="C82" s="2" t="s">
        <v>42</v>
      </c>
      <c r="D82" s="2" t="s">
        <v>14</v>
      </c>
      <c r="E82" s="2" t="s">
        <v>69</v>
      </c>
      <c r="F82" s="2" t="s">
        <v>31</v>
      </c>
      <c r="G82" s="2">
        <v>8</v>
      </c>
      <c r="H82" s="7">
        <v>229.46</v>
      </c>
      <c r="I82" s="7">
        <f t="shared" si="1"/>
        <v>1835.68</v>
      </c>
      <c r="J82" s="8">
        <v>0.17</v>
      </c>
    </row>
    <row r="83" spans="1:10" hidden="1" x14ac:dyDescent="0.25">
      <c r="A83" s="2" t="s">
        <v>76</v>
      </c>
      <c r="B83" s="6">
        <v>46073</v>
      </c>
      <c r="C83" s="2" t="s">
        <v>35</v>
      </c>
      <c r="D83" s="2" t="s">
        <v>14</v>
      </c>
      <c r="E83" s="2" t="s">
        <v>77</v>
      </c>
      <c r="F83" s="2" t="s">
        <v>56</v>
      </c>
      <c r="G83" s="2">
        <v>5</v>
      </c>
      <c r="H83" s="7">
        <v>356.73</v>
      </c>
      <c r="I83" s="7">
        <f t="shared" si="1"/>
        <v>1783.65</v>
      </c>
      <c r="J83" s="8">
        <v>0.45</v>
      </c>
    </row>
    <row r="84" spans="1:10" x14ac:dyDescent="0.25">
      <c r="A84" s="2" t="s">
        <v>268</v>
      </c>
      <c r="B84" s="6">
        <v>46076</v>
      </c>
      <c r="C84" s="2" t="s">
        <v>85</v>
      </c>
      <c r="D84" s="2" t="s">
        <v>14</v>
      </c>
      <c r="E84" s="2" t="s">
        <v>61</v>
      </c>
      <c r="F84" s="2" t="s">
        <v>16</v>
      </c>
      <c r="G84" s="2">
        <v>5</v>
      </c>
      <c r="H84" s="7">
        <v>278.45999999999998</v>
      </c>
      <c r="I84" s="7">
        <f t="shared" si="1"/>
        <v>1392.3</v>
      </c>
      <c r="J84" s="8">
        <v>0.35</v>
      </c>
    </row>
    <row r="85" spans="1:10" hidden="1" x14ac:dyDescent="0.25">
      <c r="A85" s="2" t="s">
        <v>184</v>
      </c>
      <c r="B85" s="6">
        <v>46218</v>
      </c>
      <c r="C85" s="2" t="s">
        <v>85</v>
      </c>
      <c r="D85" s="2" t="s">
        <v>14</v>
      </c>
      <c r="E85" s="2" t="s">
        <v>123</v>
      </c>
      <c r="F85" s="2" t="s">
        <v>50</v>
      </c>
      <c r="G85" s="2">
        <v>12</v>
      </c>
      <c r="H85" s="7">
        <v>66.86</v>
      </c>
      <c r="I85" s="7">
        <f t="shared" si="1"/>
        <v>802.31999999999994</v>
      </c>
      <c r="J85" s="8">
        <v>0.15</v>
      </c>
    </row>
    <row r="86" spans="1:10" hidden="1" x14ac:dyDescent="0.25">
      <c r="A86" s="2" t="s">
        <v>63</v>
      </c>
      <c r="B86" s="6">
        <v>46063</v>
      </c>
      <c r="C86" s="2" t="s">
        <v>18</v>
      </c>
      <c r="D86" s="2" t="s">
        <v>14</v>
      </c>
      <c r="E86" s="2" t="s">
        <v>40</v>
      </c>
      <c r="F86" s="2" t="s">
        <v>31</v>
      </c>
      <c r="G86" s="2">
        <v>4</v>
      </c>
      <c r="H86" s="7">
        <v>195.73</v>
      </c>
      <c r="I86" s="7">
        <f t="shared" si="1"/>
        <v>782.92</v>
      </c>
      <c r="J86" s="8">
        <v>0.24</v>
      </c>
    </row>
    <row r="87" spans="1:10" hidden="1" x14ac:dyDescent="0.25">
      <c r="A87" s="2" t="s">
        <v>348</v>
      </c>
      <c r="B87" s="6">
        <v>46175</v>
      </c>
      <c r="C87" s="2" t="s">
        <v>47</v>
      </c>
      <c r="D87" s="2" t="s">
        <v>14</v>
      </c>
      <c r="E87" s="2" t="s">
        <v>123</v>
      </c>
      <c r="F87" s="2" t="s">
        <v>50</v>
      </c>
      <c r="G87" s="2">
        <v>1</v>
      </c>
      <c r="H87" s="7">
        <v>605.91999999999996</v>
      </c>
      <c r="I87" s="7">
        <f t="shared" si="1"/>
        <v>605.91999999999996</v>
      </c>
      <c r="J87" s="8">
        <v>0.34</v>
      </c>
    </row>
    <row r="88" spans="1:10" hidden="1" x14ac:dyDescent="0.25">
      <c r="A88" s="2" t="s">
        <v>332</v>
      </c>
      <c r="B88" s="6">
        <v>46174</v>
      </c>
      <c r="C88" s="2" t="s">
        <v>85</v>
      </c>
      <c r="D88" s="2" t="s">
        <v>14</v>
      </c>
      <c r="E88" s="2" t="s">
        <v>40</v>
      </c>
      <c r="F88" s="2" t="s">
        <v>31</v>
      </c>
      <c r="G88" s="2">
        <v>1</v>
      </c>
      <c r="H88" s="7">
        <v>590.35</v>
      </c>
      <c r="I88" s="7">
        <f t="shared" si="1"/>
        <v>590.35</v>
      </c>
      <c r="J88" s="8">
        <v>0.35</v>
      </c>
    </row>
    <row r="89" spans="1:10" hidden="1" x14ac:dyDescent="0.25">
      <c r="A89" s="2" t="s">
        <v>223</v>
      </c>
      <c r="B89" s="6">
        <v>46038</v>
      </c>
      <c r="C89" s="2" t="s">
        <v>18</v>
      </c>
      <c r="D89" s="2" t="s">
        <v>14</v>
      </c>
      <c r="E89" s="2" t="s">
        <v>52</v>
      </c>
      <c r="F89" s="2" t="s">
        <v>50</v>
      </c>
      <c r="G89" s="2">
        <v>5</v>
      </c>
      <c r="H89" s="7">
        <v>116.93</v>
      </c>
      <c r="I89" s="7">
        <f t="shared" si="1"/>
        <v>584.65000000000009</v>
      </c>
      <c r="J89" s="8">
        <v>0.26</v>
      </c>
    </row>
    <row r="90" spans="1:10" hidden="1" x14ac:dyDescent="0.25">
      <c r="A90" s="2" t="s">
        <v>156</v>
      </c>
      <c r="B90" s="6">
        <v>46170</v>
      </c>
      <c r="C90" s="2" t="s">
        <v>38</v>
      </c>
      <c r="D90" s="2" t="s">
        <v>14</v>
      </c>
      <c r="E90" s="2" t="s">
        <v>67</v>
      </c>
      <c r="F90" s="2" t="s">
        <v>21</v>
      </c>
      <c r="G90" s="2">
        <v>19</v>
      </c>
      <c r="H90" s="7">
        <v>29.98</v>
      </c>
      <c r="I90" s="7">
        <f t="shared" si="1"/>
        <v>569.62</v>
      </c>
      <c r="J90" s="8">
        <v>0.39</v>
      </c>
    </row>
    <row r="91" spans="1:10" hidden="1" x14ac:dyDescent="0.25">
      <c r="A91" s="2" t="s">
        <v>189</v>
      </c>
      <c r="B91" s="6">
        <v>46048</v>
      </c>
      <c r="C91" s="2" t="s">
        <v>85</v>
      </c>
      <c r="D91" s="2" t="s">
        <v>14</v>
      </c>
      <c r="E91" s="2" t="s">
        <v>74</v>
      </c>
      <c r="F91" s="2" t="s">
        <v>56</v>
      </c>
      <c r="G91" s="2">
        <v>1</v>
      </c>
      <c r="H91" s="7">
        <v>454.48</v>
      </c>
      <c r="I91" s="7">
        <f t="shared" si="1"/>
        <v>454.48</v>
      </c>
      <c r="J91" s="8">
        <v>0.25</v>
      </c>
    </row>
    <row r="92" spans="1:10" hidden="1" x14ac:dyDescent="0.25">
      <c r="A92" s="2" t="s">
        <v>208</v>
      </c>
      <c r="B92" s="6">
        <v>46049</v>
      </c>
      <c r="C92" s="2" t="s">
        <v>13</v>
      </c>
      <c r="D92" s="2" t="s">
        <v>14</v>
      </c>
      <c r="E92" s="2" t="s">
        <v>49</v>
      </c>
      <c r="F92" s="2" t="s">
        <v>50</v>
      </c>
      <c r="G92" s="2">
        <v>2</v>
      </c>
      <c r="H92" s="7">
        <v>142.69999999999999</v>
      </c>
      <c r="I92" s="7">
        <f t="shared" si="1"/>
        <v>285.39999999999998</v>
      </c>
      <c r="J92" s="8">
        <v>0.22</v>
      </c>
    </row>
    <row r="93" spans="1:10" hidden="1" x14ac:dyDescent="0.25">
      <c r="A93" s="2" t="s">
        <v>81</v>
      </c>
      <c r="B93" s="6">
        <v>46272</v>
      </c>
      <c r="C93" s="2" t="s">
        <v>13</v>
      </c>
      <c r="D93" s="2" t="s">
        <v>19</v>
      </c>
      <c r="E93" s="2" t="s">
        <v>69</v>
      </c>
      <c r="F93" s="2" t="s">
        <v>31</v>
      </c>
      <c r="G93" s="2">
        <v>45</v>
      </c>
      <c r="H93" s="7">
        <v>766.02</v>
      </c>
      <c r="I93" s="7">
        <f t="shared" si="1"/>
        <v>34470.9</v>
      </c>
      <c r="J93" s="8">
        <v>0.17</v>
      </c>
    </row>
    <row r="94" spans="1:10" hidden="1" x14ac:dyDescent="0.25">
      <c r="A94" s="2" t="s">
        <v>116</v>
      </c>
      <c r="B94" s="6">
        <v>46077</v>
      </c>
      <c r="C94" s="2" t="s">
        <v>79</v>
      </c>
      <c r="D94" s="2" t="s">
        <v>19</v>
      </c>
      <c r="E94" s="2" t="s">
        <v>96</v>
      </c>
      <c r="F94" s="2" t="s">
        <v>50</v>
      </c>
      <c r="G94" s="2">
        <v>49</v>
      </c>
      <c r="H94" s="7">
        <v>688.91</v>
      </c>
      <c r="I94" s="7">
        <f t="shared" si="1"/>
        <v>33756.589999999997</v>
      </c>
      <c r="J94" s="8">
        <v>0.12</v>
      </c>
    </row>
    <row r="95" spans="1:10" hidden="1" x14ac:dyDescent="0.25">
      <c r="A95" s="2" t="s">
        <v>99</v>
      </c>
      <c r="B95" s="6">
        <v>46150</v>
      </c>
      <c r="C95" s="2" t="s">
        <v>38</v>
      </c>
      <c r="D95" s="2" t="s">
        <v>19</v>
      </c>
      <c r="E95" s="2" t="s">
        <v>69</v>
      </c>
      <c r="F95" s="2" t="s">
        <v>31</v>
      </c>
      <c r="G95" s="2">
        <v>43</v>
      </c>
      <c r="H95" s="7">
        <v>691.79</v>
      </c>
      <c r="I95" s="7">
        <f t="shared" si="1"/>
        <v>29746.969999999998</v>
      </c>
      <c r="J95" s="8">
        <v>0.36</v>
      </c>
    </row>
    <row r="96" spans="1:10" hidden="1" x14ac:dyDescent="0.25">
      <c r="A96" s="2" t="s">
        <v>317</v>
      </c>
      <c r="B96" s="6">
        <v>46093</v>
      </c>
      <c r="C96" s="2" t="s">
        <v>42</v>
      </c>
      <c r="D96" s="2" t="s">
        <v>19</v>
      </c>
      <c r="E96" s="2" t="s">
        <v>112</v>
      </c>
      <c r="F96" s="2" t="s">
        <v>56</v>
      </c>
      <c r="G96" s="2">
        <v>48</v>
      </c>
      <c r="H96" s="7">
        <v>583.01</v>
      </c>
      <c r="I96" s="7">
        <f t="shared" si="1"/>
        <v>27984.48</v>
      </c>
      <c r="J96" s="8">
        <v>0.27</v>
      </c>
    </row>
    <row r="97" spans="1:10" hidden="1" x14ac:dyDescent="0.25">
      <c r="A97" s="2" t="s">
        <v>48</v>
      </c>
      <c r="B97" s="6">
        <v>46227</v>
      </c>
      <c r="C97" s="2" t="s">
        <v>28</v>
      </c>
      <c r="D97" s="2" t="s">
        <v>19</v>
      </c>
      <c r="E97" s="2" t="s">
        <v>49</v>
      </c>
      <c r="F97" s="2" t="s">
        <v>50</v>
      </c>
      <c r="G97" s="2">
        <v>48</v>
      </c>
      <c r="H97" s="7">
        <v>469.33</v>
      </c>
      <c r="I97" s="7">
        <f t="shared" si="1"/>
        <v>22527.84</v>
      </c>
      <c r="J97" s="8">
        <v>0.45</v>
      </c>
    </row>
    <row r="98" spans="1:10" hidden="1" x14ac:dyDescent="0.25">
      <c r="A98" s="2" t="s">
        <v>280</v>
      </c>
      <c r="B98" s="6">
        <v>46039</v>
      </c>
      <c r="C98" s="2" t="s">
        <v>85</v>
      </c>
      <c r="D98" s="2" t="s">
        <v>19</v>
      </c>
      <c r="E98" s="2" t="s">
        <v>102</v>
      </c>
      <c r="F98" s="2" t="s">
        <v>31</v>
      </c>
      <c r="G98" s="2">
        <v>25</v>
      </c>
      <c r="H98" s="7">
        <v>759.78</v>
      </c>
      <c r="I98" s="7">
        <f t="shared" si="1"/>
        <v>18994.5</v>
      </c>
      <c r="J98" s="8">
        <v>0.32</v>
      </c>
    </row>
    <row r="99" spans="1:10" hidden="1" x14ac:dyDescent="0.25">
      <c r="A99" s="2" t="s">
        <v>151</v>
      </c>
      <c r="B99" s="6">
        <v>46050</v>
      </c>
      <c r="C99" s="2" t="s">
        <v>13</v>
      </c>
      <c r="D99" s="2" t="s">
        <v>19</v>
      </c>
      <c r="E99" s="2" t="s">
        <v>55</v>
      </c>
      <c r="F99" s="2" t="s">
        <v>56</v>
      </c>
      <c r="G99" s="2">
        <v>37</v>
      </c>
      <c r="H99" s="7">
        <v>505.04</v>
      </c>
      <c r="I99" s="7">
        <f t="shared" si="1"/>
        <v>18686.48</v>
      </c>
      <c r="J99" s="8">
        <v>0.37</v>
      </c>
    </row>
    <row r="100" spans="1:10" hidden="1" x14ac:dyDescent="0.25">
      <c r="A100" s="2" t="s">
        <v>143</v>
      </c>
      <c r="B100" s="6">
        <v>46070</v>
      </c>
      <c r="C100" s="2" t="s">
        <v>38</v>
      </c>
      <c r="D100" s="2" t="s">
        <v>19</v>
      </c>
      <c r="E100" s="2" t="s">
        <v>112</v>
      </c>
      <c r="F100" s="2" t="s">
        <v>56</v>
      </c>
      <c r="G100" s="2">
        <v>29</v>
      </c>
      <c r="H100" s="7">
        <v>635.16999999999996</v>
      </c>
      <c r="I100" s="7">
        <f t="shared" si="1"/>
        <v>18419.93</v>
      </c>
      <c r="J100" s="8">
        <v>0.21</v>
      </c>
    </row>
    <row r="101" spans="1:10" hidden="1" x14ac:dyDescent="0.25">
      <c r="A101" s="2" t="s">
        <v>250</v>
      </c>
      <c r="B101" s="6">
        <v>46271</v>
      </c>
      <c r="C101" s="2" t="s">
        <v>23</v>
      </c>
      <c r="D101" s="2" t="s">
        <v>19</v>
      </c>
      <c r="E101" s="2" t="s">
        <v>123</v>
      </c>
      <c r="F101" s="2" t="s">
        <v>50</v>
      </c>
      <c r="G101" s="2">
        <v>22</v>
      </c>
      <c r="H101" s="7">
        <v>758.34</v>
      </c>
      <c r="I101" s="7">
        <f t="shared" si="1"/>
        <v>16683.48</v>
      </c>
      <c r="J101" s="8">
        <v>0.45</v>
      </c>
    </row>
    <row r="102" spans="1:10" x14ac:dyDescent="0.25">
      <c r="A102" s="2" t="s">
        <v>25</v>
      </c>
      <c r="B102" s="6">
        <v>46165</v>
      </c>
      <c r="C102" s="2" t="s">
        <v>13</v>
      </c>
      <c r="D102" s="2" t="s">
        <v>19</v>
      </c>
      <c r="E102" s="2" t="s">
        <v>26</v>
      </c>
      <c r="F102" s="2" t="s">
        <v>16</v>
      </c>
      <c r="G102" s="2">
        <v>45</v>
      </c>
      <c r="H102" s="7">
        <v>340.4</v>
      </c>
      <c r="I102" s="7">
        <f t="shared" si="1"/>
        <v>15317.999999999998</v>
      </c>
      <c r="J102" s="8">
        <v>0.43</v>
      </c>
    </row>
    <row r="103" spans="1:10" hidden="1" x14ac:dyDescent="0.25">
      <c r="A103" s="2" t="s">
        <v>121</v>
      </c>
      <c r="B103" s="6">
        <v>46064</v>
      </c>
      <c r="C103" s="2" t="s">
        <v>13</v>
      </c>
      <c r="D103" s="2" t="s">
        <v>19</v>
      </c>
      <c r="E103" s="2" t="s">
        <v>102</v>
      </c>
      <c r="F103" s="2" t="s">
        <v>31</v>
      </c>
      <c r="G103" s="2">
        <v>21</v>
      </c>
      <c r="H103" s="7">
        <v>714.85</v>
      </c>
      <c r="I103" s="7">
        <f t="shared" si="1"/>
        <v>15011.85</v>
      </c>
      <c r="J103" s="8">
        <v>0.14000000000000001</v>
      </c>
    </row>
    <row r="104" spans="1:10" x14ac:dyDescent="0.25">
      <c r="A104" s="2" t="s">
        <v>350</v>
      </c>
      <c r="B104" s="6">
        <v>46031</v>
      </c>
      <c r="C104" s="2" t="s">
        <v>23</v>
      </c>
      <c r="D104" s="2" t="s">
        <v>19</v>
      </c>
      <c r="E104" s="2" t="s">
        <v>15</v>
      </c>
      <c r="F104" s="2" t="s">
        <v>16</v>
      </c>
      <c r="G104" s="2">
        <v>43</v>
      </c>
      <c r="H104" s="7">
        <v>337.72</v>
      </c>
      <c r="I104" s="7">
        <f t="shared" si="1"/>
        <v>14521.960000000001</v>
      </c>
      <c r="J104" s="8">
        <v>0.08</v>
      </c>
    </row>
    <row r="105" spans="1:10" hidden="1" x14ac:dyDescent="0.25">
      <c r="A105" s="2" t="s">
        <v>17</v>
      </c>
      <c r="B105" s="6">
        <v>46038</v>
      </c>
      <c r="C105" s="2" t="s">
        <v>18</v>
      </c>
      <c r="D105" s="2" t="s">
        <v>19</v>
      </c>
      <c r="E105" s="2" t="s">
        <v>20</v>
      </c>
      <c r="F105" s="2" t="s">
        <v>21</v>
      </c>
      <c r="G105" s="2">
        <v>38</v>
      </c>
      <c r="H105" s="7">
        <v>339.85</v>
      </c>
      <c r="I105" s="7">
        <f t="shared" si="1"/>
        <v>12914.300000000001</v>
      </c>
      <c r="J105" s="8">
        <v>0.14000000000000001</v>
      </c>
    </row>
    <row r="106" spans="1:10" hidden="1" x14ac:dyDescent="0.25">
      <c r="A106" s="2" t="s">
        <v>95</v>
      </c>
      <c r="B106" s="6">
        <v>46098</v>
      </c>
      <c r="C106" s="2" t="s">
        <v>79</v>
      </c>
      <c r="D106" s="2" t="s">
        <v>19</v>
      </c>
      <c r="E106" s="2" t="s">
        <v>96</v>
      </c>
      <c r="F106" s="2" t="s">
        <v>50</v>
      </c>
      <c r="G106" s="2">
        <v>24</v>
      </c>
      <c r="H106" s="7">
        <v>467.68</v>
      </c>
      <c r="I106" s="7">
        <f t="shared" si="1"/>
        <v>11224.32</v>
      </c>
      <c r="J106" s="8">
        <v>7.0000000000000007E-2</v>
      </c>
    </row>
    <row r="107" spans="1:10" hidden="1" x14ac:dyDescent="0.25">
      <c r="A107" s="2" t="s">
        <v>46</v>
      </c>
      <c r="B107" s="6">
        <v>46225</v>
      </c>
      <c r="C107" s="2" t="s">
        <v>47</v>
      </c>
      <c r="D107" s="2" t="s">
        <v>19</v>
      </c>
      <c r="E107" s="2" t="s">
        <v>36</v>
      </c>
      <c r="F107" s="2" t="s">
        <v>21</v>
      </c>
      <c r="G107" s="2">
        <v>14</v>
      </c>
      <c r="H107" s="7">
        <v>525.73</v>
      </c>
      <c r="I107" s="7">
        <f t="shared" si="1"/>
        <v>7360.22</v>
      </c>
      <c r="J107" s="8">
        <v>0.16</v>
      </c>
    </row>
    <row r="108" spans="1:10" hidden="1" x14ac:dyDescent="0.25">
      <c r="A108" s="2" t="s">
        <v>70</v>
      </c>
      <c r="B108" s="6">
        <v>46059</v>
      </c>
      <c r="C108" s="2" t="s">
        <v>35</v>
      </c>
      <c r="D108" s="2" t="s">
        <v>19</v>
      </c>
      <c r="E108" s="2" t="s">
        <v>43</v>
      </c>
      <c r="F108" s="2" t="s">
        <v>21</v>
      </c>
      <c r="G108" s="2">
        <v>38</v>
      </c>
      <c r="H108" s="7">
        <v>179.29</v>
      </c>
      <c r="I108" s="7">
        <f t="shared" si="1"/>
        <v>6813.0199999999995</v>
      </c>
      <c r="J108" s="8">
        <v>0.08</v>
      </c>
    </row>
    <row r="109" spans="1:10" hidden="1" x14ac:dyDescent="0.25">
      <c r="A109" s="2" t="s">
        <v>279</v>
      </c>
      <c r="B109" s="6">
        <v>46247</v>
      </c>
      <c r="C109" s="2" t="s">
        <v>35</v>
      </c>
      <c r="D109" s="2" t="s">
        <v>19</v>
      </c>
      <c r="E109" s="2" t="s">
        <v>96</v>
      </c>
      <c r="F109" s="2" t="s">
        <v>50</v>
      </c>
      <c r="G109" s="2">
        <v>10</v>
      </c>
      <c r="H109" s="7">
        <v>679.54</v>
      </c>
      <c r="I109" s="7">
        <f t="shared" si="1"/>
        <v>6795.4</v>
      </c>
      <c r="J109" s="8">
        <v>0.08</v>
      </c>
    </row>
    <row r="110" spans="1:10" x14ac:dyDescent="0.25">
      <c r="A110" s="2" t="s">
        <v>64</v>
      </c>
      <c r="B110" s="6">
        <v>46266</v>
      </c>
      <c r="C110" s="2" t="s">
        <v>42</v>
      </c>
      <c r="D110" s="2" t="s">
        <v>19</v>
      </c>
      <c r="E110" s="2" t="s">
        <v>65</v>
      </c>
      <c r="F110" s="2" t="s">
        <v>16</v>
      </c>
      <c r="G110" s="2">
        <v>50</v>
      </c>
      <c r="H110" s="7">
        <v>104.11</v>
      </c>
      <c r="I110" s="7">
        <f t="shared" si="1"/>
        <v>5205.5</v>
      </c>
      <c r="J110" s="8">
        <v>0.16</v>
      </c>
    </row>
    <row r="111" spans="1:10" hidden="1" x14ac:dyDescent="0.25">
      <c r="A111" s="2" t="s">
        <v>330</v>
      </c>
      <c r="B111" s="6">
        <v>46291</v>
      </c>
      <c r="C111" s="2" t="s">
        <v>47</v>
      </c>
      <c r="D111" s="2" t="s">
        <v>19</v>
      </c>
      <c r="E111" s="2" t="s">
        <v>20</v>
      </c>
      <c r="F111" s="2" t="s">
        <v>21</v>
      </c>
      <c r="G111" s="2">
        <v>22</v>
      </c>
      <c r="H111" s="7">
        <v>230.51</v>
      </c>
      <c r="I111" s="7">
        <f t="shared" si="1"/>
        <v>5071.2199999999993</v>
      </c>
      <c r="J111" s="8">
        <v>0.39</v>
      </c>
    </row>
    <row r="112" spans="1:10" hidden="1" x14ac:dyDescent="0.25">
      <c r="A112" s="2" t="s">
        <v>192</v>
      </c>
      <c r="B112" s="6">
        <v>46235</v>
      </c>
      <c r="C112" s="2" t="s">
        <v>13</v>
      </c>
      <c r="D112" s="2" t="s">
        <v>19</v>
      </c>
      <c r="E112" s="2" t="s">
        <v>96</v>
      </c>
      <c r="F112" s="2" t="s">
        <v>50</v>
      </c>
      <c r="G112" s="2">
        <v>19</v>
      </c>
      <c r="H112" s="7">
        <v>264.07</v>
      </c>
      <c r="I112" s="7">
        <f t="shared" si="1"/>
        <v>5017.33</v>
      </c>
      <c r="J112" s="8">
        <v>0.1</v>
      </c>
    </row>
    <row r="113" spans="1:10" hidden="1" x14ac:dyDescent="0.25">
      <c r="A113" s="2" t="s">
        <v>146</v>
      </c>
      <c r="B113" s="6">
        <v>46117</v>
      </c>
      <c r="C113" s="2" t="s">
        <v>23</v>
      </c>
      <c r="D113" s="2" t="s">
        <v>19</v>
      </c>
      <c r="E113" s="2" t="s">
        <v>49</v>
      </c>
      <c r="F113" s="2" t="s">
        <v>50</v>
      </c>
      <c r="G113" s="2">
        <v>8</v>
      </c>
      <c r="H113" s="7">
        <v>595.33000000000004</v>
      </c>
      <c r="I113" s="7">
        <f t="shared" si="1"/>
        <v>4762.6400000000003</v>
      </c>
      <c r="J113" s="8">
        <v>0.35</v>
      </c>
    </row>
    <row r="114" spans="1:10" hidden="1" x14ac:dyDescent="0.25">
      <c r="A114" s="2" t="s">
        <v>41</v>
      </c>
      <c r="B114" s="6">
        <v>46161</v>
      </c>
      <c r="C114" s="2" t="s">
        <v>42</v>
      </c>
      <c r="D114" s="2" t="s">
        <v>19</v>
      </c>
      <c r="E114" s="2" t="s">
        <v>43</v>
      </c>
      <c r="F114" s="2" t="s">
        <v>21</v>
      </c>
      <c r="G114" s="2">
        <v>11</v>
      </c>
      <c r="H114" s="7">
        <v>371.96</v>
      </c>
      <c r="I114" s="7">
        <f t="shared" si="1"/>
        <v>4091.56</v>
      </c>
      <c r="J114" s="8">
        <v>0.32</v>
      </c>
    </row>
    <row r="115" spans="1:10" hidden="1" x14ac:dyDescent="0.25">
      <c r="A115" s="2" t="s">
        <v>258</v>
      </c>
      <c r="B115" s="6">
        <v>46246</v>
      </c>
      <c r="C115" s="2" t="s">
        <v>18</v>
      </c>
      <c r="D115" s="2" t="s">
        <v>19</v>
      </c>
      <c r="E115" s="2" t="s">
        <v>69</v>
      </c>
      <c r="F115" s="2" t="s">
        <v>31</v>
      </c>
      <c r="G115" s="2">
        <v>33</v>
      </c>
      <c r="H115" s="7">
        <v>121.29</v>
      </c>
      <c r="I115" s="7">
        <f t="shared" si="1"/>
        <v>4002.57</v>
      </c>
      <c r="J115" s="8">
        <v>0.38</v>
      </c>
    </row>
    <row r="116" spans="1:10" x14ac:dyDescent="0.25">
      <c r="A116" s="2" t="s">
        <v>131</v>
      </c>
      <c r="B116" s="6">
        <v>46033</v>
      </c>
      <c r="C116" s="2" t="s">
        <v>85</v>
      </c>
      <c r="D116" s="2" t="s">
        <v>19</v>
      </c>
      <c r="E116" s="2" t="s">
        <v>15</v>
      </c>
      <c r="F116" s="2" t="s">
        <v>16</v>
      </c>
      <c r="G116" s="2">
        <v>16</v>
      </c>
      <c r="H116" s="7">
        <v>162.69</v>
      </c>
      <c r="I116" s="7">
        <f t="shared" si="1"/>
        <v>2603.04</v>
      </c>
      <c r="J116" s="8">
        <v>0.15</v>
      </c>
    </row>
    <row r="117" spans="1:10" hidden="1" x14ac:dyDescent="0.25">
      <c r="A117" s="2" t="s">
        <v>130</v>
      </c>
      <c r="B117" s="6">
        <v>46049</v>
      </c>
      <c r="C117" s="2" t="s">
        <v>28</v>
      </c>
      <c r="D117" s="2" t="s">
        <v>19</v>
      </c>
      <c r="E117" s="2" t="s">
        <v>74</v>
      </c>
      <c r="F117" s="2" t="s">
        <v>56</v>
      </c>
      <c r="G117" s="2">
        <v>6</v>
      </c>
      <c r="H117" s="7">
        <v>378.36</v>
      </c>
      <c r="I117" s="7">
        <f t="shared" si="1"/>
        <v>2270.16</v>
      </c>
      <c r="J117" s="8">
        <v>0.31</v>
      </c>
    </row>
    <row r="118" spans="1:10" hidden="1" x14ac:dyDescent="0.25">
      <c r="A118" s="2" t="s">
        <v>234</v>
      </c>
      <c r="B118" s="6">
        <v>46181</v>
      </c>
      <c r="C118" s="2" t="s">
        <v>28</v>
      </c>
      <c r="D118" s="2" t="s">
        <v>19</v>
      </c>
      <c r="E118" s="2" t="s">
        <v>112</v>
      </c>
      <c r="F118" s="2" t="s">
        <v>56</v>
      </c>
      <c r="G118" s="2">
        <v>34</v>
      </c>
      <c r="H118" s="7">
        <v>66.599999999999994</v>
      </c>
      <c r="I118" s="7">
        <f t="shared" si="1"/>
        <v>2264.3999999999996</v>
      </c>
      <c r="J118" s="8">
        <v>0.18</v>
      </c>
    </row>
    <row r="119" spans="1:10" hidden="1" x14ac:dyDescent="0.25">
      <c r="A119" s="2" t="s">
        <v>229</v>
      </c>
      <c r="B119" s="6">
        <v>46277</v>
      </c>
      <c r="C119" s="2" t="s">
        <v>79</v>
      </c>
      <c r="D119" s="2" t="s">
        <v>19</v>
      </c>
      <c r="E119" s="2" t="s">
        <v>102</v>
      </c>
      <c r="F119" s="2" t="s">
        <v>31</v>
      </c>
      <c r="G119" s="2">
        <v>21</v>
      </c>
      <c r="H119" s="7">
        <v>99.51</v>
      </c>
      <c r="I119" s="7">
        <f t="shared" si="1"/>
        <v>2089.71</v>
      </c>
      <c r="J119" s="8">
        <v>0.1</v>
      </c>
    </row>
    <row r="120" spans="1:10" x14ac:dyDescent="0.25">
      <c r="A120" s="2" t="s">
        <v>71</v>
      </c>
      <c r="B120" s="6">
        <v>46165</v>
      </c>
      <c r="C120" s="2" t="s">
        <v>47</v>
      </c>
      <c r="D120" s="2" t="s">
        <v>19</v>
      </c>
      <c r="E120" s="2" t="s">
        <v>61</v>
      </c>
      <c r="F120" s="2" t="s">
        <v>16</v>
      </c>
      <c r="G120" s="2">
        <v>5</v>
      </c>
      <c r="H120" s="7">
        <v>413.27</v>
      </c>
      <c r="I120" s="7">
        <f t="shared" si="1"/>
        <v>2066.35</v>
      </c>
      <c r="J120" s="8">
        <v>0.27</v>
      </c>
    </row>
    <row r="121" spans="1:10" hidden="1" x14ac:dyDescent="0.25">
      <c r="A121" s="2" t="s">
        <v>228</v>
      </c>
      <c r="B121" s="6">
        <v>46127</v>
      </c>
      <c r="C121" s="2" t="s">
        <v>38</v>
      </c>
      <c r="D121" s="2" t="s">
        <v>19</v>
      </c>
      <c r="E121" s="2" t="s">
        <v>52</v>
      </c>
      <c r="F121" s="2" t="s">
        <v>50</v>
      </c>
      <c r="G121" s="2">
        <v>39</v>
      </c>
      <c r="H121" s="7">
        <v>47.61</v>
      </c>
      <c r="I121" s="7">
        <f t="shared" si="1"/>
        <v>1856.79</v>
      </c>
      <c r="J121" s="8">
        <v>0.36</v>
      </c>
    </row>
    <row r="122" spans="1:10" hidden="1" x14ac:dyDescent="0.25">
      <c r="A122" s="2" t="s">
        <v>232</v>
      </c>
      <c r="B122" s="6">
        <v>46033</v>
      </c>
      <c r="C122" s="2" t="s">
        <v>28</v>
      </c>
      <c r="D122" s="2" t="s">
        <v>19</v>
      </c>
      <c r="E122" s="2" t="s">
        <v>112</v>
      </c>
      <c r="F122" s="2" t="s">
        <v>56</v>
      </c>
      <c r="G122" s="2">
        <v>19</v>
      </c>
      <c r="H122" s="7">
        <v>95.68</v>
      </c>
      <c r="I122" s="7">
        <f t="shared" si="1"/>
        <v>1817.92</v>
      </c>
      <c r="J122" s="8">
        <v>0.37</v>
      </c>
    </row>
    <row r="123" spans="1:10" hidden="1" x14ac:dyDescent="0.25">
      <c r="A123" s="2" t="s">
        <v>117</v>
      </c>
      <c r="B123" s="6">
        <v>46085</v>
      </c>
      <c r="C123" s="2" t="s">
        <v>47</v>
      </c>
      <c r="D123" s="2" t="s">
        <v>19</v>
      </c>
      <c r="E123" s="2" t="s">
        <v>67</v>
      </c>
      <c r="F123" s="2" t="s">
        <v>21</v>
      </c>
      <c r="G123" s="2">
        <v>4</v>
      </c>
      <c r="H123" s="7">
        <v>447.7</v>
      </c>
      <c r="I123" s="7">
        <f t="shared" si="1"/>
        <v>1790.8</v>
      </c>
      <c r="J123" s="8">
        <v>0.37</v>
      </c>
    </row>
    <row r="124" spans="1:10" x14ac:dyDescent="0.25">
      <c r="A124" s="2" t="s">
        <v>91</v>
      </c>
      <c r="B124" s="6">
        <v>46077</v>
      </c>
      <c r="C124" s="2" t="s">
        <v>42</v>
      </c>
      <c r="D124" s="2" t="s">
        <v>19</v>
      </c>
      <c r="E124" s="2" t="s">
        <v>26</v>
      </c>
      <c r="F124" s="2" t="s">
        <v>16</v>
      </c>
      <c r="G124" s="2">
        <v>17</v>
      </c>
      <c r="H124" s="7">
        <v>95.88</v>
      </c>
      <c r="I124" s="7">
        <f t="shared" si="1"/>
        <v>1629.96</v>
      </c>
      <c r="J124" s="8">
        <v>0.16</v>
      </c>
    </row>
    <row r="125" spans="1:10" hidden="1" x14ac:dyDescent="0.25">
      <c r="A125" s="2" t="s">
        <v>212</v>
      </c>
      <c r="B125" s="6">
        <v>46098</v>
      </c>
      <c r="C125" s="2" t="s">
        <v>18</v>
      </c>
      <c r="D125" s="2" t="s">
        <v>19</v>
      </c>
      <c r="E125" s="2" t="s">
        <v>55</v>
      </c>
      <c r="F125" s="2" t="s">
        <v>56</v>
      </c>
      <c r="G125" s="2">
        <v>6</v>
      </c>
      <c r="H125" s="7">
        <v>260.39999999999998</v>
      </c>
      <c r="I125" s="7">
        <f t="shared" si="1"/>
        <v>1562.3999999999999</v>
      </c>
      <c r="J125" s="8">
        <v>0.16</v>
      </c>
    </row>
    <row r="126" spans="1:10" hidden="1" x14ac:dyDescent="0.25">
      <c r="A126" s="2" t="s">
        <v>259</v>
      </c>
      <c r="B126" s="6">
        <v>46280</v>
      </c>
      <c r="C126" s="2" t="s">
        <v>28</v>
      </c>
      <c r="D126" s="2" t="s">
        <v>19</v>
      </c>
      <c r="E126" s="2" t="s">
        <v>30</v>
      </c>
      <c r="F126" s="2" t="s">
        <v>31</v>
      </c>
      <c r="G126" s="2">
        <v>27</v>
      </c>
      <c r="H126" s="7">
        <v>46.39</v>
      </c>
      <c r="I126" s="7">
        <f t="shared" si="1"/>
        <v>1252.53</v>
      </c>
      <c r="J126" s="8">
        <v>0.2</v>
      </c>
    </row>
    <row r="127" spans="1:10" hidden="1" x14ac:dyDescent="0.25">
      <c r="A127" s="2" t="s">
        <v>284</v>
      </c>
      <c r="B127" s="6">
        <v>46060</v>
      </c>
      <c r="C127" s="2" t="s">
        <v>47</v>
      </c>
      <c r="D127" s="2" t="s">
        <v>19</v>
      </c>
      <c r="E127" s="2" t="s">
        <v>77</v>
      </c>
      <c r="F127" s="2" t="s">
        <v>56</v>
      </c>
      <c r="G127" s="2">
        <v>8</v>
      </c>
      <c r="H127" s="7">
        <v>112.04</v>
      </c>
      <c r="I127" s="7">
        <f t="shared" si="1"/>
        <v>896.32</v>
      </c>
      <c r="J127" s="8">
        <v>0.41</v>
      </c>
    </row>
    <row r="128" spans="1:10" hidden="1" x14ac:dyDescent="0.25">
      <c r="A128" s="2" t="s">
        <v>169</v>
      </c>
      <c r="B128" s="6">
        <v>46231</v>
      </c>
      <c r="C128" s="2" t="s">
        <v>18</v>
      </c>
      <c r="D128" s="2" t="s">
        <v>19</v>
      </c>
      <c r="E128" s="2" t="s">
        <v>49</v>
      </c>
      <c r="F128" s="2" t="s">
        <v>50</v>
      </c>
      <c r="G128" s="2">
        <v>36</v>
      </c>
      <c r="H128" s="7">
        <v>14.88</v>
      </c>
      <c r="I128" s="7">
        <f t="shared" si="1"/>
        <v>535.68000000000006</v>
      </c>
      <c r="J128" s="8">
        <v>0.45</v>
      </c>
    </row>
    <row r="129" spans="1:10" hidden="1" x14ac:dyDescent="0.25">
      <c r="A129" s="2" t="s">
        <v>194</v>
      </c>
      <c r="B129" s="6">
        <v>46081</v>
      </c>
      <c r="C129" s="2" t="s">
        <v>47</v>
      </c>
      <c r="D129" s="2" t="s">
        <v>45</v>
      </c>
      <c r="E129" s="2" t="s">
        <v>74</v>
      </c>
      <c r="F129" s="2" t="s">
        <v>56</v>
      </c>
      <c r="G129" s="2">
        <v>48</v>
      </c>
      <c r="H129" s="7">
        <v>696.84</v>
      </c>
      <c r="I129" s="7">
        <f t="shared" si="1"/>
        <v>33448.32</v>
      </c>
      <c r="J129" s="8">
        <v>0.11</v>
      </c>
    </row>
    <row r="130" spans="1:10" x14ac:dyDescent="0.25">
      <c r="A130" s="2" t="s">
        <v>57</v>
      </c>
      <c r="B130" s="6">
        <v>46159</v>
      </c>
      <c r="C130" s="2" t="s">
        <v>28</v>
      </c>
      <c r="D130" s="2" t="s">
        <v>45</v>
      </c>
      <c r="E130" s="2" t="s">
        <v>15</v>
      </c>
      <c r="F130" s="2" t="s">
        <v>16</v>
      </c>
      <c r="G130" s="2">
        <v>44</v>
      </c>
      <c r="H130" s="7">
        <v>708.29</v>
      </c>
      <c r="I130" s="7">
        <f t="shared" si="1"/>
        <v>31164.76</v>
      </c>
      <c r="J130" s="8">
        <v>0.17</v>
      </c>
    </row>
    <row r="131" spans="1:10" hidden="1" x14ac:dyDescent="0.25">
      <c r="A131" s="2" t="s">
        <v>257</v>
      </c>
      <c r="B131" s="6">
        <v>46086</v>
      </c>
      <c r="C131" s="2" t="s">
        <v>38</v>
      </c>
      <c r="D131" s="2" t="s">
        <v>45</v>
      </c>
      <c r="E131" s="2" t="s">
        <v>30</v>
      </c>
      <c r="F131" s="2" t="s">
        <v>31</v>
      </c>
      <c r="G131" s="2">
        <v>46</v>
      </c>
      <c r="H131" s="7">
        <v>677.33</v>
      </c>
      <c r="I131" s="7">
        <f t="shared" si="1"/>
        <v>31157.18</v>
      </c>
      <c r="J131" s="8">
        <v>0.36</v>
      </c>
    </row>
    <row r="132" spans="1:10" hidden="1" x14ac:dyDescent="0.25">
      <c r="A132" s="2" t="s">
        <v>166</v>
      </c>
      <c r="B132" s="6">
        <v>46259</v>
      </c>
      <c r="C132" s="2" t="s">
        <v>79</v>
      </c>
      <c r="D132" s="2" t="s">
        <v>45</v>
      </c>
      <c r="E132" s="2" t="s">
        <v>20</v>
      </c>
      <c r="F132" s="2" t="s">
        <v>21</v>
      </c>
      <c r="G132" s="2">
        <v>43</v>
      </c>
      <c r="H132" s="7">
        <v>696.02</v>
      </c>
      <c r="I132" s="7">
        <f t="shared" si="1"/>
        <v>29928.86</v>
      </c>
      <c r="J132" s="8">
        <v>0.13</v>
      </c>
    </row>
    <row r="133" spans="1:10" hidden="1" x14ac:dyDescent="0.25">
      <c r="A133" s="2" t="s">
        <v>176</v>
      </c>
      <c r="B133" s="6">
        <v>46100</v>
      </c>
      <c r="C133" s="2" t="s">
        <v>47</v>
      </c>
      <c r="D133" s="2" t="s">
        <v>45</v>
      </c>
      <c r="E133" s="2" t="s">
        <v>112</v>
      </c>
      <c r="F133" s="2" t="s">
        <v>56</v>
      </c>
      <c r="G133" s="2">
        <v>43</v>
      </c>
      <c r="H133" s="7">
        <v>634.75</v>
      </c>
      <c r="I133" s="7">
        <f t="shared" ref="I133:I196" si="2">G133*H133</f>
        <v>27294.25</v>
      </c>
      <c r="J133" s="8">
        <v>0.1</v>
      </c>
    </row>
    <row r="134" spans="1:10" hidden="1" x14ac:dyDescent="0.25">
      <c r="A134" s="2" t="s">
        <v>249</v>
      </c>
      <c r="B134" s="6">
        <v>46283</v>
      </c>
      <c r="C134" s="2" t="s">
        <v>28</v>
      </c>
      <c r="D134" s="2" t="s">
        <v>45</v>
      </c>
      <c r="E134" s="2" t="s">
        <v>20</v>
      </c>
      <c r="F134" s="2" t="s">
        <v>21</v>
      </c>
      <c r="G134" s="2">
        <v>42</v>
      </c>
      <c r="H134" s="7">
        <v>537.67999999999995</v>
      </c>
      <c r="I134" s="7">
        <f t="shared" si="2"/>
        <v>22582.559999999998</v>
      </c>
      <c r="J134" s="8">
        <v>0.2</v>
      </c>
    </row>
    <row r="135" spans="1:10" hidden="1" x14ac:dyDescent="0.25">
      <c r="A135" s="2" t="s">
        <v>308</v>
      </c>
      <c r="B135" s="6">
        <v>46083</v>
      </c>
      <c r="C135" s="2" t="s">
        <v>13</v>
      </c>
      <c r="D135" s="2" t="s">
        <v>45</v>
      </c>
      <c r="E135" s="2" t="s">
        <v>36</v>
      </c>
      <c r="F135" s="2" t="s">
        <v>21</v>
      </c>
      <c r="G135" s="2">
        <v>40</v>
      </c>
      <c r="H135" s="7">
        <v>545.6</v>
      </c>
      <c r="I135" s="7">
        <f t="shared" si="2"/>
        <v>21824</v>
      </c>
      <c r="J135" s="8">
        <v>0.21</v>
      </c>
    </row>
    <row r="136" spans="1:10" hidden="1" x14ac:dyDescent="0.25">
      <c r="A136" s="2" t="s">
        <v>245</v>
      </c>
      <c r="B136" s="6">
        <v>46056</v>
      </c>
      <c r="C136" s="2" t="s">
        <v>28</v>
      </c>
      <c r="D136" s="2" t="s">
        <v>45</v>
      </c>
      <c r="E136" s="2" t="s">
        <v>20</v>
      </c>
      <c r="F136" s="2" t="s">
        <v>21</v>
      </c>
      <c r="G136" s="2">
        <v>41</v>
      </c>
      <c r="H136" s="7">
        <v>519.26</v>
      </c>
      <c r="I136" s="7">
        <f t="shared" si="2"/>
        <v>21289.66</v>
      </c>
      <c r="J136" s="8">
        <v>0.27</v>
      </c>
    </row>
    <row r="137" spans="1:10" hidden="1" x14ac:dyDescent="0.25">
      <c r="A137" s="2" t="s">
        <v>191</v>
      </c>
      <c r="B137" s="6">
        <v>46181</v>
      </c>
      <c r="C137" s="2" t="s">
        <v>47</v>
      </c>
      <c r="D137" s="2" t="s">
        <v>45</v>
      </c>
      <c r="E137" s="2" t="s">
        <v>96</v>
      </c>
      <c r="F137" s="2" t="s">
        <v>50</v>
      </c>
      <c r="G137" s="2">
        <v>41</v>
      </c>
      <c r="H137" s="7">
        <v>518.49</v>
      </c>
      <c r="I137" s="7">
        <f t="shared" si="2"/>
        <v>21258.09</v>
      </c>
      <c r="J137" s="8">
        <v>0.28000000000000003</v>
      </c>
    </row>
    <row r="138" spans="1:10" x14ac:dyDescent="0.25">
      <c r="A138" s="2" t="s">
        <v>82</v>
      </c>
      <c r="B138" s="6">
        <v>46183</v>
      </c>
      <c r="C138" s="2" t="s">
        <v>35</v>
      </c>
      <c r="D138" s="2" t="s">
        <v>45</v>
      </c>
      <c r="E138" s="2" t="s">
        <v>65</v>
      </c>
      <c r="F138" s="2" t="s">
        <v>16</v>
      </c>
      <c r="G138" s="2">
        <v>48</v>
      </c>
      <c r="H138" s="7">
        <v>435.59</v>
      </c>
      <c r="I138" s="7">
        <f t="shared" si="2"/>
        <v>20908.32</v>
      </c>
      <c r="J138" s="8">
        <v>0.28000000000000003</v>
      </c>
    </row>
    <row r="139" spans="1:10" hidden="1" x14ac:dyDescent="0.25">
      <c r="A139" s="2" t="s">
        <v>329</v>
      </c>
      <c r="B139" s="6">
        <v>46118</v>
      </c>
      <c r="C139" s="2" t="s">
        <v>38</v>
      </c>
      <c r="D139" s="2" t="s">
        <v>45</v>
      </c>
      <c r="E139" s="2" t="s">
        <v>96</v>
      </c>
      <c r="F139" s="2" t="s">
        <v>50</v>
      </c>
      <c r="G139" s="2">
        <v>26</v>
      </c>
      <c r="H139" s="7">
        <v>631.22</v>
      </c>
      <c r="I139" s="7">
        <f t="shared" si="2"/>
        <v>16411.72</v>
      </c>
      <c r="J139" s="8">
        <v>0.05</v>
      </c>
    </row>
    <row r="140" spans="1:10" x14ac:dyDescent="0.25">
      <c r="A140" s="2" t="s">
        <v>128</v>
      </c>
      <c r="B140" s="6">
        <v>46259</v>
      </c>
      <c r="C140" s="2" t="s">
        <v>13</v>
      </c>
      <c r="D140" s="2" t="s">
        <v>45</v>
      </c>
      <c r="E140" s="2" t="s">
        <v>15</v>
      </c>
      <c r="F140" s="2" t="s">
        <v>16</v>
      </c>
      <c r="G140" s="2">
        <v>42</v>
      </c>
      <c r="H140" s="7">
        <v>345.18</v>
      </c>
      <c r="I140" s="7">
        <f t="shared" si="2"/>
        <v>14497.56</v>
      </c>
      <c r="J140" s="8">
        <v>0.15</v>
      </c>
    </row>
    <row r="141" spans="1:10" x14ac:dyDescent="0.25">
      <c r="A141" s="2" t="s">
        <v>93</v>
      </c>
      <c r="B141" s="6">
        <v>46164</v>
      </c>
      <c r="C141" s="2" t="s">
        <v>35</v>
      </c>
      <c r="D141" s="2" t="s">
        <v>45</v>
      </c>
      <c r="E141" s="2" t="s">
        <v>15</v>
      </c>
      <c r="F141" s="2" t="s">
        <v>16</v>
      </c>
      <c r="G141" s="2">
        <v>41</v>
      </c>
      <c r="H141" s="7">
        <v>341.17</v>
      </c>
      <c r="I141" s="7">
        <f t="shared" si="2"/>
        <v>13987.970000000001</v>
      </c>
      <c r="J141" s="8">
        <v>0.18</v>
      </c>
    </row>
    <row r="142" spans="1:10" hidden="1" x14ac:dyDescent="0.25">
      <c r="A142" s="2" t="s">
        <v>136</v>
      </c>
      <c r="B142" s="6">
        <v>46282</v>
      </c>
      <c r="C142" s="2" t="s">
        <v>28</v>
      </c>
      <c r="D142" s="2" t="s">
        <v>45</v>
      </c>
      <c r="E142" s="2" t="s">
        <v>67</v>
      </c>
      <c r="F142" s="2" t="s">
        <v>21</v>
      </c>
      <c r="G142" s="2">
        <v>43</v>
      </c>
      <c r="H142" s="7">
        <v>298.97000000000003</v>
      </c>
      <c r="I142" s="7">
        <f t="shared" si="2"/>
        <v>12855.710000000001</v>
      </c>
      <c r="J142" s="8">
        <v>0.39</v>
      </c>
    </row>
    <row r="143" spans="1:10" hidden="1" x14ac:dyDescent="0.25">
      <c r="A143" s="2" t="s">
        <v>141</v>
      </c>
      <c r="B143" s="6">
        <v>46164</v>
      </c>
      <c r="C143" s="2" t="s">
        <v>42</v>
      </c>
      <c r="D143" s="2" t="s">
        <v>45</v>
      </c>
      <c r="E143" s="2" t="s">
        <v>102</v>
      </c>
      <c r="F143" s="2" t="s">
        <v>31</v>
      </c>
      <c r="G143" s="2">
        <v>18</v>
      </c>
      <c r="H143" s="7">
        <v>704.73</v>
      </c>
      <c r="I143" s="7">
        <f t="shared" si="2"/>
        <v>12685.14</v>
      </c>
      <c r="J143" s="8">
        <v>0.26</v>
      </c>
    </row>
    <row r="144" spans="1:10" hidden="1" x14ac:dyDescent="0.25">
      <c r="A144" s="2" t="s">
        <v>68</v>
      </c>
      <c r="B144" s="6">
        <v>46149</v>
      </c>
      <c r="C144" s="2" t="s">
        <v>23</v>
      </c>
      <c r="D144" s="2" t="s">
        <v>45</v>
      </c>
      <c r="E144" s="2" t="s">
        <v>69</v>
      </c>
      <c r="F144" s="2" t="s">
        <v>31</v>
      </c>
      <c r="G144" s="2">
        <v>34</v>
      </c>
      <c r="H144" s="7">
        <v>363.38</v>
      </c>
      <c r="I144" s="7">
        <f t="shared" si="2"/>
        <v>12354.92</v>
      </c>
      <c r="J144" s="8">
        <v>0.19</v>
      </c>
    </row>
    <row r="145" spans="1:10" hidden="1" x14ac:dyDescent="0.25">
      <c r="A145" s="2" t="s">
        <v>263</v>
      </c>
      <c r="B145" s="6">
        <v>46177</v>
      </c>
      <c r="C145" s="2" t="s">
        <v>18</v>
      </c>
      <c r="D145" s="2" t="s">
        <v>45</v>
      </c>
      <c r="E145" s="2" t="s">
        <v>55</v>
      </c>
      <c r="F145" s="2" t="s">
        <v>56</v>
      </c>
      <c r="G145" s="2">
        <v>50</v>
      </c>
      <c r="H145" s="7">
        <v>233.33</v>
      </c>
      <c r="I145" s="7">
        <f t="shared" si="2"/>
        <v>11666.5</v>
      </c>
      <c r="J145" s="8">
        <v>0.15</v>
      </c>
    </row>
    <row r="146" spans="1:10" x14ac:dyDescent="0.25">
      <c r="A146" s="2" t="s">
        <v>188</v>
      </c>
      <c r="B146" s="6">
        <v>46174</v>
      </c>
      <c r="C146" s="2" t="s">
        <v>38</v>
      </c>
      <c r="D146" s="2" t="s">
        <v>45</v>
      </c>
      <c r="E146" s="2" t="s">
        <v>26</v>
      </c>
      <c r="F146" s="2" t="s">
        <v>16</v>
      </c>
      <c r="G146" s="2">
        <v>25</v>
      </c>
      <c r="H146" s="7">
        <v>459.25</v>
      </c>
      <c r="I146" s="7">
        <f t="shared" si="2"/>
        <v>11481.25</v>
      </c>
      <c r="J146" s="8">
        <v>0.44</v>
      </c>
    </row>
    <row r="147" spans="1:10" hidden="1" x14ac:dyDescent="0.25">
      <c r="A147" s="2" t="s">
        <v>98</v>
      </c>
      <c r="B147" s="6">
        <v>46113</v>
      </c>
      <c r="C147" s="2" t="s">
        <v>79</v>
      </c>
      <c r="D147" s="2" t="s">
        <v>45</v>
      </c>
      <c r="E147" s="2" t="s">
        <v>77</v>
      </c>
      <c r="F147" s="2" t="s">
        <v>56</v>
      </c>
      <c r="G147" s="2">
        <v>16</v>
      </c>
      <c r="H147" s="7">
        <v>692.23</v>
      </c>
      <c r="I147" s="7">
        <f t="shared" si="2"/>
        <v>11075.68</v>
      </c>
      <c r="J147" s="8">
        <v>0.12</v>
      </c>
    </row>
    <row r="148" spans="1:10" x14ac:dyDescent="0.25">
      <c r="A148" s="2" t="s">
        <v>157</v>
      </c>
      <c r="B148" s="6">
        <v>46124</v>
      </c>
      <c r="C148" s="2" t="s">
        <v>79</v>
      </c>
      <c r="D148" s="2" t="s">
        <v>45</v>
      </c>
      <c r="E148" s="2" t="s">
        <v>26</v>
      </c>
      <c r="F148" s="2" t="s">
        <v>16</v>
      </c>
      <c r="G148" s="2">
        <v>17</v>
      </c>
      <c r="H148" s="7">
        <v>631.11</v>
      </c>
      <c r="I148" s="7">
        <f t="shared" si="2"/>
        <v>10728.87</v>
      </c>
      <c r="J148" s="8">
        <v>0.27</v>
      </c>
    </row>
    <row r="149" spans="1:10" hidden="1" x14ac:dyDescent="0.25">
      <c r="A149" s="2" t="s">
        <v>180</v>
      </c>
      <c r="B149" s="6">
        <v>46272</v>
      </c>
      <c r="C149" s="2" t="s">
        <v>42</v>
      </c>
      <c r="D149" s="2" t="s">
        <v>45</v>
      </c>
      <c r="E149" s="2" t="s">
        <v>67</v>
      </c>
      <c r="F149" s="2" t="s">
        <v>21</v>
      </c>
      <c r="G149" s="2">
        <v>21</v>
      </c>
      <c r="H149" s="7">
        <v>502.93</v>
      </c>
      <c r="I149" s="7">
        <f t="shared" si="2"/>
        <v>10561.53</v>
      </c>
      <c r="J149" s="8">
        <v>0.3</v>
      </c>
    </row>
    <row r="150" spans="1:10" hidden="1" x14ac:dyDescent="0.25">
      <c r="A150" s="2" t="s">
        <v>72</v>
      </c>
      <c r="B150" s="6">
        <v>46231</v>
      </c>
      <c r="C150" s="2" t="s">
        <v>23</v>
      </c>
      <c r="D150" s="2" t="s">
        <v>45</v>
      </c>
      <c r="E150" s="2" t="s">
        <v>67</v>
      </c>
      <c r="F150" s="2" t="s">
        <v>21</v>
      </c>
      <c r="G150" s="2">
        <v>16</v>
      </c>
      <c r="H150" s="7">
        <v>628.55999999999995</v>
      </c>
      <c r="I150" s="7">
        <f t="shared" si="2"/>
        <v>10056.959999999999</v>
      </c>
      <c r="J150" s="8">
        <v>0.09</v>
      </c>
    </row>
    <row r="151" spans="1:10" hidden="1" x14ac:dyDescent="0.25">
      <c r="A151" s="2" t="s">
        <v>246</v>
      </c>
      <c r="B151" s="6">
        <v>46099</v>
      </c>
      <c r="C151" s="2" t="s">
        <v>28</v>
      </c>
      <c r="D151" s="2" t="s">
        <v>45</v>
      </c>
      <c r="E151" s="2" t="s">
        <v>74</v>
      </c>
      <c r="F151" s="2" t="s">
        <v>56</v>
      </c>
      <c r="G151" s="2">
        <v>17</v>
      </c>
      <c r="H151" s="7">
        <v>580.09</v>
      </c>
      <c r="I151" s="7">
        <f t="shared" si="2"/>
        <v>9861.5300000000007</v>
      </c>
      <c r="J151" s="8">
        <v>0.28000000000000003</v>
      </c>
    </row>
    <row r="152" spans="1:10" hidden="1" x14ac:dyDescent="0.25">
      <c r="A152" s="2" t="s">
        <v>114</v>
      </c>
      <c r="B152" s="6">
        <v>46098</v>
      </c>
      <c r="C152" s="2" t="s">
        <v>35</v>
      </c>
      <c r="D152" s="2" t="s">
        <v>45</v>
      </c>
      <c r="E152" s="2" t="s">
        <v>49</v>
      </c>
      <c r="F152" s="2" t="s">
        <v>50</v>
      </c>
      <c r="G152" s="2">
        <v>15</v>
      </c>
      <c r="H152" s="7">
        <v>646.02</v>
      </c>
      <c r="I152" s="7">
        <f t="shared" si="2"/>
        <v>9690.2999999999993</v>
      </c>
      <c r="J152" s="8">
        <v>0.15</v>
      </c>
    </row>
    <row r="153" spans="1:10" hidden="1" x14ac:dyDescent="0.25">
      <c r="A153" s="2" t="s">
        <v>73</v>
      </c>
      <c r="B153" s="6">
        <v>46050</v>
      </c>
      <c r="C153" s="2" t="s">
        <v>18</v>
      </c>
      <c r="D153" s="2" t="s">
        <v>45</v>
      </c>
      <c r="E153" s="2" t="s">
        <v>74</v>
      </c>
      <c r="F153" s="2" t="s">
        <v>56</v>
      </c>
      <c r="G153" s="2">
        <v>28</v>
      </c>
      <c r="H153" s="7">
        <v>331.24</v>
      </c>
      <c r="I153" s="7">
        <f t="shared" si="2"/>
        <v>9274.7200000000012</v>
      </c>
      <c r="J153" s="8">
        <v>0.21</v>
      </c>
    </row>
    <row r="154" spans="1:10" hidden="1" x14ac:dyDescent="0.25">
      <c r="A154" s="2" t="s">
        <v>346</v>
      </c>
      <c r="B154" s="6">
        <v>46216</v>
      </c>
      <c r="C154" s="2" t="s">
        <v>79</v>
      </c>
      <c r="D154" s="2" t="s">
        <v>45</v>
      </c>
      <c r="E154" s="2" t="s">
        <v>74</v>
      </c>
      <c r="F154" s="2" t="s">
        <v>56</v>
      </c>
      <c r="G154" s="2">
        <v>25</v>
      </c>
      <c r="H154" s="7">
        <v>361.04</v>
      </c>
      <c r="I154" s="7">
        <f t="shared" si="2"/>
        <v>9026</v>
      </c>
      <c r="J154" s="8">
        <v>0.32</v>
      </c>
    </row>
    <row r="155" spans="1:10" hidden="1" x14ac:dyDescent="0.25">
      <c r="A155" s="2" t="s">
        <v>256</v>
      </c>
      <c r="B155" s="6">
        <v>46093</v>
      </c>
      <c r="C155" s="2" t="s">
        <v>38</v>
      </c>
      <c r="D155" s="2" t="s">
        <v>45</v>
      </c>
      <c r="E155" s="2" t="s">
        <v>112</v>
      </c>
      <c r="F155" s="2" t="s">
        <v>56</v>
      </c>
      <c r="G155" s="2">
        <v>11</v>
      </c>
      <c r="H155" s="7">
        <v>654.25</v>
      </c>
      <c r="I155" s="7">
        <f t="shared" si="2"/>
        <v>7196.75</v>
      </c>
      <c r="J155" s="8">
        <v>0.31</v>
      </c>
    </row>
    <row r="156" spans="1:10" hidden="1" x14ac:dyDescent="0.25">
      <c r="A156" s="2" t="s">
        <v>94</v>
      </c>
      <c r="B156" s="6">
        <v>46241</v>
      </c>
      <c r="C156" s="2" t="s">
        <v>42</v>
      </c>
      <c r="D156" s="2" t="s">
        <v>45</v>
      </c>
      <c r="E156" s="2" t="s">
        <v>49</v>
      </c>
      <c r="F156" s="2" t="s">
        <v>50</v>
      </c>
      <c r="G156" s="2">
        <v>11</v>
      </c>
      <c r="H156" s="7">
        <v>594.02</v>
      </c>
      <c r="I156" s="7">
        <f t="shared" si="2"/>
        <v>6534.2199999999993</v>
      </c>
      <c r="J156" s="8">
        <v>0.09</v>
      </c>
    </row>
    <row r="157" spans="1:10" hidden="1" x14ac:dyDescent="0.25">
      <c r="A157" s="2" t="s">
        <v>301</v>
      </c>
      <c r="B157" s="6">
        <v>46095</v>
      </c>
      <c r="C157" s="2" t="s">
        <v>18</v>
      </c>
      <c r="D157" s="2" t="s">
        <v>45</v>
      </c>
      <c r="E157" s="2" t="s">
        <v>55</v>
      </c>
      <c r="F157" s="2" t="s">
        <v>56</v>
      </c>
      <c r="G157" s="2">
        <v>18</v>
      </c>
      <c r="H157" s="7">
        <v>361.88</v>
      </c>
      <c r="I157" s="7">
        <f t="shared" si="2"/>
        <v>6513.84</v>
      </c>
      <c r="J157" s="8">
        <v>0.17</v>
      </c>
    </row>
    <row r="158" spans="1:10" hidden="1" x14ac:dyDescent="0.25">
      <c r="A158" s="2" t="s">
        <v>203</v>
      </c>
      <c r="B158" s="6">
        <v>46085</v>
      </c>
      <c r="C158" s="2" t="s">
        <v>47</v>
      </c>
      <c r="D158" s="2" t="s">
        <v>45</v>
      </c>
      <c r="E158" s="2" t="s">
        <v>30</v>
      </c>
      <c r="F158" s="2" t="s">
        <v>31</v>
      </c>
      <c r="G158" s="2">
        <v>26</v>
      </c>
      <c r="H158" s="7">
        <v>223.6</v>
      </c>
      <c r="I158" s="7">
        <f t="shared" si="2"/>
        <v>5813.5999999999995</v>
      </c>
      <c r="J158" s="8">
        <v>0.32</v>
      </c>
    </row>
    <row r="159" spans="1:10" hidden="1" x14ac:dyDescent="0.25">
      <c r="A159" s="2" t="s">
        <v>126</v>
      </c>
      <c r="B159" s="6">
        <v>46246</v>
      </c>
      <c r="C159" s="2" t="s">
        <v>47</v>
      </c>
      <c r="D159" s="2" t="s">
        <v>45</v>
      </c>
      <c r="E159" s="2" t="s">
        <v>43</v>
      </c>
      <c r="F159" s="2" t="s">
        <v>21</v>
      </c>
      <c r="G159" s="2">
        <v>32</v>
      </c>
      <c r="H159" s="7">
        <v>178.66</v>
      </c>
      <c r="I159" s="7">
        <f t="shared" si="2"/>
        <v>5717.12</v>
      </c>
      <c r="J159" s="8">
        <v>0.21</v>
      </c>
    </row>
    <row r="160" spans="1:10" x14ac:dyDescent="0.25">
      <c r="A160" s="2" t="s">
        <v>104</v>
      </c>
      <c r="B160" s="6">
        <v>46158</v>
      </c>
      <c r="C160" s="2" t="s">
        <v>35</v>
      </c>
      <c r="D160" s="2" t="s">
        <v>45</v>
      </c>
      <c r="E160" s="2" t="s">
        <v>61</v>
      </c>
      <c r="F160" s="2" t="s">
        <v>16</v>
      </c>
      <c r="G160" s="2">
        <v>12</v>
      </c>
      <c r="H160" s="7">
        <v>466.15</v>
      </c>
      <c r="I160" s="7">
        <f t="shared" si="2"/>
        <v>5593.7999999999993</v>
      </c>
      <c r="J160" s="8">
        <v>0.28999999999999998</v>
      </c>
    </row>
    <row r="161" spans="1:10" hidden="1" x14ac:dyDescent="0.25">
      <c r="A161" s="2" t="s">
        <v>216</v>
      </c>
      <c r="B161" s="6">
        <v>46265</v>
      </c>
      <c r="C161" s="2" t="s">
        <v>18</v>
      </c>
      <c r="D161" s="2" t="s">
        <v>45</v>
      </c>
      <c r="E161" s="2" t="s">
        <v>102</v>
      </c>
      <c r="F161" s="2" t="s">
        <v>31</v>
      </c>
      <c r="G161" s="2">
        <v>10</v>
      </c>
      <c r="H161" s="7">
        <v>550.71</v>
      </c>
      <c r="I161" s="7">
        <f t="shared" si="2"/>
        <v>5507.1</v>
      </c>
      <c r="J161" s="8">
        <v>0.38</v>
      </c>
    </row>
    <row r="162" spans="1:10" hidden="1" x14ac:dyDescent="0.25">
      <c r="A162" s="2" t="s">
        <v>300</v>
      </c>
      <c r="B162" s="6">
        <v>46286</v>
      </c>
      <c r="C162" s="2" t="s">
        <v>42</v>
      </c>
      <c r="D162" s="2" t="s">
        <v>45</v>
      </c>
      <c r="E162" s="2" t="s">
        <v>69</v>
      </c>
      <c r="F162" s="2" t="s">
        <v>31</v>
      </c>
      <c r="G162" s="2">
        <v>9</v>
      </c>
      <c r="H162" s="7">
        <v>609.49</v>
      </c>
      <c r="I162" s="7">
        <f t="shared" si="2"/>
        <v>5485.41</v>
      </c>
      <c r="J162" s="8">
        <v>0.18</v>
      </c>
    </row>
    <row r="163" spans="1:10" hidden="1" x14ac:dyDescent="0.25">
      <c r="A163" s="2" t="s">
        <v>83</v>
      </c>
      <c r="B163" s="6">
        <v>46064</v>
      </c>
      <c r="C163" s="2" t="s">
        <v>13</v>
      </c>
      <c r="D163" s="2" t="s">
        <v>45</v>
      </c>
      <c r="E163" s="2" t="s">
        <v>43</v>
      </c>
      <c r="F163" s="2" t="s">
        <v>21</v>
      </c>
      <c r="G163" s="2">
        <v>4</v>
      </c>
      <c r="H163" s="7">
        <v>768.78</v>
      </c>
      <c r="I163" s="7">
        <f t="shared" si="2"/>
        <v>3075.12</v>
      </c>
      <c r="J163" s="8">
        <v>0.28999999999999998</v>
      </c>
    </row>
    <row r="164" spans="1:10" x14ac:dyDescent="0.25">
      <c r="A164" s="2" t="s">
        <v>155</v>
      </c>
      <c r="B164" s="6">
        <v>46061</v>
      </c>
      <c r="C164" s="2" t="s">
        <v>13</v>
      </c>
      <c r="D164" s="2" t="s">
        <v>45</v>
      </c>
      <c r="E164" s="2" t="s">
        <v>26</v>
      </c>
      <c r="F164" s="2" t="s">
        <v>16</v>
      </c>
      <c r="G164" s="2">
        <v>16</v>
      </c>
      <c r="H164" s="7">
        <v>142.36000000000001</v>
      </c>
      <c r="I164" s="7">
        <f t="shared" si="2"/>
        <v>2277.7600000000002</v>
      </c>
      <c r="J164" s="8">
        <v>0.21</v>
      </c>
    </row>
    <row r="165" spans="1:10" x14ac:dyDescent="0.25">
      <c r="A165" s="2" t="s">
        <v>44</v>
      </c>
      <c r="B165" s="6">
        <v>46228</v>
      </c>
      <c r="C165" s="2" t="s">
        <v>38</v>
      </c>
      <c r="D165" s="2" t="s">
        <v>45</v>
      </c>
      <c r="E165" s="2" t="s">
        <v>26</v>
      </c>
      <c r="F165" s="2" t="s">
        <v>16</v>
      </c>
      <c r="G165" s="2">
        <v>3</v>
      </c>
      <c r="H165" s="7">
        <v>644.82000000000005</v>
      </c>
      <c r="I165" s="7">
        <f t="shared" si="2"/>
        <v>1934.46</v>
      </c>
      <c r="J165" s="8">
        <v>0.13</v>
      </c>
    </row>
    <row r="166" spans="1:10" hidden="1" x14ac:dyDescent="0.25">
      <c r="A166" s="2" t="s">
        <v>295</v>
      </c>
      <c r="B166" s="6">
        <v>46037</v>
      </c>
      <c r="C166" s="2" t="s">
        <v>18</v>
      </c>
      <c r="D166" s="2" t="s">
        <v>45</v>
      </c>
      <c r="E166" s="2" t="s">
        <v>36</v>
      </c>
      <c r="F166" s="2" t="s">
        <v>21</v>
      </c>
      <c r="G166" s="2">
        <v>37</v>
      </c>
      <c r="H166" s="7">
        <v>36.79</v>
      </c>
      <c r="I166" s="7">
        <f t="shared" si="2"/>
        <v>1361.23</v>
      </c>
      <c r="J166" s="8">
        <v>0.43</v>
      </c>
    </row>
    <row r="167" spans="1:10" hidden="1" x14ac:dyDescent="0.25">
      <c r="A167" s="2" t="s">
        <v>344</v>
      </c>
      <c r="B167" s="6">
        <v>46055</v>
      </c>
      <c r="C167" s="2" t="s">
        <v>42</v>
      </c>
      <c r="D167" s="2" t="s">
        <v>45</v>
      </c>
      <c r="E167" s="2" t="s">
        <v>96</v>
      </c>
      <c r="F167" s="2" t="s">
        <v>50</v>
      </c>
      <c r="G167" s="2">
        <v>3</v>
      </c>
      <c r="H167" s="7">
        <v>341.26</v>
      </c>
      <c r="I167" s="7">
        <f t="shared" si="2"/>
        <v>1023.78</v>
      </c>
      <c r="J167" s="8">
        <v>0.42</v>
      </c>
    </row>
    <row r="168" spans="1:10" hidden="1" x14ac:dyDescent="0.25">
      <c r="A168" s="2" t="s">
        <v>199</v>
      </c>
      <c r="B168" s="6">
        <v>46275</v>
      </c>
      <c r="C168" s="2" t="s">
        <v>18</v>
      </c>
      <c r="D168" s="2" t="s">
        <v>45</v>
      </c>
      <c r="E168" s="2" t="s">
        <v>96</v>
      </c>
      <c r="F168" s="2" t="s">
        <v>50</v>
      </c>
      <c r="G168" s="2">
        <v>3</v>
      </c>
      <c r="H168" s="7">
        <v>246.27</v>
      </c>
      <c r="I168" s="7">
        <f t="shared" si="2"/>
        <v>738.81000000000006</v>
      </c>
      <c r="J168" s="8">
        <v>0.14000000000000001</v>
      </c>
    </row>
    <row r="169" spans="1:10" hidden="1" x14ac:dyDescent="0.25">
      <c r="A169" s="2" t="s">
        <v>325</v>
      </c>
      <c r="B169" s="6">
        <v>46192</v>
      </c>
      <c r="C169" s="2" t="s">
        <v>47</v>
      </c>
      <c r="D169" s="2" t="s">
        <v>45</v>
      </c>
      <c r="E169" s="2" t="s">
        <v>123</v>
      </c>
      <c r="F169" s="2" t="s">
        <v>50</v>
      </c>
      <c r="G169" s="2">
        <v>4</v>
      </c>
      <c r="H169" s="7">
        <v>83.76</v>
      </c>
      <c r="I169" s="7">
        <f t="shared" si="2"/>
        <v>335.04</v>
      </c>
      <c r="J169" s="8">
        <v>0.32</v>
      </c>
    </row>
    <row r="170" spans="1:10" hidden="1" x14ac:dyDescent="0.25">
      <c r="A170" s="2" t="s">
        <v>118</v>
      </c>
      <c r="B170" s="6">
        <v>46281</v>
      </c>
      <c r="C170" s="2" t="s">
        <v>79</v>
      </c>
      <c r="D170" s="2" t="s">
        <v>59</v>
      </c>
      <c r="E170" s="2" t="s">
        <v>36</v>
      </c>
      <c r="F170" s="2" t="s">
        <v>21</v>
      </c>
      <c r="G170" s="2">
        <v>49</v>
      </c>
      <c r="H170" s="7">
        <v>713.58</v>
      </c>
      <c r="I170" s="7">
        <f t="shared" si="2"/>
        <v>34965.420000000006</v>
      </c>
      <c r="J170" s="8">
        <v>0.41</v>
      </c>
    </row>
    <row r="171" spans="1:10" hidden="1" x14ac:dyDescent="0.25">
      <c r="A171" s="2" t="s">
        <v>233</v>
      </c>
      <c r="B171" s="6">
        <v>46068</v>
      </c>
      <c r="C171" s="2" t="s">
        <v>79</v>
      </c>
      <c r="D171" s="2" t="s">
        <v>59</v>
      </c>
      <c r="E171" s="2" t="s">
        <v>67</v>
      </c>
      <c r="F171" s="2" t="s">
        <v>21</v>
      </c>
      <c r="G171" s="2">
        <v>45</v>
      </c>
      <c r="H171" s="7">
        <v>736.14</v>
      </c>
      <c r="I171" s="7">
        <f t="shared" si="2"/>
        <v>33126.300000000003</v>
      </c>
      <c r="J171" s="8">
        <v>0.09</v>
      </c>
    </row>
    <row r="172" spans="1:10" hidden="1" x14ac:dyDescent="0.25">
      <c r="A172" s="2" t="s">
        <v>119</v>
      </c>
      <c r="B172" s="6">
        <v>46253</v>
      </c>
      <c r="C172" s="2" t="s">
        <v>38</v>
      </c>
      <c r="D172" s="2" t="s">
        <v>59</v>
      </c>
      <c r="E172" s="2" t="s">
        <v>77</v>
      </c>
      <c r="F172" s="2" t="s">
        <v>56</v>
      </c>
      <c r="G172" s="2">
        <v>48</v>
      </c>
      <c r="H172" s="7">
        <v>689.75</v>
      </c>
      <c r="I172" s="7">
        <f t="shared" si="2"/>
        <v>33108</v>
      </c>
      <c r="J172" s="8">
        <v>0.15</v>
      </c>
    </row>
    <row r="173" spans="1:10" hidden="1" x14ac:dyDescent="0.25">
      <c r="A173" s="2" t="s">
        <v>297</v>
      </c>
      <c r="B173" s="6">
        <v>46270</v>
      </c>
      <c r="C173" s="2" t="s">
        <v>23</v>
      </c>
      <c r="D173" s="2" t="s">
        <v>59</v>
      </c>
      <c r="E173" s="2" t="s">
        <v>36</v>
      </c>
      <c r="F173" s="2" t="s">
        <v>21</v>
      </c>
      <c r="G173" s="2">
        <v>42</v>
      </c>
      <c r="H173" s="7">
        <v>765.49</v>
      </c>
      <c r="I173" s="7">
        <f t="shared" si="2"/>
        <v>32150.58</v>
      </c>
      <c r="J173" s="8">
        <v>0.37</v>
      </c>
    </row>
    <row r="174" spans="1:10" hidden="1" x14ac:dyDescent="0.25">
      <c r="A174" s="2" t="s">
        <v>132</v>
      </c>
      <c r="B174" s="6">
        <v>46261</v>
      </c>
      <c r="C174" s="2" t="s">
        <v>38</v>
      </c>
      <c r="D174" s="2" t="s">
        <v>59</v>
      </c>
      <c r="E174" s="2" t="s">
        <v>55</v>
      </c>
      <c r="F174" s="2" t="s">
        <v>56</v>
      </c>
      <c r="G174" s="2">
        <v>37</v>
      </c>
      <c r="H174" s="7">
        <v>758.41</v>
      </c>
      <c r="I174" s="7">
        <f t="shared" si="2"/>
        <v>28061.17</v>
      </c>
      <c r="J174" s="8">
        <v>0.2</v>
      </c>
    </row>
    <row r="175" spans="1:10" hidden="1" x14ac:dyDescent="0.25">
      <c r="A175" s="2" t="s">
        <v>135</v>
      </c>
      <c r="B175" s="6">
        <v>46084</v>
      </c>
      <c r="C175" s="2" t="s">
        <v>85</v>
      </c>
      <c r="D175" s="2" t="s">
        <v>59</v>
      </c>
      <c r="E175" s="2" t="s">
        <v>96</v>
      </c>
      <c r="F175" s="2" t="s">
        <v>50</v>
      </c>
      <c r="G175" s="2">
        <v>45</v>
      </c>
      <c r="H175" s="7">
        <v>618.89</v>
      </c>
      <c r="I175" s="7">
        <f t="shared" si="2"/>
        <v>27850.05</v>
      </c>
      <c r="J175" s="8">
        <v>7.0000000000000007E-2</v>
      </c>
    </row>
    <row r="176" spans="1:10" hidden="1" x14ac:dyDescent="0.25">
      <c r="A176" s="2" t="s">
        <v>272</v>
      </c>
      <c r="B176" s="6">
        <v>46169</v>
      </c>
      <c r="C176" s="2" t="s">
        <v>28</v>
      </c>
      <c r="D176" s="2" t="s">
        <v>59</v>
      </c>
      <c r="E176" s="2" t="s">
        <v>30</v>
      </c>
      <c r="F176" s="2" t="s">
        <v>31</v>
      </c>
      <c r="G176" s="2">
        <v>49</v>
      </c>
      <c r="H176" s="7">
        <v>518.92999999999995</v>
      </c>
      <c r="I176" s="7">
        <f t="shared" si="2"/>
        <v>25427.569999999996</v>
      </c>
      <c r="J176" s="8">
        <v>0.36</v>
      </c>
    </row>
    <row r="177" spans="1:10" x14ac:dyDescent="0.25">
      <c r="A177" s="2" t="s">
        <v>237</v>
      </c>
      <c r="B177" s="6">
        <v>46260</v>
      </c>
      <c r="C177" s="2" t="s">
        <v>85</v>
      </c>
      <c r="D177" s="2" t="s">
        <v>59</v>
      </c>
      <c r="E177" s="2" t="s">
        <v>26</v>
      </c>
      <c r="F177" s="2" t="s">
        <v>16</v>
      </c>
      <c r="G177" s="2">
        <v>50</v>
      </c>
      <c r="H177" s="7">
        <v>503.85</v>
      </c>
      <c r="I177" s="7">
        <f t="shared" si="2"/>
        <v>25192.5</v>
      </c>
      <c r="J177" s="8">
        <v>0.28000000000000003</v>
      </c>
    </row>
    <row r="178" spans="1:10" hidden="1" x14ac:dyDescent="0.25">
      <c r="A178" s="2" t="s">
        <v>179</v>
      </c>
      <c r="B178" s="6">
        <v>46064</v>
      </c>
      <c r="C178" s="2" t="s">
        <v>28</v>
      </c>
      <c r="D178" s="2" t="s">
        <v>59</v>
      </c>
      <c r="E178" s="2" t="s">
        <v>102</v>
      </c>
      <c r="F178" s="2" t="s">
        <v>31</v>
      </c>
      <c r="G178" s="2">
        <v>40</v>
      </c>
      <c r="H178" s="7">
        <v>555.39</v>
      </c>
      <c r="I178" s="7">
        <f t="shared" si="2"/>
        <v>22215.599999999999</v>
      </c>
      <c r="J178" s="8">
        <v>0.32</v>
      </c>
    </row>
    <row r="179" spans="1:10" x14ac:dyDescent="0.25">
      <c r="A179" s="2" t="s">
        <v>278</v>
      </c>
      <c r="B179" s="6">
        <v>46209</v>
      </c>
      <c r="C179" s="2" t="s">
        <v>42</v>
      </c>
      <c r="D179" s="2" t="s">
        <v>59</v>
      </c>
      <c r="E179" s="2" t="s">
        <v>15</v>
      </c>
      <c r="F179" s="2" t="s">
        <v>16</v>
      </c>
      <c r="G179" s="2">
        <v>43</v>
      </c>
      <c r="H179" s="7">
        <v>511.46</v>
      </c>
      <c r="I179" s="7">
        <f t="shared" si="2"/>
        <v>21992.78</v>
      </c>
      <c r="J179" s="8">
        <v>0.35</v>
      </c>
    </row>
    <row r="180" spans="1:10" hidden="1" x14ac:dyDescent="0.25">
      <c r="A180" s="2" t="s">
        <v>168</v>
      </c>
      <c r="B180" s="6">
        <v>46037</v>
      </c>
      <c r="C180" s="2" t="s">
        <v>85</v>
      </c>
      <c r="D180" s="2" t="s">
        <v>59</v>
      </c>
      <c r="E180" s="2" t="s">
        <v>69</v>
      </c>
      <c r="F180" s="2" t="s">
        <v>31</v>
      </c>
      <c r="G180" s="2">
        <v>45</v>
      </c>
      <c r="H180" s="7">
        <v>389.83</v>
      </c>
      <c r="I180" s="7">
        <f t="shared" si="2"/>
        <v>17542.349999999999</v>
      </c>
      <c r="J180" s="8">
        <v>0.15</v>
      </c>
    </row>
    <row r="181" spans="1:10" hidden="1" x14ac:dyDescent="0.25">
      <c r="A181" s="2" t="s">
        <v>241</v>
      </c>
      <c r="B181" s="6">
        <v>46044</v>
      </c>
      <c r="C181" s="2" t="s">
        <v>47</v>
      </c>
      <c r="D181" s="2" t="s">
        <v>59</v>
      </c>
      <c r="E181" s="2" t="s">
        <v>112</v>
      </c>
      <c r="F181" s="2" t="s">
        <v>56</v>
      </c>
      <c r="G181" s="2">
        <v>38</v>
      </c>
      <c r="H181" s="7">
        <v>445.24</v>
      </c>
      <c r="I181" s="7">
        <f t="shared" si="2"/>
        <v>16919.12</v>
      </c>
      <c r="J181" s="8">
        <v>0.28000000000000003</v>
      </c>
    </row>
    <row r="182" spans="1:10" hidden="1" x14ac:dyDescent="0.25">
      <c r="A182" s="2" t="s">
        <v>235</v>
      </c>
      <c r="B182" s="6">
        <v>46284</v>
      </c>
      <c r="C182" s="2" t="s">
        <v>23</v>
      </c>
      <c r="D182" s="2" t="s">
        <v>59</v>
      </c>
      <c r="E182" s="2" t="s">
        <v>96</v>
      </c>
      <c r="F182" s="2" t="s">
        <v>50</v>
      </c>
      <c r="G182" s="2">
        <v>33</v>
      </c>
      <c r="H182" s="7">
        <v>508.05</v>
      </c>
      <c r="I182" s="7">
        <f t="shared" si="2"/>
        <v>16765.650000000001</v>
      </c>
      <c r="J182" s="8">
        <v>0.19</v>
      </c>
    </row>
    <row r="183" spans="1:10" hidden="1" x14ac:dyDescent="0.25">
      <c r="A183" s="2" t="s">
        <v>111</v>
      </c>
      <c r="B183" s="6">
        <v>46284</v>
      </c>
      <c r="C183" s="2" t="s">
        <v>47</v>
      </c>
      <c r="D183" s="2" t="s">
        <v>59</v>
      </c>
      <c r="E183" s="2" t="s">
        <v>112</v>
      </c>
      <c r="F183" s="2" t="s">
        <v>56</v>
      </c>
      <c r="G183" s="2">
        <v>29</v>
      </c>
      <c r="H183" s="7">
        <v>541.79999999999995</v>
      </c>
      <c r="I183" s="7">
        <f t="shared" si="2"/>
        <v>15712.199999999999</v>
      </c>
      <c r="J183" s="8">
        <v>0.41</v>
      </c>
    </row>
    <row r="184" spans="1:10" hidden="1" x14ac:dyDescent="0.25">
      <c r="A184" s="2" t="s">
        <v>271</v>
      </c>
      <c r="B184" s="6">
        <v>46286</v>
      </c>
      <c r="C184" s="2" t="s">
        <v>79</v>
      </c>
      <c r="D184" s="2" t="s">
        <v>59</v>
      </c>
      <c r="E184" s="2" t="s">
        <v>96</v>
      </c>
      <c r="F184" s="2" t="s">
        <v>50</v>
      </c>
      <c r="G184" s="2">
        <v>21</v>
      </c>
      <c r="H184" s="7">
        <v>746.96</v>
      </c>
      <c r="I184" s="7">
        <f t="shared" si="2"/>
        <v>15686.16</v>
      </c>
      <c r="J184" s="8">
        <v>0.27</v>
      </c>
    </row>
    <row r="185" spans="1:10" hidden="1" x14ac:dyDescent="0.25">
      <c r="A185" s="2" t="s">
        <v>164</v>
      </c>
      <c r="B185" s="6">
        <v>46170</v>
      </c>
      <c r="C185" s="2" t="s">
        <v>79</v>
      </c>
      <c r="D185" s="2" t="s">
        <v>59</v>
      </c>
      <c r="E185" s="2" t="s">
        <v>49</v>
      </c>
      <c r="F185" s="2" t="s">
        <v>50</v>
      </c>
      <c r="G185" s="2">
        <v>27</v>
      </c>
      <c r="H185" s="7">
        <v>556.16</v>
      </c>
      <c r="I185" s="7">
        <f t="shared" si="2"/>
        <v>15016.32</v>
      </c>
      <c r="J185" s="8">
        <v>0.35</v>
      </c>
    </row>
    <row r="186" spans="1:10" hidden="1" x14ac:dyDescent="0.25">
      <c r="A186" s="2" t="s">
        <v>226</v>
      </c>
      <c r="B186" s="6">
        <v>46162</v>
      </c>
      <c r="C186" s="2" t="s">
        <v>23</v>
      </c>
      <c r="D186" s="2" t="s">
        <v>59</v>
      </c>
      <c r="E186" s="2" t="s">
        <v>112</v>
      </c>
      <c r="F186" s="2" t="s">
        <v>56</v>
      </c>
      <c r="G186" s="2">
        <v>39</v>
      </c>
      <c r="H186" s="7">
        <v>355.87</v>
      </c>
      <c r="I186" s="7">
        <f t="shared" si="2"/>
        <v>13878.93</v>
      </c>
      <c r="J186" s="8">
        <v>0.25</v>
      </c>
    </row>
    <row r="187" spans="1:10" hidden="1" x14ac:dyDescent="0.25">
      <c r="A187" s="2" t="s">
        <v>255</v>
      </c>
      <c r="B187" s="6">
        <v>46248</v>
      </c>
      <c r="C187" s="2" t="s">
        <v>47</v>
      </c>
      <c r="D187" s="2" t="s">
        <v>59</v>
      </c>
      <c r="E187" s="2" t="s">
        <v>77</v>
      </c>
      <c r="F187" s="2" t="s">
        <v>56</v>
      </c>
      <c r="G187" s="2">
        <v>24</v>
      </c>
      <c r="H187" s="7">
        <v>543.92999999999995</v>
      </c>
      <c r="I187" s="7">
        <f t="shared" si="2"/>
        <v>13054.32</v>
      </c>
      <c r="J187" s="8">
        <v>0.16</v>
      </c>
    </row>
    <row r="188" spans="1:10" hidden="1" x14ac:dyDescent="0.25">
      <c r="A188" s="2" t="s">
        <v>251</v>
      </c>
      <c r="B188" s="6">
        <v>46074</v>
      </c>
      <c r="C188" s="2" t="s">
        <v>42</v>
      </c>
      <c r="D188" s="2" t="s">
        <v>59</v>
      </c>
      <c r="E188" s="2" t="s">
        <v>96</v>
      </c>
      <c r="F188" s="2" t="s">
        <v>50</v>
      </c>
      <c r="G188" s="2">
        <v>19</v>
      </c>
      <c r="H188" s="7">
        <v>676.16</v>
      </c>
      <c r="I188" s="7">
        <f t="shared" si="2"/>
        <v>12847.039999999999</v>
      </c>
      <c r="J188" s="8">
        <v>0.27</v>
      </c>
    </row>
    <row r="189" spans="1:10" hidden="1" x14ac:dyDescent="0.25">
      <c r="A189" s="2" t="s">
        <v>150</v>
      </c>
      <c r="B189" s="6">
        <v>46267</v>
      </c>
      <c r="C189" s="2" t="s">
        <v>18</v>
      </c>
      <c r="D189" s="2" t="s">
        <v>59</v>
      </c>
      <c r="E189" s="2" t="s">
        <v>96</v>
      </c>
      <c r="F189" s="2" t="s">
        <v>50</v>
      </c>
      <c r="G189" s="2">
        <v>17</v>
      </c>
      <c r="H189" s="7">
        <v>753.09</v>
      </c>
      <c r="I189" s="7">
        <f t="shared" si="2"/>
        <v>12802.53</v>
      </c>
      <c r="J189" s="8">
        <v>0.08</v>
      </c>
    </row>
    <row r="190" spans="1:10" hidden="1" x14ac:dyDescent="0.25">
      <c r="A190" s="2" t="s">
        <v>142</v>
      </c>
      <c r="B190" s="6">
        <v>46273</v>
      </c>
      <c r="C190" s="2" t="s">
        <v>42</v>
      </c>
      <c r="D190" s="2" t="s">
        <v>59</v>
      </c>
      <c r="E190" s="2" t="s">
        <v>96</v>
      </c>
      <c r="F190" s="2" t="s">
        <v>50</v>
      </c>
      <c r="G190" s="2">
        <v>16</v>
      </c>
      <c r="H190" s="7">
        <v>577.17999999999995</v>
      </c>
      <c r="I190" s="7">
        <f t="shared" si="2"/>
        <v>9234.8799999999992</v>
      </c>
      <c r="J190" s="8">
        <v>0.15</v>
      </c>
    </row>
    <row r="191" spans="1:10" hidden="1" x14ac:dyDescent="0.25">
      <c r="A191" s="2" t="s">
        <v>181</v>
      </c>
      <c r="B191" s="6">
        <v>46245</v>
      </c>
      <c r="C191" s="2" t="s">
        <v>18</v>
      </c>
      <c r="D191" s="2" t="s">
        <v>59</v>
      </c>
      <c r="E191" s="2" t="s">
        <v>49</v>
      </c>
      <c r="F191" s="2" t="s">
        <v>50</v>
      </c>
      <c r="G191" s="2">
        <v>15</v>
      </c>
      <c r="H191" s="7">
        <v>598.42999999999995</v>
      </c>
      <c r="I191" s="7">
        <f t="shared" si="2"/>
        <v>8976.4499999999989</v>
      </c>
      <c r="J191" s="8">
        <v>0.3</v>
      </c>
    </row>
    <row r="192" spans="1:10" hidden="1" x14ac:dyDescent="0.25">
      <c r="A192" s="2" t="s">
        <v>129</v>
      </c>
      <c r="B192" s="6">
        <v>46217</v>
      </c>
      <c r="C192" s="2" t="s">
        <v>38</v>
      </c>
      <c r="D192" s="2" t="s">
        <v>59</v>
      </c>
      <c r="E192" s="2" t="s">
        <v>40</v>
      </c>
      <c r="F192" s="2" t="s">
        <v>31</v>
      </c>
      <c r="G192" s="2">
        <v>30</v>
      </c>
      <c r="H192" s="7">
        <v>264.17</v>
      </c>
      <c r="I192" s="7">
        <f t="shared" si="2"/>
        <v>7925.1</v>
      </c>
      <c r="J192" s="8">
        <v>0.43</v>
      </c>
    </row>
    <row r="193" spans="1:10" hidden="1" x14ac:dyDescent="0.25">
      <c r="A193" s="2" t="s">
        <v>113</v>
      </c>
      <c r="B193" s="6">
        <v>46194</v>
      </c>
      <c r="C193" s="2" t="s">
        <v>18</v>
      </c>
      <c r="D193" s="2" t="s">
        <v>59</v>
      </c>
      <c r="E193" s="2" t="s">
        <v>96</v>
      </c>
      <c r="F193" s="2" t="s">
        <v>50</v>
      </c>
      <c r="G193" s="2">
        <v>19</v>
      </c>
      <c r="H193" s="7">
        <v>414.3</v>
      </c>
      <c r="I193" s="7">
        <f t="shared" si="2"/>
        <v>7871.7</v>
      </c>
      <c r="J193" s="8">
        <v>0.43</v>
      </c>
    </row>
    <row r="194" spans="1:10" x14ac:dyDescent="0.25">
      <c r="A194" s="2" t="s">
        <v>205</v>
      </c>
      <c r="B194" s="6">
        <v>46142</v>
      </c>
      <c r="C194" s="2" t="s">
        <v>28</v>
      </c>
      <c r="D194" s="2" t="s">
        <v>59</v>
      </c>
      <c r="E194" s="2" t="s">
        <v>65</v>
      </c>
      <c r="F194" s="2" t="s">
        <v>16</v>
      </c>
      <c r="G194" s="2">
        <v>14</v>
      </c>
      <c r="H194" s="7">
        <v>470.76</v>
      </c>
      <c r="I194" s="7">
        <f t="shared" si="2"/>
        <v>6590.6399999999994</v>
      </c>
      <c r="J194" s="8">
        <v>0.11</v>
      </c>
    </row>
    <row r="195" spans="1:10" hidden="1" x14ac:dyDescent="0.25">
      <c r="A195" s="2" t="s">
        <v>274</v>
      </c>
      <c r="B195" s="6">
        <v>46277</v>
      </c>
      <c r="C195" s="2" t="s">
        <v>28</v>
      </c>
      <c r="D195" s="2" t="s">
        <v>59</v>
      </c>
      <c r="E195" s="2" t="s">
        <v>74</v>
      </c>
      <c r="F195" s="2" t="s">
        <v>56</v>
      </c>
      <c r="G195" s="2">
        <v>12</v>
      </c>
      <c r="H195" s="7">
        <v>398.98</v>
      </c>
      <c r="I195" s="7">
        <f t="shared" si="2"/>
        <v>4787.76</v>
      </c>
      <c r="J195" s="8">
        <v>0.26</v>
      </c>
    </row>
    <row r="196" spans="1:10" hidden="1" x14ac:dyDescent="0.25">
      <c r="A196" s="2" t="s">
        <v>218</v>
      </c>
      <c r="B196" s="6">
        <v>46204</v>
      </c>
      <c r="C196" s="2" t="s">
        <v>79</v>
      </c>
      <c r="D196" s="2" t="s">
        <v>59</v>
      </c>
      <c r="E196" s="2" t="s">
        <v>36</v>
      </c>
      <c r="F196" s="2" t="s">
        <v>21</v>
      </c>
      <c r="G196" s="2">
        <v>43</v>
      </c>
      <c r="H196" s="7">
        <v>101.3</v>
      </c>
      <c r="I196" s="7">
        <f t="shared" si="2"/>
        <v>4355.8999999999996</v>
      </c>
      <c r="J196" s="8">
        <v>0.42</v>
      </c>
    </row>
    <row r="197" spans="1:10" hidden="1" x14ac:dyDescent="0.25">
      <c r="A197" s="2" t="s">
        <v>321</v>
      </c>
      <c r="B197" s="6">
        <v>46217</v>
      </c>
      <c r="C197" s="2" t="s">
        <v>79</v>
      </c>
      <c r="D197" s="2" t="s">
        <v>59</v>
      </c>
      <c r="E197" s="2" t="s">
        <v>102</v>
      </c>
      <c r="F197" s="2" t="s">
        <v>31</v>
      </c>
      <c r="G197" s="2">
        <v>8</v>
      </c>
      <c r="H197" s="7">
        <v>460.49</v>
      </c>
      <c r="I197" s="7">
        <f t="shared" ref="I197:I260" si="3">G197*H197</f>
        <v>3683.92</v>
      </c>
      <c r="J197" s="8">
        <v>0.19</v>
      </c>
    </row>
    <row r="198" spans="1:10" hidden="1" x14ac:dyDescent="0.25">
      <c r="A198" s="2" t="s">
        <v>80</v>
      </c>
      <c r="B198" s="6">
        <v>46222</v>
      </c>
      <c r="C198" s="2" t="s">
        <v>38</v>
      </c>
      <c r="D198" s="2" t="s">
        <v>59</v>
      </c>
      <c r="E198" s="2" t="s">
        <v>55</v>
      </c>
      <c r="F198" s="2" t="s">
        <v>56</v>
      </c>
      <c r="G198" s="2">
        <v>11</v>
      </c>
      <c r="H198" s="7">
        <v>305.66000000000003</v>
      </c>
      <c r="I198" s="7">
        <f t="shared" si="3"/>
        <v>3362.26</v>
      </c>
      <c r="J198" s="8">
        <v>0.36</v>
      </c>
    </row>
    <row r="199" spans="1:10" hidden="1" x14ac:dyDescent="0.25">
      <c r="A199" s="2" t="s">
        <v>204</v>
      </c>
      <c r="B199" s="6">
        <v>46147</v>
      </c>
      <c r="C199" s="2" t="s">
        <v>13</v>
      </c>
      <c r="D199" s="2" t="s">
        <v>59</v>
      </c>
      <c r="E199" s="2" t="s">
        <v>20</v>
      </c>
      <c r="F199" s="2" t="s">
        <v>21</v>
      </c>
      <c r="G199" s="2">
        <v>4</v>
      </c>
      <c r="H199" s="7">
        <v>630.29</v>
      </c>
      <c r="I199" s="7">
        <f t="shared" si="3"/>
        <v>2521.16</v>
      </c>
      <c r="J199" s="8">
        <v>0.28000000000000003</v>
      </c>
    </row>
    <row r="200" spans="1:10" x14ac:dyDescent="0.25">
      <c r="A200" s="2" t="s">
        <v>100</v>
      </c>
      <c r="B200" s="6">
        <v>46136</v>
      </c>
      <c r="C200" s="2" t="s">
        <v>23</v>
      </c>
      <c r="D200" s="2" t="s">
        <v>59</v>
      </c>
      <c r="E200" s="2" t="s">
        <v>33</v>
      </c>
      <c r="F200" s="2" t="s">
        <v>16</v>
      </c>
      <c r="G200" s="2">
        <v>3</v>
      </c>
      <c r="H200" s="7">
        <v>687.44</v>
      </c>
      <c r="I200" s="7">
        <f t="shared" si="3"/>
        <v>2062.3200000000002</v>
      </c>
      <c r="J200" s="8">
        <v>0.42</v>
      </c>
    </row>
    <row r="201" spans="1:10" hidden="1" x14ac:dyDescent="0.25">
      <c r="A201" s="2" t="s">
        <v>220</v>
      </c>
      <c r="B201" s="6">
        <v>46211</v>
      </c>
      <c r="C201" s="2" t="s">
        <v>18</v>
      </c>
      <c r="D201" s="2" t="s">
        <v>59</v>
      </c>
      <c r="E201" s="2" t="s">
        <v>77</v>
      </c>
      <c r="F201" s="2" t="s">
        <v>56</v>
      </c>
      <c r="G201" s="2">
        <v>7</v>
      </c>
      <c r="H201" s="7">
        <v>282.69</v>
      </c>
      <c r="I201" s="7">
        <f t="shared" si="3"/>
        <v>1978.83</v>
      </c>
      <c r="J201" s="8">
        <v>0.16</v>
      </c>
    </row>
    <row r="202" spans="1:10" hidden="1" x14ac:dyDescent="0.25">
      <c r="A202" s="2" t="s">
        <v>106</v>
      </c>
      <c r="B202" s="6">
        <v>46023</v>
      </c>
      <c r="C202" s="2" t="s">
        <v>42</v>
      </c>
      <c r="D202" s="2" t="s">
        <v>59</v>
      </c>
      <c r="E202" s="2" t="s">
        <v>49</v>
      </c>
      <c r="F202" s="2" t="s">
        <v>50</v>
      </c>
      <c r="G202" s="2">
        <v>3</v>
      </c>
      <c r="H202" s="7">
        <v>568.19000000000005</v>
      </c>
      <c r="I202" s="7">
        <f t="shared" si="3"/>
        <v>1704.5700000000002</v>
      </c>
      <c r="J202" s="8">
        <v>0.27</v>
      </c>
    </row>
    <row r="203" spans="1:10" x14ac:dyDescent="0.25">
      <c r="A203" s="2" t="s">
        <v>165</v>
      </c>
      <c r="B203" s="6">
        <v>46188</v>
      </c>
      <c r="C203" s="2" t="s">
        <v>18</v>
      </c>
      <c r="D203" s="2" t="s">
        <v>59</v>
      </c>
      <c r="E203" s="2" t="s">
        <v>33</v>
      </c>
      <c r="F203" s="2" t="s">
        <v>16</v>
      </c>
      <c r="G203" s="2">
        <v>6</v>
      </c>
      <c r="H203" s="7">
        <v>254.36</v>
      </c>
      <c r="I203" s="7">
        <f t="shared" si="3"/>
        <v>1526.16</v>
      </c>
      <c r="J203" s="8">
        <v>0.21</v>
      </c>
    </row>
    <row r="204" spans="1:10" hidden="1" x14ac:dyDescent="0.25">
      <c r="A204" s="2" t="s">
        <v>172</v>
      </c>
      <c r="B204" s="6">
        <v>46235</v>
      </c>
      <c r="C204" s="2" t="s">
        <v>28</v>
      </c>
      <c r="D204" s="2" t="s">
        <v>59</v>
      </c>
      <c r="E204" s="2" t="s">
        <v>123</v>
      </c>
      <c r="F204" s="2" t="s">
        <v>50</v>
      </c>
      <c r="G204" s="2">
        <v>5</v>
      </c>
      <c r="H204" s="7">
        <v>223.89</v>
      </c>
      <c r="I204" s="7">
        <f t="shared" si="3"/>
        <v>1119.4499999999998</v>
      </c>
      <c r="J204" s="8">
        <v>0.25</v>
      </c>
    </row>
    <row r="205" spans="1:10" hidden="1" x14ac:dyDescent="0.25">
      <c r="A205" s="2" t="s">
        <v>58</v>
      </c>
      <c r="B205" s="6">
        <v>46157</v>
      </c>
      <c r="C205" s="2" t="s">
        <v>42</v>
      </c>
      <c r="D205" s="2" t="s">
        <v>59</v>
      </c>
      <c r="E205" s="2" t="s">
        <v>52</v>
      </c>
      <c r="F205" s="2" t="s">
        <v>50</v>
      </c>
      <c r="G205" s="2">
        <v>1</v>
      </c>
      <c r="H205" s="7">
        <v>763.24</v>
      </c>
      <c r="I205" s="7">
        <f t="shared" si="3"/>
        <v>763.24</v>
      </c>
      <c r="J205" s="8">
        <v>0.12</v>
      </c>
    </row>
    <row r="206" spans="1:10" x14ac:dyDescent="0.25">
      <c r="A206" s="2" t="s">
        <v>345</v>
      </c>
      <c r="B206" s="6">
        <v>46115</v>
      </c>
      <c r="C206" s="2" t="s">
        <v>13</v>
      </c>
      <c r="D206" s="2" t="s">
        <v>59</v>
      </c>
      <c r="E206" s="2" t="s">
        <v>33</v>
      </c>
      <c r="F206" s="2" t="s">
        <v>16</v>
      </c>
      <c r="G206" s="2">
        <v>3</v>
      </c>
      <c r="H206" s="7">
        <v>232.52</v>
      </c>
      <c r="I206" s="7">
        <f t="shared" si="3"/>
        <v>697.56000000000006</v>
      </c>
      <c r="J206" s="8">
        <v>0.31</v>
      </c>
    </row>
    <row r="207" spans="1:10" hidden="1" x14ac:dyDescent="0.25">
      <c r="A207" s="2" t="s">
        <v>260</v>
      </c>
      <c r="B207" s="6">
        <v>46073</v>
      </c>
      <c r="C207" s="2" t="s">
        <v>28</v>
      </c>
      <c r="D207" s="2" t="s">
        <v>59</v>
      </c>
      <c r="E207" s="2" t="s">
        <v>61</v>
      </c>
      <c r="F207" s="2" t="s">
        <v>16</v>
      </c>
      <c r="G207" s="2">
        <v>15</v>
      </c>
      <c r="H207" s="7">
        <v>26.44</v>
      </c>
      <c r="I207" s="7">
        <f t="shared" si="3"/>
        <v>396.6</v>
      </c>
      <c r="J207" s="8">
        <v>0.11</v>
      </c>
    </row>
    <row r="208" spans="1:10" x14ac:dyDescent="0.25">
      <c r="A208" s="2" t="s">
        <v>78</v>
      </c>
      <c r="B208" s="6">
        <v>46108</v>
      </c>
      <c r="C208" s="2" t="s">
        <v>79</v>
      </c>
      <c r="D208" s="2" t="s">
        <v>24</v>
      </c>
      <c r="E208" s="2" t="s">
        <v>15</v>
      </c>
      <c r="F208" s="2" t="s">
        <v>16</v>
      </c>
      <c r="G208" s="2">
        <v>49</v>
      </c>
      <c r="H208" s="7">
        <v>679.56</v>
      </c>
      <c r="I208" s="7">
        <f t="shared" si="3"/>
        <v>33298.439999999995</v>
      </c>
      <c r="J208" s="8">
        <v>0.24</v>
      </c>
    </row>
    <row r="209" spans="1:10" hidden="1" x14ac:dyDescent="0.25">
      <c r="A209" s="2" t="s">
        <v>288</v>
      </c>
      <c r="B209" s="6">
        <v>46056</v>
      </c>
      <c r="C209" s="2" t="s">
        <v>38</v>
      </c>
      <c r="D209" s="2" t="s">
        <v>24</v>
      </c>
      <c r="E209" s="2" t="s">
        <v>77</v>
      </c>
      <c r="F209" s="2" t="s">
        <v>56</v>
      </c>
      <c r="G209" s="2">
        <v>40</v>
      </c>
      <c r="H209" s="7">
        <v>707.86</v>
      </c>
      <c r="I209" s="7">
        <f t="shared" si="3"/>
        <v>28314.400000000001</v>
      </c>
      <c r="J209" s="8">
        <v>0.45</v>
      </c>
    </row>
    <row r="210" spans="1:10" hidden="1" x14ac:dyDescent="0.25">
      <c r="A210" s="2" t="s">
        <v>196</v>
      </c>
      <c r="B210" s="6">
        <v>46157</v>
      </c>
      <c r="C210" s="2" t="s">
        <v>85</v>
      </c>
      <c r="D210" s="2" t="s">
        <v>24</v>
      </c>
      <c r="E210" s="2" t="s">
        <v>74</v>
      </c>
      <c r="F210" s="2" t="s">
        <v>56</v>
      </c>
      <c r="G210" s="2">
        <v>44</v>
      </c>
      <c r="H210" s="7">
        <v>600.21</v>
      </c>
      <c r="I210" s="7">
        <f t="shared" si="3"/>
        <v>26409.24</v>
      </c>
      <c r="J210" s="8">
        <v>0.38</v>
      </c>
    </row>
    <row r="211" spans="1:10" hidden="1" x14ac:dyDescent="0.25">
      <c r="A211" s="2" t="s">
        <v>138</v>
      </c>
      <c r="B211" s="6">
        <v>46270</v>
      </c>
      <c r="C211" s="2" t="s">
        <v>47</v>
      </c>
      <c r="D211" s="2" t="s">
        <v>24</v>
      </c>
      <c r="E211" s="2" t="s">
        <v>36</v>
      </c>
      <c r="F211" s="2" t="s">
        <v>21</v>
      </c>
      <c r="G211" s="2">
        <v>40</v>
      </c>
      <c r="H211" s="7">
        <v>647.33000000000004</v>
      </c>
      <c r="I211" s="7">
        <f t="shared" si="3"/>
        <v>25893.200000000001</v>
      </c>
      <c r="J211" s="8">
        <v>0.38</v>
      </c>
    </row>
    <row r="212" spans="1:10" x14ac:dyDescent="0.25">
      <c r="A212" s="2" t="s">
        <v>214</v>
      </c>
      <c r="B212" s="6">
        <v>46133</v>
      </c>
      <c r="C212" s="2" t="s">
        <v>79</v>
      </c>
      <c r="D212" s="2" t="s">
        <v>24</v>
      </c>
      <c r="E212" s="2" t="s">
        <v>15</v>
      </c>
      <c r="F212" s="2" t="s">
        <v>16</v>
      </c>
      <c r="G212" s="2">
        <v>42</v>
      </c>
      <c r="H212" s="7">
        <v>522.13</v>
      </c>
      <c r="I212" s="7">
        <f t="shared" si="3"/>
        <v>21929.46</v>
      </c>
      <c r="J212" s="8">
        <v>0.41</v>
      </c>
    </row>
    <row r="213" spans="1:10" hidden="1" x14ac:dyDescent="0.25">
      <c r="A213" s="2" t="s">
        <v>137</v>
      </c>
      <c r="B213" s="6">
        <v>46258</v>
      </c>
      <c r="C213" s="2" t="s">
        <v>13</v>
      </c>
      <c r="D213" s="2" t="s">
        <v>24</v>
      </c>
      <c r="E213" s="2" t="s">
        <v>55</v>
      </c>
      <c r="F213" s="2" t="s">
        <v>56</v>
      </c>
      <c r="G213" s="2">
        <v>28</v>
      </c>
      <c r="H213" s="7">
        <v>768.79</v>
      </c>
      <c r="I213" s="7">
        <f t="shared" si="3"/>
        <v>21526.12</v>
      </c>
      <c r="J213" s="8">
        <v>0.12</v>
      </c>
    </row>
    <row r="214" spans="1:10" hidden="1" x14ac:dyDescent="0.25">
      <c r="A214" s="2" t="s">
        <v>153</v>
      </c>
      <c r="B214" s="6">
        <v>46175</v>
      </c>
      <c r="C214" s="2" t="s">
        <v>85</v>
      </c>
      <c r="D214" s="2" t="s">
        <v>24</v>
      </c>
      <c r="E214" s="2" t="s">
        <v>52</v>
      </c>
      <c r="F214" s="2" t="s">
        <v>50</v>
      </c>
      <c r="G214" s="2">
        <v>29</v>
      </c>
      <c r="H214" s="7">
        <v>727.17</v>
      </c>
      <c r="I214" s="7">
        <f t="shared" si="3"/>
        <v>21087.93</v>
      </c>
      <c r="J214" s="8">
        <v>0.17</v>
      </c>
    </row>
    <row r="215" spans="1:10" x14ac:dyDescent="0.25">
      <c r="A215" s="2" t="s">
        <v>211</v>
      </c>
      <c r="B215" s="6">
        <v>46241</v>
      </c>
      <c r="C215" s="2" t="s">
        <v>18</v>
      </c>
      <c r="D215" s="2" t="s">
        <v>24</v>
      </c>
      <c r="E215" s="2" t="s">
        <v>15</v>
      </c>
      <c r="F215" s="2" t="s">
        <v>16</v>
      </c>
      <c r="G215" s="2">
        <v>31</v>
      </c>
      <c r="H215" s="7">
        <v>678.45</v>
      </c>
      <c r="I215" s="7">
        <f t="shared" si="3"/>
        <v>21031.95</v>
      </c>
      <c r="J215" s="8">
        <v>0.33</v>
      </c>
    </row>
    <row r="216" spans="1:10" x14ac:dyDescent="0.25">
      <c r="A216" s="2" t="s">
        <v>178</v>
      </c>
      <c r="B216" s="6">
        <v>46102</v>
      </c>
      <c r="C216" s="2" t="s">
        <v>18</v>
      </c>
      <c r="D216" s="2" t="s">
        <v>24</v>
      </c>
      <c r="E216" s="2" t="s">
        <v>26</v>
      </c>
      <c r="F216" s="2" t="s">
        <v>16</v>
      </c>
      <c r="G216" s="2">
        <v>27</v>
      </c>
      <c r="H216" s="7">
        <v>697.26</v>
      </c>
      <c r="I216" s="7">
        <f t="shared" si="3"/>
        <v>18826.02</v>
      </c>
      <c r="J216" s="8">
        <v>0.36</v>
      </c>
    </row>
    <row r="217" spans="1:10" hidden="1" x14ac:dyDescent="0.25">
      <c r="A217" s="2" t="s">
        <v>124</v>
      </c>
      <c r="B217" s="6">
        <v>46033</v>
      </c>
      <c r="C217" s="2" t="s">
        <v>85</v>
      </c>
      <c r="D217" s="2" t="s">
        <v>24</v>
      </c>
      <c r="E217" s="2" t="s">
        <v>52</v>
      </c>
      <c r="F217" s="2" t="s">
        <v>50</v>
      </c>
      <c r="G217" s="2">
        <v>25</v>
      </c>
      <c r="H217" s="7">
        <v>724.25</v>
      </c>
      <c r="I217" s="7">
        <f t="shared" si="3"/>
        <v>18106.25</v>
      </c>
      <c r="J217" s="8">
        <v>0.24</v>
      </c>
    </row>
    <row r="218" spans="1:10" x14ac:dyDescent="0.25">
      <c r="A218" s="2" t="s">
        <v>261</v>
      </c>
      <c r="B218" s="6">
        <v>46094</v>
      </c>
      <c r="C218" s="2" t="s">
        <v>47</v>
      </c>
      <c r="D218" s="2" t="s">
        <v>24</v>
      </c>
      <c r="E218" s="2" t="s">
        <v>61</v>
      </c>
      <c r="F218" s="2" t="s">
        <v>16</v>
      </c>
      <c r="G218" s="2">
        <v>31</v>
      </c>
      <c r="H218" s="7">
        <v>558.07000000000005</v>
      </c>
      <c r="I218" s="7">
        <f t="shared" si="3"/>
        <v>17300.170000000002</v>
      </c>
      <c r="J218" s="8">
        <v>0.3</v>
      </c>
    </row>
    <row r="219" spans="1:10" hidden="1" x14ac:dyDescent="0.25">
      <c r="A219" s="2" t="s">
        <v>334</v>
      </c>
      <c r="B219" s="6">
        <v>46026</v>
      </c>
      <c r="C219" s="2" t="s">
        <v>38</v>
      </c>
      <c r="D219" s="2" t="s">
        <v>24</v>
      </c>
      <c r="E219" s="2" t="s">
        <v>52</v>
      </c>
      <c r="F219" s="2" t="s">
        <v>50</v>
      </c>
      <c r="G219" s="2">
        <v>21</v>
      </c>
      <c r="H219" s="7">
        <v>748.92</v>
      </c>
      <c r="I219" s="7">
        <f t="shared" si="3"/>
        <v>15727.32</v>
      </c>
      <c r="J219" s="8">
        <v>0.14000000000000001</v>
      </c>
    </row>
    <row r="220" spans="1:10" hidden="1" x14ac:dyDescent="0.25">
      <c r="A220" s="2" t="s">
        <v>311</v>
      </c>
      <c r="B220" s="6">
        <v>46186</v>
      </c>
      <c r="C220" s="2" t="s">
        <v>13</v>
      </c>
      <c r="D220" s="2" t="s">
        <v>24</v>
      </c>
      <c r="E220" s="2" t="s">
        <v>43</v>
      </c>
      <c r="F220" s="2" t="s">
        <v>21</v>
      </c>
      <c r="G220" s="2">
        <v>21</v>
      </c>
      <c r="H220" s="7">
        <v>745.37</v>
      </c>
      <c r="I220" s="7">
        <f t="shared" si="3"/>
        <v>15652.77</v>
      </c>
      <c r="J220" s="8">
        <v>0.45</v>
      </c>
    </row>
    <row r="221" spans="1:10" hidden="1" x14ac:dyDescent="0.25">
      <c r="A221" s="2" t="s">
        <v>242</v>
      </c>
      <c r="B221" s="6">
        <v>46100</v>
      </c>
      <c r="C221" s="2" t="s">
        <v>35</v>
      </c>
      <c r="D221" s="2" t="s">
        <v>24</v>
      </c>
      <c r="E221" s="2" t="s">
        <v>49</v>
      </c>
      <c r="F221" s="2" t="s">
        <v>50</v>
      </c>
      <c r="G221" s="2">
        <v>39</v>
      </c>
      <c r="H221" s="7">
        <v>382.6</v>
      </c>
      <c r="I221" s="7">
        <f t="shared" si="3"/>
        <v>14921.400000000001</v>
      </c>
      <c r="J221" s="8">
        <v>0.09</v>
      </c>
    </row>
    <row r="222" spans="1:10" hidden="1" x14ac:dyDescent="0.25">
      <c r="A222" s="2" t="s">
        <v>230</v>
      </c>
      <c r="B222" s="6">
        <v>46204</v>
      </c>
      <c r="C222" s="2" t="s">
        <v>18</v>
      </c>
      <c r="D222" s="2" t="s">
        <v>24</v>
      </c>
      <c r="E222" s="2" t="s">
        <v>43</v>
      </c>
      <c r="F222" s="2" t="s">
        <v>21</v>
      </c>
      <c r="G222" s="2">
        <v>33</v>
      </c>
      <c r="H222" s="7">
        <v>448.74</v>
      </c>
      <c r="I222" s="7">
        <f t="shared" si="3"/>
        <v>14808.42</v>
      </c>
      <c r="J222" s="8">
        <v>0.39</v>
      </c>
    </row>
    <row r="223" spans="1:10" hidden="1" x14ac:dyDescent="0.25">
      <c r="A223" s="2" t="s">
        <v>139</v>
      </c>
      <c r="B223" s="6">
        <v>46067</v>
      </c>
      <c r="C223" s="2" t="s">
        <v>38</v>
      </c>
      <c r="D223" s="2" t="s">
        <v>24</v>
      </c>
      <c r="E223" s="2" t="s">
        <v>36</v>
      </c>
      <c r="F223" s="2" t="s">
        <v>21</v>
      </c>
      <c r="G223" s="2">
        <v>21</v>
      </c>
      <c r="H223" s="7">
        <v>681.96</v>
      </c>
      <c r="I223" s="7">
        <f t="shared" si="3"/>
        <v>14321.16</v>
      </c>
      <c r="J223" s="8">
        <v>0.15</v>
      </c>
    </row>
    <row r="224" spans="1:10" hidden="1" x14ac:dyDescent="0.25">
      <c r="A224" s="2" t="s">
        <v>105</v>
      </c>
      <c r="B224" s="6">
        <v>46284</v>
      </c>
      <c r="C224" s="2" t="s">
        <v>18</v>
      </c>
      <c r="D224" s="2" t="s">
        <v>24</v>
      </c>
      <c r="E224" s="2" t="s">
        <v>102</v>
      </c>
      <c r="F224" s="2" t="s">
        <v>31</v>
      </c>
      <c r="G224" s="2">
        <v>28</v>
      </c>
      <c r="H224" s="7">
        <v>486.54</v>
      </c>
      <c r="I224" s="7">
        <f t="shared" si="3"/>
        <v>13623.12</v>
      </c>
      <c r="J224" s="8">
        <v>0.41</v>
      </c>
    </row>
    <row r="225" spans="1:10" hidden="1" x14ac:dyDescent="0.25">
      <c r="A225" s="2" t="s">
        <v>92</v>
      </c>
      <c r="B225" s="6">
        <v>46158</v>
      </c>
      <c r="C225" s="2" t="s">
        <v>42</v>
      </c>
      <c r="D225" s="2" t="s">
        <v>24</v>
      </c>
      <c r="E225" s="2" t="s">
        <v>43</v>
      </c>
      <c r="F225" s="2" t="s">
        <v>21</v>
      </c>
      <c r="G225" s="2">
        <v>46</v>
      </c>
      <c r="H225" s="7">
        <v>276.93</v>
      </c>
      <c r="I225" s="7">
        <f t="shared" si="3"/>
        <v>12738.78</v>
      </c>
      <c r="J225" s="8">
        <v>0.15</v>
      </c>
    </row>
    <row r="226" spans="1:10" x14ac:dyDescent="0.25">
      <c r="A226" s="2" t="s">
        <v>310</v>
      </c>
      <c r="B226" s="6">
        <v>46265</v>
      </c>
      <c r="C226" s="2" t="s">
        <v>42</v>
      </c>
      <c r="D226" s="2" t="s">
        <v>24</v>
      </c>
      <c r="E226" s="2" t="s">
        <v>26</v>
      </c>
      <c r="F226" s="2" t="s">
        <v>16</v>
      </c>
      <c r="G226" s="2">
        <v>46</v>
      </c>
      <c r="H226" s="7">
        <v>269.10000000000002</v>
      </c>
      <c r="I226" s="7">
        <f t="shared" si="3"/>
        <v>12378.6</v>
      </c>
      <c r="J226" s="8">
        <v>0.11</v>
      </c>
    </row>
    <row r="227" spans="1:10" hidden="1" x14ac:dyDescent="0.25">
      <c r="A227" s="2" t="s">
        <v>341</v>
      </c>
      <c r="B227" s="6">
        <v>46128</v>
      </c>
      <c r="C227" s="2" t="s">
        <v>85</v>
      </c>
      <c r="D227" s="2" t="s">
        <v>24</v>
      </c>
      <c r="E227" s="2" t="s">
        <v>49</v>
      </c>
      <c r="F227" s="2" t="s">
        <v>50</v>
      </c>
      <c r="G227" s="2">
        <v>34</v>
      </c>
      <c r="H227" s="7">
        <v>355.71</v>
      </c>
      <c r="I227" s="7">
        <f t="shared" si="3"/>
        <v>12094.14</v>
      </c>
      <c r="J227" s="8">
        <v>0.09</v>
      </c>
    </row>
    <row r="228" spans="1:10" hidden="1" x14ac:dyDescent="0.25">
      <c r="A228" s="2" t="s">
        <v>252</v>
      </c>
      <c r="B228" s="6">
        <v>46090</v>
      </c>
      <c r="C228" s="2" t="s">
        <v>85</v>
      </c>
      <c r="D228" s="2" t="s">
        <v>24</v>
      </c>
      <c r="E228" s="2" t="s">
        <v>20</v>
      </c>
      <c r="F228" s="2" t="s">
        <v>21</v>
      </c>
      <c r="G228" s="2">
        <v>43</v>
      </c>
      <c r="H228" s="7">
        <v>272.06</v>
      </c>
      <c r="I228" s="7">
        <f t="shared" si="3"/>
        <v>11698.58</v>
      </c>
      <c r="J228" s="8">
        <v>0.11</v>
      </c>
    </row>
    <row r="229" spans="1:10" x14ac:dyDescent="0.25">
      <c r="A229" s="2" t="s">
        <v>173</v>
      </c>
      <c r="B229" s="6">
        <v>46273</v>
      </c>
      <c r="C229" s="2" t="s">
        <v>13</v>
      </c>
      <c r="D229" s="2" t="s">
        <v>24</v>
      </c>
      <c r="E229" s="2" t="s">
        <v>61</v>
      </c>
      <c r="F229" s="2" t="s">
        <v>16</v>
      </c>
      <c r="G229" s="2">
        <v>47</v>
      </c>
      <c r="H229" s="7">
        <v>241.65</v>
      </c>
      <c r="I229" s="7">
        <f t="shared" si="3"/>
        <v>11357.550000000001</v>
      </c>
      <c r="J229" s="8">
        <v>0.27</v>
      </c>
    </row>
    <row r="230" spans="1:10" hidden="1" x14ac:dyDescent="0.25">
      <c r="A230" s="2" t="s">
        <v>238</v>
      </c>
      <c r="B230" s="6">
        <v>46248</v>
      </c>
      <c r="C230" s="2" t="s">
        <v>18</v>
      </c>
      <c r="D230" s="2" t="s">
        <v>24</v>
      </c>
      <c r="E230" s="2" t="s">
        <v>36</v>
      </c>
      <c r="F230" s="2" t="s">
        <v>21</v>
      </c>
      <c r="G230" s="2">
        <v>41</v>
      </c>
      <c r="H230" s="7">
        <v>255.65</v>
      </c>
      <c r="I230" s="7">
        <f t="shared" si="3"/>
        <v>10481.65</v>
      </c>
      <c r="J230" s="8">
        <v>0.23</v>
      </c>
    </row>
    <row r="231" spans="1:10" hidden="1" x14ac:dyDescent="0.25">
      <c r="A231" s="2" t="s">
        <v>66</v>
      </c>
      <c r="B231" s="6">
        <v>46125</v>
      </c>
      <c r="C231" s="2" t="s">
        <v>38</v>
      </c>
      <c r="D231" s="2" t="s">
        <v>24</v>
      </c>
      <c r="E231" s="2" t="s">
        <v>67</v>
      </c>
      <c r="F231" s="2" t="s">
        <v>21</v>
      </c>
      <c r="G231" s="2">
        <v>14</v>
      </c>
      <c r="H231" s="7">
        <v>743.42</v>
      </c>
      <c r="I231" s="7">
        <f t="shared" si="3"/>
        <v>10407.879999999999</v>
      </c>
      <c r="J231" s="8">
        <v>0.45</v>
      </c>
    </row>
    <row r="232" spans="1:10" hidden="1" x14ac:dyDescent="0.25">
      <c r="A232" s="2" t="s">
        <v>37</v>
      </c>
      <c r="B232" s="6">
        <v>46217</v>
      </c>
      <c r="C232" s="2" t="s">
        <v>38</v>
      </c>
      <c r="D232" s="2" t="s">
        <v>24</v>
      </c>
      <c r="E232" s="2" t="s">
        <v>30</v>
      </c>
      <c r="F232" s="2" t="s">
        <v>31</v>
      </c>
      <c r="G232" s="2">
        <v>15</v>
      </c>
      <c r="H232" s="7">
        <v>693.72</v>
      </c>
      <c r="I232" s="7">
        <f t="shared" si="3"/>
        <v>10405.800000000001</v>
      </c>
      <c r="J232" s="8">
        <v>0.3</v>
      </c>
    </row>
    <row r="233" spans="1:10" hidden="1" x14ac:dyDescent="0.25">
      <c r="A233" s="2" t="s">
        <v>115</v>
      </c>
      <c r="B233" s="6">
        <v>46122</v>
      </c>
      <c r="C233" s="2" t="s">
        <v>79</v>
      </c>
      <c r="D233" s="2" t="s">
        <v>24</v>
      </c>
      <c r="E233" s="2" t="s">
        <v>55</v>
      </c>
      <c r="F233" s="2" t="s">
        <v>56</v>
      </c>
      <c r="G233" s="2">
        <v>30</v>
      </c>
      <c r="H233" s="7">
        <v>333.9</v>
      </c>
      <c r="I233" s="7">
        <f t="shared" si="3"/>
        <v>10017</v>
      </c>
      <c r="J233" s="8">
        <v>0.21</v>
      </c>
    </row>
    <row r="234" spans="1:10" hidden="1" x14ac:dyDescent="0.25">
      <c r="A234" s="2" t="s">
        <v>339</v>
      </c>
      <c r="B234" s="6">
        <v>46064</v>
      </c>
      <c r="C234" s="2" t="s">
        <v>42</v>
      </c>
      <c r="D234" s="2" t="s">
        <v>24</v>
      </c>
      <c r="E234" s="2" t="s">
        <v>77</v>
      </c>
      <c r="F234" s="2" t="s">
        <v>56</v>
      </c>
      <c r="G234" s="2">
        <v>49</v>
      </c>
      <c r="H234" s="7">
        <v>200.98</v>
      </c>
      <c r="I234" s="7">
        <f t="shared" si="3"/>
        <v>9848.0199999999986</v>
      </c>
      <c r="J234" s="8">
        <v>0.26</v>
      </c>
    </row>
    <row r="235" spans="1:10" hidden="1" x14ac:dyDescent="0.25">
      <c r="A235" s="2" t="s">
        <v>215</v>
      </c>
      <c r="B235" s="6">
        <v>46071</v>
      </c>
      <c r="C235" s="2" t="s">
        <v>28</v>
      </c>
      <c r="D235" s="2" t="s">
        <v>24</v>
      </c>
      <c r="E235" s="2" t="s">
        <v>74</v>
      </c>
      <c r="F235" s="2" t="s">
        <v>56</v>
      </c>
      <c r="G235" s="2">
        <v>30</v>
      </c>
      <c r="H235" s="7">
        <v>321.39</v>
      </c>
      <c r="I235" s="7">
        <f t="shared" si="3"/>
        <v>9641.6999999999989</v>
      </c>
      <c r="J235" s="8">
        <v>0.18</v>
      </c>
    </row>
    <row r="236" spans="1:10" hidden="1" x14ac:dyDescent="0.25">
      <c r="A236" s="2" t="s">
        <v>187</v>
      </c>
      <c r="B236" s="6">
        <v>46177</v>
      </c>
      <c r="C236" s="2" t="s">
        <v>23</v>
      </c>
      <c r="D236" s="2" t="s">
        <v>24</v>
      </c>
      <c r="E236" s="2" t="s">
        <v>69</v>
      </c>
      <c r="F236" s="2" t="s">
        <v>31</v>
      </c>
      <c r="G236" s="2">
        <v>45</v>
      </c>
      <c r="H236" s="7">
        <v>203.08</v>
      </c>
      <c r="I236" s="7">
        <f t="shared" si="3"/>
        <v>9138.6</v>
      </c>
      <c r="J236" s="8">
        <v>0.39</v>
      </c>
    </row>
    <row r="237" spans="1:10" hidden="1" x14ac:dyDescent="0.25">
      <c r="A237" s="2" t="s">
        <v>183</v>
      </c>
      <c r="B237" s="6">
        <v>46148</v>
      </c>
      <c r="C237" s="2" t="s">
        <v>42</v>
      </c>
      <c r="D237" s="2" t="s">
        <v>24</v>
      </c>
      <c r="E237" s="2" t="s">
        <v>102</v>
      </c>
      <c r="F237" s="2" t="s">
        <v>31</v>
      </c>
      <c r="G237" s="2">
        <v>24</v>
      </c>
      <c r="H237" s="7">
        <v>346.83</v>
      </c>
      <c r="I237" s="7">
        <f t="shared" si="3"/>
        <v>8323.92</v>
      </c>
      <c r="J237" s="8">
        <v>0.28000000000000003</v>
      </c>
    </row>
    <row r="238" spans="1:10" x14ac:dyDescent="0.25">
      <c r="A238" s="2" t="s">
        <v>108</v>
      </c>
      <c r="B238" s="6">
        <v>46232</v>
      </c>
      <c r="C238" s="2" t="s">
        <v>28</v>
      </c>
      <c r="D238" s="2" t="s">
        <v>24</v>
      </c>
      <c r="E238" s="2" t="s">
        <v>61</v>
      </c>
      <c r="F238" s="2" t="s">
        <v>16</v>
      </c>
      <c r="G238" s="2">
        <v>33</v>
      </c>
      <c r="H238" s="7">
        <v>250.19</v>
      </c>
      <c r="I238" s="7">
        <f t="shared" si="3"/>
        <v>8256.27</v>
      </c>
      <c r="J238" s="8">
        <v>0.33</v>
      </c>
    </row>
    <row r="239" spans="1:10" hidden="1" x14ac:dyDescent="0.25">
      <c r="A239" s="2" t="s">
        <v>320</v>
      </c>
      <c r="B239" s="6">
        <v>46273</v>
      </c>
      <c r="C239" s="2" t="s">
        <v>28</v>
      </c>
      <c r="D239" s="2" t="s">
        <v>24</v>
      </c>
      <c r="E239" s="2" t="s">
        <v>102</v>
      </c>
      <c r="F239" s="2" t="s">
        <v>31</v>
      </c>
      <c r="G239" s="2">
        <v>46</v>
      </c>
      <c r="H239" s="7">
        <v>168.99</v>
      </c>
      <c r="I239" s="7">
        <f t="shared" si="3"/>
        <v>7773.5400000000009</v>
      </c>
      <c r="J239" s="8">
        <v>0.19</v>
      </c>
    </row>
    <row r="240" spans="1:10" hidden="1" x14ac:dyDescent="0.25">
      <c r="A240" s="2" t="s">
        <v>244</v>
      </c>
      <c r="B240" s="6">
        <v>46167</v>
      </c>
      <c r="C240" s="2" t="s">
        <v>79</v>
      </c>
      <c r="D240" s="2" t="s">
        <v>24</v>
      </c>
      <c r="E240" s="2" t="s">
        <v>77</v>
      </c>
      <c r="F240" s="2" t="s">
        <v>56</v>
      </c>
      <c r="G240" s="2">
        <v>24</v>
      </c>
      <c r="H240" s="7">
        <v>300.79000000000002</v>
      </c>
      <c r="I240" s="7">
        <f t="shared" si="3"/>
        <v>7218.9600000000009</v>
      </c>
      <c r="J240" s="8">
        <v>0.36</v>
      </c>
    </row>
    <row r="241" spans="1:10" x14ac:dyDescent="0.25">
      <c r="A241" s="2" t="s">
        <v>328</v>
      </c>
      <c r="B241" s="6">
        <v>46042</v>
      </c>
      <c r="C241" s="2" t="s">
        <v>13</v>
      </c>
      <c r="D241" s="2" t="s">
        <v>24</v>
      </c>
      <c r="E241" s="2" t="s">
        <v>65</v>
      </c>
      <c r="F241" s="2" t="s">
        <v>16</v>
      </c>
      <c r="G241" s="2">
        <v>15</v>
      </c>
      <c r="H241" s="7">
        <v>429.98</v>
      </c>
      <c r="I241" s="7">
        <f t="shared" si="3"/>
        <v>6449.7000000000007</v>
      </c>
      <c r="J241" s="8">
        <v>0.4</v>
      </c>
    </row>
    <row r="242" spans="1:10" hidden="1" x14ac:dyDescent="0.25">
      <c r="A242" s="2" t="s">
        <v>22</v>
      </c>
      <c r="B242" s="6">
        <v>46237</v>
      </c>
      <c r="C242" s="2" t="s">
        <v>23</v>
      </c>
      <c r="D242" s="2" t="s">
        <v>24</v>
      </c>
      <c r="E242" s="2" t="s">
        <v>20</v>
      </c>
      <c r="F242" s="2" t="s">
        <v>21</v>
      </c>
      <c r="G242" s="2">
        <v>36</v>
      </c>
      <c r="H242" s="7">
        <v>162.27000000000001</v>
      </c>
      <c r="I242" s="7">
        <f t="shared" si="3"/>
        <v>5841.72</v>
      </c>
      <c r="J242" s="8">
        <v>0.28999999999999998</v>
      </c>
    </row>
    <row r="243" spans="1:10" x14ac:dyDescent="0.25">
      <c r="A243" s="2" t="s">
        <v>307</v>
      </c>
      <c r="B243" s="6">
        <v>46170</v>
      </c>
      <c r="C243" s="2" t="s">
        <v>18</v>
      </c>
      <c r="D243" s="2" t="s">
        <v>24</v>
      </c>
      <c r="E243" s="2" t="s">
        <v>65</v>
      </c>
      <c r="F243" s="2" t="s">
        <v>16</v>
      </c>
      <c r="G243" s="2">
        <v>36</v>
      </c>
      <c r="H243" s="7">
        <v>158.94999999999999</v>
      </c>
      <c r="I243" s="7">
        <f t="shared" si="3"/>
        <v>5722.2</v>
      </c>
      <c r="J243" s="8">
        <v>0.25</v>
      </c>
    </row>
    <row r="244" spans="1:10" hidden="1" x14ac:dyDescent="0.25">
      <c r="A244" s="2" t="s">
        <v>149</v>
      </c>
      <c r="B244" s="6">
        <v>46168</v>
      </c>
      <c r="C244" s="2" t="s">
        <v>47</v>
      </c>
      <c r="D244" s="2" t="s">
        <v>24</v>
      </c>
      <c r="E244" s="2" t="s">
        <v>52</v>
      </c>
      <c r="F244" s="2" t="s">
        <v>50</v>
      </c>
      <c r="G244" s="2">
        <v>7</v>
      </c>
      <c r="H244" s="7">
        <v>698.68</v>
      </c>
      <c r="I244" s="7">
        <f t="shared" si="3"/>
        <v>4890.7599999999993</v>
      </c>
      <c r="J244" s="8">
        <v>0.23</v>
      </c>
    </row>
    <row r="245" spans="1:10" hidden="1" x14ac:dyDescent="0.25">
      <c r="A245" s="2" t="s">
        <v>336</v>
      </c>
      <c r="B245" s="6">
        <v>46180</v>
      </c>
      <c r="C245" s="2" t="s">
        <v>13</v>
      </c>
      <c r="D245" s="2" t="s">
        <v>24</v>
      </c>
      <c r="E245" s="2" t="s">
        <v>96</v>
      </c>
      <c r="F245" s="2" t="s">
        <v>50</v>
      </c>
      <c r="G245" s="2">
        <v>43</v>
      </c>
      <c r="H245" s="7">
        <v>98.11</v>
      </c>
      <c r="I245" s="7">
        <f t="shared" si="3"/>
        <v>4218.7299999999996</v>
      </c>
      <c r="J245" s="8">
        <v>0.32</v>
      </c>
    </row>
    <row r="246" spans="1:10" hidden="1" x14ac:dyDescent="0.25">
      <c r="A246" s="2" t="s">
        <v>75</v>
      </c>
      <c r="B246" s="6">
        <v>46252</v>
      </c>
      <c r="C246" s="2" t="s">
        <v>13</v>
      </c>
      <c r="D246" s="2" t="s">
        <v>24</v>
      </c>
      <c r="E246" s="2" t="s">
        <v>30</v>
      </c>
      <c r="F246" s="2" t="s">
        <v>31</v>
      </c>
      <c r="G246" s="2">
        <v>16</v>
      </c>
      <c r="H246" s="7">
        <v>156.51</v>
      </c>
      <c r="I246" s="7">
        <f t="shared" si="3"/>
        <v>2504.16</v>
      </c>
      <c r="J246" s="8">
        <v>0.12</v>
      </c>
    </row>
    <row r="247" spans="1:10" hidden="1" x14ac:dyDescent="0.25">
      <c r="A247" s="2" t="s">
        <v>298</v>
      </c>
      <c r="B247" s="6">
        <v>46053</v>
      </c>
      <c r="C247" s="2" t="s">
        <v>13</v>
      </c>
      <c r="D247" s="2" t="s">
        <v>24</v>
      </c>
      <c r="E247" s="2" t="s">
        <v>74</v>
      </c>
      <c r="F247" s="2" t="s">
        <v>56</v>
      </c>
      <c r="G247" s="2">
        <v>30</v>
      </c>
      <c r="H247" s="7">
        <v>62.09</v>
      </c>
      <c r="I247" s="7">
        <f t="shared" si="3"/>
        <v>1862.7</v>
      </c>
      <c r="J247" s="8">
        <v>0.22</v>
      </c>
    </row>
    <row r="248" spans="1:10" hidden="1" x14ac:dyDescent="0.25">
      <c r="A248" s="2" t="s">
        <v>122</v>
      </c>
      <c r="B248" s="6">
        <v>46192</v>
      </c>
      <c r="C248" s="2" t="s">
        <v>42</v>
      </c>
      <c r="D248" s="2" t="s">
        <v>24</v>
      </c>
      <c r="E248" s="2" t="s">
        <v>123</v>
      </c>
      <c r="F248" s="2" t="s">
        <v>50</v>
      </c>
      <c r="G248" s="2">
        <v>5</v>
      </c>
      <c r="H248" s="7">
        <v>334.23</v>
      </c>
      <c r="I248" s="7">
        <f t="shared" si="3"/>
        <v>1671.15</v>
      </c>
      <c r="J248" s="8">
        <v>0.22</v>
      </c>
    </row>
    <row r="249" spans="1:10" hidden="1" x14ac:dyDescent="0.25">
      <c r="A249" s="2" t="s">
        <v>210</v>
      </c>
      <c r="B249" s="6">
        <v>46289</v>
      </c>
      <c r="C249" s="2" t="s">
        <v>38</v>
      </c>
      <c r="D249" s="2" t="s">
        <v>24</v>
      </c>
      <c r="E249" s="2" t="s">
        <v>43</v>
      </c>
      <c r="F249" s="2" t="s">
        <v>21</v>
      </c>
      <c r="G249" s="2">
        <v>40</v>
      </c>
      <c r="H249" s="7">
        <v>38.520000000000003</v>
      </c>
      <c r="I249" s="7">
        <f t="shared" si="3"/>
        <v>1540.8000000000002</v>
      </c>
      <c r="J249" s="8">
        <v>0.31</v>
      </c>
    </row>
    <row r="250" spans="1:10" hidden="1" x14ac:dyDescent="0.25">
      <c r="A250" s="2" t="s">
        <v>342</v>
      </c>
      <c r="B250" s="6">
        <v>46285</v>
      </c>
      <c r="C250" s="2" t="s">
        <v>79</v>
      </c>
      <c r="D250" s="2" t="s">
        <v>24</v>
      </c>
      <c r="E250" s="2" t="s">
        <v>67</v>
      </c>
      <c r="F250" s="2" t="s">
        <v>21</v>
      </c>
      <c r="G250" s="2">
        <v>4</v>
      </c>
      <c r="H250" s="7">
        <v>364.93</v>
      </c>
      <c r="I250" s="7">
        <f t="shared" si="3"/>
        <v>1459.72</v>
      </c>
      <c r="J250" s="8">
        <v>0.28000000000000003</v>
      </c>
    </row>
    <row r="251" spans="1:10" hidden="1" x14ac:dyDescent="0.25">
      <c r="A251" s="2" t="s">
        <v>277</v>
      </c>
      <c r="B251" s="6">
        <v>46203</v>
      </c>
      <c r="C251" s="2" t="s">
        <v>85</v>
      </c>
      <c r="D251" s="2" t="s">
        <v>24</v>
      </c>
      <c r="E251" s="2" t="s">
        <v>74</v>
      </c>
      <c r="F251" s="2" t="s">
        <v>56</v>
      </c>
      <c r="G251" s="2">
        <v>29</v>
      </c>
      <c r="H251" s="7">
        <v>37.71</v>
      </c>
      <c r="I251" s="7">
        <f t="shared" si="3"/>
        <v>1093.5899999999999</v>
      </c>
      <c r="J251" s="8">
        <v>0.16</v>
      </c>
    </row>
    <row r="252" spans="1:10" x14ac:dyDescent="0.25">
      <c r="A252" s="2" t="s">
        <v>316</v>
      </c>
      <c r="B252" s="6">
        <v>46237</v>
      </c>
      <c r="C252" s="2" t="s">
        <v>13</v>
      </c>
      <c r="D252" s="2" t="s">
        <v>24</v>
      </c>
      <c r="E252" s="2" t="s">
        <v>26</v>
      </c>
      <c r="F252" s="2" t="s">
        <v>16</v>
      </c>
      <c r="G252" s="2">
        <v>2</v>
      </c>
      <c r="H252" s="7">
        <v>355.07</v>
      </c>
      <c r="I252" s="7">
        <f t="shared" si="3"/>
        <v>710.14</v>
      </c>
      <c r="J252" s="8">
        <v>0.33</v>
      </c>
    </row>
    <row r="253" spans="1:10" hidden="1" x14ac:dyDescent="0.25">
      <c r="A253" s="2" t="s">
        <v>322</v>
      </c>
      <c r="B253" s="6">
        <v>46063</v>
      </c>
      <c r="C253" s="2" t="s">
        <v>28</v>
      </c>
      <c r="D253" s="2" t="s">
        <v>24</v>
      </c>
      <c r="E253" s="2" t="s">
        <v>49</v>
      </c>
      <c r="F253" s="2" t="s">
        <v>50</v>
      </c>
      <c r="G253" s="2">
        <v>3</v>
      </c>
      <c r="H253" s="7">
        <v>232.95</v>
      </c>
      <c r="I253" s="7">
        <f t="shared" si="3"/>
        <v>698.84999999999991</v>
      </c>
      <c r="J253" s="8">
        <v>0.31</v>
      </c>
    </row>
    <row r="254" spans="1:10" hidden="1" x14ac:dyDescent="0.25">
      <c r="A254" s="2" t="s">
        <v>140</v>
      </c>
      <c r="B254" s="6">
        <v>46189</v>
      </c>
      <c r="C254" s="2" t="s">
        <v>13</v>
      </c>
      <c r="D254" s="2" t="s">
        <v>24</v>
      </c>
      <c r="E254" s="2" t="s">
        <v>112</v>
      </c>
      <c r="F254" s="2" t="s">
        <v>56</v>
      </c>
      <c r="G254" s="2">
        <v>22</v>
      </c>
      <c r="H254" s="7">
        <v>26.85</v>
      </c>
      <c r="I254" s="7">
        <f t="shared" si="3"/>
        <v>590.70000000000005</v>
      </c>
      <c r="J254" s="8">
        <v>0.13</v>
      </c>
    </row>
    <row r="255" spans="1:10" hidden="1" x14ac:dyDescent="0.25">
      <c r="A255" s="2" t="s">
        <v>133</v>
      </c>
      <c r="B255" s="6">
        <v>46182</v>
      </c>
      <c r="C255" s="2" t="s">
        <v>18</v>
      </c>
      <c r="D255" s="2" t="s">
        <v>29</v>
      </c>
      <c r="E255" s="2" t="s">
        <v>20</v>
      </c>
      <c r="F255" s="2" t="s">
        <v>21</v>
      </c>
      <c r="G255" s="2">
        <v>50</v>
      </c>
      <c r="H255" s="7">
        <v>656.16</v>
      </c>
      <c r="I255" s="7">
        <f t="shared" si="3"/>
        <v>32808</v>
      </c>
      <c r="J255" s="8">
        <v>0.06</v>
      </c>
    </row>
    <row r="256" spans="1:10" hidden="1" x14ac:dyDescent="0.25">
      <c r="A256" s="2" t="s">
        <v>337</v>
      </c>
      <c r="B256" s="6">
        <v>46174</v>
      </c>
      <c r="C256" s="2" t="s">
        <v>28</v>
      </c>
      <c r="D256" s="2" t="s">
        <v>29</v>
      </c>
      <c r="E256" s="2" t="s">
        <v>30</v>
      </c>
      <c r="F256" s="2" t="s">
        <v>31</v>
      </c>
      <c r="G256" s="2">
        <v>41</v>
      </c>
      <c r="H256" s="7">
        <v>733.24</v>
      </c>
      <c r="I256" s="7">
        <f t="shared" si="3"/>
        <v>30062.84</v>
      </c>
      <c r="J256" s="8">
        <v>0.14000000000000001</v>
      </c>
    </row>
    <row r="257" spans="1:10" x14ac:dyDescent="0.25">
      <c r="A257" s="2" t="s">
        <v>161</v>
      </c>
      <c r="B257" s="6">
        <v>46033</v>
      </c>
      <c r="C257" s="2" t="s">
        <v>38</v>
      </c>
      <c r="D257" s="2" t="s">
        <v>29</v>
      </c>
      <c r="E257" s="2" t="s">
        <v>26</v>
      </c>
      <c r="F257" s="2" t="s">
        <v>16</v>
      </c>
      <c r="G257" s="2">
        <v>44</v>
      </c>
      <c r="H257" s="7">
        <v>669.42</v>
      </c>
      <c r="I257" s="7">
        <f t="shared" si="3"/>
        <v>29454.48</v>
      </c>
      <c r="J257" s="8">
        <v>7.0000000000000007E-2</v>
      </c>
    </row>
    <row r="258" spans="1:10" hidden="1" x14ac:dyDescent="0.25">
      <c r="A258" s="2" t="s">
        <v>254</v>
      </c>
      <c r="B258" s="6">
        <v>46252</v>
      </c>
      <c r="C258" s="2" t="s">
        <v>23</v>
      </c>
      <c r="D258" s="2" t="s">
        <v>29</v>
      </c>
      <c r="E258" s="2" t="s">
        <v>74</v>
      </c>
      <c r="F258" s="2" t="s">
        <v>56</v>
      </c>
      <c r="G258" s="2">
        <v>49</v>
      </c>
      <c r="H258" s="7">
        <v>599.84</v>
      </c>
      <c r="I258" s="7">
        <f t="shared" si="3"/>
        <v>29392.16</v>
      </c>
      <c r="J258" s="8">
        <v>0.15</v>
      </c>
    </row>
    <row r="259" spans="1:10" hidden="1" x14ac:dyDescent="0.25">
      <c r="A259" s="2" t="s">
        <v>347</v>
      </c>
      <c r="B259" s="6">
        <v>46083</v>
      </c>
      <c r="C259" s="2" t="s">
        <v>13</v>
      </c>
      <c r="D259" s="2" t="s">
        <v>29</v>
      </c>
      <c r="E259" s="2" t="s">
        <v>43</v>
      </c>
      <c r="F259" s="2" t="s">
        <v>21</v>
      </c>
      <c r="G259" s="2">
        <v>42</v>
      </c>
      <c r="H259" s="7">
        <v>688.79</v>
      </c>
      <c r="I259" s="7">
        <f t="shared" si="3"/>
        <v>28929.18</v>
      </c>
      <c r="J259" s="8">
        <v>0.21</v>
      </c>
    </row>
    <row r="260" spans="1:10" hidden="1" x14ac:dyDescent="0.25">
      <c r="A260" s="2" t="s">
        <v>190</v>
      </c>
      <c r="B260" s="6">
        <v>46135</v>
      </c>
      <c r="C260" s="2" t="s">
        <v>23</v>
      </c>
      <c r="D260" s="2" t="s">
        <v>29</v>
      </c>
      <c r="E260" s="2" t="s">
        <v>40</v>
      </c>
      <c r="F260" s="2" t="s">
        <v>31</v>
      </c>
      <c r="G260" s="2">
        <v>39</v>
      </c>
      <c r="H260" s="7">
        <v>642.34</v>
      </c>
      <c r="I260" s="7">
        <f t="shared" si="3"/>
        <v>25051.260000000002</v>
      </c>
      <c r="J260" s="8">
        <v>0.15</v>
      </c>
    </row>
    <row r="261" spans="1:10" hidden="1" x14ac:dyDescent="0.25">
      <c r="A261" s="2" t="s">
        <v>171</v>
      </c>
      <c r="B261" s="6">
        <v>46147</v>
      </c>
      <c r="C261" s="2" t="s">
        <v>47</v>
      </c>
      <c r="D261" s="2" t="s">
        <v>29</v>
      </c>
      <c r="E261" s="2" t="s">
        <v>69</v>
      </c>
      <c r="F261" s="2" t="s">
        <v>31</v>
      </c>
      <c r="G261" s="2">
        <v>31</v>
      </c>
      <c r="H261" s="7">
        <v>784.27</v>
      </c>
      <c r="I261" s="7">
        <f t="shared" ref="I261:I324" si="4">G261*H261</f>
        <v>24312.37</v>
      </c>
      <c r="J261" s="8">
        <v>0.11</v>
      </c>
    </row>
    <row r="262" spans="1:10" hidden="1" x14ac:dyDescent="0.25">
      <c r="A262" s="2" t="s">
        <v>291</v>
      </c>
      <c r="B262" s="6">
        <v>46051</v>
      </c>
      <c r="C262" s="2" t="s">
        <v>18</v>
      </c>
      <c r="D262" s="2" t="s">
        <v>29</v>
      </c>
      <c r="E262" s="2" t="s">
        <v>52</v>
      </c>
      <c r="F262" s="2" t="s">
        <v>50</v>
      </c>
      <c r="G262" s="2">
        <v>33</v>
      </c>
      <c r="H262" s="7">
        <v>728.93</v>
      </c>
      <c r="I262" s="7">
        <f t="shared" si="4"/>
        <v>24054.69</v>
      </c>
      <c r="J262" s="8">
        <v>0.11</v>
      </c>
    </row>
    <row r="263" spans="1:10" hidden="1" x14ac:dyDescent="0.25">
      <c r="A263" s="2" t="s">
        <v>127</v>
      </c>
      <c r="B263" s="6">
        <v>46036</v>
      </c>
      <c r="C263" s="2" t="s">
        <v>79</v>
      </c>
      <c r="D263" s="2" t="s">
        <v>29</v>
      </c>
      <c r="E263" s="2" t="s">
        <v>77</v>
      </c>
      <c r="F263" s="2" t="s">
        <v>56</v>
      </c>
      <c r="G263" s="2">
        <v>30</v>
      </c>
      <c r="H263" s="7">
        <v>735.96</v>
      </c>
      <c r="I263" s="7">
        <f t="shared" si="4"/>
        <v>22078.800000000003</v>
      </c>
      <c r="J263" s="8">
        <v>0.28000000000000003</v>
      </c>
    </row>
    <row r="264" spans="1:10" hidden="1" x14ac:dyDescent="0.25">
      <c r="A264" s="2" t="s">
        <v>144</v>
      </c>
      <c r="B264" s="6">
        <v>46265</v>
      </c>
      <c r="C264" s="2" t="s">
        <v>42</v>
      </c>
      <c r="D264" s="2" t="s">
        <v>29</v>
      </c>
      <c r="E264" s="2" t="s">
        <v>49</v>
      </c>
      <c r="F264" s="2" t="s">
        <v>50</v>
      </c>
      <c r="G264" s="2">
        <v>43</v>
      </c>
      <c r="H264" s="7">
        <v>466.92</v>
      </c>
      <c r="I264" s="7">
        <f t="shared" si="4"/>
        <v>20077.560000000001</v>
      </c>
      <c r="J264" s="8">
        <v>0.19</v>
      </c>
    </row>
    <row r="265" spans="1:10" hidden="1" x14ac:dyDescent="0.25">
      <c r="A265" s="2" t="s">
        <v>213</v>
      </c>
      <c r="B265" s="6">
        <v>46173</v>
      </c>
      <c r="C265" s="2" t="s">
        <v>47</v>
      </c>
      <c r="D265" s="2" t="s">
        <v>29</v>
      </c>
      <c r="E265" s="2" t="s">
        <v>36</v>
      </c>
      <c r="F265" s="2" t="s">
        <v>21</v>
      </c>
      <c r="G265" s="2">
        <v>25</v>
      </c>
      <c r="H265" s="7">
        <v>795.72</v>
      </c>
      <c r="I265" s="7">
        <f t="shared" si="4"/>
        <v>19893</v>
      </c>
      <c r="J265" s="8">
        <v>0.28999999999999998</v>
      </c>
    </row>
    <row r="266" spans="1:10" hidden="1" x14ac:dyDescent="0.25">
      <c r="A266" s="2" t="s">
        <v>134</v>
      </c>
      <c r="B266" s="6">
        <v>46124</v>
      </c>
      <c r="C266" s="2" t="s">
        <v>18</v>
      </c>
      <c r="D266" s="2" t="s">
        <v>29</v>
      </c>
      <c r="E266" s="2" t="s">
        <v>69</v>
      </c>
      <c r="F266" s="2" t="s">
        <v>31</v>
      </c>
      <c r="G266" s="2">
        <v>26</v>
      </c>
      <c r="H266" s="7">
        <v>753.41</v>
      </c>
      <c r="I266" s="7">
        <f t="shared" si="4"/>
        <v>19588.66</v>
      </c>
      <c r="J266" s="8">
        <v>0.33</v>
      </c>
    </row>
    <row r="267" spans="1:10" hidden="1" x14ac:dyDescent="0.25">
      <c r="A267" s="2" t="s">
        <v>162</v>
      </c>
      <c r="B267" s="6">
        <v>46165</v>
      </c>
      <c r="C267" s="2" t="s">
        <v>13</v>
      </c>
      <c r="D267" s="2" t="s">
        <v>29</v>
      </c>
      <c r="E267" s="2" t="s">
        <v>52</v>
      </c>
      <c r="F267" s="2" t="s">
        <v>50</v>
      </c>
      <c r="G267" s="2">
        <v>34</v>
      </c>
      <c r="H267" s="7">
        <v>522.6</v>
      </c>
      <c r="I267" s="7">
        <f t="shared" si="4"/>
        <v>17768.400000000001</v>
      </c>
      <c r="J267" s="8">
        <v>0.22</v>
      </c>
    </row>
    <row r="268" spans="1:10" x14ac:dyDescent="0.25">
      <c r="A268" s="2" t="s">
        <v>240</v>
      </c>
      <c r="B268" s="6">
        <v>46062</v>
      </c>
      <c r="C268" s="2" t="s">
        <v>18</v>
      </c>
      <c r="D268" s="2" t="s">
        <v>29</v>
      </c>
      <c r="E268" s="2" t="s">
        <v>15</v>
      </c>
      <c r="F268" s="2" t="s">
        <v>16</v>
      </c>
      <c r="G268" s="2">
        <v>24</v>
      </c>
      <c r="H268" s="7">
        <v>666.03</v>
      </c>
      <c r="I268" s="7">
        <f t="shared" si="4"/>
        <v>15984.72</v>
      </c>
      <c r="J268" s="8">
        <v>0.28999999999999998</v>
      </c>
    </row>
    <row r="269" spans="1:10" hidden="1" x14ac:dyDescent="0.25">
      <c r="A269" s="2" t="s">
        <v>292</v>
      </c>
      <c r="B269" s="6">
        <v>46138</v>
      </c>
      <c r="C269" s="2" t="s">
        <v>28</v>
      </c>
      <c r="D269" s="2" t="s">
        <v>29</v>
      </c>
      <c r="E269" s="2" t="s">
        <v>123</v>
      </c>
      <c r="F269" s="2" t="s">
        <v>50</v>
      </c>
      <c r="G269" s="2">
        <v>21</v>
      </c>
      <c r="H269" s="7">
        <v>748.05</v>
      </c>
      <c r="I269" s="7">
        <f t="shared" si="4"/>
        <v>15709.05</v>
      </c>
      <c r="J269" s="8">
        <v>0.41</v>
      </c>
    </row>
    <row r="270" spans="1:10" hidden="1" x14ac:dyDescent="0.25">
      <c r="A270" s="2" t="s">
        <v>247</v>
      </c>
      <c r="B270" s="6">
        <v>46223</v>
      </c>
      <c r="C270" s="2" t="s">
        <v>13</v>
      </c>
      <c r="D270" s="2" t="s">
        <v>29</v>
      </c>
      <c r="E270" s="2" t="s">
        <v>49</v>
      </c>
      <c r="F270" s="2" t="s">
        <v>50</v>
      </c>
      <c r="G270" s="2">
        <v>20</v>
      </c>
      <c r="H270" s="7">
        <v>774.29</v>
      </c>
      <c r="I270" s="7">
        <f t="shared" si="4"/>
        <v>15485.8</v>
      </c>
      <c r="J270" s="8">
        <v>0.33</v>
      </c>
    </row>
    <row r="271" spans="1:10" x14ac:dyDescent="0.25">
      <c r="A271" s="2" t="s">
        <v>305</v>
      </c>
      <c r="B271" s="6">
        <v>46263</v>
      </c>
      <c r="C271" s="2" t="s">
        <v>38</v>
      </c>
      <c r="D271" s="2" t="s">
        <v>29</v>
      </c>
      <c r="E271" s="2" t="s">
        <v>61</v>
      </c>
      <c r="F271" s="2" t="s">
        <v>16</v>
      </c>
      <c r="G271" s="2">
        <v>32</v>
      </c>
      <c r="H271" s="7">
        <v>479.62</v>
      </c>
      <c r="I271" s="7">
        <f t="shared" si="4"/>
        <v>15347.84</v>
      </c>
      <c r="J271" s="8">
        <v>0.05</v>
      </c>
    </row>
    <row r="272" spans="1:10" x14ac:dyDescent="0.25">
      <c r="A272" s="2" t="s">
        <v>88</v>
      </c>
      <c r="B272" s="6">
        <v>46074</v>
      </c>
      <c r="C272" s="2" t="s">
        <v>18</v>
      </c>
      <c r="D272" s="2" t="s">
        <v>29</v>
      </c>
      <c r="E272" s="2" t="s">
        <v>15</v>
      </c>
      <c r="F272" s="2" t="s">
        <v>16</v>
      </c>
      <c r="G272" s="2">
        <v>30</v>
      </c>
      <c r="H272" s="7">
        <v>498.44</v>
      </c>
      <c r="I272" s="7">
        <f t="shared" si="4"/>
        <v>14953.2</v>
      </c>
      <c r="J272" s="8">
        <v>0.14000000000000001</v>
      </c>
    </row>
    <row r="273" spans="1:10" hidden="1" x14ac:dyDescent="0.25">
      <c r="A273" s="2" t="s">
        <v>286</v>
      </c>
      <c r="B273" s="6">
        <v>46112</v>
      </c>
      <c r="C273" s="2" t="s">
        <v>28</v>
      </c>
      <c r="D273" s="2" t="s">
        <v>29</v>
      </c>
      <c r="E273" s="2" t="s">
        <v>36</v>
      </c>
      <c r="F273" s="2" t="s">
        <v>21</v>
      </c>
      <c r="G273" s="2">
        <v>20</v>
      </c>
      <c r="H273" s="7">
        <v>681.68</v>
      </c>
      <c r="I273" s="7">
        <f t="shared" si="4"/>
        <v>13633.599999999999</v>
      </c>
      <c r="J273" s="8">
        <v>0.14000000000000001</v>
      </c>
    </row>
    <row r="274" spans="1:10" hidden="1" x14ac:dyDescent="0.25">
      <c r="A274" s="2" t="s">
        <v>206</v>
      </c>
      <c r="B274" s="6">
        <v>46097</v>
      </c>
      <c r="C274" s="2" t="s">
        <v>13</v>
      </c>
      <c r="D274" s="2" t="s">
        <v>29</v>
      </c>
      <c r="E274" s="2" t="s">
        <v>20</v>
      </c>
      <c r="F274" s="2" t="s">
        <v>21</v>
      </c>
      <c r="G274" s="2">
        <v>18</v>
      </c>
      <c r="H274" s="7">
        <v>687.29</v>
      </c>
      <c r="I274" s="7">
        <f t="shared" si="4"/>
        <v>12371.22</v>
      </c>
      <c r="J274" s="8">
        <v>0.15</v>
      </c>
    </row>
    <row r="275" spans="1:10" hidden="1" x14ac:dyDescent="0.25">
      <c r="A275" s="2" t="s">
        <v>302</v>
      </c>
      <c r="B275" s="6">
        <v>46104</v>
      </c>
      <c r="C275" s="2" t="s">
        <v>28</v>
      </c>
      <c r="D275" s="2" t="s">
        <v>29</v>
      </c>
      <c r="E275" s="2" t="s">
        <v>112</v>
      </c>
      <c r="F275" s="2" t="s">
        <v>56</v>
      </c>
      <c r="G275" s="2">
        <v>16</v>
      </c>
      <c r="H275" s="7">
        <v>770.3</v>
      </c>
      <c r="I275" s="7">
        <f t="shared" si="4"/>
        <v>12324.8</v>
      </c>
      <c r="J275" s="8">
        <v>0.34</v>
      </c>
    </row>
    <row r="276" spans="1:10" x14ac:dyDescent="0.25">
      <c r="A276" s="2" t="s">
        <v>304</v>
      </c>
      <c r="B276" s="6">
        <v>46146</v>
      </c>
      <c r="C276" s="2" t="s">
        <v>23</v>
      </c>
      <c r="D276" s="2" t="s">
        <v>29</v>
      </c>
      <c r="E276" s="2" t="s">
        <v>33</v>
      </c>
      <c r="F276" s="2" t="s">
        <v>16</v>
      </c>
      <c r="G276" s="2">
        <v>33</v>
      </c>
      <c r="H276" s="7">
        <v>367.96</v>
      </c>
      <c r="I276" s="7">
        <f t="shared" si="4"/>
        <v>12142.679999999998</v>
      </c>
      <c r="J276" s="8">
        <v>0.19</v>
      </c>
    </row>
    <row r="277" spans="1:10" x14ac:dyDescent="0.25">
      <c r="A277" s="2" t="s">
        <v>209</v>
      </c>
      <c r="B277" s="6">
        <v>46208</v>
      </c>
      <c r="C277" s="2" t="s">
        <v>42</v>
      </c>
      <c r="D277" s="2" t="s">
        <v>29</v>
      </c>
      <c r="E277" s="2" t="s">
        <v>15</v>
      </c>
      <c r="F277" s="2" t="s">
        <v>16</v>
      </c>
      <c r="G277" s="2">
        <v>31</v>
      </c>
      <c r="H277" s="7">
        <v>360.83</v>
      </c>
      <c r="I277" s="7">
        <f t="shared" si="4"/>
        <v>11185.73</v>
      </c>
      <c r="J277" s="8">
        <v>0.09</v>
      </c>
    </row>
    <row r="278" spans="1:10" hidden="1" x14ac:dyDescent="0.25">
      <c r="A278" s="2" t="s">
        <v>202</v>
      </c>
      <c r="B278" s="6">
        <v>46073</v>
      </c>
      <c r="C278" s="2" t="s">
        <v>28</v>
      </c>
      <c r="D278" s="2" t="s">
        <v>29</v>
      </c>
      <c r="E278" s="2" t="s">
        <v>112</v>
      </c>
      <c r="F278" s="2" t="s">
        <v>56</v>
      </c>
      <c r="G278" s="2">
        <v>16</v>
      </c>
      <c r="H278" s="7">
        <v>684.94</v>
      </c>
      <c r="I278" s="7">
        <f t="shared" si="4"/>
        <v>10959.04</v>
      </c>
      <c r="J278" s="8">
        <v>0.41</v>
      </c>
    </row>
    <row r="279" spans="1:10" hidden="1" x14ac:dyDescent="0.25">
      <c r="A279" s="2" t="s">
        <v>283</v>
      </c>
      <c r="B279" s="6">
        <v>46251</v>
      </c>
      <c r="C279" s="2" t="s">
        <v>23</v>
      </c>
      <c r="D279" s="2" t="s">
        <v>29</v>
      </c>
      <c r="E279" s="2" t="s">
        <v>20</v>
      </c>
      <c r="F279" s="2" t="s">
        <v>21</v>
      </c>
      <c r="G279" s="2">
        <v>17</v>
      </c>
      <c r="H279" s="7">
        <v>620.87</v>
      </c>
      <c r="I279" s="7">
        <f t="shared" si="4"/>
        <v>10554.79</v>
      </c>
      <c r="J279" s="8">
        <v>0.16</v>
      </c>
    </row>
    <row r="280" spans="1:10" hidden="1" x14ac:dyDescent="0.25">
      <c r="A280" s="2" t="s">
        <v>287</v>
      </c>
      <c r="B280" s="6">
        <v>46036</v>
      </c>
      <c r="C280" s="2" t="s">
        <v>28</v>
      </c>
      <c r="D280" s="2" t="s">
        <v>29</v>
      </c>
      <c r="E280" s="2" t="s">
        <v>123</v>
      </c>
      <c r="F280" s="2" t="s">
        <v>50</v>
      </c>
      <c r="G280" s="2">
        <v>16</v>
      </c>
      <c r="H280" s="7">
        <v>633.14</v>
      </c>
      <c r="I280" s="7">
        <f t="shared" si="4"/>
        <v>10130.24</v>
      </c>
      <c r="J280" s="8">
        <v>0.28000000000000003</v>
      </c>
    </row>
    <row r="281" spans="1:10" x14ac:dyDescent="0.25">
      <c r="A281" s="2" t="s">
        <v>219</v>
      </c>
      <c r="B281" s="6">
        <v>46076</v>
      </c>
      <c r="C281" s="2" t="s">
        <v>85</v>
      </c>
      <c r="D281" s="2" t="s">
        <v>29</v>
      </c>
      <c r="E281" s="2" t="s">
        <v>61</v>
      </c>
      <c r="F281" s="2" t="s">
        <v>16</v>
      </c>
      <c r="G281" s="2">
        <v>39</v>
      </c>
      <c r="H281" s="7">
        <v>252.71</v>
      </c>
      <c r="I281" s="7">
        <f t="shared" si="4"/>
        <v>9855.69</v>
      </c>
      <c r="J281" s="8">
        <v>0.14000000000000001</v>
      </c>
    </row>
    <row r="282" spans="1:10" hidden="1" x14ac:dyDescent="0.25">
      <c r="A282" s="2" t="s">
        <v>197</v>
      </c>
      <c r="B282" s="6">
        <v>46035</v>
      </c>
      <c r="C282" s="2" t="s">
        <v>85</v>
      </c>
      <c r="D282" s="2" t="s">
        <v>29</v>
      </c>
      <c r="E282" s="2" t="s">
        <v>30</v>
      </c>
      <c r="F282" s="2" t="s">
        <v>31</v>
      </c>
      <c r="G282" s="2">
        <v>44</v>
      </c>
      <c r="H282" s="7">
        <v>190.12</v>
      </c>
      <c r="I282" s="7">
        <f t="shared" si="4"/>
        <v>8365.2800000000007</v>
      </c>
      <c r="J282" s="8">
        <v>0.18</v>
      </c>
    </row>
    <row r="283" spans="1:10" hidden="1" x14ac:dyDescent="0.25">
      <c r="A283" s="2" t="s">
        <v>39</v>
      </c>
      <c r="B283" s="6">
        <v>46159</v>
      </c>
      <c r="C283" s="2" t="s">
        <v>18</v>
      </c>
      <c r="D283" s="2" t="s">
        <v>29</v>
      </c>
      <c r="E283" s="2" t="s">
        <v>40</v>
      </c>
      <c r="F283" s="2" t="s">
        <v>31</v>
      </c>
      <c r="G283" s="2">
        <v>24</v>
      </c>
      <c r="H283" s="7">
        <v>286.8</v>
      </c>
      <c r="I283" s="7">
        <f t="shared" si="4"/>
        <v>6883.2000000000007</v>
      </c>
      <c r="J283" s="8">
        <v>0.3</v>
      </c>
    </row>
    <row r="284" spans="1:10" x14ac:dyDescent="0.25">
      <c r="A284" s="2" t="s">
        <v>314</v>
      </c>
      <c r="B284" s="6">
        <v>46139</v>
      </c>
      <c r="C284" s="2" t="s">
        <v>35</v>
      </c>
      <c r="D284" s="2" t="s">
        <v>29</v>
      </c>
      <c r="E284" s="2" t="s">
        <v>65</v>
      </c>
      <c r="F284" s="2" t="s">
        <v>16</v>
      </c>
      <c r="G284" s="2">
        <v>31</v>
      </c>
      <c r="H284" s="7">
        <v>215.36</v>
      </c>
      <c r="I284" s="7">
        <f t="shared" si="4"/>
        <v>6676.1600000000008</v>
      </c>
      <c r="J284" s="8">
        <v>0.24</v>
      </c>
    </row>
    <row r="285" spans="1:10" hidden="1" x14ac:dyDescent="0.25">
      <c r="A285" s="2" t="s">
        <v>315</v>
      </c>
      <c r="B285" s="6">
        <v>46147</v>
      </c>
      <c r="C285" s="2" t="s">
        <v>35</v>
      </c>
      <c r="D285" s="2" t="s">
        <v>29</v>
      </c>
      <c r="E285" s="2" t="s">
        <v>67</v>
      </c>
      <c r="F285" s="2" t="s">
        <v>21</v>
      </c>
      <c r="G285" s="2">
        <v>10</v>
      </c>
      <c r="H285" s="7">
        <v>658.04</v>
      </c>
      <c r="I285" s="7">
        <f t="shared" si="4"/>
        <v>6580.4</v>
      </c>
      <c r="J285" s="8">
        <v>0.43</v>
      </c>
    </row>
    <row r="286" spans="1:10" hidden="1" x14ac:dyDescent="0.25">
      <c r="A286" s="2" t="s">
        <v>354</v>
      </c>
      <c r="B286" s="6">
        <v>46054</v>
      </c>
      <c r="C286" s="2" t="s">
        <v>42</v>
      </c>
      <c r="D286" s="2" t="s">
        <v>29</v>
      </c>
      <c r="E286" s="2" t="s">
        <v>43</v>
      </c>
      <c r="F286" s="2" t="s">
        <v>21</v>
      </c>
      <c r="G286" s="2">
        <v>27</v>
      </c>
      <c r="H286" s="7">
        <v>243.2</v>
      </c>
      <c r="I286" s="7">
        <f t="shared" si="4"/>
        <v>6566.4</v>
      </c>
      <c r="J286" s="8">
        <v>0.4</v>
      </c>
    </row>
    <row r="287" spans="1:10" hidden="1" x14ac:dyDescent="0.25">
      <c r="A287" s="2" t="s">
        <v>352</v>
      </c>
      <c r="B287" s="6">
        <v>46051</v>
      </c>
      <c r="C287" s="2" t="s">
        <v>13</v>
      </c>
      <c r="D287" s="2" t="s">
        <v>29</v>
      </c>
      <c r="E287" s="2" t="s">
        <v>77</v>
      </c>
      <c r="F287" s="2" t="s">
        <v>56</v>
      </c>
      <c r="G287" s="2">
        <v>35</v>
      </c>
      <c r="H287" s="7">
        <v>176.95</v>
      </c>
      <c r="I287" s="7">
        <f t="shared" si="4"/>
        <v>6193.25</v>
      </c>
      <c r="J287" s="8">
        <v>0.45</v>
      </c>
    </row>
    <row r="288" spans="1:10" hidden="1" x14ac:dyDescent="0.25">
      <c r="A288" s="2" t="s">
        <v>84</v>
      </c>
      <c r="B288" s="6">
        <v>46149</v>
      </c>
      <c r="C288" s="2" t="s">
        <v>85</v>
      </c>
      <c r="D288" s="2" t="s">
        <v>29</v>
      </c>
      <c r="E288" s="2" t="s">
        <v>52</v>
      </c>
      <c r="F288" s="2" t="s">
        <v>50</v>
      </c>
      <c r="G288" s="2">
        <v>8</v>
      </c>
      <c r="H288" s="7">
        <v>753.51</v>
      </c>
      <c r="I288" s="7">
        <f t="shared" si="4"/>
        <v>6028.08</v>
      </c>
      <c r="J288" s="8">
        <v>7.0000000000000007E-2</v>
      </c>
    </row>
    <row r="289" spans="1:10" hidden="1" x14ac:dyDescent="0.25">
      <c r="A289" s="2" t="s">
        <v>309</v>
      </c>
      <c r="B289" s="6">
        <v>46283</v>
      </c>
      <c r="C289" s="2" t="s">
        <v>79</v>
      </c>
      <c r="D289" s="2" t="s">
        <v>29</v>
      </c>
      <c r="E289" s="2" t="s">
        <v>102</v>
      </c>
      <c r="F289" s="2" t="s">
        <v>31</v>
      </c>
      <c r="G289" s="2">
        <v>49</v>
      </c>
      <c r="H289" s="7">
        <v>118.84</v>
      </c>
      <c r="I289" s="7">
        <f t="shared" si="4"/>
        <v>5823.16</v>
      </c>
      <c r="J289" s="8">
        <v>7.0000000000000007E-2</v>
      </c>
    </row>
    <row r="290" spans="1:10" hidden="1" x14ac:dyDescent="0.25">
      <c r="A290" s="2" t="s">
        <v>265</v>
      </c>
      <c r="B290" s="6">
        <v>46242</v>
      </c>
      <c r="C290" s="2" t="s">
        <v>35</v>
      </c>
      <c r="D290" s="2" t="s">
        <v>29</v>
      </c>
      <c r="E290" s="2" t="s">
        <v>43</v>
      </c>
      <c r="F290" s="2" t="s">
        <v>21</v>
      </c>
      <c r="G290" s="2">
        <v>46</v>
      </c>
      <c r="H290" s="7">
        <v>118.29</v>
      </c>
      <c r="I290" s="7">
        <f t="shared" si="4"/>
        <v>5441.34</v>
      </c>
      <c r="J290" s="8">
        <v>0.19</v>
      </c>
    </row>
    <row r="291" spans="1:10" hidden="1" x14ac:dyDescent="0.25">
      <c r="A291" s="2" t="s">
        <v>177</v>
      </c>
      <c r="B291" s="6">
        <v>46248</v>
      </c>
      <c r="C291" s="2" t="s">
        <v>18</v>
      </c>
      <c r="D291" s="2" t="s">
        <v>29</v>
      </c>
      <c r="E291" s="2" t="s">
        <v>36</v>
      </c>
      <c r="F291" s="2" t="s">
        <v>21</v>
      </c>
      <c r="G291" s="2">
        <v>7</v>
      </c>
      <c r="H291" s="7">
        <v>699.86</v>
      </c>
      <c r="I291" s="7">
        <f t="shared" si="4"/>
        <v>4899.0200000000004</v>
      </c>
      <c r="J291" s="8">
        <v>0.41</v>
      </c>
    </row>
    <row r="292" spans="1:10" hidden="1" x14ac:dyDescent="0.25">
      <c r="A292" s="2" t="s">
        <v>110</v>
      </c>
      <c r="B292" s="6">
        <v>46243</v>
      </c>
      <c r="C292" s="2" t="s">
        <v>85</v>
      </c>
      <c r="D292" s="2" t="s">
        <v>29</v>
      </c>
      <c r="E292" s="2" t="s">
        <v>55</v>
      </c>
      <c r="F292" s="2" t="s">
        <v>56</v>
      </c>
      <c r="G292" s="2">
        <v>20</v>
      </c>
      <c r="H292" s="7">
        <v>232.38</v>
      </c>
      <c r="I292" s="7">
        <f t="shared" si="4"/>
        <v>4647.6000000000004</v>
      </c>
      <c r="J292" s="8">
        <v>0.31</v>
      </c>
    </row>
    <row r="293" spans="1:10" hidden="1" x14ac:dyDescent="0.25">
      <c r="A293" s="2" t="s">
        <v>109</v>
      </c>
      <c r="B293" s="6">
        <v>46217</v>
      </c>
      <c r="C293" s="2" t="s">
        <v>13</v>
      </c>
      <c r="D293" s="2" t="s">
        <v>29</v>
      </c>
      <c r="E293" s="2" t="s">
        <v>43</v>
      </c>
      <c r="F293" s="2" t="s">
        <v>21</v>
      </c>
      <c r="G293" s="2">
        <v>13</v>
      </c>
      <c r="H293" s="7">
        <v>338.68</v>
      </c>
      <c r="I293" s="7">
        <f t="shared" si="4"/>
        <v>4402.84</v>
      </c>
      <c r="J293" s="8">
        <v>0.28000000000000003</v>
      </c>
    </row>
    <row r="294" spans="1:10" x14ac:dyDescent="0.25">
      <c r="A294" s="2" t="s">
        <v>217</v>
      </c>
      <c r="B294" s="6">
        <v>46213</v>
      </c>
      <c r="C294" s="2" t="s">
        <v>13</v>
      </c>
      <c r="D294" s="2" t="s">
        <v>29</v>
      </c>
      <c r="E294" s="2" t="s">
        <v>33</v>
      </c>
      <c r="F294" s="2" t="s">
        <v>16</v>
      </c>
      <c r="G294" s="2">
        <v>7</v>
      </c>
      <c r="H294" s="7">
        <v>596.69000000000005</v>
      </c>
      <c r="I294" s="7">
        <f t="shared" si="4"/>
        <v>4176.83</v>
      </c>
      <c r="J294" s="8">
        <v>7.0000000000000007E-2</v>
      </c>
    </row>
    <row r="295" spans="1:10" x14ac:dyDescent="0.25">
      <c r="A295" s="2" t="s">
        <v>32</v>
      </c>
      <c r="B295" s="6">
        <v>46216</v>
      </c>
      <c r="C295" s="2" t="s">
        <v>18</v>
      </c>
      <c r="D295" s="2" t="s">
        <v>29</v>
      </c>
      <c r="E295" s="2" t="s">
        <v>33</v>
      </c>
      <c r="F295" s="2" t="s">
        <v>16</v>
      </c>
      <c r="G295" s="2">
        <v>35</v>
      </c>
      <c r="H295" s="7">
        <v>103.36</v>
      </c>
      <c r="I295" s="7">
        <f t="shared" si="4"/>
        <v>3617.6</v>
      </c>
      <c r="J295" s="8">
        <v>0.17</v>
      </c>
    </row>
    <row r="296" spans="1:10" hidden="1" x14ac:dyDescent="0.25">
      <c r="A296" s="2" t="s">
        <v>340</v>
      </c>
      <c r="B296" s="6">
        <v>46281</v>
      </c>
      <c r="C296" s="2" t="s">
        <v>23</v>
      </c>
      <c r="D296" s="2" t="s">
        <v>29</v>
      </c>
      <c r="E296" s="2" t="s">
        <v>30</v>
      </c>
      <c r="F296" s="2" t="s">
        <v>31</v>
      </c>
      <c r="G296" s="2">
        <v>37</v>
      </c>
      <c r="H296" s="7">
        <v>93.32</v>
      </c>
      <c r="I296" s="7">
        <f t="shared" si="4"/>
        <v>3452.8399999999997</v>
      </c>
      <c r="J296" s="8">
        <v>0.26</v>
      </c>
    </row>
    <row r="297" spans="1:10" hidden="1" x14ac:dyDescent="0.25">
      <c r="A297" s="2" t="s">
        <v>160</v>
      </c>
      <c r="B297" s="6">
        <v>46244</v>
      </c>
      <c r="C297" s="2" t="s">
        <v>28</v>
      </c>
      <c r="D297" s="2" t="s">
        <v>29</v>
      </c>
      <c r="E297" s="2" t="s">
        <v>112</v>
      </c>
      <c r="F297" s="2" t="s">
        <v>56</v>
      </c>
      <c r="G297" s="2">
        <v>6</v>
      </c>
      <c r="H297" s="7">
        <v>480.04</v>
      </c>
      <c r="I297" s="7">
        <f t="shared" si="4"/>
        <v>2880.2400000000002</v>
      </c>
      <c r="J297" s="8">
        <v>0.15</v>
      </c>
    </row>
    <row r="298" spans="1:10" hidden="1" x14ac:dyDescent="0.25">
      <c r="A298" s="2" t="s">
        <v>27</v>
      </c>
      <c r="B298" s="6">
        <v>46206</v>
      </c>
      <c r="C298" s="2" t="s">
        <v>28</v>
      </c>
      <c r="D298" s="2" t="s">
        <v>29</v>
      </c>
      <c r="E298" s="2" t="s">
        <v>30</v>
      </c>
      <c r="F298" s="2" t="s">
        <v>31</v>
      </c>
      <c r="G298" s="2">
        <v>6</v>
      </c>
      <c r="H298" s="7">
        <v>306.42</v>
      </c>
      <c r="I298" s="7">
        <f t="shared" si="4"/>
        <v>1838.52</v>
      </c>
      <c r="J298" s="8">
        <v>0.16</v>
      </c>
    </row>
    <row r="299" spans="1:10" hidden="1" x14ac:dyDescent="0.25">
      <c r="A299" s="2" t="s">
        <v>152</v>
      </c>
      <c r="B299" s="6">
        <v>46236</v>
      </c>
      <c r="C299" s="2" t="s">
        <v>85</v>
      </c>
      <c r="D299" s="2" t="s">
        <v>29</v>
      </c>
      <c r="E299" s="2" t="s">
        <v>30</v>
      </c>
      <c r="F299" s="2" t="s">
        <v>31</v>
      </c>
      <c r="G299" s="2">
        <v>16</v>
      </c>
      <c r="H299" s="7">
        <v>98.29</v>
      </c>
      <c r="I299" s="7">
        <f t="shared" si="4"/>
        <v>1572.64</v>
      </c>
      <c r="J299" s="8">
        <v>0.37</v>
      </c>
    </row>
    <row r="300" spans="1:10" hidden="1" x14ac:dyDescent="0.25">
      <c r="A300" s="2" t="s">
        <v>236</v>
      </c>
      <c r="B300" s="6">
        <v>46124</v>
      </c>
      <c r="C300" s="2" t="s">
        <v>13</v>
      </c>
      <c r="D300" s="2" t="s">
        <v>29</v>
      </c>
      <c r="E300" s="2" t="s">
        <v>123</v>
      </c>
      <c r="F300" s="2" t="s">
        <v>50</v>
      </c>
      <c r="G300" s="2">
        <v>7</v>
      </c>
      <c r="H300" s="7">
        <v>120.57</v>
      </c>
      <c r="I300" s="7">
        <f t="shared" si="4"/>
        <v>843.99</v>
      </c>
      <c r="J300" s="8">
        <v>0.11</v>
      </c>
    </row>
    <row r="301" spans="1:10" x14ac:dyDescent="0.25">
      <c r="A301" s="2" t="s">
        <v>231</v>
      </c>
      <c r="B301" s="6">
        <v>46062</v>
      </c>
      <c r="C301" s="2" t="s">
        <v>28</v>
      </c>
      <c r="D301" s="2" t="s">
        <v>29</v>
      </c>
      <c r="E301" s="2" t="s">
        <v>33</v>
      </c>
      <c r="F301" s="2" t="s">
        <v>16</v>
      </c>
      <c r="G301" s="2">
        <v>2</v>
      </c>
      <c r="H301" s="7">
        <v>369.96</v>
      </c>
      <c r="I301" s="7">
        <f t="shared" si="4"/>
        <v>739.92</v>
      </c>
      <c r="J301" s="8">
        <v>0.22</v>
      </c>
    </row>
    <row r="302" spans="1:10" hidden="1" x14ac:dyDescent="0.25">
      <c r="A302" s="2" t="s">
        <v>158</v>
      </c>
      <c r="B302" s="6">
        <v>46107</v>
      </c>
      <c r="C302" s="2" t="s">
        <v>38</v>
      </c>
      <c r="D302" s="2" t="s">
        <v>29</v>
      </c>
      <c r="E302" s="2" t="s">
        <v>49</v>
      </c>
      <c r="F302" s="2" t="s">
        <v>50</v>
      </c>
      <c r="G302" s="2">
        <v>10</v>
      </c>
      <c r="H302" s="7">
        <v>60.84</v>
      </c>
      <c r="I302" s="7">
        <f t="shared" si="4"/>
        <v>608.40000000000009</v>
      </c>
      <c r="J302" s="8">
        <v>0.35</v>
      </c>
    </row>
    <row r="303" spans="1:10" hidden="1" x14ac:dyDescent="0.25">
      <c r="A303" s="2" t="s">
        <v>264</v>
      </c>
      <c r="B303" s="6">
        <v>46278</v>
      </c>
      <c r="C303" s="2" t="s">
        <v>85</v>
      </c>
      <c r="D303" s="2" t="s">
        <v>29</v>
      </c>
      <c r="E303" s="2" t="s">
        <v>67</v>
      </c>
      <c r="F303" s="2" t="s">
        <v>21</v>
      </c>
      <c r="G303" s="2">
        <v>5</v>
      </c>
      <c r="H303" s="7">
        <v>92.24</v>
      </c>
      <c r="I303" s="7">
        <f t="shared" si="4"/>
        <v>461.2</v>
      </c>
      <c r="J303" s="8">
        <v>0.06</v>
      </c>
    </row>
    <row r="304" spans="1:10" hidden="1" x14ac:dyDescent="0.25">
      <c r="A304" s="2" t="s">
        <v>282</v>
      </c>
      <c r="B304" s="6">
        <v>46118</v>
      </c>
      <c r="C304" s="2" t="s">
        <v>47</v>
      </c>
      <c r="D304" s="2" t="s">
        <v>29</v>
      </c>
      <c r="E304" s="2" t="s">
        <v>40</v>
      </c>
      <c r="F304" s="2" t="s">
        <v>31</v>
      </c>
      <c r="G304" s="2">
        <v>8</v>
      </c>
      <c r="H304" s="7">
        <v>24.63</v>
      </c>
      <c r="I304" s="7">
        <f t="shared" si="4"/>
        <v>197.04</v>
      </c>
      <c r="J304" s="8">
        <v>0.2</v>
      </c>
    </row>
    <row r="306" spans="1:1" x14ac:dyDescent="0.25">
      <c r="A306" s="9" t="s">
        <v>355</v>
      </c>
    </row>
  </sheetData>
  <autoFilter ref="A4:J304" xr:uid="{00000000-0001-0000-0000-000000000000}">
    <filterColumn colId="5">
      <filters>
        <filter val="Informatique"/>
      </filters>
    </filterColumn>
    <filterColumn colId="8">
      <customFilters>
        <customFilter operator="greaterThan" val="500"/>
      </customFilters>
    </filterColumn>
  </autoFilter>
  <sortState xmlns:xlrd2="http://schemas.microsoft.com/office/spreadsheetml/2017/richdata2" ref="A5:J304">
    <sortCondition ref="D4"/>
    <sortCondition descending="1" ref="I4"/>
  </sortState>
  <mergeCells count="1">
    <mergeCell ref="A1:J1"/>
  </mergeCells>
  <conditionalFormatting sqref="A5:J304">
    <cfRule type="expression" dxfId="2" priority="4" stopIfTrue="1">
      <formula>$J5&lt;0.15</formula>
    </cfRule>
  </conditionalFormatting>
  <conditionalFormatting sqref="I5:I304">
    <cfRule type="dataBar" priority="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{1DC3A83F-6E51-436A-93DE-0D12CF699C78}</x14:id>
        </ext>
      </extLst>
    </cfRule>
    <cfRule type="cellIs" dxfId="1" priority="2" stopIfTrue="1" operator="greaterThan">
      <formula>2000</formula>
    </cfRule>
  </conditionalFormatting>
  <conditionalFormatting sqref="J5:J304">
    <cfRule type="iconSet" priority="3">
      <iconSet iconSet="3Flags"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C3A83F-6E51-436A-93DE-0D12CF699C78}">
            <x14:dataBar minLength="0" maxLength="100" negativeBarColorSameAsPositive="1" axisPosition="none">
              <x14:cfvo type="min"/>
              <x14:cfvo type="max"/>
            </x14:dataBar>
          </x14:cfRule>
          <xm:sqref>I5:I304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BF707-DDEA-4529-A79F-173A1F440C1E}">
  <dimension ref="A1:B14"/>
  <sheetViews>
    <sheetView workbookViewId="0"/>
  </sheetViews>
  <sheetFormatPr baseColWidth="10" defaultRowHeight="15" x14ac:dyDescent="0.25"/>
  <cols>
    <col min="1" max="1" width="64.28515625" bestFit="1" customWidth="1"/>
    <col min="2" max="2" width="22.42578125" bestFit="1" customWidth="1"/>
  </cols>
  <sheetData>
    <row r="1" spans="1:2" x14ac:dyDescent="0.25">
      <c r="A1" s="19" t="s">
        <v>2581</v>
      </c>
    </row>
    <row r="3" spans="1:2" x14ac:dyDescent="0.25">
      <c r="A3" s="15" t="s">
        <v>2574</v>
      </c>
      <c r="B3" t="s">
        <v>2580</v>
      </c>
    </row>
    <row r="4" spans="1:2" x14ac:dyDescent="0.25">
      <c r="A4" s="16" t="s">
        <v>79</v>
      </c>
      <c r="B4">
        <v>42</v>
      </c>
    </row>
    <row r="5" spans="1:2" x14ac:dyDescent="0.25">
      <c r="A5" s="16" t="s">
        <v>23</v>
      </c>
      <c r="B5">
        <v>32</v>
      </c>
    </row>
    <row r="6" spans="1:2" x14ac:dyDescent="0.25">
      <c r="A6" s="16" t="s">
        <v>47</v>
      </c>
      <c r="B6">
        <v>45</v>
      </c>
    </row>
    <row r="7" spans="1:2" x14ac:dyDescent="0.25">
      <c r="A7" s="16" t="s">
        <v>28</v>
      </c>
      <c r="B7">
        <v>36</v>
      </c>
    </row>
    <row r="8" spans="1:2" x14ac:dyDescent="0.25">
      <c r="A8" s="16" t="s">
        <v>38</v>
      </c>
      <c r="B8">
        <v>50</v>
      </c>
    </row>
    <row r="9" spans="1:2" x14ac:dyDescent="0.25">
      <c r="A9" s="16" t="s">
        <v>13</v>
      </c>
      <c r="B9">
        <v>37</v>
      </c>
    </row>
    <row r="10" spans="1:2" x14ac:dyDescent="0.25">
      <c r="A10" s="16" t="s">
        <v>42</v>
      </c>
      <c r="B10">
        <v>36</v>
      </c>
    </row>
    <row r="11" spans="1:2" x14ac:dyDescent="0.25">
      <c r="A11" s="16" t="s">
        <v>85</v>
      </c>
      <c r="B11">
        <v>33</v>
      </c>
    </row>
    <row r="12" spans="1:2" x14ac:dyDescent="0.25">
      <c r="A12" s="16" t="s">
        <v>18</v>
      </c>
      <c r="B12">
        <v>44</v>
      </c>
    </row>
    <row r="13" spans="1:2" x14ac:dyDescent="0.25">
      <c r="A13" s="16" t="s">
        <v>35</v>
      </c>
      <c r="B13">
        <v>45</v>
      </c>
    </row>
    <row r="14" spans="1:2" x14ac:dyDescent="0.25">
      <c r="A14" s="16" t="s">
        <v>2575</v>
      </c>
      <c r="B14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BC396-BD26-4833-9EA7-302ED04E3F02}">
  <dimension ref="A1:G12"/>
  <sheetViews>
    <sheetView workbookViewId="0"/>
  </sheetViews>
  <sheetFormatPr baseColWidth="10" defaultRowHeight="15" x14ac:dyDescent="0.25"/>
  <cols>
    <col min="1" max="1" width="60.85546875" bestFit="1" customWidth="1"/>
    <col min="2" max="2" width="23.85546875" bestFit="1" customWidth="1"/>
    <col min="3" max="6" width="14" bestFit="1" customWidth="1"/>
    <col min="7" max="7" width="15.42578125" bestFit="1" customWidth="1"/>
  </cols>
  <sheetData>
    <row r="1" spans="1:7" x14ac:dyDescent="0.25">
      <c r="A1" s="18" t="s">
        <v>2579</v>
      </c>
      <c r="B1" t="s">
        <v>2577</v>
      </c>
    </row>
    <row r="3" spans="1:7" x14ac:dyDescent="0.25">
      <c r="A3" s="15" t="s">
        <v>2578</v>
      </c>
      <c r="B3" s="15" t="s">
        <v>2576</v>
      </c>
    </row>
    <row r="4" spans="1:7" x14ac:dyDescent="0.25">
      <c r="A4" s="15" t="s">
        <v>2574</v>
      </c>
      <c r="B4" t="s">
        <v>56</v>
      </c>
      <c r="C4" t="s">
        <v>31</v>
      </c>
      <c r="D4" t="s">
        <v>16</v>
      </c>
      <c r="E4" t="s">
        <v>50</v>
      </c>
      <c r="F4" t="s">
        <v>21</v>
      </c>
      <c r="G4" t="s">
        <v>2575</v>
      </c>
    </row>
    <row r="5" spans="1:7" x14ac:dyDescent="0.25">
      <c r="A5" s="16" t="s">
        <v>54</v>
      </c>
      <c r="B5" s="17">
        <v>51135.789999999994</v>
      </c>
      <c r="C5" s="17">
        <v>53989.84</v>
      </c>
      <c r="D5" s="17">
        <v>67835.47</v>
      </c>
      <c r="E5" s="17">
        <v>104176.06999999999</v>
      </c>
      <c r="F5" s="17">
        <v>102096.5</v>
      </c>
      <c r="G5" s="17">
        <v>379233.67</v>
      </c>
    </row>
    <row r="6" spans="1:7" x14ac:dyDescent="0.25">
      <c r="A6" s="16" t="s">
        <v>14</v>
      </c>
      <c r="B6" s="17">
        <v>54962.640000000007</v>
      </c>
      <c r="C6" s="17">
        <v>63821.859999999993</v>
      </c>
      <c r="D6" s="17">
        <v>97281.709999999977</v>
      </c>
      <c r="E6" s="17">
        <v>110528.4</v>
      </c>
      <c r="F6" s="17">
        <v>55878.81</v>
      </c>
      <c r="G6" s="17">
        <v>382473.42</v>
      </c>
    </row>
    <row r="7" spans="1:7" x14ac:dyDescent="0.25">
      <c r="A7" s="16" t="s">
        <v>19</v>
      </c>
      <c r="B7" s="17">
        <v>82749.620000000024</v>
      </c>
      <c r="C7" s="17">
        <v>104495.76999999999</v>
      </c>
      <c r="D7" s="17">
        <v>34128.549999999996</v>
      </c>
      <c r="E7" s="17">
        <v>60574.89</v>
      </c>
      <c r="F7" s="17">
        <v>74885.06</v>
      </c>
      <c r="G7" s="17">
        <v>356833.89</v>
      </c>
    </row>
    <row r="8" spans="1:7" x14ac:dyDescent="0.25">
      <c r="A8" s="16" t="s">
        <v>45</v>
      </c>
      <c r="B8" s="17">
        <v>102299.38</v>
      </c>
      <c r="C8" s="17">
        <v>102177.99999999997</v>
      </c>
      <c r="D8" s="17">
        <v>122965.62</v>
      </c>
      <c r="E8" s="17">
        <v>66041.77</v>
      </c>
      <c r="F8" s="17">
        <v>60260.589999999989</v>
      </c>
      <c r="G8" s="17">
        <v>453745.36</v>
      </c>
    </row>
    <row r="9" spans="1:7" x14ac:dyDescent="0.25">
      <c r="A9" s="16" t="s">
        <v>59</v>
      </c>
      <c r="B9" s="17">
        <v>78734.350000000006</v>
      </c>
      <c r="C9" s="17">
        <v>127722.83</v>
      </c>
      <c r="D9" s="17">
        <v>49305.68</v>
      </c>
      <c r="E9" s="17">
        <v>45380.7</v>
      </c>
      <c r="F9" s="17">
        <v>74834.700000000012</v>
      </c>
      <c r="G9" s="17">
        <v>375978.26</v>
      </c>
    </row>
    <row r="10" spans="1:7" x14ac:dyDescent="0.25">
      <c r="A10" s="16" t="s">
        <v>24</v>
      </c>
      <c r="B10" s="17">
        <v>75096.05</v>
      </c>
      <c r="C10" s="17">
        <v>73753.38</v>
      </c>
      <c r="D10" s="17">
        <v>95418.95</v>
      </c>
      <c r="E10" s="17">
        <v>59119.07</v>
      </c>
      <c r="F10" s="17">
        <v>65588.990000000005</v>
      </c>
      <c r="G10" s="17">
        <v>368976.44</v>
      </c>
    </row>
    <row r="11" spans="1:7" x14ac:dyDescent="0.25">
      <c r="A11" s="16" t="s">
        <v>29</v>
      </c>
      <c r="B11" s="17">
        <v>99597.26999999999</v>
      </c>
      <c r="C11" s="17">
        <v>106604.73000000001</v>
      </c>
      <c r="D11" s="17">
        <v>38630.73000000001</v>
      </c>
      <c r="E11" s="17">
        <v>62596.07</v>
      </c>
      <c r="F11" s="17">
        <v>81812.789999999979</v>
      </c>
      <c r="G11" s="17">
        <v>389241.58999999997</v>
      </c>
    </row>
    <row r="12" spans="1:7" x14ac:dyDescent="0.25">
      <c r="A12" s="16" t="s">
        <v>2575</v>
      </c>
      <c r="B12" s="17">
        <v>544575.1</v>
      </c>
      <c r="C12" s="17">
        <v>632566.40999999992</v>
      </c>
      <c r="D12" s="17">
        <v>505566.70999999996</v>
      </c>
      <c r="E12" s="17">
        <v>508416.97000000003</v>
      </c>
      <c r="F12" s="17">
        <v>515357.43999999994</v>
      </c>
      <c r="G12" s="17">
        <v>2706482.63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6"/>
  <sheetViews>
    <sheetView zoomScaleNormal="100" workbookViewId="0">
      <pane ySplit="4" topLeftCell="A5" activePane="bottomLeft" state="frozen"/>
      <selection pane="bottomLeft" sqref="A1:J1"/>
    </sheetView>
  </sheetViews>
  <sheetFormatPr baseColWidth="10" defaultColWidth="8.7109375" defaultRowHeight="15" x14ac:dyDescent="0.25"/>
  <cols>
    <col min="1" max="1" width="106.5703125" bestFit="1" customWidth="1"/>
    <col min="2" max="2" width="10.140625" bestFit="1" customWidth="1"/>
    <col min="3" max="3" width="25.28515625" bestFit="1" customWidth="1"/>
    <col min="4" max="4" width="24.28515625" bestFit="1" customWidth="1"/>
    <col min="5" max="5" width="19.42578125" bestFit="1" customWidth="1"/>
    <col min="6" max="6" width="14" customWidth="1"/>
    <col min="7" max="7" width="8.7109375" bestFit="1" customWidth="1"/>
    <col min="8" max="8" width="9.7109375" bestFit="1" customWidth="1"/>
    <col min="9" max="9" width="9.5703125" bestFit="1" customWidth="1"/>
    <col min="10" max="10" width="15.42578125" bestFit="1" customWidth="1"/>
    <col min="11" max="11" width="3" customWidth="1"/>
    <col min="12" max="12" width="14" customWidth="1"/>
    <col min="13" max="13" width="3" customWidth="1"/>
    <col min="14" max="14" width="14" customWidth="1"/>
    <col min="15" max="15" width="12.85546875" bestFit="1" customWidth="1"/>
    <col min="16" max="16" width="3" customWidth="1"/>
    <col min="17" max="17" width="10" bestFit="1" customWidth="1"/>
    <col min="18" max="18" width="14" customWidth="1"/>
    <col min="19" max="19" width="12.85546875" bestFit="1" customWidth="1"/>
  </cols>
  <sheetData>
    <row r="1" spans="1:19" ht="25.5" customHeight="1" x14ac:dyDescent="0.25">
      <c r="A1" s="21" t="s">
        <v>356</v>
      </c>
      <c r="B1" s="21"/>
      <c r="C1" s="21"/>
      <c r="D1" s="21"/>
      <c r="E1" s="21"/>
      <c r="F1" s="21"/>
      <c r="G1" s="21"/>
      <c r="H1" s="21"/>
      <c r="I1" s="21"/>
      <c r="J1" s="21"/>
    </row>
    <row r="2" spans="1:19" x14ac:dyDescent="0.25">
      <c r="A2" s="4" t="s">
        <v>357</v>
      </c>
    </row>
    <row r="4" spans="1:19" ht="27.75" customHeight="1" x14ac:dyDescent="0.25">
      <c r="A4" s="5" t="s">
        <v>358</v>
      </c>
      <c r="B4" s="5" t="s">
        <v>3</v>
      </c>
      <c r="C4" s="5" t="s">
        <v>359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10</v>
      </c>
      <c r="I4" s="5" t="s">
        <v>360</v>
      </c>
      <c r="J4" s="5" t="s">
        <v>361</v>
      </c>
      <c r="L4" s="23" t="s">
        <v>362</v>
      </c>
      <c r="M4" s="23"/>
      <c r="N4" s="23" t="s">
        <v>363</v>
      </c>
      <c r="O4" s="23"/>
      <c r="Q4" s="23" t="s">
        <v>364</v>
      </c>
      <c r="R4" s="23"/>
      <c r="S4" s="23"/>
    </row>
    <row r="5" spans="1:19" ht="27.75" customHeight="1" x14ac:dyDescent="0.25">
      <c r="A5" s="2" t="s">
        <v>365</v>
      </c>
      <c r="B5" s="6">
        <v>46276</v>
      </c>
      <c r="C5" s="2" t="s">
        <v>366</v>
      </c>
      <c r="D5" s="2" t="s">
        <v>14</v>
      </c>
      <c r="E5" s="2" t="s">
        <v>52</v>
      </c>
      <c r="F5" s="2" t="s">
        <v>50</v>
      </c>
      <c r="G5" s="2">
        <v>13</v>
      </c>
      <c r="H5" s="7">
        <v>1575.89</v>
      </c>
      <c r="I5" s="2" t="s">
        <v>367</v>
      </c>
      <c r="J5" s="2">
        <v>4</v>
      </c>
      <c r="L5" s="22" t="s">
        <v>368</v>
      </c>
      <c r="M5" s="22"/>
      <c r="N5" s="5" t="s">
        <v>7</v>
      </c>
      <c r="O5" s="5" t="s">
        <v>369</v>
      </c>
      <c r="Q5" s="5" t="s">
        <v>370</v>
      </c>
      <c r="R5" s="5" t="s">
        <v>371</v>
      </c>
      <c r="S5" s="5" t="s">
        <v>369</v>
      </c>
    </row>
    <row r="6" spans="1:19" x14ac:dyDescent="0.25">
      <c r="A6" s="2" t="s">
        <v>372</v>
      </c>
      <c r="B6" s="6">
        <v>46176</v>
      </c>
      <c r="C6" s="2" t="s">
        <v>373</v>
      </c>
      <c r="D6" s="2" t="s">
        <v>24</v>
      </c>
      <c r="E6" s="2" t="s">
        <v>77</v>
      </c>
      <c r="F6" s="2" t="s">
        <v>56</v>
      </c>
      <c r="G6" s="2">
        <v>8</v>
      </c>
      <c r="H6" s="7">
        <v>1701.7</v>
      </c>
      <c r="I6" s="2" t="s">
        <v>367</v>
      </c>
      <c r="J6" s="2">
        <v>2</v>
      </c>
      <c r="L6" s="22" t="s">
        <v>374</v>
      </c>
      <c r="M6" s="22"/>
      <c r="N6" s="2" t="s">
        <v>16</v>
      </c>
      <c r="O6" s="7">
        <f>SUMIF(F5:F204,N6,H5:H204)</f>
        <v>34684.659999999996</v>
      </c>
      <c r="Q6" s="2" t="s">
        <v>375</v>
      </c>
      <c r="R6" s="6">
        <v>46023</v>
      </c>
      <c r="S6" s="7">
        <f t="shared" ref="S6:S14" si="0">SUMIFS($H$5:$H$204,$B$5:$B$204,"&gt;="&amp;R6,$B$5:$B$204,"&lt;"&amp;EDATE(R6,1))</f>
        <v>33518.559999999998</v>
      </c>
    </row>
    <row r="7" spans="1:19" x14ac:dyDescent="0.25">
      <c r="A7" s="2" t="s">
        <v>376</v>
      </c>
      <c r="B7" s="6">
        <v>46234</v>
      </c>
      <c r="C7" s="2" t="s">
        <v>377</v>
      </c>
      <c r="D7" s="2" t="s">
        <v>19</v>
      </c>
      <c r="E7" s="2" t="s">
        <v>55</v>
      </c>
      <c r="F7" s="2" t="s">
        <v>56</v>
      </c>
      <c r="G7" s="2">
        <v>13</v>
      </c>
      <c r="H7" s="7">
        <v>500.86</v>
      </c>
      <c r="I7" s="2" t="s">
        <v>374</v>
      </c>
      <c r="J7" s="2">
        <v>3</v>
      </c>
      <c r="L7" s="22" t="s">
        <v>367</v>
      </c>
      <c r="M7" s="22"/>
      <c r="N7" s="2" t="s">
        <v>50</v>
      </c>
      <c r="O7" s="7">
        <f>SUMIF(F5:F204,N7,H5:H204)</f>
        <v>38867.460000000006</v>
      </c>
      <c r="Q7" s="2" t="s">
        <v>378</v>
      </c>
      <c r="R7" s="6">
        <v>46054</v>
      </c>
      <c r="S7" s="7">
        <f t="shared" si="0"/>
        <v>26432.829999999998</v>
      </c>
    </row>
    <row r="8" spans="1:19" x14ac:dyDescent="0.25">
      <c r="A8" s="2" t="s">
        <v>379</v>
      </c>
      <c r="B8" s="6">
        <v>46212</v>
      </c>
      <c r="C8" s="2" t="s">
        <v>380</v>
      </c>
      <c r="D8" s="2" t="s">
        <v>59</v>
      </c>
      <c r="E8" s="2" t="s">
        <v>33</v>
      </c>
      <c r="F8" s="2" t="s">
        <v>16</v>
      </c>
      <c r="G8" s="2">
        <v>7</v>
      </c>
      <c r="H8" s="7">
        <v>122.04</v>
      </c>
      <c r="I8" s="2" t="s">
        <v>381</v>
      </c>
      <c r="J8" s="2">
        <v>5</v>
      </c>
      <c r="L8" s="22" t="s">
        <v>381</v>
      </c>
      <c r="M8" s="22"/>
      <c r="N8" s="2" t="s">
        <v>31</v>
      </c>
      <c r="O8" s="7">
        <f>SUMIF(F5:F204,N8,H5:H204)</f>
        <v>43590.739999999991</v>
      </c>
      <c r="Q8" s="2" t="s">
        <v>382</v>
      </c>
      <c r="R8" s="6">
        <v>46082</v>
      </c>
      <c r="S8" s="7">
        <f t="shared" si="0"/>
        <v>18875.16</v>
      </c>
    </row>
    <row r="9" spans="1:19" x14ac:dyDescent="0.25">
      <c r="A9" s="2" t="s">
        <v>383</v>
      </c>
      <c r="B9" s="6">
        <v>46060</v>
      </c>
      <c r="C9" s="2" t="s">
        <v>384</v>
      </c>
      <c r="D9" s="2" t="s">
        <v>14</v>
      </c>
      <c r="E9" s="2" t="s">
        <v>20</v>
      </c>
      <c r="F9" s="2" t="s">
        <v>21</v>
      </c>
      <c r="G9" s="2">
        <v>22</v>
      </c>
      <c r="H9" s="7">
        <v>1126.52</v>
      </c>
      <c r="I9" s="2" t="s">
        <v>381</v>
      </c>
      <c r="J9" s="2">
        <v>2</v>
      </c>
      <c r="N9" s="2" t="s">
        <v>56</v>
      </c>
      <c r="O9" s="7">
        <f>SUMIF(F5:F204,N9,H5:H204)</f>
        <v>49398.85</v>
      </c>
      <c r="Q9" s="2" t="s">
        <v>385</v>
      </c>
      <c r="R9" s="6">
        <v>46113</v>
      </c>
      <c r="S9" s="7">
        <f t="shared" si="0"/>
        <v>18064.509999999998</v>
      </c>
    </row>
    <row r="10" spans="1:19" x14ac:dyDescent="0.25">
      <c r="A10" s="2" t="s">
        <v>386</v>
      </c>
      <c r="B10" s="6">
        <v>46030</v>
      </c>
      <c r="C10" s="2" t="s">
        <v>387</v>
      </c>
      <c r="D10" s="2" t="s">
        <v>45</v>
      </c>
      <c r="E10" s="2" t="s">
        <v>102</v>
      </c>
      <c r="F10" s="2" t="s">
        <v>31</v>
      </c>
      <c r="G10" s="2">
        <v>24</v>
      </c>
      <c r="H10" s="7">
        <v>1999.15</v>
      </c>
      <c r="I10" s="2" t="s">
        <v>381</v>
      </c>
      <c r="J10" s="2">
        <v>2</v>
      </c>
      <c r="N10" s="2" t="s">
        <v>21</v>
      </c>
      <c r="O10" s="7">
        <f>SUMIF(F5:F204,N10,H5:H204)</f>
        <v>38928.9</v>
      </c>
      <c r="Q10" s="2" t="s">
        <v>388</v>
      </c>
      <c r="R10" s="6">
        <v>46143</v>
      </c>
      <c r="S10" s="7">
        <f t="shared" si="0"/>
        <v>18846.640000000003</v>
      </c>
    </row>
    <row r="11" spans="1:19" x14ac:dyDescent="0.25">
      <c r="A11" s="2" t="s">
        <v>389</v>
      </c>
      <c r="B11" s="6">
        <v>46226</v>
      </c>
      <c r="C11" s="2" t="s">
        <v>390</v>
      </c>
      <c r="D11" s="2" t="s">
        <v>59</v>
      </c>
      <c r="E11" s="2" t="s">
        <v>43</v>
      </c>
      <c r="F11" s="2" t="s">
        <v>21</v>
      </c>
      <c r="G11" s="2">
        <v>10</v>
      </c>
      <c r="H11" s="7">
        <v>773.71</v>
      </c>
      <c r="I11" s="2" t="s">
        <v>367</v>
      </c>
      <c r="J11" s="2">
        <v>3</v>
      </c>
      <c r="N11" s="1" t="s">
        <v>391</v>
      </c>
      <c r="O11" s="7">
        <f>SUM(O6:O10)</f>
        <v>205470.61</v>
      </c>
      <c r="Q11" s="2" t="s">
        <v>392</v>
      </c>
      <c r="R11" s="6">
        <v>46174</v>
      </c>
      <c r="S11" s="7">
        <f t="shared" si="0"/>
        <v>22907.9</v>
      </c>
    </row>
    <row r="12" spans="1:19" x14ac:dyDescent="0.25">
      <c r="A12" s="2" t="s">
        <v>393</v>
      </c>
      <c r="B12" s="6">
        <v>46285</v>
      </c>
      <c r="C12" s="2" t="s">
        <v>394</v>
      </c>
      <c r="D12" s="2" t="s">
        <v>59</v>
      </c>
      <c r="E12" s="2" t="s">
        <v>102</v>
      </c>
      <c r="F12" s="2" t="s">
        <v>31</v>
      </c>
      <c r="G12" s="2">
        <v>24</v>
      </c>
      <c r="H12" s="7">
        <v>949.59</v>
      </c>
      <c r="I12" s="2" t="s">
        <v>367</v>
      </c>
      <c r="J12" s="2">
        <v>2</v>
      </c>
      <c r="Q12" s="2" t="s">
        <v>395</v>
      </c>
      <c r="R12" s="6">
        <v>46204</v>
      </c>
      <c r="S12" s="7">
        <f t="shared" si="0"/>
        <v>30910.119999999992</v>
      </c>
    </row>
    <row r="13" spans="1:19" x14ac:dyDescent="0.25">
      <c r="A13" s="2" t="s">
        <v>396</v>
      </c>
      <c r="B13" s="6">
        <v>46234</v>
      </c>
      <c r="C13" s="2" t="s">
        <v>397</v>
      </c>
      <c r="D13" s="2" t="s">
        <v>14</v>
      </c>
      <c r="E13" s="2" t="s">
        <v>102</v>
      </c>
      <c r="F13" s="2" t="s">
        <v>31</v>
      </c>
      <c r="G13" s="2">
        <v>5</v>
      </c>
      <c r="H13" s="7">
        <v>52.12</v>
      </c>
      <c r="I13" s="2" t="s">
        <v>381</v>
      </c>
      <c r="J13" s="2">
        <v>3</v>
      </c>
      <c r="Q13" s="2" t="s">
        <v>398</v>
      </c>
      <c r="R13" s="6">
        <v>46235</v>
      </c>
      <c r="S13" s="7">
        <f t="shared" si="0"/>
        <v>18724.32</v>
      </c>
    </row>
    <row r="14" spans="1:19" x14ac:dyDescent="0.25">
      <c r="A14" s="2" t="s">
        <v>399</v>
      </c>
      <c r="B14" s="6">
        <v>46191</v>
      </c>
      <c r="C14" s="2" t="s">
        <v>400</v>
      </c>
      <c r="D14" s="2" t="s">
        <v>59</v>
      </c>
      <c r="E14" s="2" t="s">
        <v>123</v>
      </c>
      <c r="F14" s="2" t="s">
        <v>50</v>
      </c>
      <c r="G14" s="2">
        <v>8</v>
      </c>
      <c r="H14" s="7">
        <v>1008.62</v>
      </c>
      <c r="I14" s="2" t="s">
        <v>367</v>
      </c>
      <c r="J14" s="2">
        <v>3</v>
      </c>
      <c r="Q14" s="2" t="s">
        <v>401</v>
      </c>
      <c r="R14" s="6">
        <v>46266</v>
      </c>
      <c r="S14" s="7">
        <f t="shared" si="0"/>
        <v>17190.570000000003</v>
      </c>
    </row>
    <row r="15" spans="1:19" x14ac:dyDescent="0.25">
      <c r="A15" s="2" t="s">
        <v>402</v>
      </c>
      <c r="B15" s="6">
        <v>46258</v>
      </c>
      <c r="C15" s="2" t="s">
        <v>403</v>
      </c>
      <c r="D15" s="2" t="s">
        <v>19</v>
      </c>
      <c r="E15" s="2" t="s">
        <v>112</v>
      </c>
      <c r="F15" s="2" t="s">
        <v>56</v>
      </c>
      <c r="G15" s="2">
        <v>5</v>
      </c>
      <c r="H15" s="7">
        <v>1446.22</v>
      </c>
      <c r="I15" s="2" t="s">
        <v>381</v>
      </c>
      <c r="J15" s="2">
        <v>2</v>
      </c>
    </row>
    <row r="16" spans="1:19" x14ac:dyDescent="0.25">
      <c r="A16" s="2" t="s">
        <v>404</v>
      </c>
      <c r="B16" s="6">
        <v>46291</v>
      </c>
      <c r="C16" s="2" t="s">
        <v>405</v>
      </c>
      <c r="D16" s="2" t="s">
        <v>59</v>
      </c>
      <c r="E16" s="2" t="s">
        <v>20</v>
      </c>
      <c r="F16" s="2" t="s">
        <v>21</v>
      </c>
      <c r="G16" s="2">
        <v>22</v>
      </c>
      <c r="H16" s="7">
        <v>116.06</v>
      </c>
      <c r="I16" s="2" t="s">
        <v>368</v>
      </c>
      <c r="J16" s="2">
        <v>4</v>
      </c>
    </row>
    <row r="17" spans="1:10" x14ac:dyDescent="0.25">
      <c r="A17" s="2" t="s">
        <v>406</v>
      </c>
      <c r="B17" s="6">
        <v>46057</v>
      </c>
      <c r="C17" s="2" t="s">
        <v>407</v>
      </c>
      <c r="D17" s="2" t="s">
        <v>29</v>
      </c>
      <c r="E17" s="2" t="s">
        <v>123</v>
      </c>
      <c r="F17" s="2" t="s">
        <v>50</v>
      </c>
      <c r="G17" s="2">
        <v>15</v>
      </c>
      <c r="H17" s="7">
        <v>758.94</v>
      </c>
      <c r="I17" s="2" t="s">
        <v>381</v>
      </c>
      <c r="J17" s="2">
        <v>4</v>
      </c>
    </row>
    <row r="18" spans="1:10" x14ac:dyDescent="0.25">
      <c r="A18" s="2" t="s">
        <v>408</v>
      </c>
      <c r="B18" s="6">
        <v>46233</v>
      </c>
      <c r="C18" s="2" t="s">
        <v>409</v>
      </c>
      <c r="D18" s="2" t="s">
        <v>14</v>
      </c>
      <c r="E18" s="2" t="s">
        <v>15</v>
      </c>
      <c r="F18" s="2" t="s">
        <v>16</v>
      </c>
      <c r="G18" s="2">
        <v>9</v>
      </c>
      <c r="H18" s="7">
        <v>1080.76</v>
      </c>
      <c r="I18" s="2" t="s">
        <v>367</v>
      </c>
      <c r="J18" s="2">
        <v>1</v>
      </c>
    </row>
    <row r="19" spans="1:10" x14ac:dyDescent="0.25">
      <c r="A19" s="2" t="s">
        <v>410</v>
      </c>
      <c r="B19" s="6">
        <v>46114</v>
      </c>
      <c r="C19" s="2" t="s">
        <v>411</v>
      </c>
      <c r="D19" s="2" t="s">
        <v>19</v>
      </c>
      <c r="E19" s="2" t="s">
        <v>67</v>
      </c>
      <c r="F19" s="2" t="s">
        <v>21</v>
      </c>
      <c r="G19" s="2">
        <v>8</v>
      </c>
      <c r="H19" s="7">
        <v>400.03</v>
      </c>
      <c r="I19" s="2" t="s">
        <v>367</v>
      </c>
      <c r="J19" s="2">
        <v>3</v>
      </c>
    </row>
    <row r="20" spans="1:10" x14ac:dyDescent="0.25">
      <c r="A20" s="2" t="s">
        <v>412</v>
      </c>
      <c r="B20" s="6">
        <v>46063</v>
      </c>
      <c r="C20" s="2" t="s">
        <v>413</v>
      </c>
      <c r="D20" s="2" t="s">
        <v>29</v>
      </c>
      <c r="E20" s="2" t="s">
        <v>69</v>
      </c>
      <c r="F20" s="2" t="s">
        <v>31</v>
      </c>
      <c r="G20" s="2">
        <v>8</v>
      </c>
      <c r="H20" s="7">
        <v>1980.66</v>
      </c>
      <c r="I20" s="2" t="s">
        <v>374</v>
      </c>
      <c r="J20" s="2">
        <v>3</v>
      </c>
    </row>
    <row r="21" spans="1:10" x14ac:dyDescent="0.25">
      <c r="A21" s="2" t="s">
        <v>414</v>
      </c>
      <c r="B21" s="6">
        <v>46070</v>
      </c>
      <c r="C21" s="2" t="s">
        <v>415</v>
      </c>
      <c r="D21" s="2" t="s">
        <v>29</v>
      </c>
      <c r="E21" s="2" t="s">
        <v>15</v>
      </c>
      <c r="F21" s="2" t="s">
        <v>16</v>
      </c>
      <c r="G21" s="2">
        <v>16</v>
      </c>
      <c r="H21" s="7">
        <v>131.11000000000001</v>
      </c>
      <c r="I21" s="2" t="s">
        <v>368</v>
      </c>
      <c r="J21" s="2">
        <v>2</v>
      </c>
    </row>
    <row r="22" spans="1:10" x14ac:dyDescent="0.25">
      <c r="A22" s="2" t="s">
        <v>416</v>
      </c>
      <c r="B22" s="6">
        <v>46245</v>
      </c>
      <c r="C22" s="2" t="s">
        <v>417</v>
      </c>
      <c r="D22" s="2" t="s">
        <v>29</v>
      </c>
      <c r="E22" s="2" t="s">
        <v>33</v>
      </c>
      <c r="F22" s="2" t="s">
        <v>16</v>
      </c>
      <c r="G22" s="2">
        <v>30</v>
      </c>
      <c r="H22" s="7">
        <v>104.25</v>
      </c>
      <c r="I22" s="2" t="s">
        <v>374</v>
      </c>
      <c r="J22" s="2">
        <v>5</v>
      </c>
    </row>
    <row r="23" spans="1:10" x14ac:dyDescent="0.25">
      <c r="A23" s="2" t="s">
        <v>418</v>
      </c>
      <c r="B23" s="6">
        <v>46046</v>
      </c>
      <c r="C23" s="2" t="s">
        <v>419</v>
      </c>
      <c r="D23" s="2" t="s">
        <v>29</v>
      </c>
      <c r="E23" s="2" t="s">
        <v>74</v>
      </c>
      <c r="F23" s="2" t="s">
        <v>56</v>
      </c>
      <c r="G23" s="2">
        <v>19</v>
      </c>
      <c r="H23" s="7">
        <v>1323.06</v>
      </c>
      <c r="I23" s="2" t="s">
        <v>374</v>
      </c>
      <c r="J23" s="2">
        <v>3</v>
      </c>
    </row>
    <row r="24" spans="1:10" x14ac:dyDescent="0.25">
      <c r="A24" s="2" t="s">
        <v>420</v>
      </c>
      <c r="B24" s="6">
        <v>46096</v>
      </c>
      <c r="C24" s="2" t="s">
        <v>421</v>
      </c>
      <c r="D24" s="2" t="s">
        <v>19</v>
      </c>
      <c r="E24" s="2" t="s">
        <v>26</v>
      </c>
      <c r="F24" s="2" t="s">
        <v>16</v>
      </c>
      <c r="G24" s="2">
        <v>19</v>
      </c>
      <c r="H24" s="7">
        <v>496.13</v>
      </c>
      <c r="I24" s="2" t="s">
        <v>381</v>
      </c>
      <c r="J24" s="2">
        <v>5</v>
      </c>
    </row>
    <row r="25" spans="1:10" x14ac:dyDescent="0.25">
      <c r="A25" s="2" t="s">
        <v>422</v>
      </c>
      <c r="B25" s="6">
        <v>46094</v>
      </c>
      <c r="C25" s="2" t="s">
        <v>380</v>
      </c>
      <c r="D25" s="2" t="s">
        <v>54</v>
      </c>
      <c r="E25" s="2" t="s">
        <v>69</v>
      </c>
      <c r="F25" s="2" t="s">
        <v>31</v>
      </c>
      <c r="G25" s="2">
        <v>2</v>
      </c>
      <c r="H25" s="7">
        <v>213.42</v>
      </c>
      <c r="I25" s="2" t="s">
        <v>374</v>
      </c>
      <c r="J25" s="2">
        <v>1</v>
      </c>
    </row>
    <row r="26" spans="1:10" x14ac:dyDescent="0.25">
      <c r="A26" s="2" t="s">
        <v>423</v>
      </c>
      <c r="B26" s="6">
        <v>46190</v>
      </c>
      <c r="C26" s="2" t="s">
        <v>424</v>
      </c>
      <c r="D26" s="2" t="s">
        <v>59</v>
      </c>
      <c r="E26" s="2" t="s">
        <v>69</v>
      </c>
      <c r="F26" s="2" t="s">
        <v>31</v>
      </c>
      <c r="G26" s="2">
        <v>15</v>
      </c>
      <c r="H26" s="7">
        <v>991.39</v>
      </c>
      <c r="I26" s="2" t="s">
        <v>367</v>
      </c>
      <c r="J26" s="2">
        <v>5</v>
      </c>
    </row>
    <row r="27" spans="1:10" x14ac:dyDescent="0.25">
      <c r="A27" s="2" t="s">
        <v>425</v>
      </c>
      <c r="B27" s="6">
        <v>46118</v>
      </c>
      <c r="C27" s="2" t="s">
        <v>426</v>
      </c>
      <c r="D27" s="2" t="s">
        <v>45</v>
      </c>
      <c r="E27" s="2" t="s">
        <v>112</v>
      </c>
      <c r="F27" s="2" t="s">
        <v>56</v>
      </c>
      <c r="G27" s="2">
        <v>25</v>
      </c>
      <c r="H27" s="7">
        <v>1244.8599999999999</v>
      </c>
      <c r="I27" s="2" t="s">
        <v>374</v>
      </c>
      <c r="J27" s="2">
        <v>1</v>
      </c>
    </row>
    <row r="28" spans="1:10" x14ac:dyDescent="0.25">
      <c r="A28" s="2" t="s">
        <v>427</v>
      </c>
      <c r="B28" s="6">
        <v>46101</v>
      </c>
      <c r="C28" s="2" t="s">
        <v>428</v>
      </c>
      <c r="D28" s="2" t="s">
        <v>19</v>
      </c>
      <c r="E28" s="2" t="s">
        <v>61</v>
      </c>
      <c r="F28" s="2" t="s">
        <v>16</v>
      </c>
      <c r="G28" s="2">
        <v>24</v>
      </c>
      <c r="H28" s="7">
        <v>791.45</v>
      </c>
      <c r="I28" s="2" t="s">
        <v>367</v>
      </c>
      <c r="J28" s="2">
        <v>1</v>
      </c>
    </row>
    <row r="29" spans="1:10" x14ac:dyDescent="0.25">
      <c r="A29" s="2" t="s">
        <v>429</v>
      </c>
      <c r="B29" s="6">
        <v>46180</v>
      </c>
      <c r="C29" s="2" t="s">
        <v>430</v>
      </c>
      <c r="D29" s="2" t="s">
        <v>45</v>
      </c>
      <c r="E29" s="2" t="s">
        <v>15</v>
      </c>
      <c r="F29" s="2" t="s">
        <v>16</v>
      </c>
      <c r="G29" s="2">
        <v>5</v>
      </c>
      <c r="H29" s="7">
        <v>192.85</v>
      </c>
      <c r="I29" s="2" t="s">
        <v>381</v>
      </c>
      <c r="J29" s="2">
        <v>4</v>
      </c>
    </row>
    <row r="30" spans="1:10" x14ac:dyDescent="0.25">
      <c r="A30" s="2" t="s">
        <v>431</v>
      </c>
      <c r="B30" s="6">
        <v>46075</v>
      </c>
      <c r="C30" s="2" t="s">
        <v>432</v>
      </c>
      <c r="D30" s="2" t="s">
        <v>29</v>
      </c>
      <c r="E30" s="2" t="s">
        <v>67</v>
      </c>
      <c r="F30" s="2" t="s">
        <v>21</v>
      </c>
      <c r="G30" s="2">
        <v>3</v>
      </c>
      <c r="H30" s="7">
        <v>1201.9100000000001</v>
      </c>
      <c r="I30" s="2" t="s">
        <v>367</v>
      </c>
      <c r="J30" s="2">
        <v>4</v>
      </c>
    </row>
    <row r="31" spans="1:10" x14ac:dyDescent="0.25">
      <c r="A31" s="2" t="s">
        <v>433</v>
      </c>
      <c r="B31" s="6">
        <v>46234</v>
      </c>
      <c r="C31" s="2" t="s">
        <v>434</v>
      </c>
      <c r="D31" s="2" t="s">
        <v>14</v>
      </c>
      <c r="E31" s="2" t="s">
        <v>61</v>
      </c>
      <c r="F31" s="2" t="s">
        <v>16</v>
      </c>
      <c r="G31" s="2">
        <v>29</v>
      </c>
      <c r="H31" s="7">
        <v>1127.8800000000001</v>
      </c>
      <c r="I31" s="2" t="s">
        <v>374</v>
      </c>
      <c r="J31" s="2">
        <v>5</v>
      </c>
    </row>
    <row r="32" spans="1:10" x14ac:dyDescent="0.25">
      <c r="A32" s="2" t="s">
        <v>435</v>
      </c>
      <c r="B32" s="6">
        <v>46217</v>
      </c>
      <c r="C32" s="2" t="s">
        <v>436</v>
      </c>
      <c r="D32" s="2" t="s">
        <v>54</v>
      </c>
      <c r="E32" s="2" t="s">
        <v>43</v>
      </c>
      <c r="F32" s="2" t="s">
        <v>21</v>
      </c>
      <c r="G32" s="2">
        <v>9</v>
      </c>
      <c r="H32" s="7">
        <v>996.39</v>
      </c>
      <c r="I32" s="2" t="s">
        <v>368</v>
      </c>
      <c r="J32" s="2">
        <v>2</v>
      </c>
    </row>
    <row r="33" spans="1:10" x14ac:dyDescent="0.25">
      <c r="A33" s="2" t="s">
        <v>437</v>
      </c>
      <c r="B33" s="6">
        <v>46238</v>
      </c>
      <c r="C33" s="2" t="s">
        <v>438</v>
      </c>
      <c r="D33" s="2" t="s">
        <v>54</v>
      </c>
      <c r="E33" s="2" t="s">
        <v>74</v>
      </c>
      <c r="F33" s="2" t="s">
        <v>56</v>
      </c>
      <c r="G33" s="2">
        <v>9</v>
      </c>
      <c r="H33" s="7">
        <v>1889.56</v>
      </c>
      <c r="I33" s="2" t="s">
        <v>381</v>
      </c>
      <c r="J33" s="2">
        <v>5</v>
      </c>
    </row>
    <row r="34" spans="1:10" x14ac:dyDescent="0.25">
      <c r="A34" s="2" t="s">
        <v>439</v>
      </c>
      <c r="B34" s="6">
        <v>46257</v>
      </c>
      <c r="C34" s="2" t="s">
        <v>440</v>
      </c>
      <c r="D34" s="2" t="s">
        <v>45</v>
      </c>
      <c r="E34" s="2" t="s">
        <v>43</v>
      </c>
      <c r="F34" s="2" t="s">
        <v>21</v>
      </c>
      <c r="G34" s="2">
        <v>13</v>
      </c>
      <c r="H34" s="7">
        <v>677.79</v>
      </c>
      <c r="I34" s="2" t="s">
        <v>381</v>
      </c>
      <c r="J34" s="2">
        <v>3</v>
      </c>
    </row>
    <row r="35" spans="1:10" x14ac:dyDescent="0.25">
      <c r="A35" s="2" t="s">
        <v>441</v>
      </c>
      <c r="B35" s="6">
        <v>46243</v>
      </c>
      <c r="C35" s="2" t="s">
        <v>442</v>
      </c>
      <c r="D35" s="2" t="s">
        <v>54</v>
      </c>
      <c r="E35" s="2" t="s">
        <v>74</v>
      </c>
      <c r="F35" s="2" t="s">
        <v>56</v>
      </c>
      <c r="G35" s="2">
        <v>20</v>
      </c>
      <c r="H35" s="7">
        <v>1895.61</v>
      </c>
      <c r="I35" s="2" t="s">
        <v>374</v>
      </c>
      <c r="J35" s="2">
        <v>4</v>
      </c>
    </row>
    <row r="36" spans="1:10" x14ac:dyDescent="0.25">
      <c r="A36" s="2" t="s">
        <v>443</v>
      </c>
      <c r="B36" s="6">
        <v>46226</v>
      </c>
      <c r="C36" s="2" t="s">
        <v>444</v>
      </c>
      <c r="D36" s="2" t="s">
        <v>14</v>
      </c>
      <c r="E36" s="2" t="s">
        <v>40</v>
      </c>
      <c r="F36" s="2" t="s">
        <v>31</v>
      </c>
      <c r="G36" s="2">
        <v>21</v>
      </c>
      <c r="H36" s="7">
        <v>992.19</v>
      </c>
      <c r="I36" s="2" t="s">
        <v>374</v>
      </c>
      <c r="J36" s="2">
        <v>3</v>
      </c>
    </row>
    <row r="37" spans="1:10" x14ac:dyDescent="0.25">
      <c r="A37" s="2" t="s">
        <v>445</v>
      </c>
      <c r="B37" s="6">
        <v>46224</v>
      </c>
      <c r="C37" s="2" t="s">
        <v>446</v>
      </c>
      <c r="D37" s="2" t="s">
        <v>19</v>
      </c>
      <c r="E37" s="2" t="s">
        <v>74</v>
      </c>
      <c r="F37" s="2" t="s">
        <v>56</v>
      </c>
      <c r="G37" s="2">
        <v>19</v>
      </c>
      <c r="H37" s="7">
        <v>1994.58</v>
      </c>
      <c r="I37" s="2" t="s">
        <v>374</v>
      </c>
      <c r="J37" s="2">
        <v>5</v>
      </c>
    </row>
    <row r="38" spans="1:10" x14ac:dyDescent="0.25">
      <c r="A38" s="2" t="s">
        <v>447</v>
      </c>
      <c r="B38" s="6">
        <v>46130</v>
      </c>
      <c r="C38" s="2" t="s">
        <v>448</v>
      </c>
      <c r="D38" s="2" t="s">
        <v>59</v>
      </c>
      <c r="E38" s="2" t="s">
        <v>33</v>
      </c>
      <c r="F38" s="2" t="s">
        <v>16</v>
      </c>
      <c r="G38" s="2">
        <v>23</v>
      </c>
      <c r="H38" s="7">
        <v>156.93</v>
      </c>
      <c r="I38" s="2" t="s">
        <v>381</v>
      </c>
      <c r="J38" s="2">
        <v>4</v>
      </c>
    </row>
    <row r="39" spans="1:10" x14ac:dyDescent="0.25">
      <c r="A39" s="2" t="s">
        <v>449</v>
      </c>
      <c r="B39" s="6">
        <v>46146</v>
      </c>
      <c r="C39" s="2" t="s">
        <v>450</v>
      </c>
      <c r="D39" s="2" t="s">
        <v>14</v>
      </c>
      <c r="E39" s="2" t="s">
        <v>49</v>
      </c>
      <c r="F39" s="2" t="s">
        <v>50</v>
      </c>
      <c r="G39" s="2">
        <v>14</v>
      </c>
      <c r="H39" s="7">
        <v>1582.37</v>
      </c>
      <c r="I39" s="2" t="s">
        <v>368</v>
      </c>
      <c r="J39" s="2">
        <v>4</v>
      </c>
    </row>
    <row r="40" spans="1:10" x14ac:dyDescent="0.25">
      <c r="A40" s="2" t="s">
        <v>451</v>
      </c>
      <c r="B40" s="6">
        <v>46228</v>
      </c>
      <c r="C40" s="2" t="s">
        <v>452</v>
      </c>
      <c r="D40" s="2" t="s">
        <v>24</v>
      </c>
      <c r="E40" s="2" t="s">
        <v>67</v>
      </c>
      <c r="F40" s="2" t="s">
        <v>21</v>
      </c>
      <c r="G40" s="2">
        <v>18</v>
      </c>
      <c r="H40" s="7">
        <v>92.8</v>
      </c>
      <c r="I40" s="2" t="s">
        <v>367</v>
      </c>
      <c r="J40" s="2">
        <v>5</v>
      </c>
    </row>
    <row r="41" spans="1:10" x14ac:dyDescent="0.25">
      <c r="A41" s="2" t="s">
        <v>453</v>
      </c>
      <c r="B41" s="6">
        <v>46078</v>
      </c>
      <c r="C41" s="2" t="s">
        <v>454</v>
      </c>
      <c r="D41" s="2" t="s">
        <v>54</v>
      </c>
      <c r="E41" s="2" t="s">
        <v>20</v>
      </c>
      <c r="F41" s="2" t="s">
        <v>21</v>
      </c>
      <c r="G41" s="2">
        <v>6</v>
      </c>
      <c r="H41" s="7">
        <v>1301.06</v>
      </c>
      <c r="I41" s="2" t="s">
        <v>368</v>
      </c>
      <c r="J41" s="2">
        <v>5</v>
      </c>
    </row>
    <row r="42" spans="1:10" x14ac:dyDescent="0.25">
      <c r="A42" s="2" t="s">
        <v>455</v>
      </c>
      <c r="B42" s="6">
        <v>46243</v>
      </c>
      <c r="C42" s="2" t="s">
        <v>456</v>
      </c>
      <c r="D42" s="2" t="s">
        <v>54</v>
      </c>
      <c r="E42" s="2" t="s">
        <v>74</v>
      </c>
      <c r="F42" s="2" t="s">
        <v>56</v>
      </c>
      <c r="G42" s="2">
        <v>8</v>
      </c>
      <c r="H42" s="7">
        <v>1031.1400000000001</v>
      </c>
      <c r="I42" s="2" t="s">
        <v>374</v>
      </c>
      <c r="J42" s="2">
        <v>4</v>
      </c>
    </row>
    <row r="43" spans="1:10" x14ac:dyDescent="0.25">
      <c r="A43" s="2" t="s">
        <v>457</v>
      </c>
      <c r="B43" s="6">
        <v>46260</v>
      </c>
      <c r="C43" s="2" t="s">
        <v>458</v>
      </c>
      <c r="D43" s="2" t="s">
        <v>19</v>
      </c>
      <c r="E43" s="2" t="s">
        <v>69</v>
      </c>
      <c r="F43" s="2" t="s">
        <v>31</v>
      </c>
      <c r="G43" s="2">
        <v>12</v>
      </c>
      <c r="H43" s="7">
        <v>1995.45</v>
      </c>
      <c r="I43" s="2" t="s">
        <v>381</v>
      </c>
      <c r="J43" s="2">
        <v>1</v>
      </c>
    </row>
    <row r="44" spans="1:10" x14ac:dyDescent="0.25">
      <c r="A44" s="2" t="s">
        <v>459</v>
      </c>
      <c r="B44" s="6">
        <v>46066</v>
      </c>
      <c r="C44" s="2" t="s">
        <v>460</v>
      </c>
      <c r="D44" s="2" t="s">
        <v>19</v>
      </c>
      <c r="E44" s="2" t="s">
        <v>69</v>
      </c>
      <c r="F44" s="2" t="s">
        <v>31</v>
      </c>
      <c r="G44" s="2">
        <v>12</v>
      </c>
      <c r="H44" s="7">
        <v>637.54</v>
      </c>
      <c r="I44" s="2" t="s">
        <v>381</v>
      </c>
      <c r="J44" s="2">
        <v>2</v>
      </c>
    </row>
    <row r="45" spans="1:10" x14ac:dyDescent="0.25">
      <c r="A45" s="2" t="s">
        <v>461</v>
      </c>
      <c r="B45" s="6">
        <v>46201</v>
      </c>
      <c r="C45" s="2" t="s">
        <v>462</v>
      </c>
      <c r="D45" s="2" t="s">
        <v>14</v>
      </c>
      <c r="E45" s="2" t="s">
        <v>67</v>
      </c>
      <c r="F45" s="2" t="s">
        <v>21</v>
      </c>
      <c r="G45" s="2">
        <v>23</v>
      </c>
      <c r="H45" s="7">
        <v>915.85</v>
      </c>
      <c r="I45" s="2" t="s">
        <v>368</v>
      </c>
      <c r="J45" s="2">
        <v>3</v>
      </c>
    </row>
    <row r="46" spans="1:10" x14ac:dyDescent="0.25">
      <c r="A46" s="2" t="s">
        <v>463</v>
      </c>
      <c r="B46" s="6">
        <v>46034</v>
      </c>
      <c r="C46" s="2" t="s">
        <v>464</v>
      </c>
      <c r="D46" s="2" t="s">
        <v>14</v>
      </c>
      <c r="E46" s="2" t="s">
        <v>15</v>
      </c>
      <c r="F46" s="2" t="s">
        <v>16</v>
      </c>
      <c r="G46" s="2">
        <v>26</v>
      </c>
      <c r="H46" s="7">
        <v>345.42</v>
      </c>
      <c r="I46" s="2" t="s">
        <v>374</v>
      </c>
      <c r="J46" s="2">
        <v>5</v>
      </c>
    </row>
    <row r="47" spans="1:10" x14ac:dyDescent="0.25">
      <c r="A47" s="2" t="s">
        <v>465</v>
      </c>
      <c r="B47" s="6">
        <v>46192</v>
      </c>
      <c r="C47" s="2" t="s">
        <v>466</v>
      </c>
      <c r="D47" s="2" t="s">
        <v>19</v>
      </c>
      <c r="E47" s="2" t="s">
        <v>123</v>
      </c>
      <c r="F47" s="2" t="s">
        <v>50</v>
      </c>
      <c r="G47" s="2">
        <v>26</v>
      </c>
      <c r="H47" s="7">
        <v>821.99</v>
      </c>
      <c r="I47" s="2" t="s">
        <v>374</v>
      </c>
      <c r="J47" s="2">
        <v>2</v>
      </c>
    </row>
    <row r="48" spans="1:10" x14ac:dyDescent="0.25">
      <c r="A48" s="2" t="s">
        <v>467</v>
      </c>
      <c r="B48" s="6">
        <v>46037</v>
      </c>
      <c r="C48" s="2" t="s">
        <v>442</v>
      </c>
      <c r="D48" s="2" t="s">
        <v>29</v>
      </c>
      <c r="E48" s="2" t="s">
        <v>112</v>
      </c>
      <c r="F48" s="2" t="s">
        <v>56</v>
      </c>
      <c r="G48" s="2">
        <v>14</v>
      </c>
      <c r="H48" s="7">
        <v>789.89</v>
      </c>
      <c r="I48" s="2" t="s">
        <v>374</v>
      </c>
      <c r="J48" s="2">
        <v>2</v>
      </c>
    </row>
    <row r="49" spans="1:10" x14ac:dyDescent="0.25">
      <c r="A49" s="2" t="s">
        <v>468</v>
      </c>
      <c r="B49" s="6">
        <v>46075</v>
      </c>
      <c r="C49" s="2" t="s">
        <v>469</v>
      </c>
      <c r="D49" s="2" t="s">
        <v>54</v>
      </c>
      <c r="E49" s="2" t="s">
        <v>30</v>
      </c>
      <c r="F49" s="2" t="s">
        <v>31</v>
      </c>
      <c r="G49" s="2">
        <v>7</v>
      </c>
      <c r="H49" s="7">
        <v>925.95</v>
      </c>
      <c r="I49" s="2" t="s">
        <v>367</v>
      </c>
      <c r="J49" s="2">
        <v>4</v>
      </c>
    </row>
    <row r="50" spans="1:10" x14ac:dyDescent="0.25">
      <c r="A50" s="2" t="s">
        <v>470</v>
      </c>
      <c r="B50" s="6">
        <v>46221</v>
      </c>
      <c r="C50" s="2" t="s">
        <v>471</v>
      </c>
      <c r="D50" s="2" t="s">
        <v>45</v>
      </c>
      <c r="E50" s="2" t="s">
        <v>36</v>
      </c>
      <c r="F50" s="2" t="s">
        <v>21</v>
      </c>
      <c r="G50" s="2">
        <v>12</v>
      </c>
      <c r="H50" s="7">
        <v>716.93</v>
      </c>
      <c r="I50" s="2" t="s">
        <v>381</v>
      </c>
      <c r="J50" s="2">
        <v>5</v>
      </c>
    </row>
    <row r="51" spans="1:10" x14ac:dyDescent="0.25">
      <c r="A51" s="2" t="s">
        <v>472</v>
      </c>
      <c r="B51" s="6">
        <v>46066</v>
      </c>
      <c r="C51" s="2" t="s">
        <v>473</v>
      </c>
      <c r="D51" s="2" t="s">
        <v>19</v>
      </c>
      <c r="E51" s="2" t="s">
        <v>49</v>
      </c>
      <c r="F51" s="2" t="s">
        <v>50</v>
      </c>
      <c r="G51" s="2">
        <v>10</v>
      </c>
      <c r="H51" s="7">
        <v>251.56</v>
      </c>
      <c r="I51" s="2" t="s">
        <v>367</v>
      </c>
      <c r="J51" s="2">
        <v>2</v>
      </c>
    </row>
    <row r="52" spans="1:10" x14ac:dyDescent="0.25">
      <c r="A52" s="2" t="s">
        <v>474</v>
      </c>
      <c r="B52" s="6">
        <v>46237</v>
      </c>
      <c r="C52" s="2" t="s">
        <v>475</v>
      </c>
      <c r="D52" s="2" t="s">
        <v>24</v>
      </c>
      <c r="E52" s="2" t="s">
        <v>67</v>
      </c>
      <c r="F52" s="2" t="s">
        <v>21</v>
      </c>
      <c r="G52" s="2">
        <v>14</v>
      </c>
      <c r="H52" s="7">
        <v>387.79</v>
      </c>
      <c r="I52" s="2" t="s">
        <v>374</v>
      </c>
      <c r="J52" s="2">
        <v>5</v>
      </c>
    </row>
    <row r="53" spans="1:10" x14ac:dyDescent="0.25">
      <c r="A53" s="2" t="s">
        <v>476</v>
      </c>
      <c r="B53" s="6">
        <v>46170</v>
      </c>
      <c r="C53" s="2" t="s">
        <v>477</v>
      </c>
      <c r="D53" s="2" t="s">
        <v>59</v>
      </c>
      <c r="E53" s="2" t="s">
        <v>52</v>
      </c>
      <c r="F53" s="2" t="s">
        <v>50</v>
      </c>
      <c r="G53" s="2">
        <v>15</v>
      </c>
      <c r="H53" s="7">
        <v>1246.43</v>
      </c>
      <c r="I53" s="2" t="s">
        <v>367</v>
      </c>
      <c r="J53" s="2">
        <v>1</v>
      </c>
    </row>
    <row r="54" spans="1:10" x14ac:dyDescent="0.25">
      <c r="A54" s="2" t="s">
        <v>478</v>
      </c>
      <c r="B54" s="6">
        <v>46122</v>
      </c>
      <c r="C54" s="2" t="s">
        <v>479</v>
      </c>
      <c r="D54" s="2" t="s">
        <v>14</v>
      </c>
      <c r="E54" s="2" t="s">
        <v>77</v>
      </c>
      <c r="F54" s="2" t="s">
        <v>56</v>
      </c>
      <c r="G54" s="2">
        <v>16</v>
      </c>
      <c r="H54" s="7">
        <v>830.09</v>
      </c>
      <c r="I54" s="2" t="s">
        <v>381</v>
      </c>
      <c r="J54" s="2">
        <v>4</v>
      </c>
    </row>
    <row r="55" spans="1:10" x14ac:dyDescent="0.25">
      <c r="A55" s="2" t="s">
        <v>480</v>
      </c>
      <c r="B55" s="6">
        <v>46108</v>
      </c>
      <c r="C55" s="2" t="s">
        <v>481</v>
      </c>
      <c r="D55" s="2" t="s">
        <v>59</v>
      </c>
      <c r="E55" s="2" t="s">
        <v>112</v>
      </c>
      <c r="F55" s="2" t="s">
        <v>56</v>
      </c>
      <c r="G55" s="2">
        <v>25</v>
      </c>
      <c r="H55" s="7">
        <v>456.65</v>
      </c>
      <c r="I55" s="2" t="s">
        <v>368</v>
      </c>
      <c r="J55" s="2">
        <v>3</v>
      </c>
    </row>
    <row r="56" spans="1:10" x14ac:dyDescent="0.25">
      <c r="A56" s="2" t="s">
        <v>482</v>
      </c>
      <c r="B56" s="6">
        <v>46109</v>
      </c>
      <c r="C56" s="2" t="s">
        <v>483</v>
      </c>
      <c r="D56" s="2" t="s">
        <v>59</v>
      </c>
      <c r="E56" s="2" t="s">
        <v>49</v>
      </c>
      <c r="F56" s="2" t="s">
        <v>50</v>
      </c>
      <c r="G56" s="2">
        <v>25</v>
      </c>
      <c r="H56" s="7">
        <v>1000.72</v>
      </c>
      <c r="I56" s="2" t="s">
        <v>368</v>
      </c>
      <c r="J56" s="2">
        <v>5</v>
      </c>
    </row>
    <row r="57" spans="1:10" x14ac:dyDescent="0.25">
      <c r="A57" s="2" t="s">
        <v>484</v>
      </c>
      <c r="B57" s="6">
        <v>46210</v>
      </c>
      <c r="C57" s="2" t="s">
        <v>485</v>
      </c>
      <c r="D57" s="2" t="s">
        <v>59</v>
      </c>
      <c r="E57" s="2" t="s">
        <v>61</v>
      </c>
      <c r="F57" s="2" t="s">
        <v>16</v>
      </c>
      <c r="G57" s="2">
        <v>24</v>
      </c>
      <c r="H57" s="7">
        <v>893.91</v>
      </c>
      <c r="I57" s="2" t="s">
        <v>374</v>
      </c>
      <c r="J57" s="2">
        <v>4</v>
      </c>
    </row>
    <row r="58" spans="1:10" x14ac:dyDescent="0.25">
      <c r="A58" s="2" t="s">
        <v>486</v>
      </c>
      <c r="B58" s="6">
        <v>46175</v>
      </c>
      <c r="C58" s="2" t="s">
        <v>487</v>
      </c>
      <c r="D58" s="2" t="s">
        <v>54</v>
      </c>
      <c r="E58" s="2" t="s">
        <v>26</v>
      </c>
      <c r="F58" s="2" t="s">
        <v>16</v>
      </c>
      <c r="G58" s="2">
        <v>28</v>
      </c>
      <c r="H58" s="7">
        <v>1637.12</v>
      </c>
      <c r="I58" s="2" t="s">
        <v>381</v>
      </c>
      <c r="J58" s="2">
        <v>1</v>
      </c>
    </row>
    <row r="59" spans="1:10" x14ac:dyDescent="0.25">
      <c r="A59" s="2" t="s">
        <v>488</v>
      </c>
      <c r="B59" s="6">
        <v>46202</v>
      </c>
      <c r="C59" s="2" t="s">
        <v>489</v>
      </c>
      <c r="D59" s="2" t="s">
        <v>19</v>
      </c>
      <c r="E59" s="2" t="s">
        <v>123</v>
      </c>
      <c r="F59" s="2" t="s">
        <v>50</v>
      </c>
      <c r="G59" s="2">
        <v>20</v>
      </c>
      <c r="H59" s="7">
        <v>295.69</v>
      </c>
      <c r="I59" s="2" t="s">
        <v>374</v>
      </c>
      <c r="J59" s="2">
        <v>2</v>
      </c>
    </row>
    <row r="60" spans="1:10" x14ac:dyDescent="0.25">
      <c r="A60" s="2" t="s">
        <v>490</v>
      </c>
      <c r="B60" s="6">
        <v>46202</v>
      </c>
      <c r="C60" s="2" t="s">
        <v>491</v>
      </c>
      <c r="D60" s="2" t="s">
        <v>29</v>
      </c>
      <c r="E60" s="2" t="s">
        <v>65</v>
      </c>
      <c r="F60" s="2" t="s">
        <v>16</v>
      </c>
      <c r="G60" s="2">
        <v>6</v>
      </c>
      <c r="H60" s="7">
        <v>660.83</v>
      </c>
      <c r="I60" s="2" t="s">
        <v>367</v>
      </c>
      <c r="J60" s="2">
        <v>3</v>
      </c>
    </row>
    <row r="61" spans="1:10" x14ac:dyDescent="0.25">
      <c r="A61" s="2" t="s">
        <v>492</v>
      </c>
      <c r="B61" s="6">
        <v>46286</v>
      </c>
      <c r="C61" s="2" t="s">
        <v>440</v>
      </c>
      <c r="D61" s="2" t="s">
        <v>45</v>
      </c>
      <c r="E61" s="2" t="s">
        <v>36</v>
      </c>
      <c r="F61" s="2" t="s">
        <v>21</v>
      </c>
      <c r="G61" s="2">
        <v>9</v>
      </c>
      <c r="H61" s="7">
        <v>1736.75</v>
      </c>
      <c r="I61" s="2" t="s">
        <v>374</v>
      </c>
      <c r="J61" s="2">
        <v>2</v>
      </c>
    </row>
    <row r="62" spans="1:10" x14ac:dyDescent="0.25">
      <c r="A62" s="2" t="s">
        <v>493</v>
      </c>
      <c r="B62" s="6">
        <v>46187</v>
      </c>
      <c r="C62" s="2" t="s">
        <v>494</v>
      </c>
      <c r="D62" s="2" t="s">
        <v>24</v>
      </c>
      <c r="E62" s="2" t="s">
        <v>123</v>
      </c>
      <c r="F62" s="2" t="s">
        <v>50</v>
      </c>
      <c r="G62" s="2">
        <v>16</v>
      </c>
      <c r="H62" s="7">
        <v>301.5</v>
      </c>
      <c r="I62" s="2" t="s">
        <v>367</v>
      </c>
      <c r="J62" s="2">
        <v>4</v>
      </c>
    </row>
    <row r="63" spans="1:10" x14ac:dyDescent="0.25">
      <c r="A63" s="2" t="s">
        <v>495</v>
      </c>
      <c r="B63" s="6">
        <v>46061</v>
      </c>
      <c r="C63" s="2" t="s">
        <v>496</v>
      </c>
      <c r="D63" s="2" t="s">
        <v>14</v>
      </c>
      <c r="E63" s="2" t="s">
        <v>112</v>
      </c>
      <c r="F63" s="2" t="s">
        <v>56</v>
      </c>
      <c r="G63" s="2">
        <v>9</v>
      </c>
      <c r="H63" s="7">
        <v>1395.51</v>
      </c>
      <c r="I63" s="2" t="s">
        <v>367</v>
      </c>
      <c r="J63" s="2">
        <v>4</v>
      </c>
    </row>
    <row r="64" spans="1:10" x14ac:dyDescent="0.25">
      <c r="A64" s="2" t="s">
        <v>497</v>
      </c>
      <c r="B64" s="6">
        <v>46024</v>
      </c>
      <c r="C64" s="2" t="s">
        <v>419</v>
      </c>
      <c r="D64" s="2" t="s">
        <v>14</v>
      </c>
      <c r="E64" s="2" t="s">
        <v>74</v>
      </c>
      <c r="F64" s="2" t="s">
        <v>56</v>
      </c>
      <c r="G64" s="2">
        <v>22</v>
      </c>
      <c r="H64" s="7">
        <v>1400.63</v>
      </c>
      <c r="I64" s="2" t="s">
        <v>368</v>
      </c>
      <c r="J64" s="2">
        <v>5</v>
      </c>
    </row>
    <row r="65" spans="1:10" x14ac:dyDescent="0.25">
      <c r="A65" s="2" t="s">
        <v>498</v>
      </c>
      <c r="B65" s="6">
        <v>46242</v>
      </c>
      <c r="C65" s="2" t="s">
        <v>499</v>
      </c>
      <c r="D65" s="2" t="s">
        <v>54</v>
      </c>
      <c r="E65" s="2" t="s">
        <v>77</v>
      </c>
      <c r="F65" s="2" t="s">
        <v>56</v>
      </c>
      <c r="G65" s="2">
        <v>27</v>
      </c>
      <c r="H65" s="7">
        <v>581.51</v>
      </c>
      <c r="I65" s="2" t="s">
        <v>374</v>
      </c>
      <c r="J65" s="2">
        <v>5</v>
      </c>
    </row>
    <row r="66" spans="1:10" x14ac:dyDescent="0.25">
      <c r="A66" s="2" t="s">
        <v>500</v>
      </c>
      <c r="B66" s="6">
        <v>46047</v>
      </c>
      <c r="C66" s="2" t="s">
        <v>501</v>
      </c>
      <c r="D66" s="2" t="s">
        <v>59</v>
      </c>
      <c r="E66" s="2" t="s">
        <v>74</v>
      </c>
      <c r="F66" s="2" t="s">
        <v>56</v>
      </c>
      <c r="G66" s="2">
        <v>27</v>
      </c>
      <c r="H66" s="7">
        <v>929.97</v>
      </c>
      <c r="I66" s="2" t="s">
        <v>368</v>
      </c>
      <c r="J66" s="2">
        <v>2</v>
      </c>
    </row>
    <row r="67" spans="1:10" x14ac:dyDescent="0.25">
      <c r="A67" s="2" t="s">
        <v>502</v>
      </c>
      <c r="B67" s="6">
        <v>46023</v>
      </c>
      <c r="C67" s="2" t="s">
        <v>503</v>
      </c>
      <c r="D67" s="2" t="s">
        <v>19</v>
      </c>
      <c r="E67" s="2" t="s">
        <v>112</v>
      </c>
      <c r="F67" s="2" t="s">
        <v>56</v>
      </c>
      <c r="G67" s="2">
        <v>29</v>
      </c>
      <c r="H67" s="7">
        <v>1306.99</v>
      </c>
      <c r="I67" s="2" t="s">
        <v>374</v>
      </c>
      <c r="J67" s="2">
        <v>3</v>
      </c>
    </row>
    <row r="68" spans="1:10" x14ac:dyDescent="0.25">
      <c r="A68" s="2" t="s">
        <v>504</v>
      </c>
      <c r="B68" s="6">
        <v>46151</v>
      </c>
      <c r="C68" s="2" t="s">
        <v>505</v>
      </c>
      <c r="D68" s="2" t="s">
        <v>14</v>
      </c>
      <c r="E68" s="2" t="s">
        <v>61</v>
      </c>
      <c r="F68" s="2" t="s">
        <v>16</v>
      </c>
      <c r="G68" s="2">
        <v>6</v>
      </c>
      <c r="H68" s="7">
        <v>122.54</v>
      </c>
      <c r="I68" s="2" t="s">
        <v>367</v>
      </c>
      <c r="J68" s="2">
        <v>2</v>
      </c>
    </row>
    <row r="69" spans="1:10" x14ac:dyDescent="0.25">
      <c r="A69" s="2" t="s">
        <v>506</v>
      </c>
      <c r="B69" s="6">
        <v>46071</v>
      </c>
      <c r="C69" s="2" t="s">
        <v>507</v>
      </c>
      <c r="D69" s="2" t="s">
        <v>45</v>
      </c>
      <c r="E69" s="2" t="s">
        <v>55</v>
      </c>
      <c r="F69" s="2" t="s">
        <v>56</v>
      </c>
      <c r="G69" s="2">
        <v>5</v>
      </c>
      <c r="H69" s="7">
        <v>1195.49</v>
      </c>
      <c r="I69" s="2" t="s">
        <v>381</v>
      </c>
      <c r="J69" s="2">
        <v>1</v>
      </c>
    </row>
    <row r="70" spans="1:10" x14ac:dyDescent="0.25">
      <c r="A70" s="2" t="s">
        <v>508</v>
      </c>
      <c r="B70" s="6">
        <v>46084</v>
      </c>
      <c r="C70" s="2" t="s">
        <v>509</v>
      </c>
      <c r="D70" s="2" t="s">
        <v>24</v>
      </c>
      <c r="E70" s="2" t="s">
        <v>61</v>
      </c>
      <c r="F70" s="2" t="s">
        <v>16</v>
      </c>
      <c r="G70" s="2">
        <v>3</v>
      </c>
      <c r="H70" s="7">
        <v>473.31</v>
      </c>
      <c r="I70" s="2" t="s">
        <v>368</v>
      </c>
      <c r="J70" s="2">
        <v>1</v>
      </c>
    </row>
    <row r="71" spans="1:10" x14ac:dyDescent="0.25">
      <c r="A71" s="2" t="s">
        <v>510</v>
      </c>
      <c r="B71" s="6">
        <v>46211</v>
      </c>
      <c r="C71" s="2" t="s">
        <v>511</v>
      </c>
      <c r="D71" s="2" t="s">
        <v>59</v>
      </c>
      <c r="E71" s="2" t="s">
        <v>61</v>
      </c>
      <c r="F71" s="2" t="s">
        <v>16</v>
      </c>
      <c r="G71" s="2">
        <v>27</v>
      </c>
      <c r="H71" s="7">
        <v>1511.25</v>
      </c>
      <c r="I71" s="2" t="s">
        <v>374</v>
      </c>
      <c r="J71" s="2">
        <v>2</v>
      </c>
    </row>
    <row r="72" spans="1:10" x14ac:dyDescent="0.25">
      <c r="A72" s="2" t="s">
        <v>512</v>
      </c>
      <c r="B72" s="6">
        <v>46027</v>
      </c>
      <c r="C72" s="2" t="s">
        <v>513</v>
      </c>
      <c r="D72" s="2" t="s">
        <v>24</v>
      </c>
      <c r="E72" s="2" t="s">
        <v>65</v>
      </c>
      <c r="F72" s="2" t="s">
        <v>16</v>
      </c>
      <c r="G72" s="2">
        <v>12</v>
      </c>
      <c r="H72" s="7">
        <v>1450.42</v>
      </c>
      <c r="I72" s="2" t="s">
        <v>374</v>
      </c>
      <c r="J72" s="2">
        <v>4</v>
      </c>
    </row>
    <row r="73" spans="1:10" x14ac:dyDescent="0.25">
      <c r="A73" s="2" t="s">
        <v>514</v>
      </c>
      <c r="B73" s="6">
        <v>46134</v>
      </c>
      <c r="C73" s="2" t="s">
        <v>515</v>
      </c>
      <c r="D73" s="2" t="s">
        <v>59</v>
      </c>
      <c r="E73" s="2" t="s">
        <v>67</v>
      </c>
      <c r="F73" s="2" t="s">
        <v>21</v>
      </c>
      <c r="G73" s="2">
        <v>4</v>
      </c>
      <c r="H73" s="7">
        <v>1187.3599999999999</v>
      </c>
      <c r="I73" s="2" t="s">
        <v>381</v>
      </c>
      <c r="J73" s="2">
        <v>3</v>
      </c>
    </row>
    <row r="74" spans="1:10" x14ac:dyDescent="0.25">
      <c r="A74" s="2" t="s">
        <v>516</v>
      </c>
      <c r="B74" s="6">
        <v>46094</v>
      </c>
      <c r="C74" s="2" t="s">
        <v>517</v>
      </c>
      <c r="D74" s="2" t="s">
        <v>45</v>
      </c>
      <c r="E74" s="2" t="s">
        <v>74</v>
      </c>
      <c r="F74" s="2" t="s">
        <v>56</v>
      </c>
      <c r="G74" s="2">
        <v>8</v>
      </c>
      <c r="H74" s="7">
        <v>1115.73</v>
      </c>
      <c r="I74" s="2" t="s">
        <v>367</v>
      </c>
      <c r="J74" s="2">
        <v>1</v>
      </c>
    </row>
    <row r="75" spans="1:10" x14ac:dyDescent="0.25">
      <c r="A75" s="2" t="s">
        <v>518</v>
      </c>
      <c r="B75" s="6">
        <v>46288</v>
      </c>
      <c r="C75" s="2" t="s">
        <v>519</v>
      </c>
      <c r="D75" s="2" t="s">
        <v>14</v>
      </c>
      <c r="E75" s="2" t="s">
        <v>40</v>
      </c>
      <c r="F75" s="2" t="s">
        <v>31</v>
      </c>
      <c r="G75" s="2">
        <v>13</v>
      </c>
      <c r="H75" s="7">
        <v>605.16999999999996</v>
      </c>
      <c r="I75" s="2" t="s">
        <v>368</v>
      </c>
      <c r="J75" s="2">
        <v>2</v>
      </c>
    </row>
    <row r="76" spans="1:10" x14ac:dyDescent="0.25">
      <c r="A76" s="2" t="s">
        <v>520</v>
      </c>
      <c r="B76" s="6">
        <v>46080</v>
      </c>
      <c r="C76" s="2" t="s">
        <v>400</v>
      </c>
      <c r="D76" s="2" t="s">
        <v>29</v>
      </c>
      <c r="E76" s="2" t="s">
        <v>112</v>
      </c>
      <c r="F76" s="2" t="s">
        <v>56</v>
      </c>
      <c r="G76" s="2">
        <v>3</v>
      </c>
      <c r="H76" s="7">
        <v>1066.01</v>
      </c>
      <c r="I76" s="2" t="s">
        <v>368</v>
      </c>
      <c r="J76" s="2">
        <v>3</v>
      </c>
    </row>
    <row r="77" spans="1:10" x14ac:dyDescent="0.25">
      <c r="A77" s="2" t="s">
        <v>521</v>
      </c>
      <c r="B77" s="6">
        <v>46221</v>
      </c>
      <c r="C77" s="2" t="s">
        <v>522</v>
      </c>
      <c r="D77" s="2" t="s">
        <v>29</v>
      </c>
      <c r="E77" s="2" t="s">
        <v>40</v>
      </c>
      <c r="F77" s="2" t="s">
        <v>31</v>
      </c>
      <c r="G77" s="2">
        <v>22</v>
      </c>
      <c r="H77" s="7">
        <v>362.09</v>
      </c>
      <c r="I77" s="2" t="s">
        <v>381</v>
      </c>
      <c r="J77" s="2">
        <v>1</v>
      </c>
    </row>
    <row r="78" spans="1:10" x14ac:dyDescent="0.25">
      <c r="A78" s="2" t="s">
        <v>523</v>
      </c>
      <c r="B78" s="6">
        <v>46057</v>
      </c>
      <c r="C78" s="2" t="s">
        <v>524</v>
      </c>
      <c r="D78" s="2" t="s">
        <v>45</v>
      </c>
      <c r="E78" s="2" t="s">
        <v>65</v>
      </c>
      <c r="F78" s="2" t="s">
        <v>16</v>
      </c>
      <c r="G78" s="2">
        <v>30</v>
      </c>
      <c r="H78" s="7">
        <v>139.72999999999999</v>
      </c>
      <c r="I78" s="2" t="s">
        <v>381</v>
      </c>
      <c r="J78" s="2">
        <v>5</v>
      </c>
    </row>
    <row r="79" spans="1:10" x14ac:dyDescent="0.25">
      <c r="A79" s="2" t="s">
        <v>525</v>
      </c>
      <c r="B79" s="6">
        <v>46239</v>
      </c>
      <c r="C79" s="2" t="s">
        <v>526</v>
      </c>
      <c r="D79" s="2" t="s">
        <v>29</v>
      </c>
      <c r="E79" s="2" t="s">
        <v>69</v>
      </c>
      <c r="F79" s="2" t="s">
        <v>31</v>
      </c>
      <c r="G79" s="2">
        <v>18</v>
      </c>
      <c r="H79" s="7">
        <v>1239.77</v>
      </c>
      <c r="I79" s="2" t="s">
        <v>367</v>
      </c>
      <c r="J79" s="2">
        <v>1</v>
      </c>
    </row>
    <row r="80" spans="1:10" x14ac:dyDescent="0.25">
      <c r="A80" s="2" t="s">
        <v>527</v>
      </c>
      <c r="B80" s="6">
        <v>46284</v>
      </c>
      <c r="C80" s="2" t="s">
        <v>528</v>
      </c>
      <c r="D80" s="2" t="s">
        <v>29</v>
      </c>
      <c r="E80" s="2" t="s">
        <v>30</v>
      </c>
      <c r="F80" s="2" t="s">
        <v>31</v>
      </c>
      <c r="G80" s="2">
        <v>11</v>
      </c>
      <c r="H80" s="7">
        <v>793.65</v>
      </c>
      <c r="I80" s="2" t="s">
        <v>368</v>
      </c>
      <c r="J80" s="2">
        <v>3</v>
      </c>
    </row>
    <row r="81" spans="1:10" x14ac:dyDescent="0.25">
      <c r="A81" s="2" t="s">
        <v>529</v>
      </c>
      <c r="B81" s="6">
        <v>46052</v>
      </c>
      <c r="C81" s="2" t="s">
        <v>530</v>
      </c>
      <c r="D81" s="2" t="s">
        <v>45</v>
      </c>
      <c r="E81" s="2" t="s">
        <v>77</v>
      </c>
      <c r="F81" s="2" t="s">
        <v>56</v>
      </c>
      <c r="G81" s="2">
        <v>15</v>
      </c>
      <c r="H81" s="7">
        <v>1232.3499999999999</v>
      </c>
      <c r="I81" s="2" t="s">
        <v>368</v>
      </c>
      <c r="J81" s="2">
        <v>3</v>
      </c>
    </row>
    <row r="82" spans="1:10" x14ac:dyDescent="0.25">
      <c r="A82" s="2" t="s">
        <v>531</v>
      </c>
      <c r="B82" s="6">
        <v>46029</v>
      </c>
      <c r="C82" s="2" t="s">
        <v>532</v>
      </c>
      <c r="D82" s="2" t="s">
        <v>19</v>
      </c>
      <c r="E82" s="2" t="s">
        <v>96</v>
      </c>
      <c r="F82" s="2" t="s">
        <v>50</v>
      </c>
      <c r="G82" s="2">
        <v>16</v>
      </c>
      <c r="H82" s="7">
        <v>1906.97</v>
      </c>
      <c r="I82" s="2" t="s">
        <v>367</v>
      </c>
      <c r="J82" s="2">
        <v>2</v>
      </c>
    </row>
    <row r="83" spans="1:10" x14ac:dyDescent="0.25">
      <c r="A83" s="2" t="s">
        <v>533</v>
      </c>
      <c r="B83" s="6">
        <v>46160</v>
      </c>
      <c r="C83" s="2" t="s">
        <v>534</v>
      </c>
      <c r="D83" s="2" t="s">
        <v>54</v>
      </c>
      <c r="E83" s="2" t="s">
        <v>40</v>
      </c>
      <c r="F83" s="2" t="s">
        <v>31</v>
      </c>
      <c r="G83" s="2">
        <v>26</v>
      </c>
      <c r="H83" s="7">
        <v>870.06</v>
      </c>
      <c r="I83" s="2" t="s">
        <v>368</v>
      </c>
      <c r="J83" s="2">
        <v>3</v>
      </c>
    </row>
    <row r="84" spans="1:10" x14ac:dyDescent="0.25">
      <c r="A84" s="2" t="s">
        <v>535</v>
      </c>
      <c r="B84" s="6">
        <v>46277</v>
      </c>
      <c r="C84" s="2" t="s">
        <v>536</v>
      </c>
      <c r="D84" s="2" t="s">
        <v>45</v>
      </c>
      <c r="E84" s="2" t="s">
        <v>20</v>
      </c>
      <c r="F84" s="2" t="s">
        <v>21</v>
      </c>
      <c r="G84" s="2">
        <v>16</v>
      </c>
      <c r="H84" s="7">
        <v>1721.53</v>
      </c>
      <c r="I84" s="2" t="s">
        <v>374</v>
      </c>
      <c r="J84" s="2">
        <v>3</v>
      </c>
    </row>
    <row r="85" spans="1:10" x14ac:dyDescent="0.25">
      <c r="A85" s="2" t="s">
        <v>537</v>
      </c>
      <c r="B85" s="6">
        <v>46075</v>
      </c>
      <c r="C85" s="2" t="s">
        <v>458</v>
      </c>
      <c r="D85" s="2" t="s">
        <v>45</v>
      </c>
      <c r="E85" s="2" t="s">
        <v>49</v>
      </c>
      <c r="F85" s="2" t="s">
        <v>50</v>
      </c>
      <c r="G85" s="2">
        <v>8</v>
      </c>
      <c r="H85" s="7">
        <v>1486.74</v>
      </c>
      <c r="I85" s="2" t="s">
        <v>368</v>
      </c>
      <c r="J85" s="2">
        <v>1</v>
      </c>
    </row>
    <row r="86" spans="1:10" x14ac:dyDescent="0.25">
      <c r="A86" s="2" t="s">
        <v>538</v>
      </c>
      <c r="B86" s="6">
        <v>46046</v>
      </c>
      <c r="C86" s="2" t="s">
        <v>539</v>
      </c>
      <c r="D86" s="2" t="s">
        <v>19</v>
      </c>
      <c r="E86" s="2" t="s">
        <v>26</v>
      </c>
      <c r="F86" s="2" t="s">
        <v>16</v>
      </c>
      <c r="G86" s="2">
        <v>6</v>
      </c>
      <c r="H86" s="7">
        <v>1863.7</v>
      </c>
      <c r="I86" s="2" t="s">
        <v>368</v>
      </c>
      <c r="J86" s="2">
        <v>5</v>
      </c>
    </row>
    <row r="87" spans="1:10" x14ac:dyDescent="0.25">
      <c r="A87" s="2" t="s">
        <v>540</v>
      </c>
      <c r="B87" s="6">
        <v>46187</v>
      </c>
      <c r="C87" s="2" t="s">
        <v>400</v>
      </c>
      <c r="D87" s="2" t="s">
        <v>54</v>
      </c>
      <c r="E87" s="2" t="s">
        <v>77</v>
      </c>
      <c r="F87" s="2" t="s">
        <v>56</v>
      </c>
      <c r="G87" s="2">
        <v>9</v>
      </c>
      <c r="H87" s="7">
        <v>1655.47</v>
      </c>
      <c r="I87" s="2" t="s">
        <v>367</v>
      </c>
      <c r="J87" s="2">
        <v>1</v>
      </c>
    </row>
    <row r="88" spans="1:10" x14ac:dyDescent="0.25">
      <c r="A88" s="2" t="s">
        <v>541</v>
      </c>
      <c r="B88" s="6">
        <v>46114</v>
      </c>
      <c r="C88" s="2" t="s">
        <v>494</v>
      </c>
      <c r="D88" s="2" t="s">
        <v>45</v>
      </c>
      <c r="E88" s="2" t="s">
        <v>20</v>
      </c>
      <c r="F88" s="2" t="s">
        <v>21</v>
      </c>
      <c r="G88" s="2">
        <v>13</v>
      </c>
      <c r="H88" s="7">
        <v>156.47</v>
      </c>
      <c r="I88" s="2" t="s">
        <v>381</v>
      </c>
      <c r="J88" s="2">
        <v>3</v>
      </c>
    </row>
    <row r="89" spans="1:10" x14ac:dyDescent="0.25">
      <c r="A89" s="2" t="s">
        <v>542</v>
      </c>
      <c r="B89" s="6">
        <v>46067</v>
      </c>
      <c r="C89" s="2" t="s">
        <v>543</v>
      </c>
      <c r="D89" s="2" t="s">
        <v>54</v>
      </c>
      <c r="E89" s="2" t="s">
        <v>102</v>
      </c>
      <c r="F89" s="2" t="s">
        <v>31</v>
      </c>
      <c r="G89" s="2">
        <v>7</v>
      </c>
      <c r="H89" s="7">
        <v>597.36</v>
      </c>
      <c r="I89" s="2" t="s">
        <v>367</v>
      </c>
      <c r="J89" s="2">
        <v>5</v>
      </c>
    </row>
    <row r="90" spans="1:10" x14ac:dyDescent="0.25">
      <c r="A90" s="2" t="s">
        <v>544</v>
      </c>
      <c r="B90" s="6">
        <v>46211</v>
      </c>
      <c r="C90" s="2" t="s">
        <v>545</v>
      </c>
      <c r="D90" s="2" t="s">
        <v>14</v>
      </c>
      <c r="E90" s="2" t="s">
        <v>52</v>
      </c>
      <c r="F90" s="2" t="s">
        <v>50</v>
      </c>
      <c r="G90" s="2">
        <v>29</v>
      </c>
      <c r="H90" s="7">
        <v>1102.19</v>
      </c>
      <c r="I90" s="2" t="s">
        <v>374</v>
      </c>
      <c r="J90" s="2">
        <v>2</v>
      </c>
    </row>
    <row r="91" spans="1:10" x14ac:dyDescent="0.25">
      <c r="A91" s="2" t="s">
        <v>546</v>
      </c>
      <c r="B91" s="6">
        <v>46035</v>
      </c>
      <c r="C91" s="2" t="s">
        <v>390</v>
      </c>
      <c r="D91" s="2" t="s">
        <v>14</v>
      </c>
      <c r="E91" s="2" t="s">
        <v>33</v>
      </c>
      <c r="F91" s="2" t="s">
        <v>16</v>
      </c>
      <c r="G91" s="2">
        <v>27</v>
      </c>
      <c r="H91" s="7">
        <v>1393.05</v>
      </c>
      <c r="I91" s="2" t="s">
        <v>368</v>
      </c>
      <c r="J91" s="2">
        <v>3</v>
      </c>
    </row>
    <row r="92" spans="1:10" x14ac:dyDescent="0.25">
      <c r="A92" s="2" t="s">
        <v>547</v>
      </c>
      <c r="B92" s="6">
        <v>46180</v>
      </c>
      <c r="C92" s="2" t="s">
        <v>548</v>
      </c>
      <c r="D92" s="2" t="s">
        <v>19</v>
      </c>
      <c r="E92" s="2" t="s">
        <v>33</v>
      </c>
      <c r="F92" s="2" t="s">
        <v>16</v>
      </c>
      <c r="G92" s="2">
        <v>14</v>
      </c>
      <c r="H92" s="7">
        <v>994.22</v>
      </c>
      <c r="I92" s="2" t="s">
        <v>368</v>
      </c>
      <c r="J92" s="2">
        <v>2</v>
      </c>
    </row>
    <row r="93" spans="1:10" x14ac:dyDescent="0.25">
      <c r="A93" s="2" t="s">
        <v>549</v>
      </c>
      <c r="B93" s="6">
        <v>46045</v>
      </c>
      <c r="C93" s="2" t="s">
        <v>494</v>
      </c>
      <c r="D93" s="2" t="s">
        <v>24</v>
      </c>
      <c r="E93" s="2" t="s">
        <v>30</v>
      </c>
      <c r="F93" s="2" t="s">
        <v>31</v>
      </c>
      <c r="G93" s="2">
        <v>23</v>
      </c>
      <c r="H93" s="7">
        <v>1793.24</v>
      </c>
      <c r="I93" s="2" t="s">
        <v>381</v>
      </c>
      <c r="J93" s="2">
        <v>1</v>
      </c>
    </row>
    <row r="94" spans="1:10" x14ac:dyDescent="0.25">
      <c r="A94" s="2" t="s">
        <v>550</v>
      </c>
      <c r="B94" s="6">
        <v>46281</v>
      </c>
      <c r="C94" s="2" t="s">
        <v>551</v>
      </c>
      <c r="D94" s="2" t="s">
        <v>45</v>
      </c>
      <c r="E94" s="2" t="s">
        <v>20</v>
      </c>
      <c r="F94" s="2" t="s">
        <v>21</v>
      </c>
      <c r="G94" s="2">
        <v>19</v>
      </c>
      <c r="H94" s="7">
        <v>1144.29</v>
      </c>
      <c r="I94" s="2" t="s">
        <v>381</v>
      </c>
      <c r="J94" s="2">
        <v>2</v>
      </c>
    </row>
    <row r="95" spans="1:10" x14ac:dyDescent="0.25">
      <c r="A95" s="2" t="s">
        <v>552</v>
      </c>
      <c r="B95" s="6">
        <v>46156</v>
      </c>
      <c r="C95" s="2" t="s">
        <v>553</v>
      </c>
      <c r="D95" s="2" t="s">
        <v>14</v>
      </c>
      <c r="E95" s="2" t="s">
        <v>49</v>
      </c>
      <c r="F95" s="2" t="s">
        <v>50</v>
      </c>
      <c r="G95" s="2">
        <v>27</v>
      </c>
      <c r="H95" s="7">
        <v>1476</v>
      </c>
      <c r="I95" s="2" t="s">
        <v>367</v>
      </c>
      <c r="J95" s="2">
        <v>4</v>
      </c>
    </row>
    <row r="96" spans="1:10" x14ac:dyDescent="0.25">
      <c r="A96" s="2" t="s">
        <v>554</v>
      </c>
      <c r="B96" s="6">
        <v>46061</v>
      </c>
      <c r="C96" s="2" t="s">
        <v>387</v>
      </c>
      <c r="D96" s="2" t="s">
        <v>45</v>
      </c>
      <c r="E96" s="2" t="s">
        <v>40</v>
      </c>
      <c r="F96" s="2" t="s">
        <v>31</v>
      </c>
      <c r="G96" s="2">
        <v>5</v>
      </c>
      <c r="H96" s="7">
        <v>229.2</v>
      </c>
      <c r="I96" s="2" t="s">
        <v>381</v>
      </c>
      <c r="J96" s="2">
        <v>4</v>
      </c>
    </row>
    <row r="97" spans="1:10" x14ac:dyDescent="0.25">
      <c r="A97" s="2" t="s">
        <v>555</v>
      </c>
      <c r="B97" s="6">
        <v>46084</v>
      </c>
      <c r="C97" s="2" t="s">
        <v>556</v>
      </c>
      <c r="D97" s="2" t="s">
        <v>24</v>
      </c>
      <c r="E97" s="2" t="s">
        <v>69</v>
      </c>
      <c r="F97" s="2" t="s">
        <v>31</v>
      </c>
      <c r="G97" s="2">
        <v>10</v>
      </c>
      <c r="H97" s="7">
        <v>937.43</v>
      </c>
      <c r="I97" s="2" t="s">
        <v>368</v>
      </c>
      <c r="J97" s="2">
        <v>1</v>
      </c>
    </row>
    <row r="98" spans="1:10" x14ac:dyDescent="0.25">
      <c r="A98" s="2" t="s">
        <v>557</v>
      </c>
      <c r="B98" s="6">
        <v>46043</v>
      </c>
      <c r="C98" s="2" t="s">
        <v>558</v>
      </c>
      <c r="D98" s="2" t="s">
        <v>19</v>
      </c>
      <c r="E98" s="2" t="s">
        <v>49</v>
      </c>
      <c r="F98" s="2" t="s">
        <v>50</v>
      </c>
      <c r="G98" s="2">
        <v>3</v>
      </c>
      <c r="H98" s="7">
        <v>1428.09</v>
      </c>
      <c r="I98" s="2" t="s">
        <v>367</v>
      </c>
      <c r="J98" s="2">
        <v>4</v>
      </c>
    </row>
    <row r="99" spans="1:10" x14ac:dyDescent="0.25">
      <c r="A99" s="2" t="s">
        <v>559</v>
      </c>
      <c r="B99" s="6">
        <v>46176</v>
      </c>
      <c r="C99" s="2" t="s">
        <v>560</v>
      </c>
      <c r="D99" s="2" t="s">
        <v>45</v>
      </c>
      <c r="E99" s="2" t="s">
        <v>20</v>
      </c>
      <c r="F99" s="2" t="s">
        <v>21</v>
      </c>
      <c r="G99" s="2">
        <v>13</v>
      </c>
      <c r="H99" s="7">
        <v>1712.11</v>
      </c>
      <c r="I99" s="2" t="s">
        <v>374</v>
      </c>
      <c r="J99" s="2">
        <v>1</v>
      </c>
    </row>
    <row r="100" spans="1:10" x14ac:dyDescent="0.25">
      <c r="A100" s="2" t="s">
        <v>561</v>
      </c>
      <c r="B100" s="6">
        <v>46094</v>
      </c>
      <c r="C100" s="2" t="s">
        <v>456</v>
      </c>
      <c r="D100" s="2" t="s">
        <v>59</v>
      </c>
      <c r="E100" s="2" t="s">
        <v>55</v>
      </c>
      <c r="F100" s="2" t="s">
        <v>56</v>
      </c>
      <c r="G100" s="2">
        <v>25</v>
      </c>
      <c r="H100" s="7">
        <v>1965.48</v>
      </c>
      <c r="I100" s="2" t="s">
        <v>374</v>
      </c>
      <c r="J100" s="2">
        <v>2</v>
      </c>
    </row>
    <row r="101" spans="1:10" x14ac:dyDescent="0.25">
      <c r="A101" s="2" t="s">
        <v>562</v>
      </c>
      <c r="B101" s="6">
        <v>46066</v>
      </c>
      <c r="C101" s="2" t="s">
        <v>563</v>
      </c>
      <c r="D101" s="2" t="s">
        <v>59</v>
      </c>
      <c r="E101" s="2" t="s">
        <v>74</v>
      </c>
      <c r="F101" s="2" t="s">
        <v>56</v>
      </c>
      <c r="G101" s="2">
        <v>3</v>
      </c>
      <c r="H101" s="7">
        <v>63.16</v>
      </c>
      <c r="I101" s="2" t="s">
        <v>368</v>
      </c>
      <c r="J101" s="2">
        <v>2</v>
      </c>
    </row>
    <row r="102" spans="1:10" x14ac:dyDescent="0.25">
      <c r="A102" s="2" t="s">
        <v>564</v>
      </c>
      <c r="B102" s="6">
        <v>46070</v>
      </c>
      <c r="C102" s="2" t="s">
        <v>565</v>
      </c>
      <c r="D102" s="2" t="s">
        <v>24</v>
      </c>
      <c r="E102" s="2" t="s">
        <v>77</v>
      </c>
      <c r="F102" s="2" t="s">
        <v>56</v>
      </c>
      <c r="G102" s="2">
        <v>2</v>
      </c>
      <c r="H102" s="7">
        <v>352.62</v>
      </c>
      <c r="I102" s="2" t="s">
        <v>381</v>
      </c>
      <c r="J102" s="2">
        <v>4</v>
      </c>
    </row>
    <row r="103" spans="1:10" x14ac:dyDescent="0.25">
      <c r="A103" s="2" t="s">
        <v>566</v>
      </c>
      <c r="B103" s="6">
        <v>46218</v>
      </c>
      <c r="C103" s="2" t="s">
        <v>567</v>
      </c>
      <c r="D103" s="2" t="s">
        <v>19</v>
      </c>
      <c r="E103" s="2" t="s">
        <v>55</v>
      </c>
      <c r="F103" s="2" t="s">
        <v>56</v>
      </c>
      <c r="G103" s="2">
        <v>30</v>
      </c>
      <c r="H103" s="7">
        <v>390.56</v>
      </c>
      <c r="I103" s="2" t="s">
        <v>367</v>
      </c>
      <c r="J103" s="2">
        <v>4</v>
      </c>
    </row>
    <row r="104" spans="1:10" x14ac:dyDescent="0.25">
      <c r="A104" s="2" t="s">
        <v>568</v>
      </c>
      <c r="B104" s="6">
        <v>46148</v>
      </c>
      <c r="C104" s="2" t="s">
        <v>569</v>
      </c>
      <c r="D104" s="2" t="s">
        <v>29</v>
      </c>
      <c r="E104" s="2" t="s">
        <v>96</v>
      </c>
      <c r="F104" s="2" t="s">
        <v>50</v>
      </c>
      <c r="G104" s="2">
        <v>16</v>
      </c>
      <c r="H104" s="7">
        <v>140.74</v>
      </c>
      <c r="I104" s="2" t="s">
        <v>367</v>
      </c>
      <c r="J104" s="2">
        <v>4</v>
      </c>
    </row>
    <row r="105" spans="1:10" x14ac:dyDescent="0.25">
      <c r="A105" s="2" t="s">
        <v>570</v>
      </c>
      <c r="B105" s="6">
        <v>46125</v>
      </c>
      <c r="C105" s="2" t="s">
        <v>571</v>
      </c>
      <c r="D105" s="2" t="s">
        <v>59</v>
      </c>
      <c r="E105" s="2" t="s">
        <v>52</v>
      </c>
      <c r="F105" s="2" t="s">
        <v>50</v>
      </c>
      <c r="G105" s="2">
        <v>18</v>
      </c>
      <c r="H105" s="7">
        <v>1593.8</v>
      </c>
      <c r="I105" s="2" t="s">
        <v>381</v>
      </c>
      <c r="J105" s="2">
        <v>3</v>
      </c>
    </row>
    <row r="106" spans="1:10" x14ac:dyDescent="0.25">
      <c r="A106" s="2" t="s">
        <v>572</v>
      </c>
      <c r="B106" s="6">
        <v>46199</v>
      </c>
      <c r="C106" s="2" t="s">
        <v>563</v>
      </c>
      <c r="D106" s="2" t="s">
        <v>24</v>
      </c>
      <c r="E106" s="2" t="s">
        <v>112</v>
      </c>
      <c r="F106" s="2" t="s">
        <v>56</v>
      </c>
      <c r="G106" s="2">
        <v>9</v>
      </c>
      <c r="H106" s="7">
        <v>376.04</v>
      </c>
      <c r="I106" s="2" t="s">
        <v>367</v>
      </c>
      <c r="J106" s="2">
        <v>5</v>
      </c>
    </row>
    <row r="107" spans="1:10" x14ac:dyDescent="0.25">
      <c r="A107" s="2" t="s">
        <v>573</v>
      </c>
      <c r="B107" s="6">
        <v>46166</v>
      </c>
      <c r="C107" s="2" t="s">
        <v>574</v>
      </c>
      <c r="D107" s="2" t="s">
        <v>29</v>
      </c>
      <c r="E107" s="2" t="s">
        <v>96</v>
      </c>
      <c r="F107" s="2" t="s">
        <v>50</v>
      </c>
      <c r="G107" s="2">
        <v>12</v>
      </c>
      <c r="H107" s="7">
        <v>1538.35</v>
      </c>
      <c r="I107" s="2" t="s">
        <v>374</v>
      </c>
      <c r="J107" s="2">
        <v>2</v>
      </c>
    </row>
    <row r="108" spans="1:10" x14ac:dyDescent="0.25">
      <c r="A108" s="2" t="s">
        <v>575</v>
      </c>
      <c r="B108" s="6">
        <v>46146</v>
      </c>
      <c r="C108" s="2" t="s">
        <v>576</v>
      </c>
      <c r="D108" s="2" t="s">
        <v>45</v>
      </c>
      <c r="E108" s="2" t="s">
        <v>26</v>
      </c>
      <c r="F108" s="2" t="s">
        <v>16</v>
      </c>
      <c r="G108" s="2">
        <v>25</v>
      </c>
      <c r="H108" s="7">
        <v>1992.86</v>
      </c>
      <c r="I108" s="2" t="s">
        <v>374</v>
      </c>
      <c r="J108" s="2">
        <v>5</v>
      </c>
    </row>
    <row r="109" spans="1:10" x14ac:dyDescent="0.25">
      <c r="A109" s="2" t="s">
        <v>577</v>
      </c>
      <c r="B109" s="6">
        <v>46111</v>
      </c>
      <c r="C109" s="2" t="s">
        <v>578</v>
      </c>
      <c r="D109" s="2" t="s">
        <v>54</v>
      </c>
      <c r="E109" s="2" t="s">
        <v>74</v>
      </c>
      <c r="F109" s="2" t="s">
        <v>56</v>
      </c>
      <c r="G109" s="2">
        <v>26</v>
      </c>
      <c r="H109" s="7">
        <v>1481.45</v>
      </c>
      <c r="I109" s="2" t="s">
        <v>367</v>
      </c>
      <c r="J109" s="2">
        <v>5</v>
      </c>
    </row>
    <row r="110" spans="1:10" x14ac:dyDescent="0.25">
      <c r="A110" s="2" t="s">
        <v>579</v>
      </c>
      <c r="B110" s="6">
        <v>46095</v>
      </c>
      <c r="C110" s="2" t="s">
        <v>580</v>
      </c>
      <c r="D110" s="2" t="s">
        <v>29</v>
      </c>
      <c r="E110" s="2" t="s">
        <v>61</v>
      </c>
      <c r="F110" s="2" t="s">
        <v>16</v>
      </c>
      <c r="G110" s="2">
        <v>10</v>
      </c>
      <c r="H110" s="7">
        <v>367.6</v>
      </c>
      <c r="I110" s="2" t="s">
        <v>368</v>
      </c>
      <c r="J110" s="2">
        <v>1</v>
      </c>
    </row>
    <row r="111" spans="1:10" x14ac:dyDescent="0.25">
      <c r="A111" s="2" t="s">
        <v>581</v>
      </c>
      <c r="B111" s="6">
        <v>46135</v>
      </c>
      <c r="C111" s="2" t="s">
        <v>582</v>
      </c>
      <c r="D111" s="2" t="s">
        <v>45</v>
      </c>
      <c r="E111" s="2" t="s">
        <v>26</v>
      </c>
      <c r="F111" s="2" t="s">
        <v>16</v>
      </c>
      <c r="G111" s="2">
        <v>11</v>
      </c>
      <c r="H111" s="7">
        <v>1837.43</v>
      </c>
      <c r="I111" s="2" t="s">
        <v>374</v>
      </c>
      <c r="J111" s="2">
        <v>2</v>
      </c>
    </row>
    <row r="112" spans="1:10" x14ac:dyDescent="0.25">
      <c r="A112" s="2" t="s">
        <v>583</v>
      </c>
      <c r="B112" s="6">
        <v>46188</v>
      </c>
      <c r="C112" s="2" t="s">
        <v>584</v>
      </c>
      <c r="D112" s="2" t="s">
        <v>29</v>
      </c>
      <c r="E112" s="2" t="s">
        <v>40</v>
      </c>
      <c r="F112" s="2" t="s">
        <v>31</v>
      </c>
      <c r="G112" s="2">
        <v>23</v>
      </c>
      <c r="H112" s="7">
        <v>1836.1</v>
      </c>
      <c r="I112" s="2" t="s">
        <v>368</v>
      </c>
      <c r="J112" s="2">
        <v>5</v>
      </c>
    </row>
    <row r="113" spans="1:10" x14ac:dyDescent="0.25">
      <c r="A113" s="2" t="s">
        <v>585</v>
      </c>
      <c r="B113" s="6">
        <v>46214</v>
      </c>
      <c r="C113" s="2" t="s">
        <v>586</v>
      </c>
      <c r="D113" s="2" t="s">
        <v>54</v>
      </c>
      <c r="E113" s="2" t="s">
        <v>30</v>
      </c>
      <c r="F113" s="2" t="s">
        <v>31</v>
      </c>
      <c r="G113" s="2">
        <v>10</v>
      </c>
      <c r="H113" s="7">
        <v>658.75</v>
      </c>
      <c r="I113" s="2" t="s">
        <v>374</v>
      </c>
      <c r="J113" s="2">
        <v>4</v>
      </c>
    </row>
    <row r="114" spans="1:10" x14ac:dyDescent="0.25">
      <c r="A114" s="2" t="s">
        <v>587</v>
      </c>
      <c r="B114" s="6">
        <v>46112</v>
      </c>
      <c r="C114" s="2" t="s">
        <v>588</v>
      </c>
      <c r="D114" s="2" t="s">
        <v>59</v>
      </c>
      <c r="E114" s="2" t="s">
        <v>74</v>
      </c>
      <c r="F114" s="2" t="s">
        <v>56</v>
      </c>
      <c r="G114" s="2">
        <v>12</v>
      </c>
      <c r="H114" s="7">
        <v>462.01</v>
      </c>
      <c r="I114" s="2" t="s">
        <v>374</v>
      </c>
      <c r="J114" s="2">
        <v>4</v>
      </c>
    </row>
    <row r="115" spans="1:10" x14ac:dyDescent="0.25">
      <c r="A115" s="2" t="s">
        <v>589</v>
      </c>
      <c r="B115" s="6">
        <v>46088</v>
      </c>
      <c r="C115" s="2" t="s">
        <v>590</v>
      </c>
      <c r="D115" s="2" t="s">
        <v>14</v>
      </c>
      <c r="E115" s="2" t="s">
        <v>102</v>
      </c>
      <c r="F115" s="2" t="s">
        <v>31</v>
      </c>
      <c r="G115" s="2">
        <v>19</v>
      </c>
      <c r="H115" s="7">
        <v>795.37</v>
      </c>
      <c r="I115" s="2" t="s">
        <v>368</v>
      </c>
      <c r="J115" s="2">
        <v>2</v>
      </c>
    </row>
    <row r="116" spans="1:10" x14ac:dyDescent="0.25">
      <c r="A116" s="2" t="s">
        <v>591</v>
      </c>
      <c r="B116" s="6">
        <v>46136</v>
      </c>
      <c r="C116" s="2" t="s">
        <v>592</v>
      </c>
      <c r="D116" s="2" t="s">
        <v>19</v>
      </c>
      <c r="E116" s="2" t="s">
        <v>36</v>
      </c>
      <c r="F116" s="2" t="s">
        <v>21</v>
      </c>
      <c r="G116" s="2">
        <v>11</v>
      </c>
      <c r="H116" s="7">
        <v>1495.78</v>
      </c>
      <c r="I116" s="2" t="s">
        <v>374</v>
      </c>
      <c r="J116" s="2">
        <v>3</v>
      </c>
    </row>
    <row r="117" spans="1:10" x14ac:dyDescent="0.25">
      <c r="A117" s="2" t="s">
        <v>593</v>
      </c>
      <c r="B117" s="6">
        <v>46068</v>
      </c>
      <c r="C117" s="2" t="s">
        <v>594</v>
      </c>
      <c r="D117" s="2" t="s">
        <v>54</v>
      </c>
      <c r="E117" s="2" t="s">
        <v>40</v>
      </c>
      <c r="F117" s="2" t="s">
        <v>31</v>
      </c>
      <c r="G117" s="2">
        <v>7</v>
      </c>
      <c r="H117" s="7">
        <v>514.09</v>
      </c>
      <c r="I117" s="2" t="s">
        <v>368</v>
      </c>
      <c r="J117" s="2">
        <v>3</v>
      </c>
    </row>
    <row r="118" spans="1:10" x14ac:dyDescent="0.25">
      <c r="A118" s="2" t="s">
        <v>595</v>
      </c>
      <c r="B118" s="6">
        <v>46023</v>
      </c>
      <c r="C118" s="2" t="s">
        <v>487</v>
      </c>
      <c r="D118" s="2" t="s">
        <v>14</v>
      </c>
      <c r="E118" s="2" t="s">
        <v>30</v>
      </c>
      <c r="F118" s="2" t="s">
        <v>31</v>
      </c>
      <c r="G118" s="2">
        <v>14</v>
      </c>
      <c r="H118" s="7">
        <v>1938.82</v>
      </c>
      <c r="I118" s="2" t="s">
        <v>381</v>
      </c>
      <c r="J118" s="2">
        <v>4</v>
      </c>
    </row>
    <row r="119" spans="1:10" x14ac:dyDescent="0.25">
      <c r="A119" s="2" t="s">
        <v>596</v>
      </c>
      <c r="B119" s="6">
        <v>46215</v>
      </c>
      <c r="C119" s="2" t="s">
        <v>597</v>
      </c>
      <c r="D119" s="2" t="s">
        <v>59</v>
      </c>
      <c r="E119" s="2" t="s">
        <v>74</v>
      </c>
      <c r="F119" s="2" t="s">
        <v>56</v>
      </c>
      <c r="G119" s="2">
        <v>28</v>
      </c>
      <c r="H119" s="7">
        <v>1164.55</v>
      </c>
      <c r="I119" s="2" t="s">
        <v>374</v>
      </c>
      <c r="J119" s="2">
        <v>2</v>
      </c>
    </row>
    <row r="120" spans="1:10" x14ac:dyDescent="0.25">
      <c r="A120" s="2" t="s">
        <v>598</v>
      </c>
      <c r="B120" s="6">
        <v>46040</v>
      </c>
      <c r="C120" s="2" t="s">
        <v>599</v>
      </c>
      <c r="D120" s="2" t="s">
        <v>54</v>
      </c>
      <c r="E120" s="2" t="s">
        <v>55</v>
      </c>
      <c r="F120" s="2" t="s">
        <v>56</v>
      </c>
      <c r="G120" s="2">
        <v>4</v>
      </c>
      <c r="H120" s="7">
        <v>166.92</v>
      </c>
      <c r="I120" s="2" t="s">
        <v>374</v>
      </c>
      <c r="J120" s="2">
        <v>4</v>
      </c>
    </row>
    <row r="121" spans="1:10" x14ac:dyDescent="0.25">
      <c r="A121" s="2" t="s">
        <v>600</v>
      </c>
      <c r="B121" s="6">
        <v>46070</v>
      </c>
      <c r="C121" s="2" t="s">
        <v>601</v>
      </c>
      <c r="D121" s="2" t="s">
        <v>24</v>
      </c>
      <c r="E121" s="2" t="s">
        <v>96</v>
      </c>
      <c r="F121" s="2" t="s">
        <v>50</v>
      </c>
      <c r="G121" s="2">
        <v>23</v>
      </c>
      <c r="H121" s="7">
        <v>81.37</v>
      </c>
      <c r="I121" s="2" t="s">
        <v>374</v>
      </c>
      <c r="J121" s="2">
        <v>5</v>
      </c>
    </row>
    <row r="122" spans="1:10" x14ac:dyDescent="0.25">
      <c r="A122" s="2" t="s">
        <v>602</v>
      </c>
      <c r="B122" s="6">
        <v>46050</v>
      </c>
      <c r="C122" s="2" t="s">
        <v>603</v>
      </c>
      <c r="D122" s="2" t="s">
        <v>19</v>
      </c>
      <c r="E122" s="2" t="s">
        <v>77</v>
      </c>
      <c r="F122" s="2" t="s">
        <v>56</v>
      </c>
      <c r="G122" s="2">
        <v>14</v>
      </c>
      <c r="H122" s="7">
        <v>1400.45</v>
      </c>
      <c r="I122" s="2" t="s">
        <v>367</v>
      </c>
      <c r="J122" s="2">
        <v>3</v>
      </c>
    </row>
    <row r="123" spans="1:10" x14ac:dyDescent="0.25">
      <c r="A123" s="2" t="s">
        <v>604</v>
      </c>
      <c r="B123" s="6">
        <v>46072</v>
      </c>
      <c r="C123" s="2" t="s">
        <v>605</v>
      </c>
      <c r="D123" s="2" t="s">
        <v>29</v>
      </c>
      <c r="E123" s="2" t="s">
        <v>40</v>
      </c>
      <c r="F123" s="2" t="s">
        <v>31</v>
      </c>
      <c r="G123" s="2">
        <v>27</v>
      </c>
      <c r="H123" s="7">
        <v>992.08</v>
      </c>
      <c r="I123" s="2" t="s">
        <v>368</v>
      </c>
      <c r="J123" s="2">
        <v>3</v>
      </c>
    </row>
    <row r="124" spans="1:10" x14ac:dyDescent="0.25">
      <c r="A124" s="2" t="s">
        <v>606</v>
      </c>
      <c r="B124" s="6">
        <v>46067</v>
      </c>
      <c r="C124" s="2" t="s">
        <v>607</v>
      </c>
      <c r="D124" s="2" t="s">
        <v>14</v>
      </c>
      <c r="E124" s="2" t="s">
        <v>33</v>
      </c>
      <c r="F124" s="2" t="s">
        <v>16</v>
      </c>
      <c r="G124" s="2">
        <v>20</v>
      </c>
      <c r="H124" s="7">
        <v>971.05</v>
      </c>
      <c r="I124" s="2" t="s">
        <v>368</v>
      </c>
      <c r="J124" s="2">
        <v>1</v>
      </c>
    </row>
    <row r="125" spans="1:10" x14ac:dyDescent="0.25">
      <c r="A125" s="2" t="s">
        <v>608</v>
      </c>
      <c r="B125" s="6">
        <v>46172</v>
      </c>
      <c r="C125" s="2" t="s">
        <v>609</v>
      </c>
      <c r="D125" s="2" t="s">
        <v>54</v>
      </c>
      <c r="E125" s="2" t="s">
        <v>123</v>
      </c>
      <c r="F125" s="2" t="s">
        <v>50</v>
      </c>
      <c r="G125" s="2">
        <v>26</v>
      </c>
      <c r="H125" s="7">
        <v>806.99</v>
      </c>
      <c r="I125" s="2" t="s">
        <v>381</v>
      </c>
      <c r="J125" s="2">
        <v>3</v>
      </c>
    </row>
    <row r="126" spans="1:10" x14ac:dyDescent="0.25">
      <c r="A126" s="2" t="s">
        <v>610</v>
      </c>
      <c r="B126" s="6">
        <v>46221</v>
      </c>
      <c r="C126" s="2" t="s">
        <v>611</v>
      </c>
      <c r="D126" s="2" t="s">
        <v>54</v>
      </c>
      <c r="E126" s="2" t="s">
        <v>65</v>
      </c>
      <c r="F126" s="2" t="s">
        <v>16</v>
      </c>
      <c r="G126" s="2">
        <v>6</v>
      </c>
      <c r="H126" s="7">
        <v>902.64</v>
      </c>
      <c r="I126" s="2" t="s">
        <v>367</v>
      </c>
      <c r="J126" s="2">
        <v>4</v>
      </c>
    </row>
    <row r="127" spans="1:10" x14ac:dyDescent="0.25">
      <c r="A127" s="2" t="s">
        <v>612</v>
      </c>
      <c r="B127" s="6">
        <v>46138</v>
      </c>
      <c r="C127" s="2" t="s">
        <v>613</v>
      </c>
      <c r="D127" s="2" t="s">
        <v>19</v>
      </c>
      <c r="E127" s="2" t="s">
        <v>74</v>
      </c>
      <c r="F127" s="2" t="s">
        <v>56</v>
      </c>
      <c r="G127" s="2">
        <v>25</v>
      </c>
      <c r="H127" s="7">
        <v>1399.01</v>
      </c>
      <c r="I127" s="2" t="s">
        <v>368</v>
      </c>
      <c r="J127" s="2">
        <v>1</v>
      </c>
    </row>
    <row r="128" spans="1:10" x14ac:dyDescent="0.25">
      <c r="A128" s="2" t="s">
        <v>614</v>
      </c>
      <c r="B128" s="6">
        <v>46139</v>
      </c>
      <c r="C128" s="2" t="s">
        <v>615</v>
      </c>
      <c r="D128" s="2" t="s">
        <v>59</v>
      </c>
      <c r="E128" s="2" t="s">
        <v>69</v>
      </c>
      <c r="F128" s="2" t="s">
        <v>31</v>
      </c>
      <c r="G128" s="2">
        <v>17</v>
      </c>
      <c r="H128" s="7">
        <v>848.89</v>
      </c>
      <c r="I128" s="2" t="s">
        <v>381</v>
      </c>
      <c r="J128" s="2">
        <v>5</v>
      </c>
    </row>
    <row r="129" spans="1:10" x14ac:dyDescent="0.25">
      <c r="A129" s="2" t="s">
        <v>616</v>
      </c>
      <c r="B129" s="6">
        <v>46176</v>
      </c>
      <c r="C129" s="2" t="s">
        <v>496</v>
      </c>
      <c r="D129" s="2" t="s">
        <v>45</v>
      </c>
      <c r="E129" s="2" t="s">
        <v>52</v>
      </c>
      <c r="F129" s="2" t="s">
        <v>50</v>
      </c>
      <c r="G129" s="2">
        <v>17</v>
      </c>
      <c r="H129" s="7">
        <v>1151.02</v>
      </c>
      <c r="I129" s="2" t="s">
        <v>374</v>
      </c>
      <c r="J129" s="2">
        <v>1</v>
      </c>
    </row>
    <row r="130" spans="1:10" x14ac:dyDescent="0.25">
      <c r="A130" s="2" t="s">
        <v>617</v>
      </c>
      <c r="B130" s="6">
        <v>46108</v>
      </c>
      <c r="C130" s="2" t="s">
        <v>528</v>
      </c>
      <c r="D130" s="2" t="s">
        <v>19</v>
      </c>
      <c r="E130" s="2" t="s">
        <v>77</v>
      </c>
      <c r="F130" s="2" t="s">
        <v>56</v>
      </c>
      <c r="G130" s="2">
        <v>2</v>
      </c>
      <c r="H130" s="7">
        <v>858.28</v>
      </c>
      <c r="I130" s="2" t="s">
        <v>381</v>
      </c>
      <c r="J130" s="2">
        <v>2</v>
      </c>
    </row>
    <row r="131" spans="1:10" x14ac:dyDescent="0.25">
      <c r="A131" s="2" t="s">
        <v>618</v>
      </c>
      <c r="B131" s="6">
        <v>46186</v>
      </c>
      <c r="C131" s="2" t="s">
        <v>619</v>
      </c>
      <c r="D131" s="2" t="s">
        <v>29</v>
      </c>
      <c r="E131" s="2" t="s">
        <v>49</v>
      </c>
      <c r="F131" s="2" t="s">
        <v>50</v>
      </c>
      <c r="G131" s="2">
        <v>13</v>
      </c>
      <c r="H131" s="7">
        <v>1113.07</v>
      </c>
      <c r="I131" s="2" t="s">
        <v>367</v>
      </c>
      <c r="J131" s="2">
        <v>5</v>
      </c>
    </row>
    <row r="132" spans="1:10" x14ac:dyDescent="0.25">
      <c r="A132" s="2" t="s">
        <v>620</v>
      </c>
      <c r="B132" s="6">
        <v>46290</v>
      </c>
      <c r="C132" s="2" t="s">
        <v>621</v>
      </c>
      <c r="D132" s="2" t="s">
        <v>19</v>
      </c>
      <c r="E132" s="2" t="s">
        <v>55</v>
      </c>
      <c r="F132" s="2" t="s">
        <v>56</v>
      </c>
      <c r="G132" s="2">
        <v>5</v>
      </c>
      <c r="H132" s="7">
        <v>1141.8599999999999</v>
      </c>
      <c r="I132" s="2" t="s">
        <v>368</v>
      </c>
      <c r="J132" s="2">
        <v>1</v>
      </c>
    </row>
    <row r="133" spans="1:10" x14ac:dyDescent="0.25">
      <c r="A133" s="2" t="s">
        <v>622</v>
      </c>
      <c r="B133" s="6">
        <v>46169</v>
      </c>
      <c r="C133" s="2" t="s">
        <v>623</v>
      </c>
      <c r="D133" s="2" t="s">
        <v>54</v>
      </c>
      <c r="E133" s="2" t="s">
        <v>20</v>
      </c>
      <c r="F133" s="2" t="s">
        <v>21</v>
      </c>
      <c r="G133" s="2">
        <v>13</v>
      </c>
      <c r="H133" s="7">
        <v>1316.48</v>
      </c>
      <c r="I133" s="2" t="s">
        <v>381</v>
      </c>
      <c r="J133" s="2">
        <v>1</v>
      </c>
    </row>
    <row r="134" spans="1:10" x14ac:dyDescent="0.25">
      <c r="A134" s="2" t="s">
        <v>624</v>
      </c>
      <c r="B134" s="6">
        <v>46229</v>
      </c>
      <c r="C134" s="2" t="s">
        <v>625</v>
      </c>
      <c r="D134" s="2" t="s">
        <v>14</v>
      </c>
      <c r="E134" s="2" t="s">
        <v>49</v>
      </c>
      <c r="F134" s="2" t="s">
        <v>50</v>
      </c>
      <c r="G134" s="2">
        <v>23</v>
      </c>
      <c r="H134" s="7">
        <v>815.41</v>
      </c>
      <c r="I134" s="2" t="s">
        <v>381</v>
      </c>
      <c r="J134" s="2">
        <v>3</v>
      </c>
    </row>
    <row r="135" spans="1:10" x14ac:dyDescent="0.25">
      <c r="A135" s="2" t="s">
        <v>626</v>
      </c>
      <c r="B135" s="6">
        <v>46266</v>
      </c>
      <c r="C135" s="2" t="s">
        <v>627</v>
      </c>
      <c r="D135" s="2" t="s">
        <v>54</v>
      </c>
      <c r="E135" s="2" t="s">
        <v>96</v>
      </c>
      <c r="F135" s="2" t="s">
        <v>50</v>
      </c>
      <c r="G135" s="2">
        <v>27</v>
      </c>
      <c r="H135" s="7">
        <v>1591.43</v>
      </c>
      <c r="I135" s="2" t="s">
        <v>367</v>
      </c>
      <c r="J135" s="2">
        <v>3</v>
      </c>
    </row>
    <row r="136" spans="1:10" x14ac:dyDescent="0.25">
      <c r="A136" s="2" t="s">
        <v>628</v>
      </c>
      <c r="B136" s="6">
        <v>46139</v>
      </c>
      <c r="C136" s="2" t="s">
        <v>629</v>
      </c>
      <c r="D136" s="2" t="s">
        <v>24</v>
      </c>
      <c r="E136" s="2" t="s">
        <v>55</v>
      </c>
      <c r="F136" s="2" t="s">
        <v>56</v>
      </c>
      <c r="G136" s="2">
        <v>25</v>
      </c>
      <c r="H136" s="7">
        <v>1655.13</v>
      </c>
      <c r="I136" s="2" t="s">
        <v>367</v>
      </c>
      <c r="J136" s="2">
        <v>4</v>
      </c>
    </row>
    <row r="137" spans="1:10" x14ac:dyDescent="0.25">
      <c r="A137" s="2" t="s">
        <v>630</v>
      </c>
      <c r="B137" s="6">
        <v>46119</v>
      </c>
      <c r="C137" s="2" t="s">
        <v>631</v>
      </c>
      <c r="D137" s="2" t="s">
        <v>14</v>
      </c>
      <c r="E137" s="2" t="s">
        <v>20</v>
      </c>
      <c r="F137" s="2" t="s">
        <v>21</v>
      </c>
      <c r="G137" s="2">
        <v>16</v>
      </c>
      <c r="H137" s="7">
        <v>1523.8</v>
      </c>
      <c r="I137" s="2" t="s">
        <v>367</v>
      </c>
      <c r="J137" s="2">
        <v>1</v>
      </c>
    </row>
    <row r="138" spans="1:10" x14ac:dyDescent="0.25">
      <c r="A138" s="2" t="s">
        <v>632</v>
      </c>
      <c r="B138" s="6">
        <v>46056</v>
      </c>
      <c r="C138" s="2" t="s">
        <v>633</v>
      </c>
      <c r="D138" s="2" t="s">
        <v>24</v>
      </c>
      <c r="E138" s="2" t="s">
        <v>43</v>
      </c>
      <c r="F138" s="2" t="s">
        <v>21</v>
      </c>
      <c r="G138" s="2">
        <v>5</v>
      </c>
      <c r="H138" s="7">
        <v>1565.42</v>
      </c>
      <c r="I138" s="2" t="s">
        <v>368</v>
      </c>
      <c r="J138" s="2">
        <v>2</v>
      </c>
    </row>
    <row r="139" spans="1:10" x14ac:dyDescent="0.25">
      <c r="A139" s="2" t="s">
        <v>634</v>
      </c>
      <c r="B139" s="6">
        <v>46052</v>
      </c>
      <c r="C139" s="2" t="s">
        <v>530</v>
      </c>
      <c r="D139" s="2" t="s">
        <v>45</v>
      </c>
      <c r="E139" s="2" t="s">
        <v>123</v>
      </c>
      <c r="F139" s="2" t="s">
        <v>50</v>
      </c>
      <c r="G139" s="2">
        <v>30</v>
      </c>
      <c r="H139" s="7">
        <v>733.54</v>
      </c>
      <c r="I139" s="2" t="s">
        <v>374</v>
      </c>
      <c r="J139" s="2">
        <v>3</v>
      </c>
    </row>
    <row r="140" spans="1:10" x14ac:dyDescent="0.25">
      <c r="A140" s="2" t="s">
        <v>635</v>
      </c>
      <c r="B140" s="6">
        <v>46281</v>
      </c>
      <c r="C140" s="2" t="s">
        <v>636</v>
      </c>
      <c r="D140" s="2" t="s">
        <v>14</v>
      </c>
      <c r="E140" s="2" t="s">
        <v>69</v>
      </c>
      <c r="F140" s="2" t="s">
        <v>31</v>
      </c>
      <c r="G140" s="2">
        <v>1</v>
      </c>
      <c r="H140" s="7">
        <v>499.04</v>
      </c>
      <c r="I140" s="2" t="s">
        <v>381</v>
      </c>
      <c r="J140" s="2">
        <v>5</v>
      </c>
    </row>
    <row r="141" spans="1:10" x14ac:dyDescent="0.25">
      <c r="A141" s="2" t="s">
        <v>637</v>
      </c>
      <c r="B141" s="6">
        <v>46265</v>
      </c>
      <c r="C141" s="2" t="s">
        <v>563</v>
      </c>
      <c r="D141" s="2" t="s">
        <v>54</v>
      </c>
      <c r="E141" s="2" t="s">
        <v>77</v>
      </c>
      <c r="F141" s="2" t="s">
        <v>56</v>
      </c>
      <c r="G141" s="2">
        <v>6</v>
      </c>
      <c r="H141" s="7">
        <v>1678.55</v>
      </c>
      <c r="I141" s="2" t="s">
        <v>367</v>
      </c>
      <c r="J141" s="2">
        <v>1</v>
      </c>
    </row>
    <row r="142" spans="1:10" x14ac:dyDescent="0.25">
      <c r="A142" s="2" t="s">
        <v>638</v>
      </c>
      <c r="B142" s="6">
        <v>46220</v>
      </c>
      <c r="C142" s="2" t="s">
        <v>639</v>
      </c>
      <c r="D142" s="2" t="s">
        <v>59</v>
      </c>
      <c r="E142" s="2" t="s">
        <v>30</v>
      </c>
      <c r="F142" s="2" t="s">
        <v>31</v>
      </c>
      <c r="G142" s="2">
        <v>7</v>
      </c>
      <c r="H142" s="7">
        <v>1717.08</v>
      </c>
      <c r="I142" s="2" t="s">
        <v>374</v>
      </c>
      <c r="J142" s="2">
        <v>2</v>
      </c>
    </row>
    <row r="143" spans="1:10" x14ac:dyDescent="0.25">
      <c r="A143" s="2" t="s">
        <v>640</v>
      </c>
      <c r="B143" s="6">
        <v>46285</v>
      </c>
      <c r="C143" s="2" t="s">
        <v>641</v>
      </c>
      <c r="D143" s="2" t="s">
        <v>45</v>
      </c>
      <c r="E143" s="2" t="s">
        <v>69</v>
      </c>
      <c r="F143" s="2" t="s">
        <v>31</v>
      </c>
      <c r="G143" s="2">
        <v>16</v>
      </c>
      <c r="H143" s="7">
        <v>1824.8</v>
      </c>
      <c r="I143" s="2" t="s">
        <v>374</v>
      </c>
      <c r="J143" s="2">
        <v>5</v>
      </c>
    </row>
    <row r="144" spans="1:10" x14ac:dyDescent="0.25">
      <c r="A144" s="2" t="s">
        <v>642</v>
      </c>
      <c r="B144" s="6">
        <v>46152</v>
      </c>
      <c r="C144" s="2" t="s">
        <v>643</v>
      </c>
      <c r="D144" s="2" t="s">
        <v>14</v>
      </c>
      <c r="E144" s="2" t="s">
        <v>26</v>
      </c>
      <c r="F144" s="2" t="s">
        <v>16</v>
      </c>
      <c r="G144" s="2">
        <v>23</v>
      </c>
      <c r="H144" s="7">
        <v>1292.6300000000001</v>
      </c>
      <c r="I144" s="2" t="s">
        <v>381</v>
      </c>
      <c r="J144" s="2">
        <v>4</v>
      </c>
    </row>
    <row r="145" spans="1:10" x14ac:dyDescent="0.25">
      <c r="A145" s="2" t="s">
        <v>644</v>
      </c>
      <c r="B145" s="6">
        <v>46152</v>
      </c>
      <c r="C145" s="2" t="s">
        <v>499</v>
      </c>
      <c r="D145" s="2" t="s">
        <v>14</v>
      </c>
      <c r="E145" s="2" t="s">
        <v>69</v>
      </c>
      <c r="F145" s="2" t="s">
        <v>31</v>
      </c>
      <c r="G145" s="2">
        <v>17</v>
      </c>
      <c r="H145" s="7">
        <v>1652.14</v>
      </c>
      <c r="I145" s="2" t="s">
        <v>381</v>
      </c>
      <c r="J145" s="2">
        <v>5</v>
      </c>
    </row>
    <row r="146" spans="1:10" x14ac:dyDescent="0.25">
      <c r="A146" s="2" t="s">
        <v>645</v>
      </c>
      <c r="B146" s="6">
        <v>46284</v>
      </c>
      <c r="C146" s="2" t="s">
        <v>646</v>
      </c>
      <c r="D146" s="2" t="s">
        <v>29</v>
      </c>
      <c r="E146" s="2" t="s">
        <v>15</v>
      </c>
      <c r="F146" s="2" t="s">
        <v>16</v>
      </c>
      <c r="G146" s="2">
        <v>20</v>
      </c>
      <c r="H146" s="7">
        <v>579.70000000000005</v>
      </c>
      <c r="I146" s="2" t="s">
        <v>368</v>
      </c>
      <c r="J146" s="2">
        <v>4</v>
      </c>
    </row>
    <row r="147" spans="1:10" x14ac:dyDescent="0.25">
      <c r="A147" s="2" t="s">
        <v>647</v>
      </c>
      <c r="B147" s="6">
        <v>46164</v>
      </c>
      <c r="C147" s="2" t="s">
        <v>553</v>
      </c>
      <c r="D147" s="2" t="s">
        <v>54</v>
      </c>
      <c r="E147" s="2" t="s">
        <v>61</v>
      </c>
      <c r="F147" s="2" t="s">
        <v>16</v>
      </c>
      <c r="G147" s="2">
        <v>21</v>
      </c>
      <c r="H147" s="7">
        <v>1427.97</v>
      </c>
      <c r="I147" s="2" t="s">
        <v>367</v>
      </c>
      <c r="J147" s="2">
        <v>2</v>
      </c>
    </row>
    <row r="148" spans="1:10" x14ac:dyDescent="0.25">
      <c r="A148" s="2" t="s">
        <v>648</v>
      </c>
      <c r="B148" s="6">
        <v>46052</v>
      </c>
      <c r="C148" s="2" t="s">
        <v>471</v>
      </c>
      <c r="D148" s="2" t="s">
        <v>54</v>
      </c>
      <c r="E148" s="2" t="s">
        <v>123</v>
      </c>
      <c r="F148" s="2" t="s">
        <v>50</v>
      </c>
      <c r="G148" s="2">
        <v>22</v>
      </c>
      <c r="H148" s="7">
        <v>297.06</v>
      </c>
      <c r="I148" s="2" t="s">
        <v>368</v>
      </c>
      <c r="J148" s="2">
        <v>4</v>
      </c>
    </row>
    <row r="149" spans="1:10" x14ac:dyDescent="0.25">
      <c r="A149" s="2" t="s">
        <v>649</v>
      </c>
      <c r="B149" s="6">
        <v>46237</v>
      </c>
      <c r="C149" s="2" t="s">
        <v>650</v>
      </c>
      <c r="D149" s="2" t="s">
        <v>45</v>
      </c>
      <c r="E149" s="2" t="s">
        <v>102</v>
      </c>
      <c r="F149" s="2" t="s">
        <v>31</v>
      </c>
      <c r="G149" s="2">
        <v>19</v>
      </c>
      <c r="H149" s="7">
        <v>1421.98</v>
      </c>
      <c r="I149" s="2" t="s">
        <v>374</v>
      </c>
      <c r="J149" s="2">
        <v>3</v>
      </c>
    </row>
    <row r="150" spans="1:10" x14ac:dyDescent="0.25">
      <c r="A150" s="2" t="s">
        <v>651</v>
      </c>
      <c r="B150" s="6">
        <v>46206</v>
      </c>
      <c r="C150" s="2" t="s">
        <v>652</v>
      </c>
      <c r="D150" s="2" t="s">
        <v>59</v>
      </c>
      <c r="E150" s="2" t="s">
        <v>52</v>
      </c>
      <c r="F150" s="2" t="s">
        <v>50</v>
      </c>
      <c r="G150" s="2">
        <v>22</v>
      </c>
      <c r="H150" s="7">
        <v>1755.46</v>
      </c>
      <c r="I150" s="2" t="s">
        <v>374</v>
      </c>
      <c r="J150" s="2">
        <v>3</v>
      </c>
    </row>
    <row r="151" spans="1:10" x14ac:dyDescent="0.25">
      <c r="A151" s="2" t="s">
        <v>653</v>
      </c>
      <c r="B151" s="6">
        <v>46088</v>
      </c>
      <c r="C151" s="2" t="s">
        <v>654</v>
      </c>
      <c r="D151" s="2" t="s">
        <v>59</v>
      </c>
      <c r="E151" s="2" t="s">
        <v>33</v>
      </c>
      <c r="F151" s="2" t="s">
        <v>16</v>
      </c>
      <c r="G151" s="2">
        <v>30</v>
      </c>
      <c r="H151" s="7">
        <v>382.48</v>
      </c>
      <c r="I151" s="2" t="s">
        <v>367</v>
      </c>
      <c r="J151" s="2">
        <v>1</v>
      </c>
    </row>
    <row r="152" spans="1:10" x14ac:dyDescent="0.25">
      <c r="A152" s="2" t="s">
        <v>655</v>
      </c>
      <c r="B152" s="6">
        <v>46137</v>
      </c>
      <c r="C152" s="2" t="s">
        <v>569</v>
      </c>
      <c r="D152" s="2" t="s">
        <v>54</v>
      </c>
      <c r="E152" s="2" t="s">
        <v>49</v>
      </c>
      <c r="F152" s="2" t="s">
        <v>50</v>
      </c>
      <c r="G152" s="2">
        <v>9</v>
      </c>
      <c r="H152" s="7">
        <v>1179.43</v>
      </c>
      <c r="I152" s="2" t="s">
        <v>381</v>
      </c>
      <c r="J152" s="2">
        <v>1</v>
      </c>
    </row>
    <row r="153" spans="1:10" x14ac:dyDescent="0.25">
      <c r="A153" s="2" t="s">
        <v>656</v>
      </c>
      <c r="B153" s="6">
        <v>46059</v>
      </c>
      <c r="C153" s="2" t="s">
        <v>657</v>
      </c>
      <c r="D153" s="2" t="s">
        <v>45</v>
      </c>
      <c r="E153" s="2" t="s">
        <v>55</v>
      </c>
      <c r="F153" s="2" t="s">
        <v>56</v>
      </c>
      <c r="G153" s="2">
        <v>28</v>
      </c>
      <c r="H153" s="7">
        <v>1367.78</v>
      </c>
      <c r="I153" s="2" t="s">
        <v>367</v>
      </c>
      <c r="J153" s="2">
        <v>4</v>
      </c>
    </row>
    <row r="154" spans="1:10" x14ac:dyDescent="0.25">
      <c r="A154" s="2" t="s">
        <v>658</v>
      </c>
      <c r="B154" s="6">
        <v>46093</v>
      </c>
      <c r="C154" s="2" t="s">
        <v>659</v>
      </c>
      <c r="D154" s="2" t="s">
        <v>29</v>
      </c>
      <c r="E154" s="2" t="s">
        <v>26</v>
      </c>
      <c r="F154" s="2" t="s">
        <v>16</v>
      </c>
      <c r="G154" s="2">
        <v>29</v>
      </c>
      <c r="H154" s="7">
        <v>1815.11</v>
      </c>
      <c r="I154" s="2" t="s">
        <v>381</v>
      </c>
      <c r="J154" s="2">
        <v>2</v>
      </c>
    </row>
    <row r="155" spans="1:10" x14ac:dyDescent="0.25">
      <c r="A155" s="2" t="s">
        <v>660</v>
      </c>
      <c r="B155" s="6">
        <v>46064</v>
      </c>
      <c r="C155" s="2" t="s">
        <v>661</v>
      </c>
      <c r="D155" s="2" t="s">
        <v>19</v>
      </c>
      <c r="E155" s="2" t="s">
        <v>40</v>
      </c>
      <c r="F155" s="2" t="s">
        <v>31</v>
      </c>
      <c r="G155" s="2">
        <v>11</v>
      </c>
      <c r="H155" s="7">
        <v>1276.31</v>
      </c>
      <c r="I155" s="2" t="s">
        <v>368</v>
      </c>
      <c r="J155" s="2">
        <v>4</v>
      </c>
    </row>
    <row r="156" spans="1:10" x14ac:dyDescent="0.25">
      <c r="A156" s="2" t="s">
        <v>662</v>
      </c>
      <c r="B156" s="6">
        <v>46109</v>
      </c>
      <c r="C156" s="2" t="s">
        <v>663</v>
      </c>
      <c r="D156" s="2" t="s">
        <v>24</v>
      </c>
      <c r="E156" s="2" t="s">
        <v>40</v>
      </c>
      <c r="F156" s="2" t="s">
        <v>31</v>
      </c>
      <c r="G156" s="2">
        <v>26</v>
      </c>
      <c r="H156" s="7">
        <v>1531.87</v>
      </c>
      <c r="I156" s="2" t="s">
        <v>368</v>
      </c>
      <c r="J156" s="2">
        <v>2</v>
      </c>
    </row>
    <row r="157" spans="1:10" x14ac:dyDescent="0.25">
      <c r="A157" s="2" t="s">
        <v>664</v>
      </c>
      <c r="B157" s="6">
        <v>46242</v>
      </c>
      <c r="C157" s="2" t="s">
        <v>415</v>
      </c>
      <c r="D157" s="2" t="s">
        <v>24</v>
      </c>
      <c r="E157" s="2" t="s">
        <v>67</v>
      </c>
      <c r="F157" s="2" t="s">
        <v>21</v>
      </c>
      <c r="G157" s="2">
        <v>1</v>
      </c>
      <c r="H157" s="7">
        <v>94.7</v>
      </c>
      <c r="I157" s="2" t="s">
        <v>374</v>
      </c>
      <c r="J157" s="2">
        <v>3</v>
      </c>
    </row>
    <row r="158" spans="1:10" x14ac:dyDescent="0.25">
      <c r="A158" s="2" t="s">
        <v>665</v>
      </c>
      <c r="B158" s="6">
        <v>46120</v>
      </c>
      <c r="C158" s="2" t="s">
        <v>666</v>
      </c>
      <c r="D158" s="2" t="s">
        <v>14</v>
      </c>
      <c r="E158" s="2" t="s">
        <v>61</v>
      </c>
      <c r="F158" s="2" t="s">
        <v>16</v>
      </c>
      <c r="G158" s="2">
        <v>24</v>
      </c>
      <c r="H158" s="7">
        <v>512.66999999999996</v>
      </c>
      <c r="I158" s="2" t="s">
        <v>367</v>
      </c>
      <c r="J158" s="2">
        <v>3</v>
      </c>
    </row>
    <row r="159" spans="1:10" x14ac:dyDescent="0.25">
      <c r="A159" s="2" t="s">
        <v>667</v>
      </c>
      <c r="B159" s="6">
        <v>46219</v>
      </c>
      <c r="C159" s="2" t="s">
        <v>668</v>
      </c>
      <c r="D159" s="2" t="s">
        <v>19</v>
      </c>
      <c r="E159" s="2" t="s">
        <v>96</v>
      </c>
      <c r="F159" s="2" t="s">
        <v>50</v>
      </c>
      <c r="G159" s="2">
        <v>3</v>
      </c>
      <c r="H159" s="7">
        <v>1651.21</v>
      </c>
      <c r="I159" s="2" t="s">
        <v>367</v>
      </c>
      <c r="J159" s="2">
        <v>3</v>
      </c>
    </row>
    <row r="160" spans="1:10" x14ac:dyDescent="0.25">
      <c r="A160" s="2" t="s">
        <v>669</v>
      </c>
      <c r="B160" s="6">
        <v>46245</v>
      </c>
      <c r="C160" s="2" t="s">
        <v>670</v>
      </c>
      <c r="D160" s="2" t="s">
        <v>54</v>
      </c>
      <c r="E160" s="2" t="s">
        <v>74</v>
      </c>
      <c r="F160" s="2" t="s">
        <v>56</v>
      </c>
      <c r="G160" s="2">
        <v>25</v>
      </c>
      <c r="H160" s="7">
        <v>393.08</v>
      </c>
      <c r="I160" s="2" t="s">
        <v>381</v>
      </c>
      <c r="J160" s="2">
        <v>1</v>
      </c>
    </row>
    <row r="161" spans="1:10" x14ac:dyDescent="0.25">
      <c r="A161" s="2" t="s">
        <v>671</v>
      </c>
      <c r="B161" s="6">
        <v>46090</v>
      </c>
      <c r="C161" s="2" t="s">
        <v>672</v>
      </c>
      <c r="D161" s="2" t="s">
        <v>29</v>
      </c>
      <c r="E161" s="2" t="s">
        <v>123</v>
      </c>
      <c r="F161" s="2" t="s">
        <v>50</v>
      </c>
      <c r="G161" s="2">
        <v>17</v>
      </c>
      <c r="H161" s="7">
        <v>354.59</v>
      </c>
      <c r="I161" s="2" t="s">
        <v>367</v>
      </c>
      <c r="J161" s="2">
        <v>1</v>
      </c>
    </row>
    <row r="162" spans="1:10" x14ac:dyDescent="0.25">
      <c r="A162" s="2" t="s">
        <v>673</v>
      </c>
      <c r="B162" s="6">
        <v>46047</v>
      </c>
      <c r="C162" s="2" t="s">
        <v>674</v>
      </c>
      <c r="D162" s="2" t="s">
        <v>45</v>
      </c>
      <c r="E162" s="2" t="s">
        <v>74</v>
      </c>
      <c r="F162" s="2" t="s">
        <v>56</v>
      </c>
      <c r="G162" s="2">
        <v>21</v>
      </c>
      <c r="H162" s="7">
        <v>1675.52</v>
      </c>
      <c r="I162" s="2" t="s">
        <v>368</v>
      </c>
      <c r="J162" s="2">
        <v>1</v>
      </c>
    </row>
    <row r="163" spans="1:10" x14ac:dyDescent="0.25">
      <c r="A163" s="2" t="s">
        <v>675</v>
      </c>
      <c r="B163" s="6">
        <v>46217</v>
      </c>
      <c r="C163" s="2" t="s">
        <v>676</v>
      </c>
      <c r="D163" s="2" t="s">
        <v>24</v>
      </c>
      <c r="E163" s="2" t="s">
        <v>112</v>
      </c>
      <c r="F163" s="2" t="s">
        <v>56</v>
      </c>
      <c r="G163" s="2">
        <v>23</v>
      </c>
      <c r="H163" s="7">
        <v>323.19</v>
      </c>
      <c r="I163" s="2" t="s">
        <v>368</v>
      </c>
      <c r="J163" s="2">
        <v>3</v>
      </c>
    </row>
    <row r="164" spans="1:10" x14ac:dyDescent="0.25">
      <c r="A164" s="2" t="s">
        <v>677</v>
      </c>
      <c r="B164" s="6">
        <v>46289</v>
      </c>
      <c r="C164" s="2" t="s">
        <v>576</v>
      </c>
      <c r="D164" s="2" t="s">
        <v>14</v>
      </c>
      <c r="E164" s="2" t="s">
        <v>55</v>
      </c>
      <c r="F164" s="2" t="s">
        <v>56</v>
      </c>
      <c r="G164" s="2">
        <v>5</v>
      </c>
      <c r="H164" s="7">
        <v>849.27</v>
      </c>
      <c r="I164" s="2" t="s">
        <v>368</v>
      </c>
      <c r="J164" s="2">
        <v>5</v>
      </c>
    </row>
    <row r="165" spans="1:10" x14ac:dyDescent="0.25">
      <c r="A165" s="2" t="s">
        <v>678</v>
      </c>
      <c r="B165" s="6">
        <v>46167</v>
      </c>
      <c r="C165" s="2" t="s">
        <v>534</v>
      </c>
      <c r="D165" s="2" t="s">
        <v>24</v>
      </c>
      <c r="E165" s="2" t="s">
        <v>20</v>
      </c>
      <c r="F165" s="2" t="s">
        <v>21</v>
      </c>
      <c r="G165" s="2">
        <v>7</v>
      </c>
      <c r="H165" s="7">
        <v>1225.82</v>
      </c>
      <c r="I165" s="2" t="s">
        <v>367</v>
      </c>
      <c r="J165" s="2">
        <v>5</v>
      </c>
    </row>
    <row r="166" spans="1:10" x14ac:dyDescent="0.25">
      <c r="A166" s="2" t="s">
        <v>679</v>
      </c>
      <c r="B166" s="6">
        <v>46232</v>
      </c>
      <c r="C166" s="2" t="s">
        <v>680</v>
      </c>
      <c r="D166" s="2" t="s">
        <v>29</v>
      </c>
      <c r="E166" s="2" t="s">
        <v>49</v>
      </c>
      <c r="F166" s="2" t="s">
        <v>50</v>
      </c>
      <c r="G166" s="2">
        <v>16</v>
      </c>
      <c r="H166" s="7">
        <v>1822.51</v>
      </c>
      <c r="I166" s="2" t="s">
        <v>381</v>
      </c>
      <c r="J166" s="2">
        <v>3</v>
      </c>
    </row>
    <row r="167" spans="1:10" x14ac:dyDescent="0.25">
      <c r="A167" s="2" t="s">
        <v>681</v>
      </c>
      <c r="B167" s="6">
        <v>46029</v>
      </c>
      <c r="C167" s="2" t="s">
        <v>682</v>
      </c>
      <c r="D167" s="2" t="s">
        <v>14</v>
      </c>
      <c r="E167" s="2" t="s">
        <v>96</v>
      </c>
      <c r="F167" s="2" t="s">
        <v>50</v>
      </c>
      <c r="G167" s="2">
        <v>16</v>
      </c>
      <c r="H167" s="7">
        <v>315.31</v>
      </c>
      <c r="I167" s="2" t="s">
        <v>368</v>
      </c>
      <c r="J167" s="2">
        <v>5</v>
      </c>
    </row>
    <row r="168" spans="1:10" x14ac:dyDescent="0.25">
      <c r="A168" s="2" t="s">
        <v>683</v>
      </c>
      <c r="B168" s="6">
        <v>46154</v>
      </c>
      <c r="C168" s="2" t="s">
        <v>684</v>
      </c>
      <c r="D168" s="2" t="s">
        <v>54</v>
      </c>
      <c r="E168" s="2" t="s">
        <v>15</v>
      </c>
      <c r="F168" s="2" t="s">
        <v>16</v>
      </c>
      <c r="G168" s="2">
        <v>15</v>
      </c>
      <c r="H168" s="7">
        <v>119.16</v>
      </c>
      <c r="I168" s="2" t="s">
        <v>374</v>
      </c>
      <c r="J168" s="2">
        <v>1</v>
      </c>
    </row>
    <row r="169" spans="1:10" x14ac:dyDescent="0.25">
      <c r="A169" s="2" t="s">
        <v>685</v>
      </c>
      <c r="B169" s="6">
        <v>46183</v>
      </c>
      <c r="C169" s="2" t="s">
        <v>509</v>
      </c>
      <c r="D169" s="2" t="s">
        <v>45</v>
      </c>
      <c r="E169" s="2" t="s">
        <v>102</v>
      </c>
      <c r="F169" s="2" t="s">
        <v>31</v>
      </c>
      <c r="G169" s="2">
        <v>28</v>
      </c>
      <c r="H169" s="7">
        <v>1521.24</v>
      </c>
      <c r="I169" s="2" t="s">
        <v>368</v>
      </c>
      <c r="J169" s="2">
        <v>1</v>
      </c>
    </row>
    <row r="170" spans="1:10" x14ac:dyDescent="0.25">
      <c r="A170" s="2" t="s">
        <v>686</v>
      </c>
      <c r="B170" s="6">
        <v>46191</v>
      </c>
      <c r="C170" s="2" t="s">
        <v>687</v>
      </c>
      <c r="D170" s="2" t="s">
        <v>54</v>
      </c>
      <c r="E170" s="2" t="s">
        <v>123</v>
      </c>
      <c r="F170" s="2" t="s">
        <v>50</v>
      </c>
      <c r="G170" s="2">
        <v>29</v>
      </c>
      <c r="H170" s="7">
        <v>1471.47</v>
      </c>
      <c r="I170" s="2" t="s">
        <v>367</v>
      </c>
      <c r="J170" s="2">
        <v>3</v>
      </c>
    </row>
    <row r="171" spans="1:10" x14ac:dyDescent="0.25">
      <c r="A171" s="2" t="s">
        <v>688</v>
      </c>
      <c r="B171" s="6">
        <v>46228</v>
      </c>
      <c r="C171" s="2" t="s">
        <v>415</v>
      </c>
      <c r="D171" s="2" t="s">
        <v>59</v>
      </c>
      <c r="E171" s="2" t="s">
        <v>96</v>
      </c>
      <c r="F171" s="2" t="s">
        <v>50</v>
      </c>
      <c r="G171" s="2">
        <v>13</v>
      </c>
      <c r="H171" s="7">
        <v>1386.01</v>
      </c>
      <c r="I171" s="2" t="s">
        <v>381</v>
      </c>
      <c r="J171" s="2">
        <v>4</v>
      </c>
    </row>
    <row r="172" spans="1:10" x14ac:dyDescent="0.25">
      <c r="A172" s="2" t="s">
        <v>689</v>
      </c>
      <c r="B172" s="6">
        <v>46090</v>
      </c>
      <c r="C172" s="2" t="s">
        <v>405</v>
      </c>
      <c r="D172" s="2" t="s">
        <v>45</v>
      </c>
      <c r="E172" s="2" t="s">
        <v>96</v>
      </c>
      <c r="F172" s="2" t="s">
        <v>50</v>
      </c>
      <c r="G172" s="2">
        <v>14</v>
      </c>
      <c r="H172" s="7">
        <v>1824.23</v>
      </c>
      <c r="I172" s="2" t="s">
        <v>381</v>
      </c>
      <c r="J172" s="2">
        <v>5</v>
      </c>
    </row>
    <row r="173" spans="1:10" x14ac:dyDescent="0.25">
      <c r="A173" s="2" t="s">
        <v>690</v>
      </c>
      <c r="B173" s="6">
        <v>46217</v>
      </c>
      <c r="C173" s="2" t="s">
        <v>691</v>
      </c>
      <c r="D173" s="2" t="s">
        <v>59</v>
      </c>
      <c r="E173" s="2" t="s">
        <v>77</v>
      </c>
      <c r="F173" s="2" t="s">
        <v>56</v>
      </c>
      <c r="G173" s="2">
        <v>22</v>
      </c>
      <c r="H173" s="7">
        <v>1762.3</v>
      </c>
      <c r="I173" s="2" t="s">
        <v>374</v>
      </c>
      <c r="J173" s="2">
        <v>4</v>
      </c>
    </row>
    <row r="174" spans="1:10" x14ac:dyDescent="0.25">
      <c r="A174" s="2" t="s">
        <v>692</v>
      </c>
      <c r="B174" s="6">
        <v>46233</v>
      </c>
      <c r="C174" s="2" t="s">
        <v>693</v>
      </c>
      <c r="D174" s="2" t="s">
        <v>54</v>
      </c>
      <c r="E174" s="2" t="s">
        <v>55</v>
      </c>
      <c r="F174" s="2" t="s">
        <v>56</v>
      </c>
      <c r="G174" s="2">
        <v>21</v>
      </c>
      <c r="H174" s="7">
        <v>642.19000000000005</v>
      </c>
      <c r="I174" s="2" t="s">
        <v>374</v>
      </c>
      <c r="J174" s="2">
        <v>3</v>
      </c>
    </row>
    <row r="175" spans="1:10" x14ac:dyDescent="0.25">
      <c r="A175" s="2" t="s">
        <v>694</v>
      </c>
      <c r="B175" s="6">
        <v>46244</v>
      </c>
      <c r="C175" s="2" t="s">
        <v>684</v>
      </c>
      <c r="D175" s="2" t="s">
        <v>14</v>
      </c>
      <c r="E175" s="2" t="s">
        <v>20</v>
      </c>
      <c r="F175" s="2" t="s">
        <v>21</v>
      </c>
      <c r="G175" s="2">
        <v>22</v>
      </c>
      <c r="H175" s="7">
        <v>1289.98</v>
      </c>
      <c r="I175" s="2" t="s">
        <v>374</v>
      </c>
      <c r="J175" s="2">
        <v>5</v>
      </c>
    </row>
    <row r="176" spans="1:10" x14ac:dyDescent="0.25">
      <c r="A176" s="2" t="s">
        <v>695</v>
      </c>
      <c r="B176" s="6">
        <v>46028</v>
      </c>
      <c r="C176" s="2" t="s">
        <v>696</v>
      </c>
      <c r="D176" s="2" t="s">
        <v>59</v>
      </c>
      <c r="E176" s="2" t="s">
        <v>20</v>
      </c>
      <c r="F176" s="2" t="s">
        <v>21</v>
      </c>
      <c r="G176" s="2">
        <v>16</v>
      </c>
      <c r="H176" s="7">
        <v>1741.44</v>
      </c>
      <c r="I176" s="2" t="s">
        <v>368</v>
      </c>
      <c r="J176" s="2">
        <v>4</v>
      </c>
    </row>
    <row r="177" spans="1:10" x14ac:dyDescent="0.25">
      <c r="A177" s="2" t="s">
        <v>697</v>
      </c>
      <c r="B177" s="6">
        <v>46192</v>
      </c>
      <c r="C177" s="2" t="s">
        <v>698</v>
      </c>
      <c r="D177" s="2" t="s">
        <v>19</v>
      </c>
      <c r="E177" s="2" t="s">
        <v>40</v>
      </c>
      <c r="F177" s="2" t="s">
        <v>31</v>
      </c>
      <c r="G177" s="2">
        <v>18</v>
      </c>
      <c r="H177" s="7">
        <v>1293.77</v>
      </c>
      <c r="I177" s="2" t="s">
        <v>381</v>
      </c>
      <c r="J177" s="2">
        <v>2</v>
      </c>
    </row>
    <row r="178" spans="1:10" x14ac:dyDescent="0.25">
      <c r="A178" s="2" t="s">
        <v>699</v>
      </c>
      <c r="B178" s="6">
        <v>46250</v>
      </c>
      <c r="C178" s="2" t="s">
        <v>545</v>
      </c>
      <c r="D178" s="2" t="s">
        <v>59</v>
      </c>
      <c r="E178" s="2" t="s">
        <v>33</v>
      </c>
      <c r="F178" s="2" t="s">
        <v>16</v>
      </c>
      <c r="G178" s="2">
        <v>16</v>
      </c>
      <c r="H178" s="7">
        <v>905.19</v>
      </c>
      <c r="I178" s="2" t="s">
        <v>368</v>
      </c>
      <c r="J178" s="2">
        <v>4</v>
      </c>
    </row>
    <row r="179" spans="1:10" x14ac:dyDescent="0.25">
      <c r="A179" s="2" t="s">
        <v>700</v>
      </c>
      <c r="B179" s="6">
        <v>46229</v>
      </c>
      <c r="C179" s="2" t="s">
        <v>701</v>
      </c>
      <c r="D179" s="2" t="s">
        <v>29</v>
      </c>
      <c r="E179" s="2" t="s">
        <v>15</v>
      </c>
      <c r="F179" s="2" t="s">
        <v>16</v>
      </c>
      <c r="G179" s="2">
        <v>1</v>
      </c>
      <c r="H179" s="7">
        <v>1655.3</v>
      </c>
      <c r="I179" s="2" t="s">
        <v>367</v>
      </c>
      <c r="J179" s="2">
        <v>5</v>
      </c>
    </row>
    <row r="180" spans="1:10" x14ac:dyDescent="0.25">
      <c r="A180" s="2" t="s">
        <v>702</v>
      </c>
      <c r="B180" s="6">
        <v>46256</v>
      </c>
      <c r="C180" s="2" t="s">
        <v>703</v>
      </c>
      <c r="D180" s="2" t="s">
        <v>59</v>
      </c>
      <c r="E180" s="2" t="s">
        <v>43</v>
      </c>
      <c r="F180" s="2" t="s">
        <v>21</v>
      </c>
      <c r="G180" s="2">
        <v>8</v>
      </c>
      <c r="H180" s="7">
        <v>1691.75</v>
      </c>
      <c r="I180" s="2" t="s">
        <v>367</v>
      </c>
      <c r="J180" s="2">
        <v>5</v>
      </c>
    </row>
    <row r="181" spans="1:10" x14ac:dyDescent="0.25">
      <c r="A181" s="2" t="s">
        <v>704</v>
      </c>
      <c r="B181" s="6">
        <v>46209</v>
      </c>
      <c r="C181" s="2" t="s">
        <v>693</v>
      </c>
      <c r="D181" s="2" t="s">
        <v>59</v>
      </c>
      <c r="E181" s="2" t="s">
        <v>67</v>
      </c>
      <c r="F181" s="2" t="s">
        <v>21</v>
      </c>
      <c r="G181" s="2">
        <v>22</v>
      </c>
      <c r="H181" s="7">
        <v>459.06</v>
      </c>
      <c r="I181" s="2" t="s">
        <v>367</v>
      </c>
      <c r="J181" s="2">
        <v>3</v>
      </c>
    </row>
    <row r="182" spans="1:10" x14ac:dyDescent="0.25">
      <c r="A182" s="2" t="s">
        <v>705</v>
      </c>
      <c r="B182" s="6">
        <v>46077</v>
      </c>
      <c r="C182" s="2" t="s">
        <v>706</v>
      </c>
      <c r="D182" s="2" t="s">
        <v>19</v>
      </c>
      <c r="E182" s="2" t="s">
        <v>102</v>
      </c>
      <c r="F182" s="2" t="s">
        <v>31</v>
      </c>
      <c r="G182" s="2">
        <v>27</v>
      </c>
      <c r="H182" s="7">
        <v>1439.38</v>
      </c>
      <c r="I182" s="2" t="s">
        <v>381</v>
      </c>
      <c r="J182" s="2">
        <v>1</v>
      </c>
    </row>
    <row r="183" spans="1:10" x14ac:dyDescent="0.25">
      <c r="A183" s="2" t="s">
        <v>707</v>
      </c>
      <c r="B183" s="6">
        <v>46119</v>
      </c>
      <c r="C183" s="2" t="s">
        <v>597</v>
      </c>
      <c r="D183" s="2" t="s">
        <v>19</v>
      </c>
      <c r="E183" s="2" t="s">
        <v>40</v>
      </c>
      <c r="F183" s="2" t="s">
        <v>31</v>
      </c>
      <c r="G183" s="2">
        <v>15</v>
      </c>
      <c r="H183" s="7">
        <v>1652.62</v>
      </c>
      <c r="I183" s="2" t="s">
        <v>374</v>
      </c>
      <c r="J183" s="2">
        <v>3</v>
      </c>
    </row>
    <row r="184" spans="1:10" x14ac:dyDescent="0.25">
      <c r="A184" s="2" t="s">
        <v>708</v>
      </c>
      <c r="B184" s="6">
        <v>46046</v>
      </c>
      <c r="C184" s="2" t="s">
        <v>592</v>
      </c>
      <c r="D184" s="2" t="s">
        <v>24</v>
      </c>
      <c r="E184" s="2" t="s">
        <v>33</v>
      </c>
      <c r="F184" s="2" t="s">
        <v>16</v>
      </c>
      <c r="G184" s="2">
        <v>22</v>
      </c>
      <c r="H184" s="7">
        <v>1186.8499999999999</v>
      </c>
      <c r="I184" s="2" t="s">
        <v>374</v>
      </c>
      <c r="J184" s="2">
        <v>4</v>
      </c>
    </row>
    <row r="185" spans="1:10" x14ac:dyDescent="0.25">
      <c r="A185" s="2" t="s">
        <v>709</v>
      </c>
      <c r="B185" s="6">
        <v>46047</v>
      </c>
      <c r="C185" s="2" t="s">
        <v>710</v>
      </c>
      <c r="D185" s="2" t="s">
        <v>24</v>
      </c>
      <c r="E185" s="2" t="s">
        <v>65</v>
      </c>
      <c r="F185" s="2" t="s">
        <v>16</v>
      </c>
      <c r="G185" s="2">
        <v>30</v>
      </c>
      <c r="H185" s="7">
        <v>1026.5</v>
      </c>
      <c r="I185" s="2" t="s">
        <v>374</v>
      </c>
      <c r="J185" s="2">
        <v>5</v>
      </c>
    </row>
    <row r="186" spans="1:10" x14ac:dyDescent="0.25">
      <c r="A186" s="2" t="s">
        <v>711</v>
      </c>
      <c r="B186" s="6">
        <v>46076</v>
      </c>
      <c r="C186" s="2" t="s">
        <v>428</v>
      </c>
      <c r="D186" s="2" t="s">
        <v>29</v>
      </c>
      <c r="E186" s="2" t="s">
        <v>123</v>
      </c>
      <c r="F186" s="2" t="s">
        <v>50</v>
      </c>
      <c r="G186" s="2">
        <v>29</v>
      </c>
      <c r="H186" s="7">
        <v>657.25</v>
      </c>
      <c r="I186" s="2" t="s">
        <v>381</v>
      </c>
      <c r="J186" s="2">
        <v>4</v>
      </c>
    </row>
    <row r="187" spans="1:10" x14ac:dyDescent="0.25">
      <c r="A187" s="2" t="s">
        <v>712</v>
      </c>
      <c r="B187" s="6">
        <v>46163</v>
      </c>
      <c r="C187" s="2" t="s">
        <v>713</v>
      </c>
      <c r="D187" s="2" t="s">
        <v>24</v>
      </c>
      <c r="E187" s="2" t="s">
        <v>43</v>
      </c>
      <c r="F187" s="2" t="s">
        <v>21</v>
      </c>
      <c r="G187" s="2">
        <v>26</v>
      </c>
      <c r="H187" s="7">
        <v>284.08</v>
      </c>
      <c r="I187" s="2" t="s">
        <v>381</v>
      </c>
      <c r="J187" s="2">
        <v>5</v>
      </c>
    </row>
    <row r="188" spans="1:10" x14ac:dyDescent="0.25">
      <c r="A188" s="2" t="s">
        <v>714</v>
      </c>
      <c r="B188" s="6">
        <v>46183</v>
      </c>
      <c r="C188" s="2" t="s">
        <v>715</v>
      </c>
      <c r="D188" s="2" t="s">
        <v>19</v>
      </c>
      <c r="E188" s="2" t="s">
        <v>36</v>
      </c>
      <c r="F188" s="2" t="s">
        <v>21</v>
      </c>
      <c r="G188" s="2">
        <v>7</v>
      </c>
      <c r="H188" s="7">
        <v>1255.8499999999999</v>
      </c>
      <c r="I188" s="2" t="s">
        <v>367</v>
      </c>
      <c r="J188" s="2">
        <v>3</v>
      </c>
    </row>
    <row r="189" spans="1:10" x14ac:dyDescent="0.25">
      <c r="A189" s="2" t="s">
        <v>716</v>
      </c>
      <c r="B189" s="6">
        <v>46280</v>
      </c>
      <c r="C189" s="2" t="s">
        <v>588</v>
      </c>
      <c r="D189" s="2" t="s">
        <v>54</v>
      </c>
      <c r="E189" s="2" t="s">
        <v>123</v>
      </c>
      <c r="F189" s="2" t="s">
        <v>50</v>
      </c>
      <c r="G189" s="2">
        <v>23</v>
      </c>
      <c r="H189" s="7">
        <v>248.5</v>
      </c>
      <c r="I189" s="2" t="s">
        <v>367</v>
      </c>
      <c r="J189" s="2">
        <v>5</v>
      </c>
    </row>
    <row r="190" spans="1:10" x14ac:dyDescent="0.25">
      <c r="A190" s="2" t="s">
        <v>717</v>
      </c>
      <c r="B190" s="6">
        <v>46169</v>
      </c>
      <c r="C190" s="2" t="s">
        <v>718</v>
      </c>
      <c r="D190" s="2" t="s">
        <v>29</v>
      </c>
      <c r="E190" s="2" t="s">
        <v>112</v>
      </c>
      <c r="F190" s="2" t="s">
        <v>56</v>
      </c>
      <c r="G190" s="2">
        <v>4</v>
      </c>
      <c r="H190" s="7">
        <v>70.040000000000006</v>
      </c>
      <c r="I190" s="2" t="s">
        <v>374</v>
      </c>
      <c r="J190" s="2">
        <v>1</v>
      </c>
    </row>
    <row r="191" spans="1:10" x14ac:dyDescent="0.25">
      <c r="A191" s="2" t="s">
        <v>719</v>
      </c>
      <c r="B191" s="6">
        <v>46159</v>
      </c>
      <c r="C191" s="2" t="s">
        <v>720</v>
      </c>
      <c r="D191" s="2" t="s">
        <v>54</v>
      </c>
      <c r="E191" s="2" t="s">
        <v>26</v>
      </c>
      <c r="F191" s="2" t="s">
        <v>16</v>
      </c>
      <c r="G191" s="2">
        <v>5</v>
      </c>
      <c r="H191" s="7">
        <v>1681.98</v>
      </c>
      <c r="I191" s="2" t="s">
        <v>367</v>
      </c>
      <c r="J191" s="2">
        <v>2</v>
      </c>
    </row>
    <row r="192" spans="1:10" x14ac:dyDescent="0.25">
      <c r="A192" s="2" t="s">
        <v>721</v>
      </c>
      <c r="B192" s="6">
        <v>46206</v>
      </c>
      <c r="C192" s="2" t="s">
        <v>722</v>
      </c>
      <c r="D192" s="2" t="s">
        <v>59</v>
      </c>
      <c r="E192" s="2" t="s">
        <v>20</v>
      </c>
      <c r="F192" s="2" t="s">
        <v>21</v>
      </c>
      <c r="G192" s="2">
        <v>22</v>
      </c>
      <c r="H192" s="7">
        <v>1484.2</v>
      </c>
      <c r="I192" s="2" t="s">
        <v>374</v>
      </c>
      <c r="J192" s="2">
        <v>5</v>
      </c>
    </row>
    <row r="193" spans="1:10" x14ac:dyDescent="0.25">
      <c r="A193" s="2" t="s">
        <v>723</v>
      </c>
      <c r="B193" s="6">
        <v>46284</v>
      </c>
      <c r="C193" s="2" t="s">
        <v>633</v>
      </c>
      <c r="D193" s="2" t="s">
        <v>45</v>
      </c>
      <c r="E193" s="2" t="s">
        <v>77</v>
      </c>
      <c r="F193" s="2" t="s">
        <v>56</v>
      </c>
      <c r="G193" s="2">
        <v>30</v>
      </c>
      <c r="H193" s="7">
        <v>775.53</v>
      </c>
      <c r="I193" s="2" t="s">
        <v>381</v>
      </c>
      <c r="J193" s="2">
        <v>3</v>
      </c>
    </row>
    <row r="194" spans="1:10" x14ac:dyDescent="0.25">
      <c r="A194" s="2" t="s">
        <v>724</v>
      </c>
      <c r="B194" s="6">
        <v>46029</v>
      </c>
      <c r="C194" s="2" t="s">
        <v>725</v>
      </c>
      <c r="D194" s="2" t="s">
        <v>59</v>
      </c>
      <c r="E194" s="2" t="s">
        <v>20</v>
      </c>
      <c r="F194" s="2" t="s">
        <v>21</v>
      </c>
      <c r="G194" s="2">
        <v>25</v>
      </c>
      <c r="H194" s="7">
        <v>1723.68</v>
      </c>
      <c r="I194" s="2" t="s">
        <v>381</v>
      </c>
      <c r="J194" s="2">
        <v>2</v>
      </c>
    </row>
    <row r="195" spans="1:10" x14ac:dyDescent="0.25">
      <c r="A195" s="2" t="s">
        <v>726</v>
      </c>
      <c r="B195" s="6">
        <v>46122</v>
      </c>
      <c r="C195" s="2" t="s">
        <v>438</v>
      </c>
      <c r="D195" s="2" t="s">
        <v>14</v>
      </c>
      <c r="E195" s="2" t="s">
        <v>40</v>
      </c>
      <c r="F195" s="2" t="s">
        <v>31</v>
      </c>
      <c r="G195" s="2">
        <v>3</v>
      </c>
      <c r="H195" s="7">
        <v>390.21</v>
      </c>
      <c r="I195" s="2" t="s">
        <v>374</v>
      </c>
      <c r="J195" s="2">
        <v>5</v>
      </c>
    </row>
    <row r="196" spans="1:10" x14ac:dyDescent="0.25">
      <c r="A196" s="2" t="s">
        <v>727</v>
      </c>
      <c r="B196" s="6">
        <v>46043</v>
      </c>
      <c r="C196" s="2" t="s">
        <v>728</v>
      </c>
      <c r="D196" s="2" t="s">
        <v>54</v>
      </c>
      <c r="E196" s="2" t="s">
        <v>33</v>
      </c>
      <c r="F196" s="2" t="s">
        <v>16</v>
      </c>
      <c r="G196" s="2">
        <v>5</v>
      </c>
      <c r="H196" s="7">
        <v>338.64</v>
      </c>
      <c r="I196" s="2" t="s">
        <v>367</v>
      </c>
      <c r="J196" s="2">
        <v>1</v>
      </c>
    </row>
    <row r="197" spans="1:10" x14ac:dyDescent="0.25">
      <c r="A197" s="2" t="s">
        <v>729</v>
      </c>
      <c r="B197" s="6">
        <v>46102</v>
      </c>
      <c r="C197" s="2" t="s">
        <v>706</v>
      </c>
      <c r="D197" s="2" t="s">
        <v>29</v>
      </c>
      <c r="E197" s="2" t="s">
        <v>69</v>
      </c>
      <c r="F197" s="2" t="s">
        <v>31</v>
      </c>
      <c r="G197" s="2">
        <v>2</v>
      </c>
      <c r="H197" s="7">
        <v>1551.85</v>
      </c>
      <c r="I197" s="2" t="s">
        <v>367</v>
      </c>
      <c r="J197" s="2">
        <v>4</v>
      </c>
    </row>
    <row r="198" spans="1:10" x14ac:dyDescent="0.25">
      <c r="A198" s="2" t="s">
        <v>730</v>
      </c>
      <c r="B198" s="6">
        <v>46060</v>
      </c>
      <c r="C198" s="2" t="s">
        <v>417</v>
      </c>
      <c r="D198" s="2" t="s">
        <v>19</v>
      </c>
      <c r="E198" s="2" t="s">
        <v>36</v>
      </c>
      <c r="F198" s="2" t="s">
        <v>21</v>
      </c>
      <c r="G198" s="2">
        <v>17</v>
      </c>
      <c r="H198" s="7">
        <v>154.99</v>
      </c>
      <c r="I198" s="2" t="s">
        <v>374</v>
      </c>
      <c r="J198" s="2">
        <v>4</v>
      </c>
    </row>
    <row r="199" spans="1:10" x14ac:dyDescent="0.25">
      <c r="A199" s="2" t="s">
        <v>731</v>
      </c>
      <c r="B199" s="6">
        <v>46070</v>
      </c>
      <c r="C199" s="2" t="s">
        <v>732</v>
      </c>
      <c r="D199" s="2" t="s">
        <v>14</v>
      </c>
      <c r="E199" s="2" t="s">
        <v>67</v>
      </c>
      <c r="F199" s="2" t="s">
        <v>21</v>
      </c>
      <c r="G199" s="2">
        <v>11</v>
      </c>
      <c r="H199" s="7">
        <v>675.51</v>
      </c>
      <c r="I199" s="2" t="s">
        <v>367</v>
      </c>
      <c r="J199" s="2">
        <v>2</v>
      </c>
    </row>
    <row r="200" spans="1:10" x14ac:dyDescent="0.25">
      <c r="A200" s="2" t="s">
        <v>733</v>
      </c>
      <c r="B200" s="6">
        <v>46027</v>
      </c>
      <c r="C200" s="2" t="s">
        <v>734</v>
      </c>
      <c r="D200" s="2" t="s">
        <v>24</v>
      </c>
      <c r="E200" s="2" t="s">
        <v>67</v>
      </c>
      <c r="F200" s="2" t="s">
        <v>21</v>
      </c>
      <c r="G200" s="2">
        <v>8</v>
      </c>
      <c r="H200" s="7">
        <v>1810.9</v>
      </c>
      <c r="I200" s="2" t="s">
        <v>374</v>
      </c>
      <c r="J200" s="2">
        <v>1</v>
      </c>
    </row>
    <row r="201" spans="1:10" x14ac:dyDescent="0.25">
      <c r="A201" s="2" t="s">
        <v>735</v>
      </c>
      <c r="B201" s="6">
        <v>46081</v>
      </c>
      <c r="C201" s="2" t="s">
        <v>736</v>
      </c>
      <c r="D201" s="2" t="s">
        <v>14</v>
      </c>
      <c r="E201" s="2" t="s">
        <v>69</v>
      </c>
      <c r="F201" s="2" t="s">
        <v>31</v>
      </c>
      <c r="G201" s="2">
        <v>10</v>
      </c>
      <c r="H201" s="7">
        <v>68.92</v>
      </c>
      <c r="I201" s="2" t="s">
        <v>367</v>
      </c>
      <c r="J201" s="2">
        <v>5</v>
      </c>
    </row>
    <row r="202" spans="1:10" x14ac:dyDescent="0.25">
      <c r="A202" s="2" t="s">
        <v>737</v>
      </c>
      <c r="B202" s="6">
        <v>46272</v>
      </c>
      <c r="C202" s="2" t="s">
        <v>366</v>
      </c>
      <c r="D202" s="2" t="s">
        <v>19</v>
      </c>
      <c r="E202" s="2" t="s">
        <v>67</v>
      </c>
      <c r="F202" s="2" t="s">
        <v>21</v>
      </c>
      <c r="G202" s="2">
        <v>11</v>
      </c>
      <c r="H202" s="7">
        <v>1037.51</v>
      </c>
      <c r="I202" s="2" t="s">
        <v>368</v>
      </c>
      <c r="J202" s="2">
        <v>2</v>
      </c>
    </row>
    <row r="203" spans="1:10" x14ac:dyDescent="0.25">
      <c r="A203" s="2" t="s">
        <v>738</v>
      </c>
      <c r="B203" s="6">
        <v>46056</v>
      </c>
      <c r="C203" s="2" t="s">
        <v>739</v>
      </c>
      <c r="D203" s="2" t="s">
        <v>59</v>
      </c>
      <c r="E203" s="2" t="s">
        <v>20</v>
      </c>
      <c r="F203" s="2" t="s">
        <v>21</v>
      </c>
      <c r="G203" s="2">
        <v>7</v>
      </c>
      <c r="H203" s="7">
        <v>1732.6</v>
      </c>
      <c r="I203" s="2" t="s">
        <v>381</v>
      </c>
      <c r="J203" s="2">
        <v>1</v>
      </c>
    </row>
    <row r="204" spans="1:10" x14ac:dyDescent="0.25">
      <c r="A204" s="2" t="s">
        <v>740</v>
      </c>
      <c r="B204" s="6">
        <v>46059</v>
      </c>
      <c r="C204" s="2" t="s">
        <v>741</v>
      </c>
      <c r="D204" s="2" t="s">
        <v>14</v>
      </c>
      <c r="E204" s="2" t="s">
        <v>52</v>
      </c>
      <c r="F204" s="2" t="s">
        <v>50</v>
      </c>
      <c r="G204" s="2">
        <v>11</v>
      </c>
      <c r="H204" s="7">
        <v>95.01</v>
      </c>
      <c r="I204" s="2" t="s">
        <v>368</v>
      </c>
      <c r="J204" s="2">
        <v>1</v>
      </c>
    </row>
    <row r="206" spans="1:10" x14ac:dyDescent="0.25">
      <c r="A206" s="9" t="s">
        <v>742</v>
      </c>
    </row>
  </sheetData>
  <mergeCells count="8">
    <mergeCell ref="N4:O4"/>
    <mergeCell ref="Q4:S4"/>
    <mergeCell ref="L5:M5"/>
    <mergeCell ref="L6:M6"/>
    <mergeCell ref="L7:M7"/>
    <mergeCell ref="L8:M8"/>
    <mergeCell ref="A1:J1"/>
    <mergeCell ref="L4:M4"/>
  </mergeCells>
  <dataValidations count="2">
    <dataValidation type="list" allowBlank="1" showInputMessage="1" showErrorMessage="1" sqref="I5:I204" xr:uid="{542E7F33-D2CB-4707-9276-3674E0E772BB}">
      <formula1>$L$5:$L$8</formula1>
    </dataValidation>
    <dataValidation type="whole" allowBlank="1" showInputMessage="1" showErrorMessage="1" errorTitle="Valeur refusee" error="La note doit etre un entier compris entre 1 et 5." promptTitle="Note satisfaction" prompt="Note entre 1 et 5" sqref="J5:J204" xr:uid="{79A0EDA7-7AEA-4941-BE0D-9C0907C778C8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6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7109375" defaultRowHeight="15" x14ac:dyDescent="0.25"/>
  <cols>
    <col min="1" max="1" width="94.28515625" bestFit="1" customWidth="1"/>
    <col min="2" max="2" width="10.140625" bestFit="1" customWidth="1"/>
    <col min="3" max="3" width="25.28515625" bestFit="1" customWidth="1"/>
    <col min="4" max="4" width="24.28515625" bestFit="1" customWidth="1"/>
    <col min="5" max="5" width="15.140625" bestFit="1" customWidth="1"/>
    <col min="6" max="6" width="19.42578125" bestFit="1" customWidth="1"/>
    <col min="7" max="7" width="14" customWidth="1"/>
    <col min="8" max="8" width="8.7109375" bestFit="1" customWidth="1"/>
    <col min="9" max="9" width="13.7109375" bestFit="1" customWidth="1"/>
  </cols>
  <sheetData>
    <row r="1" spans="1:9" ht="25.5" customHeight="1" x14ac:dyDescent="0.25">
      <c r="A1" s="21" t="s">
        <v>743</v>
      </c>
      <c r="B1" s="21"/>
      <c r="C1" s="21"/>
      <c r="D1" s="21"/>
      <c r="E1" s="21"/>
      <c r="F1" s="21"/>
      <c r="G1" s="21"/>
      <c r="H1" s="21"/>
      <c r="I1" s="21"/>
    </row>
    <row r="2" spans="1:9" x14ac:dyDescent="0.25">
      <c r="A2" s="4" t="s">
        <v>744</v>
      </c>
    </row>
    <row r="4" spans="1:9" ht="27.75" customHeight="1" x14ac:dyDescent="0.25">
      <c r="A4" s="5" t="s">
        <v>358</v>
      </c>
      <c r="B4" s="5" t="s">
        <v>3</v>
      </c>
      <c r="C4" s="5" t="s">
        <v>359</v>
      </c>
      <c r="D4" s="5" t="s">
        <v>5</v>
      </c>
      <c r="E4" s="5" t="s">
        <v>4</v>
      </c>
      <c r="F4" s="5" t="s">
        <v>6</v>
      </c>
      <c r="G4" s="5" t="s">
        <v>7</v>
      </c>
      <c r="H4" s="5" t="s">
        <v>8</v>
      </c>
      <c r="I4" s="5" t="s">
        <v>10</v>
      </c>
    </row>
    <row r="5" spans="1:9" x14ac:dyDescent="0.25">
      <c r="A5" s="2" t="s">
        <v>745</v>
      </c>
      <c r="B5" s="6">
        <v>46139</v>
      </c>
      <c r="C5" s="2" t="s">
        <v>746</v>
      </c>
      <c r="D5" s="2" t="s">
        <v>24</v>
      </c>
      <c r="E5" s="2" t="s">
        <v>79</v>
      </c>
      <c r="F5" s="2" t="s">
        <v>49</v>
      </c>
      <c r="G5" s="2" t="s">
        <v>50</v>
      </c>
      <c r="H5" s="2">
        <v>36</v>
      </c>
      <c r="I5" s="7">
        <f>H5*46.91</f>
        <v>1688.7599999999998</v>
      </c>
    </row>
    <row r="6" spans="1:9" x14ac:dyDescent="0.25">
      <c r="A6" s="2" t="s">
        <v>747</v>
      </c>
      <c r="B6" s="6">
        <v>46083</v>
      </c>
      <c r="C6" s="2" t="s">
        <v>748</v>
      </c>
      <c r="D6" s="2" t="s">
        <v>14</v>
      </c>
      <c r="E6" s="2" t="s">
        <v>85</v>
      </c>
      <c r="F6" s="2" t="s">
        <v>74</v>
      </c>
      <c r="G6" s="2" t="s">
        <v>56</v>
      </c>
      <c r="H6" s="2">
        <v>2</v>
      </c>
      <c r="I6" s="7">
        <f>H6*236.75</f>
        <v>473.5</v>
      </c>
    </row>
    <row r="7" spans="1:9" x14ac:dyDescent="0.25">
      <c r="A7" s="2" t="s">
        <v>749</v>
      </c>
      <c r="B7" s="6">
        <v>46060</v>
      </c>
      <c r="C7" s="2" t="s">
        <v>691</v>
      </c>
      <c r="D7" s="2" t="s">
        <v>54</v>
      </c>
      <c r="E7" s="2" t="s">
        <v>38</v>
      </c>
      <c r="F7" s="2" t="s">
        <v>65</v>
      </c>
      <c r="G7" s="2" t="s">
        <v>16</v>
      </c>
      <c r="H7" s="2">
        <v>3</v>
      </c>
      <c r="I7" s="7">
        <f>H7*422.02</f>
        <v>1266.06</v>
      </c>
    </row>
    <row r="8" spans="1:9" x14ac:dyDescent="0.25">
      <c r="A8" s="2" t="s">
        <v>750</v>
      </c>
      <c r="B8" s="6">
        <v>46247</v>
      </c>
      <c r="C8" s="2" t="s">
        <v>650</v>
      </c>
      <c r="D8" s="2" t="s">
        <v>45</v>
      </c>
      <c r="E8" s="2" t="s">
        <v>47</v>
      </c>
      <c r="F8" s="2" t="s">
        <v>20</v>
      </c>
      <c r="G8" s="2" t="s">
        <v>21</v>
      </c>
      <c r="H8" s="2">
        <v>19</v>
      </c>
      <c r="I8" s="7">
        <f>H8*460.34</f>
        <v>8746.4599999999991</v>
      </c>
    </row>
    <row r="9" spans="1:9" x14ac:dyDescent="0.25">
      <c r="A9" s="2" t="s">
        <v>751</v>
      </c>
      <c r="B9" s="6">
        <v>46174</v>
      </c>
      <c r="C9" s="2" t="s">
        <v>629</v>
      </c>
      <c r="D9" s="2" t="s">
        <v>59</v>
      </c>
      <c r="E9" s="2" t="s">
        <v>28</v>
      </c>
      <c r="F9" s="2" t="s">
        <v>123</v>
      </c>
      <c r="G9" s="2" t="s">
        <v>50</v>
      </c>
      <c r="H9" s="2">
        <v>9</v>
      </c>
      <c r="I9" s="7">
        <f>H9*449.32</f>
        <v>4043.88</v>
      </c>
    </row>
    <row r="10" spans="1:9" x14ac:dyDescent="0.25">
      <c r="A10" s="2" t="s">
        <v>752</v>
      </c>
      <c r="B10" s="6">
        <v>46044</v>
      </c>
      <c r="C10" s="2" t="s">
        <v>753</v>
      </c>
      <c r="D10" s="2" t="s">
        <v>24</v>
      </c>
      <c r="E10" s="2" t="s">
        <v>42</v>
      </c>
      <c r="F10" s="2" t="s">
        <v>65</v>
      </c>
      <c r="G10" s="2" t="s">
        <v>16</v>
      </c>
      <c r="H10" s="2">
        <v>36</v>
      </c>
      <c r="I10" s="7">
        <f>H10*89.12</f>
        <v>3208.32</v>
      </c>
    </row>
    <row r="11" spans="1:9" x14ac:dyDescent="0.25">
      <c r="A11" s="2" t="s">
        <v>754</v>
      </c>
      <c r="B11" s="6">
        <v>46199</v>
      </c>
      <c r="C11" s="2" t="s">
        <v>755</v>
      </c>
      <c r="D11" s="2" t="s">
        <v>59</v>
      </c>
      <c r="E11" s="2" t="s">
        <v>42</v>
      </c>
      <c r="F11" s="2" t="s">
        <v>20</v>
      </c>
      <c r="G11" s="2" t="s">
        <v>21</v>
      </c>
      <c r="H11" s="2">
        <v>20</v>
      </c>
      <c r="I11" s="7">
        <f>H11*129.98</f>
        <v>2599.6</v>
      </c>
    </row>
    <row r="12" spans="1:9" x14ac:dyDescent="0.25">
      <c r="A12" s="2" t="s">
        <v>756</v>
      </c>
      <c r="B12" s="6">
        <v>46152</v>
      </c>
      <c r="C12" s="2" t="s">
        <v>757</v>
      </c>
      <c r="D12" s="2" t="s">
        <v>14</v>
      </c>
      <c r="E12" s="2" t="s">
        <v>85</v>
      </c>
      <c r="F12" s="2" t="s">
        <v>123</v>
      </c>
      <c r="G12" s="2" t="s">
        <v>50</v>
      </c>
      <c r="H12" s="2">
        <v>12</v>
      </c>
      <c r="I12" s="7">
        <f>H12*136.37</f>
        <v>1636.44</v>
      </c>
    </row>
    <row r="13" spans="1:9" x14ac:dyDescent="0.25">
      <c r="A13" s="2" t="s">
        <v>758</v>
      </c>
      <c r="B13" s="6">
        <v>46060</v>
      </c>
      <c r="C13" s="2" t="s">
        <v>759</v>
      </c>
      <c r="D13" s="2" t="s">
        <v>54</v>
      </c>
      <c r="E13" s="2" t="s">
        <v>18</v>
      </c>
      <c r="F13" s="2" t="s">
        <v>65</v>
      </c>
      <c r="G13" s="2" t="s">
        <v>16</v>
      </c>
      <c r="H13" s="2">
        <v>30</v>
      </c>
      <c r="I13" s="7">
        <f>H13*388.58</f>
        <v>11657.4</v>
      </c>
    </row>
    <row r="14" spans="1:9" x14ac:dyDescent="0.25">
      <c r="A14" s="2" t="s">
        <v>760</v>
      </c>
      <c r="B14" s="6">
        <v>46143</v>
      </c>
      <c r="C14" s="2" t="s">
        <v>761</v>
      </c>
      <c r="D14" s="2" t="s">
        <v>45</v>
      </c>
      <c r="E14" s="2" t="s">
        <v>23</v>
      </c>
      <c r="F14" s="2" t="s">
        <v>52</v>
      </c>
      <c r="G14" s="2" t="s">
        <v>50</v>
      </c>
      <c r="H14" s="2">
        <v>22</v>
      </c>
      <c r="I14" s="7">
        <f>H14*217.5</f>
        <v>4785</v>
      </c>
    </row>
    <row r="15" spans="1:9" x14ac:dyDescent="0.25">
      <c r="A15" s="2" t="s">
        <v>762</v>
      </c>
      <c r="B15" s="6">
        <v>46179</v>
      </c>
      <c r="C15" s="2" t="s">
        <v>763</v>
      </c>
      <c r="D15" s="2" t="s">
        <v>29</v>
      </c>
      <c r="E15" s="2" t="s">
        <v>28</v>
      </c>
      <c r="F15" s="2" t="s">
        <v>69</v>
      </c>
      <c r="G15" s="2" t="s">
        <v>31</v>
      </c>
      <c r="H15" s="2">
        <v>29</v>
      </c>
      <c r="I15" s="7">
        <f>H15*200.37</f>
        <v>5810.7300000000005</v>
      </c>
    </row>
    <row r="16" spans="1:9" x14ac:dyDescent="0.25">
      <c r="A16" s="2" t="s">
        <v>764</v>
      </c>
      <c r="B16" s="6">
        <v>46149</v>
      </c>
      <c r="C16" s="2" t="s">
        <v>454</v>
      </c>
      <c r="D16" s="2" t="s">
        <v>14</v>
      </c>
      <c r="E16" s="2" t="s">
        <v>79</v>
      </c>
      <c r="F16" s="2" t="s">
        <v>69</v>
      </c>
      <c r="G16" s="2" t="s">
        <v>31</v>
      </c>
      <c r="H16" s="2">
        <v>11</v>
      </c>
      <c r="I16" s="7">
        <f>H16*7.87</f>
        <v>86.570000000000007</v>
      </c>
    </row>
    <row r="17" spans="1:9" x14ac:dyDescent="0.25">
      <c r="A17" s="2" t="s">
        <v>765</v>
      </c>
      <c r="B17" s="6">
        <v>46192</v>
      </c>
      <c r="C17" s="2" t="s">
        <v>766</v>
      </c>
      <c r="D17" s="2" t="s">
        <v>54</v>
      </c>
      <c r="E17" s="2" t="s">
        <v>38</v>
      </c>
      <c r="F17" s="2" t="s">
        <v>102</v>
      </c>
      <c r="G17" s="2" t="s">
        <v>31</v>
      </c>
      <c r="H17" s="2">
        <v>9</v>
      </c>
      <c r="I17" s="7">
        <f>H17*409.35</f>
        <v>3684.15</v>
      </c>
    </row>
    <row r="18" spans="1:9" x14ac:dyDescent="0.25">
      <c r="A18" s="2" t="s">
        <v>767</v>
      </c>
      <c r="B18" s="6">
        <v>46064</v>
      </c>
      <c r="C18" s="2" t="s">
        <v>560</v>
      </c>
      <c r="D18" s="2" t="s">
        <v>29</v>
      </c>
      <c r="E18" s="2" t="s">
        <v>23</v>
      </c>
      <c r="F18" s="2" t="s">
        <v>55</v>
      </c>
      <c r="G18" s="2" t="s">
        <v>56</v>
      </c>
      <c r="H18" s="2">
        <v>12</v>
      </c>
      <c r="I18" s="7">
        <f>H18*389.1</f>
        <v>4669.2000000000007</v>
      </c>
    </row>
    <row r="19" spans="1:9" x14ac:dyDescent="0.25">
      <c r="A19" s="2" t="s">
        <v>768</v>
      </c>
      <c r="B19" s="6">
        <v>46282</v>
      </c>
      <c r="C19" s="2" t="s">
        <v>641</v>
      </c>
      <c r="D19" s="2" t="s">
        <v>29</v>
      </c>
      <c r="E19" s="2" t="s">
        <v>79</v>
      </c>
      <c r="F19" s="2" t="s">
        <v>30</v>
      </c>
      <c r="G19" s="2" t="s">
        <v>31</v>
      </c>
      <c r="H19" s="2">
        <v>5</v>
      </c>
      <c r="I19" s="7">
        <f>H19*535.8</f>
        <v>2679</v>
      </c>
    </row>
    <row r="20" spans="1:9" x14ac:dyDescent="0.25">
      <c r="A20" s="2" t="s">
        <v>769</v>
      </c>
      <c r="B20" s="6">
        <v>46264</v>
      </c>
      <c r="C20" s="2" t="s">
        <v>670</v>
      </c>
      <c r="D20" s="2" t="s">
        <v>19</v>
      </c>
      <c r="E20" s="2" t="s">
        <v>85</v>
      </c>
      <c r="F20" s="2" t="s">
        <v>43</v>
      </c>
      <c r="G20" s="2" t="s">
        <v>21</v>
      </c>
      <c r="H20" s="2">
        <v>3</v>
      </c>
      <c r="I20" s="7">
        <f>H20*333.2</f>
        <v>999.59999999999991</v>
      </c>
    </row>
    <row r="21" spans="1:9" x14ac:dyDescent="0.25">
      <c r="A21" s="2" t="s">
        <v>770</v>
      </c>
      <c r="B21" s="6">
        <v>46069</v>
      </c>
      <c r="C21" s="2" t="s">
        <v>736</v>
      </c>
      <c r="D21" s="2" t="s">
        <v>45</v>
      </c>
      <c r="E21" s="2" t="s">
        <v>23</v>
      </c>
      <c r="F21" s="2" t="s">
        <v>40</v>
      </c>
      <c r="G21" s="2" t="s">
        <v>31</v>
      </c>
      <c r="H21" s="2">
        <v>30</v>
      </c>
      <c r="I21" s="7">
        <f>H21*303.17</f>
        <v>9095.1</v>
      </c>
    </row>
    <row r="22" spans="1:9" x14ac:dyDescent="0.25">
      <c r="A22" s="2" t="s">
        <v>771</v>
      </c>
      <c r="B22" s="6">
        <v>46104</v>
      </c>
      <c r="C22" s="2" t="s">
        <v>772</v>
      </c>
      <c r="D22" s="2" t="s">
        <v>14</v>
      </c>
      <c r="E22" s="2" t="s">
        <v>13</v>
      </c>
      <c r="F22" s="2" t="s">
        <v>43</v>
      </c>
      <c r="G22" s="2" t="s">
        <v>21</v>
      </c>
      <c r="H22" s="2">
        <v>33</v>
      </c>
      <c r="I22" s="7">
        <f>H22*88.52</f>
        <v>2921.16</v>
      </c>
    </row>
    <row r="23" spans="1:9" x14ac:dyDescent="0.25">
      <c r="A23" s="2" t="s">
        <v>773</v>
      </c>
      <c r="B23" s="6">
        <v>46272</v>
      </c>
      <c r="C23" s="2" t="s">
        <v>530</v>
      </c>
      <c r="D23" s="2" t="s">
        <v>54</v>
      </c>
      <c r="E23" s="2" t="s">
        <v>23</v>
      </c>
      <c r="F23" s="2" t="s">
        <v>74</v>
      </c>
      <c r="G23" s="2" t="s">
        <v>56</v>
      </c>
      <c r="H23" s="2">
        <v>3</v>
      </c>
      <c r="I23" s="7">
        <f>H23*135.2</f>
        <v>405.59999999999997</v>
      </c>
    </row>
    <row r="24" spans="1:9" x14ac:dyDescent="0.25">
      <c r="A24" s="2" t="s">
        <v>774</v>
      </c>
      <c r="B24" s="6">
        <v>46207</v>
      </c>
      <c r="C24" s="2" t="s">
        <v>415</v>
      </c>
      <c r="D24" s="2" t="s">
        <v>45</v>
      </c>
      <c r="E24" s="2" t="s">
        <v>35</v>
      </c>
      <c r="F24" s="2" t="s">
        <v>26</v>
      </c>
      <c r="G24" s="2" t="s">
        <v>16</v>
      </c>
      <c r="H24" s="2">
        <v>34</v>
      </c>
      <c r="I24" s="7">
        <f>H24*545.1</f>
        <v>18533.400000000001</v>
      </c>
    </row>
    <row r="25" spans="1:9" x14ac:dyDescent="0.25">
      <c r="A25" s="2" t="s">
        <v>775</v>
      </c>
      <c r="B25" s="6">
        <v>46163</v>
      </c>
      <c r="C25" s="2" t="s">
        <v>576</v>
      </c>
      <c r="D25" s="2" t="s">
        <v>29</v>
      </c>
      <c r="E25" s="2" t="s">
        <v>13</v>
      </c>
      <c r="F25" s="2" t="s">
        <v>30</v>
      </c>
      <c r="G25" s="2" t="s">
        <v>31</v>
      </c>
      <c r="H25" s="2">
        <v>34</v>
      </c>
      <c r="I25" s="7">
        <f>H25*381.97</f>
        <v>12986.980000000001</v>
      </c>
    </row>
    <row r="26" spans="1:9" x14ac:dyDescent="0.25">
      <c r="A26" s="2" t="s">
        <v>776</v>
      </c>
      <c r="B26" s="6">
        <v>46062</v>
      </c>
      <c r="C26" s="2" t="s">
        <v>777</v>
      </c>
      <c r="D26" s="2" t="s">
        <v>19</v>
      </c>
      <c r="E26" s="2" t="s">
        <v>42</v>
      </c>
      <c r="F26" s="2" t="s">
        <v>112</v>
      </c>
      <c r="G26" s="2" t="s">
        <v>56</v>
      </c>
      <c r="H26" s="2">
        <v>24</v>
      </c>
      <c r="I26" s="7">
        <f>H26*354.67</f>
        <v>8512.08</v>
      </c>
    </row>
    <row r="27" spans="1:9" x14ac:dyDescent="0.25">
      <c r="A27" s="2" t="s">
        <v>778</v>
      </c>
      <c r="B27" s="6">
        <v>46269</v>
      </c>
      <c r="C27" s="2" t="s">
        <v>674</v>
      </c>
      <c r="D27" s="2" t="s">
        <v>19</v>
      </c>
      <c r="E27" s="2" t="s">
        <v>47</v>
      </c>
      <c r="F27" s="2" t="s">
        <v>74</v>
      </c>
      <c r="G27" s="2" t="s">
        <v>56</v>
      </c>
      <c r="H27" s="2">
        <v>23</v>
      </c>
      <c r="I27" s="7">
        <f>H27*294.68</f>
        <v>6777.64</v>
      </c>
    </row>
    <row r="28" spans="1:9" x14ac:dyDescent="0.25">
      <c r="A28" s="2" t="s">
        <v>779</v>
      </c>
      <c r="B28" s="6">
        <v>46166</v>
      </c>
      <c r="C28" s="2" t="s">
        <v>780</v>
      </c>
      <c r="D28" s="2" t="s">
        <v>19</v>
      </c>
      <c r="E28" s="2" t="s">
        <v>28</v>
      </c>
      <c r="F28" s="2" t="s">
        <v>123</v>
      </c>
      <c r="G28" s="2" t="s">
        <v>50</v>
      </c>
      <c r="H28" s="2">
        <v>5</v>
      </c>
      <c r="I28" s="7">
        <f>H28*311.15</f>
        <v>1555.75</v>
      </c>
    </row>
    <row r="29" spans="1:9" x14ac:dyDescent="0.25">
      <c r="A29" s="2" t="s">
        <v>781</v>
      </c>
      <c r="B29" s="6">
        <v>46192</v>
      </c>
      <c r="C29" s="2" t="s">
        <v>782</v>
      </c>
      <c r="D29" s="2" t="s">
        <v>24</v>
      </c>
      <c r="E29" s="2" t="s">
        <v>47</v>
      </c>
      <c r="F29" s="2" t="s">
        <v>20</v>
      </c>
      <c r="G29" s="2" t="s">
        <v>21</v>
      </c>
      <c r="H29" s="2">
        <v>15</v>
      </c>
      <c r="I29" s="7">
        <f>H29*251.7</f>
        <v>3775.5</v>
      </c>
    </row>
    <row r="30" spans="1:9" x14ac:dyDescent="0.25">
      <c r="A30" s="2" t="s">
        <v>783</v>
      </c>
      <c r="B30" s="6">
        <v>46045</v>
      </c>
      <c r="C30" s="2" t="s">
        <v>625</v>
      </c>
      <c r="D30" s="2" t="s">
        <v>19</v>
      </c>
      <c r="E30" s="2" t="s">
        <v>13</v>
      </c>
      <c r="F30" s="2" t="s">
        <v>123</v>
      </c>
      <c r="G30" s="2" t="s">
        <v>50</v>
      </c>
      <c r="H30" s="2">
        <v>27</v>
      </c>
      <c r="I30" s="7">
        <f>H30*18.36</f>
        <v>495.71999999999997</v>
      </c>
    </row>
    <row r="31" spans="1:9" x14ac:dyDescent="0.25">
      <c r="A31" s="2" t="s">
        <v>784</v>
      </c>
      <c r="B31" s="6">
        <v>46108</v>
      </c>
      <c r="C31" s="2" t="s">
        <v>725</v>
      </c>
      <c r="D31" s="2" t="s">
        <v>24</v>
      </c>
      <c r="E31" s="2" t="s">
        <v>85</v>
      </c>
      <c r="F31" s="2" t="s">
        <v>20</v>
      </c>
      <c r="G31" s="2" t="s">
        <v>21</v>
      </c>
      <c r="H31" s="2">
        <v>37</v>
      </c>
      <c r="I31" s="7">
        <f>H31*92.38</f>
        <v>3418.06</v>
      </c>
    </row>
    <row r="32" spans="1:9" x14ac:dyDescent="0.25">
      <c r="A32" s="2" t="s">
        <v>785</v>
      </c>
      <c r="B32" s="6">
        <v>46133</v>
      </c>
      <c r="C32" s="2" t="s">
        <v>536</v>
      </c>
      <c r="D32" s="2" t="s">
        <v>59</v>
      </c>
      <c r="E32" s="2" t="s">
        <v>47</v>
      </c>
      <c r="F32" s="2" t="s">
        <v>20</v>
      </c>
      <c r="G32" s="2" t="s">
        <v>21</v>
      </c>
      <c r="H32" s="2">
        <v>19</v>
      </c>
      <c r="I32" s="7">
        <f>H32*568.62</f>
        <v>10803.78</v>
      </c>
    </row>
    <row r="33" spans="1:9" x14ac:dyDescent="0.25">
      <c r="A33" s="2" t="s">
        <v>786</v>
      </c>
      <c r="B33" s="6">
        <v>46116</v>
      </c>
      <c r="C33" s="2" t="s">
        <v>787</v>
      </c>
      <c r="D33" s="2" t="s">
        <v>54</v>
      </c>
      <c r="E33" s="2" t="s">
        <v>13</v>
      </c>
      <c r="F33" s="2" t="s">
        <v>123</v>
      </c>
      <c r="G33" s="2" t="s">
        <v>50</v>
      </c>
      <c r="H33" s="2">
        <v>27</v>
      </c>
      <c r="I33" s="7">
        <f>H33*362.5</f>
        <v>9787.5</v>
      </c>
    </row>
    <row r="34" spans="1:9" x14ac:dyDescent="0.25">
      <c r="A34" s="2" t="s">
        <v>788</v>
      </c>
      <c r="B34" s="6">
        <v>46140</v>
      </c>
      <c r="C34" s="2" t="s">
        <v>789</v>
      </c>
      <c r="D34" s="2" t="s">
        <v>45</v>
      </c>
      <c r="E34" s="2" t="s">
        <v>35</v>
      </c>
      <c r="F34" s="2" t="s">
        <v>69</v>
      </c>
      <c r="G34" s="2" t="s">
        <v>31</v>
      </c>
      <c r="H34" s="2">
        <v>39</v>
      </c>
      <c r="I34" s="7">
        <f>H34*356.4</f>
        <v>13899.599999999999</v>
      </c>
    </row>
    <row r="35" spans="1:9" x14ac:dyDescent="0.25">
      <c r="A35" s="2" t="s">
        <v>790</v>
      </c>
      <c r="B35" s="6">
        <v>46113</v>
      </c>
      <c r="C35" s="2" t="s">
        <v>791</v>
      </c>
      <c r="D35" s="2" t="s">
        <v>45</v>
      </c>
      <c r="E35" s="2" t="s">
        <v>42</v>
      </c>
      <c r="F35" s="2" t="s">
        <v>52</v>
      </c>
      <c r="G35" s="2" t="s">
        <v>50</v>
      </c>
      <c r="H35" s="2">
        <v>10</v>
      </c>
      <c r="I35" s="7">
        <f>H35*365.28</f>
        <v>3652.7999999999997</v>
      </c>
    </row>
    <row r="36" spans="1:9" x14ac:dyDescent="0.25">
      <c r="A36" s="2" t="s">
        <v>792</v>
      </c>
      <c r="B36" s="6">
        <v>46089</v>
      </c>
      <c r="C36" s="2" t="s">
        <v>519</v>
      </c>
      <c r="D36" s="2" t="s">
        <v>59</v>
      </c>
      <c r="E36" s="2" t="s">
        <v>79</v>
      </c>
      <c r="F36" s="2" t="s">
        <v>20</v>
      </c>
      <c r="G36" s="2" t="s">
        <v>21</v>
      </c>
      <c r="H36" s="2">
        <v>6</v>
      </c>
      <c r="I36" s="7">
        <f>H36*291.93</f>
        <v>1751.58</v>
      </c>
    </row>
    <row r="37" spans="1:9" x14ac:dyDescent="0.25">
      <c r="A37" s="2" t="s">
        <v>793</v>
      </c>
      <c r="B37" s="6">
        <v>46242</v>
      </c>
      <c r="C37" s="2" t="s">
        <v>794</v>
      </c>
      <c r="D37" s="2" t="s">
        <v>59</v>
      </c>
      <c r="E37" s="2" t="s">
        <v>79</v>
      </c>
      <c r="F37" s="2" t="s">
        <v>67</v>
      </c>
      <c r="G37" s="2" t="s">
        <v>21</v>
      </c>
      <c r="H37" s="2">
        <v>24</v>
      </c>
      <c r="I37" s="7">
        <f>H37*525.52</f>
        <v>12612.48</v>
      </c>
    </row>
    <row r="38" spans="1:9" x14ac:dyDescent="0.25">
      <c r="A38" s="2" t="s">
        <v>795</v>
      </c>
      <c r="B38" s="6">
        <v>46267</v>
      </c>
      <c r="C38" s="2" t="s">
        <v>796</v>
      </c>
      <c r="D38" s="2" t="s">
        <v>54</v>
      </c>
      <c r="E38" s="2" t="s">
        <v>85</v>
      </c>
      <c r="F38" s="2" t="s">
        <v>30</v>
      </c>
      <c r="G38" s="2" t="s">
        <v>31</v>
      </c>
      <c r="H38" s="2">
        <v>28</v>
      </c>
      <c r="I38" s="7">
        <f>H38*84.66</f>
        <v>2370.48</v>
      </c>
    </row>
    <row r="39" spans="1:9" x14ac:dyDescent="0.25">
      <c r="A39" s="2" t="s">
        <v>797</v>
      </c>
      <c r="B39" s="6">
        <v>46026</v>
      </c>
      <c r="C39" s="2" t="s">
        <v>798</v>
      </c>
      <c r="D39" s="2" t="s">
        <v>29</v>
      </c>
      <c r="E39" s="2" t="s">
        <v>35</v>
      </c>
      <c r="F39" s="2" t="s">
        <v>67</v>
      </c>
      <c r="G39" s="2" t="s">
        <v>21</v>
      </c>
      <c r="H39" s="2">
        <v>17</v>
      </c>
      <c r="I39" s="7">
        <f>H39*117.47</f>
        <v>1996.99</v>
      </c>
    </row>
    <row r="40" spans="1:9" x14ac:dyDescent="0.25">
      <c r="A40" s="2" t="s">
        <v>799</v>
      </c>
      <c r="B40" s="6">
        <v>46077</v>
      </c>
      <c r="C40" s="2" t="s">
        <v>800</v>
      </c>
      <c r="D40" s="2" t="s">
        <v>29</v>
      </c>
      <c r="E40" s="2" t="s">
        <v>38</v>
      </c>
      <c r="F40" s="2" t="s">
        <v>77</v>
      </c>
      <c r="G40" s="2" t="s">
        <v>56</v>
      </c>
      <c r="H40" s="2">
        <v>21</v>
      </c>
      <c r="I40" s="7">
        <f>H40*248.26</f>
        <v>5213.46</v>
      </c>
    </row>
    <row r="41" spans="1:9" x14ac:dyDescent="0.25">
      <c r="A41" s="2" t="s">
        <v>801</v>
      </c>
      <c r="B41" s="6">
        <v>46164</v>
      </c>
      <c r="C41" s="2" t="s">
        <v>434</v>
      </c>
      <c r="D41" s="2" t="s">
        <v>24</v>
      </c>
      <c r="E41" s="2" t="s">
        <v>42</v>
      </c>
      <c r="F41" s="2" t="s">
        <v>69</v>
      </c>
      <c r="G41" s="2" t="s">
        <v>31</v>
      </c>
      <c r="H41" s="2">
        <v>37</v>
      </c>
      <c r="I41" s="7">
        <f>H41*222.56</f>
        <v>8234.7199999999993</v>
      </c>
    </row>
    <row r="42" spans="1:9" x14ac:dyDescent="0.25">
      <c r="A42" s="2" t="s">
        <v>802</v>
      </c>
      <c r="B42" s="6">
        <v>46270</v>
      </c>
      <c r="C42" s="2" t="s">
        <v>803</v>
      </c>
      <c r="D42" s="2" t="s">
        <v>54</v>
      </c>
      <c r="E42" s="2" t="s">
        <v>79</v>
      </c>
      <c r="F42" s="2" t="s">
        <v>67</v>
      </c>
      <c r="G42" s="2" t="s">
        <v>21</v>
      </c>
      <c r="H42" s="2">
        <v>12</v>
      </c>
      <c r="I42" s="7">
        <f>H42*225.28</f>
        <v>2703.36</v>
      </c>
    </row>
    <row r="43" spans="1:9" x14ac:dyDescent="0.25">
      <c r="A43" s="2" t="s">
        <v>804</v>
      </c>
      <c r="B43" s="6">
        <v>46105</v>
      </c>
      <c r="C43" s="2" t="s">
        <v>548</v>
      </c>
      <c r="D43" s="2" t="s">
        <v>24</v>
      </c>
      <c r="E43" s="2" t="s">
        <v>28</v>
      </c>
      <c r="F43" s="2" t="s">
        <v>96</v>
      </c>
      <c r="G43" s="2" t="s">
        <v>50</v>
      </c>
      <c r="H43" s="2">
        <v>15</v>
      </c>
      <c r="I43" s="7">
        <f>H43*270.72</f>
        <v>4060.8</v>
      </c>
    </row>
    <row r="44" spans="1:9" x14ac:dyDescent="0.25">
      <c r="A44" s="2" t="s">
        <v>805</v>
      </c>
      <c r="B44" s="6">
        <v>46025</v>
      </c>
      <c r="C44" s="2" t="s">
        <v>806</v>
      </c>
      <c r="D44" s="2" t="s">
        <v>24</v>
      </c>
      <c r="E44" s="2" t="s">
        <v>85</v>
      </c>
      <c r="F44" s="2" t="s">
        <v>20</v>
      </c>
      <c r="G44" s="2" t="s">
        <v>21</v>
      </c>
      <c r="H44" s="2">
        <v>11</v>
      </c>
      <c r="I44" s="7">
        <f>H44*236.52</f>
        <v>2601.7200000000003</v>
      </c>
    </row>
    <row r="45" spans="1:9" x14ac:dyDescent="0.25">
      <c r="A45" s="2" t="s">
        <v>807</v>
      </c>
      <c r="B45" s="6">
        <v>46212</v>
      </c>
      <c r="C45" s="2" t="s">
        <v>481</v>
      </c>
      <c r="D45" s="2" t="s">
        <v>14</v>
      </c>
      <c r="E45" s="2" t="s">
        <v>79</v>
      </c>
      <c r="F45" s="2" t="s">
        <v>55</v>
      </c>
      <c r="G45" s="2" t="s">
        <v>56</v>
      </c>
      <c r="H45" s="2">
        <v>5</v>
      </c>
      <c r="I45" s="7">
        <f>H45*161.54</f>
        <v>807.69999999999993</v>
      </c>
    </row>
    <row r="46" spans="1:9" x14ac:dyDescent="0.25">
      <c r="A46" s="2" t="s">
        <v>808</v>
      </c>
      <c r="B46" s="6">
        <v>46112</v>
      </c>
      <c r="C46" s="2" t="s">
        <v>394</v>
      </c>
      <c r="D46" s="2" t="s">
        <v>19</v>
      </c>
      <c r="E46" s="2" t="s">
        <v>42</v>
      </c>
      <c r="F46" s="2" t="s">
        <v>74</v>
      </c>
      <c r="G46" s="2" t="s">
        <v>56</v>
      </c>
      <c r="H46" s="2">
        <v>39</v>
      </c>
      <c r="I46" s="7">
        <f>H46*39.19</f>
        <v>1528.4099999999999</v>
      </c>
    </row>
    <row r="47" spans="1:9" x14ac:dyDescent="0.25">
      <c r="A47" s="2" t="s">
        <v>809</v>
      </c>
      <c r="B47" s="6">
        <v>46284</v>
      </c>
      <c r="C47" s="2" t="s">
        <v>810</v>
      </c>
      <c r="D47" s="2" t="s">
        <v>29</v>
      </c>
      <c r="E47" s="2" t="s">
        <v>13</v>
      </c>
      <c r="F47" s="2" t="s">
        <v>40</v>
      </c>
      <c r="G47" s="2" t="s">
        <v>31</v>
      </c>
      <c r="H47" s="2">
        <v>3</v>
      </c>
      <c r="I47" s="7">
        <f>H47*471.46</f>
        <v>1414.3799999999999</v>
      </c>
    </row>
    <row r="48" spans="1:9" x14ac:dyDescent="0.25">
      <c r="A48" s="2" t="s">
        <v>811</v>
      </c>
      <c r="B48" s="6">
        <v>46103</v>
      </c>
      <c r="C48" s="2" t="s">
        <v>812</v>
      </c>
      <c r="D48" s="2" t="s">
        <v>54</v>
      </c>
      <c r="E48" s="2" t="s">
        <v>79</v>
      </c>
      <c r="F48" s="2" t="s">
        <v>61</v>
      </c>
      <c r="G48" s="2" t="s">
        <v>16</v>
      </c>
      <c r="H48" s="2">
        <v>16</v>
      </c>
      <c r="I48" s="7">
        <f>H48*394.74</f>
        <v>6315.84</v>
      </c>
    </row>
    <row r="49" spans="1:9" x14ac:dyDescent="0.25">
      <c r="A49" s="2" t="s">
        <v>813</v>
      </c>
      <c r="B49" s="6">
        <v>46058</v>
      </c>
      <c r="C49" s="2" t="s">
        <v>814</v>
      </c>
      <c r="D49" s="2" t="s">
        <v>14</v>
      </c>
      <c r="E49" s="2" t="s">
        <v>42</v>
      </c>
      <c r="F49" s="2" t="s">
        <v>77</v>
      </c>
      <c r="G49" s="2" t="s">
        <v>56</v>
      </c>
      <c r="H49" s="2">
        <v>34</v>
      </c>
      <c r="I49" s="7">
        <f>H49*14.14</f>
        <v>480.76</v>
      </c>
    </row>
    <row r="50" spans="1:9" x14ac:dyDescent="0.25">
      <c r="A50" s="2" t="s">
        <v>815</v>
      </c>
      <c r="B50" s="6">
        <v>46164</v>
      </c>
      <c r="C50" s="2" t="s">
        <v>816</v>
      </c>
      <c r="D50" s="2" t="s">
        <v>24</v>
      </c>
      <c r="E50" s="2" t="s">
        <v>79</v>
      </c>
      <c r="F50" s="2" t="s">
        <v>36</v>
      </c>
      <c r="G50" s="2" t="s">
        <v>21</v>
      </c>
      <c r="H50" s="2">
        <v>23</v>
      </c>
      <c r="I50" s="7">
        <f>H50*578.16</f>
        <v>13297.679999999998</v>
      </c>
    </row>
    <row r="51" spans="1:9" x14ac:dyDescent="0.25">
      <c r="A51" s="2" t="s">
        <v>817</v>
      </c>
      <c r="B51" s="6">
        <v>46282</v>
      </c>
      <c r="C51" s="2" t="s">
        <v>818</v>
      </c>
      <c r="D51" s="2" t="s">
        <v>29</v>
      </c>
      <c r="E51" s="2" t="s">
        <v>38</v>
      </c>
      <c r="F51" s="2" t="s">
        <v>20</v>
      </c>
      <c r="G51" s="2" t="s">
        <v>21</v>
      </c>
      <c r="H51" s="2">
        <v>17</v>
      </c>
      <c r="I51" s="7">
        <f>H51*109.15</f>
        <v>1855.5500000000002</v>
      </c>
    </row>
    <row r="52" spans="1:9" x14ac:dyDescent="0.25">
      <c r="A52" s="2" t="s">
        <v>819</v>
      </c>
      <c r="B52" s="6">
        <v>46151</v>
      </c>
      <c r="C52" s="2" t="s">
        <v>820</v>
      </c>
      <c r="D52" s="2" t="s">
        <v>24</v>
      </c>
      <c r="E52" s="2" t="s">
        <v>23</v>
      </c>
      <c r="F52" s="2" t="s">
        <v>30</v>
      </c>
      <c r="G52" s="2" t="s">
        <v>31</v>
      </c>
      <c r="H52" s="2">
        <v>33</v>
      </c>
      <c r="I52" s="7">
        <f>H52*574.24</f>
        <v>18949.920000000002</v>
      </c>
    </row>
    <row r="53" spans="1:9" x14ac:dyDescent="0.25">
      <c r="A53" s="2" t="s">
        <v>821</v>
      </c>
      <c r="B53" s="6">
        <v>46037</v>
      </c>
      <c r="C53" s="2" t="s">
        <v>462</v>
      </c>
      <c r="D53" s="2" t="s">
        <v>45</v>
      </c>
      <c r="E53" s="2" t="s">
        <v>79</v>
      </c>
      <c r="F53" s="2" t="s">
        <v>69</v>
      </c>
      <c r="G53" s="2" t="s">
        <v>31</v>
      </c>
      <c r="H53" s="2">
        <v>30</v>
      </c>
      <c r="I53" s="7">
        <f>H53*538.43</f>
        <v>16152.899999999998</v>
      </c>
    </row>
    <row r="54" spans="1:9" x14ac:dyDescent="0.25">
      <c r="A54" s="2" t="s">
        <v>822</v>
      </c>
      <c r="B54" s="6">
        <v>46203</v>
      </c>
      <c r="C54" s="2" t="s">
        <v>823</v>
      </c>
      <c r="D54" s="2" t="s">
        <v>14</v>
      </c>
      <c r="E54" s="2" t="s">
        <v>38</v>
      </c>
      <c r="F54" s="2" t="s">
        <v>123</v>
      </c>
      <c r="G54" s="2" t="s">
        <v>50</v>
      </c>
      <c r="H54" s="2">
        <v>21</v>
      </c>
      <c r="I54" s="7">
        <f>H54*250.39</f>
        <v>5258.19</v>
      </c>
    </row>
    <row r="55" spans="1:9" x14ac:dyDescent="0.25">
      <c r="A55" s="2" t="s">
        <v>824</v>
      </c>
      <c r="B55" s="6">
        <v>46198</v>
      </c>
      <c r="C55" s="2" t="s">
        <v>481</v>
      </c>
      <c r="D55" s="2" t="s">
        <v>24</v>
      </c>
      <c r="E55" s="2" t="s">
        <v>28</v>
      </c>
      <c r="F55" s="2" t="s">
        <v>49</v>
      </c>
      <c r="G55" s="2" t="s">
        <v>50</v>
      </c>
      <c r="H55" s="2">
        <v>6</v>
      </c>
      <c r="I55" s="7">
        <f>H55*242.36</f>
        <v>1454.16</v>
      </c>
    </row>
    <row r="56" spans="1:9" x14ac:dyDescent="0.25">
      <c r="A56" s="2" t="s">
        <v>825</v>
      </c>
      <c r="B56" s="6">
        <v>46120</v>
      </c>
      <c r="C56" s="2" t="s">
        <v>826</v>
      </c>
      <c r="D56" s="2" t="s">
        <v>19</v>
      </c>
      <c r="E56" s="2" t="s">
        <v>23</v>
      </c>
      <c r="F56" s="2" t="s">
        <v>40</v>
      </c>
      <c r="G56" s="2" t="s">
        <v>31</v>
      </c>
      <c r="H56" s="2">
        <v>37</v>
      </c>
      <c r="I56" s="7">
        <f>H56*165.1</f>
        <v>6108.7</v>
      </c>
    </row>
    <row r="57" spans="1:9" x14ac:dyDescent="0.25">
      <c r="A57" s="2" t="s">
        <v>827</v>
      </c>
      <c r="B57" s="6">
        <v>46150</v>
      </c>
      <c r="C57" s="2" t="s">
        <v>828</v>
      </c>
      <c r="D57" s="2" t="s">
        <v>59</v>
      </c>
      <c r="E57" s="2" t="s">
        <v>18</v>
      </c>
      <c r="F57" s="2" t="s">
        <v>40</v>
      </c>
      <c r="G57" s="2" t="s">
        <v>31</v>
      </c>
      <c r="H57" s="2">
        <v>15</v>
      </c>
      <c r="I57" s="7">
        <f>H57*125.65</f>
        <v>1884.75</v>
      </c>
    </row>
    <row r="58" spans="1:9" x14ac:dyDescent="0.25">
      <c r="A58" s="2" t="s">
        <v>829</v>
      </c>
      <c r="B58" s="6">
        <v>46044</v>
      </c>
      <c r="C58" s="2" t="s">
        <v>661</v>
      </c>
      <c r="D58" s="2" t="s">
        <v>54</v>
      </c>
      <c r="E58" s="2" t="s">
        <v>47</v>
      </c>
      <c r="F58" s="2" t="s">
        <v>15</v>
      </c>
      <c r="G58" s="2" t="s">
        <v>16</v>
      </c>
      <c r="H58" s="2">
        <v>32</v>
      </c>
      <c r="I58" s="7">
        <f>H58*370.23</f>
        <v>11847.36</v>
      </c>
    </row>
    <row r="59" spans="1:9" x14ac:dyDescent="0.25">
      <c r="A59" s="2" t="s">
        <v>830</v>
      </c>
      <c r="B59" s="6">
        <v>46284</v>
      </c>
      <c r="C59" s="2" t="s">
        <v>831</v>
      </c>
      <c r="D59" s="2" t="s">
        <v>59</v>
      </c>
      <c r="E59" s="2" t="s">
        <v>85</v>
      </c>
      <c r="F59" s="2" t="s">
        <v>36</v>
      </c>
      <c r="G59" s="2" t="s">
        <v>21</v>
      </c>
      <c r="H59" s="2">
        <v>32</v>
      </c>
      <c r="I59" s="7">
        <f>H59*113.81</f>
        <v>3641.92</v>
      </c>
    </row>
    <row r="60" spans="1:9" x14ac:dyDescent="0.25">
      <c r="A60" s="2" t="s">
        <v>832</v>
      </c>
      <c r="B60" s="6">
        <v>46267</v>
      </c>
      <c r="C60" s="2" t="s">
        <v>748</v>
      </c>
      <c r="D60" s="2" t="s">
        <v>54</v>
      </c>
      <c r="E60" s="2" t="s">
        <v>79</v>
      </c>
      <c r="F60" s="2" t="s">
        <v>96</v>
      </c>
      <c r="G60" s="2" t="s">
        <v>50</v>
      </c>
      <c r="H60" s="2">
        <v>34</v>
      </c>
      <c r="I60" s="7">
        <f>H60*480.57</f>
        <v>16339.38</v>
      </c>
    </row>
    <row r="61" spans="1:9" x14ac:dyDescent="0.25">
      <c r="A61" s="2" t="s">
        <v>833</v>
      </c>
      <c r="B61" s="6">
        <v>46258</v>
      </c>
      <c r="C61" s="2" t="s">
        <v>464</v>
      </c>
      <c r="D61" s="2" t="s">
        <v>45</v>
      </c>
      <c r="E61" s="2" t="s">
        <v>23</v>
      </c>
      <c r="F61" s="2" t="s">
        <v>52</v>
      </c>
      <c r="G61" s="2" t="s">
        <v>50</v>
      </c>
      <c r="H61" s="2">
        <v>8</v>
      </c>
      <c r="I61" s="7">
        <f>H61*420.46</f>
        <v>3363.68</v>
      </c>
    </row>
    <row r="62" spans="1:9" x14ac:dyDescent="0.25">
      <c r="A62" s="2" t="s">
        <v>834</v>
      </c>
      <c r="B62" s="6">
        <v>46155</v>
      </c>
      <c r="C62" s="2" t="s">
        <v>696</v>
      </c>
      <c r="D62" s="2" t="s">
        <v>19</v>
      </c>
      <c r="E62" s="2" t="s">
        <v>38</v>
      </c>
      <c r="F62" s="2" t="s">
        <v>55</v>
      </c>
      <c r="G62" s="2" t="s">
        <v>56</v>
      </c>
      <c r="H62" s="2">
        <v>21</v>
      </c>
      <c r="I62" s="7">
        <f>H62*220.15</f>
        <v>4623.1500000000005</v>
      </c>
    </row>
    <row r="63" spans="1:9" x14ac:dyDescent="0.25">
      <c r="A63" s="2" t="s">
        <v>835</v>
      </c>
      <c r="B63" s="6">
        <v>46240</v>
      </c>
      <c r="C63" s="2" t="s">
        <v>755</v>
      </c>
      <c r="D63" s="2" t="s">
        <v>59</v>
      </c>
      <c r="E63" s="2" t="s">
        <v>28</v>
      </c>
      <c r="F63" s="2" t="s">
        <v>74</v>
      </c>
      <c r="G63" s="2" t="s">
        <v>56</v>
      </c>
      <c r="H63" s="2">
        <v>24</v>
      </c>
      <c r="I63" s="7">
        <f>H63*114.43</f>
        <v>2746.32</v>
      </c>
    </row>
    <row r="64" spans="1:9" x14ac:dyDescent="0.25">
      <c r="A64" s="2" t="s">
        <v>836</v>
      </c>
      <c r="B64" s="6">
        <v>46090</v>
      </c>
      <c r="C64" s="2" t="s">
        <v>837</v>
      </c>
      <c r="D64" s="2" t="s">
        <v>59</v>
      </c>
      <c r="E64" s="2" t="s">
        <v>18</v>
      </c>
      <c r="F64" s="2" t="s">
        <v>69</v>
      </c>
      <c r="G64" s="2" t="s">
        <v>31</v>
      </c>
      <c r="H64" s="2">
        <v>18</v>
      </c>
      <c r="I64" s="7">
        <f>H64*273.18</f>
        <v>4917.24</v>
      </c>
    </row>
    <row r="65" spans="1:9" x14ac:dyDescent="0.25">
      <c r="A65" s="2" t="s">
        <v>838</v>
      </c>
      <c r="B65" s="6">
        <v>46218</v>
      </c>
      <c r="C65" s="2" t="s">
        <v>387</v>
      </c>
      <c r="D65" s="2" t="s">
        <v>19</v>
      </c>
      <c r="E65" s="2" t="s">
        <v>47</v>
      </c>
      <c r="F65" s="2" t="s">
        <v>40</v>
      </c>
      <c r="G65" s="2" t="s">
        <v>31</v>
      </c>
      <c r="H65" s="2">
        <v>36</v>
      </c>
      <c r="I65" s="7">
        <f>H65*262.17</f>
        <v>9438.1200000000008</v>
      </c>
    </row>
    <row r="66" spans="1:9" x14ac:dyDescent="0.25">
      <c r="A66" s="2" t="s">
        <v>839</v>
      </c>
      <c r="B66" s="6">
        <v>46287</v>
      </c>
      <c r="C66" s="2" t="s">
        <v>840</v>
      </c>
      <c r="D66" s="2" t="s">
        <v>59</v>
      </c>
      <c r="E66" s="2" t="s">
        <v>47</v>
      </c>
      <c r="F66" s="2" t="s">
        <v>26</v>
      </c>
      <c r="G66" s="2" t="s">
        <v>16</v>
      </c>
      <c r="H66" s="2">
        <v>27</v>
      </c>
      <c r="I66" s="7">
        <f>H66*302.26</f>
        <v>8161.0199999999995</v>
      </c>
    </row>
    <row r="67" spans="1:9" x14ac:dyDescent="0.25">
      <c r="A67" s="2" t="s">
        <v>841</v>
      </c>
      <c r="B67" s="6">
        <v>46047</v>
      </c>
      <c r="C67" s="2" t="s">
        <v>526</v>
      </c>
      <c r="D67" s="2" t="s">
        <v>19</v>
      </c>
      <c r="E67" s="2" t="s">
        <v>35</v>
      </c>
      <c r="F67" s="2" t="s">
        <v>102</v>
      </c>
      <c r="G67" s="2" t="s">
        <v>31</v>
      </c>
      <c r="H67" s="2">
        <v>36</v>
      </c>
      <c r="I67" s="7">
        <f>H67*515.81</f>
        <v>18569.159999999996</v>
      </c>
    </row>
    <row r="68" spans="1:9" x14ac:dyDescent="0.25">
      <c r="A68" s="2" t="s">
        <v>842</v>
      </c>
      <c r="B68" s="6">
        <v>46072</v>
      </c>
      <c r="C68" s="2" t="s">
        <v>843</v>
      </c>
      <c r="D68" s="2" t="s">
        <v>54</v>
      </c>
      <c r="E68" s="2" t="s">
        <v>28</v>
      </c>
      <c r="F68" s="2" t="s">
        <v>49</v>
      </c>
      <c r="G68" s="2" t="s">
        <v>50</v>
      </c>
      <c r="H68" s="2">
        <v>31</v>
      </c>
      <c r="I68" s="7">
        <f>H68*504.19</f>
        <v>15629.89</v>
      </c>
    </row>
    <row r="69" spans="1:9" x14ac:dyDescent="0.25">
      <c r="A69" s="2" t="s">
        <v>844</v>
      </c>
      <c r="B69" s="6">
        <v>46085</v>
      </c>
      <c r="C69" s="2" t="s">
        <v>845</v>
      </c>
      <c r="D69" s="2" t="s">
        <v>29</v>
      </c>
      <c r="E69" s="2" t="s">
        <v>23</v>
      </c>
      <c r="F69" s="2" t="s">
        <v>102</v>
      </c>
      <c r="G69" s="2" t="s">
        <v>31</v>
      </c>
      <c r="H69" s="2">
        <v>23</v>
      </c>
      <c r="I69" s="7">
        <f>H69*16.8</f>
        <v>386.40000000000003</v>
      </c>
    </row>
    <row r="70" spans="1:9" x14ac:dyDescent="0.25">
      <c r="A70" s="2" t="s">
        <v>846</v>
      </c>
      <c r="B70" s="6">
        <v>46284</v>
      </c>
      <c r="C70" s="2" t="s">
        <v>847</v>
      </c>
      <c r="D70" s="2" t="s">
        <v>24</v>
      </c>
      <c r="E70" s="2" t="s">
        <v>18</v>
      </c>
      <c r="F70" s="2" t="s">
        <v>43</v>
      </c>
      <c r="G70" s="2" t="s">
        <v>21</v>
      </c>
      <c r="H70" s="2">
        <v>19</v>
      </c>
      <c r="I70" s="7">
        <f>H70*216.29</f>
        <v>4109.51</v>
      </c>
    </row>
    <row r="71" spans="1:9" x14ac:dyDescent="0.25">
      <c r="A71" s="2" t="s">
        <v>848</v>
      </c>
      <c r="B71" s="6">
        <v>46097</v>
      </c>
      <c r="C71" s="2" t="s">
        <v>403</v>
      </c>
      <c r="D71" s="2" t="s">
        <v>24</v>
      </c>
      <c r="E71" s="2" t="s">
        <v>85</v>
      </c>
      <c r="F71" s="2" t="s">
        <v>74</v>
      </c>
      <c r="G71" s="2" t="s">
        <v>56</v>
      </c>
      <c r="H71" s="2">
        <v>30</v>
      </c>
      <c r="I71" s="7">
        <f>H71*380.87</f>
        <v>11426.1</v>
      </c>
    </row>
    <row r="72" spans="1:9" x14ac:dyDescent="0.25">
      <c r="A72" s="2" t="s">
        <v>849</v>
      </c>
      <c r="B72" s="6">
        <v>46198</v>
      </c>
      <c r="C72" s="2" t="s">
        <v>850</v>
      </c>
      <c r="D72" s="2" t="s">
        <v>14</v>
      </c>
      <c r="E72" s="2" t="s">
        <v>38</v>
      </c>
      <c r="F72" s="2" t="s">
        <v>67</v>
      </c>
      <c r="G72" s="2" t="s">
        <v>21</v>
      </c>
      <c r="H72" s="2">
        <v>5</v>
      </c>
      <c r="I72" s="7">
        <f>H72*52.07</f>
        <v>260.35000000000002</v>
      </c>
    </row>
    <row r="73" spans="1:9" x14ac:dyDescent="0.25">
      <c r="A73" s="2" t="s">
        <v>851</v>
      </c>
      <c r="B73" s="6">
        <v>46208</v>
      </c>
      <c r="C73" s="2" t="s">
        <v>563</v>
      </c>
      <c r="D73" s="2" t="s">
        <v>24</v>
      </c>
      <c r="E73" s="2" t="s">
        <v>13</v>
      </c>
      <c r="F73" s="2" t="s">
        <v>69</v>
      </c>
      <c r="G73" s="2" t="s">
        <v>31</v>
      </c>
      <c r="H73" s="2">
        <v>18</v>
      </c>
      <c r="I73" s="7">
        <f>H73*533.18</f>
        <v>9597.24</v>
      </c>
    </row>
    <row r="74" spans="1:9" x14ac:dyDescent="0.25">
      <c r="A74" s="2" t="s">
        <v>852</v>
      </c>
      <c r="B74" s="6">
        <v>46151</v>
      </c>
      <c r="C74" s="2" t="s">
        <v>853</v>
      </c>
      <c r="D74" s="2" t="s">
        <v>24</v>
      </c>
      <c r="E74" s="2" t="s">
        <v>18</v>
      </c>
      <c r="F74" s="2" t="s">
        <v>96</v>
      </c>
      <c r="G74" s="2" t="s">
        <v>50</v>
      </c>
      <c r="H74" s="2">
        <v>9</v>
      </c>
      <c r="I74" s="7">
        <f>H74*438.02</f>
        <v>3942.18</v>
      </c>
    </row>
    <row r="75" spans="1:9" x14ac:dyDescent="0.25">
      <c r="A75" s="2" t="s">
        <v>854</v>
      </c>
      <c r="B75" s="6">
        <v>46036</v>
      </c>
      <c r="C75" s="2" t="s">
        <v>586</v>
      </c>
      <c r="D75" s="2" t="s">
        <v>45</v>
      </c>
      <c r="E75" s="2" t="s">
        <v>38</v>
      </c>
      <c r="F75" s="2" t="s">
        <v>15</v>
      </c>
      <c r="G75" s="2" t="s">
        <v>16</v>
      </c>
      <c r="H75" s="2">
        <v>31</v>
      </c>
      <c r="I75" s="7">
        <f>H75*331.32</f>
        <v>10270.92</v>
      </c>
    </row>
    <row r="76" spans="1:9" x14ac:dyDescent="0.25">
      <c r="A76" s="2" t="s">
        <v>855</v>
      </c>
      <c r="B76" s="6">
        <v>46222</v>
      </c>
      <c r="C76" s="2" t="s">
        <v>680</v>
      </c>
      <c r="D76" s="2" t="s">
        <v>14</v>
      </c>
      <c r="E76" s="2" t="s">
        <v>38</v>
      </c>
      <c r="F76" s="2" t="s">
        <v>43</v>
      </c>
      <c r="G76" s="2" t="s">
        <v>21</v>
      </c>
      <c r="H76" s="2">
        <v>6</v>
      </c>
      <c r="I76" s="7">
        <f>H76*394.63</f>
        <v>2367.7799999999997</v>
      </c>
    </row>
    <row r="77" spans="1:9" x14ac:dyDescent="0.25">
      <c r="A77" s="2" t="s">
        <v>856</v>
      </c>
      <c r="B77" s="6">
        <v>46110</v>
      </c>
      <c r="C77" s="2" t="s">
        <v>409</v>
      </c>
      <c r="D77" s="2" t="s">
        <v>54</v>
      </c>
      <c r="E77" s="2" t="s">
        <v>28</v>
      </c>
      <c r="F77" s="2" t="s">
        <v>77</v>
      </c>
      <c r="G77" s="2" t="s">
        <v>56</v>
      </c>
      <c r="H77" s="2">
        <v>9</v>
      </c>
      <c r="I77" s="7">
        <f>H77*318.41</f>
        <v>2865.69</v>
      </c>
    </row>
    <row r="78" spans="1:9" x14ac:dyDescent="0.25">
      <c r="A78" s="2" t="s">
        <v>857</v>
      </c>
      <c r="B78" s="6">
        <v>46250</v>
      </c>
      <c r="C78" s="2" t="s">
        <v>858</v>
      </c>
      <c r="D78" s="2" t="s">
        <v>19</v>
      </c>
      <c r="E78" s="2" t="s">
        <v>85</v>
      </c>
      <c r="F78" s="2" t="s">
        <v>112</v>
      </c>
      <c r="G78" s="2" t="s">
        <v>56</v>
      </c>
      <c r="H78" s="2">
        <v>35</v>
      </c>
      <c r="I78" s="7">
        <f>H78*561.24</f>
        <v>19643.400000000001</v>
      </c>
    </row>
    <row r="79" spans="1:9" x14ac:dyDescent="0.25">
      <c r="A79" s="2" t="s">
        <v>859</v>
      </c>
      <c r="B79" s="6">
        <v>46181</v>
      </c>
      <c r="C79" s="2" t="s">
        <v>687</v>
      </c>
      <c r="D79" s="2" t="s">
        <v>19</v>
      </c>
      <c r="E79" s="2" t="s">
        <v>18</v>
      </c>
      <c r="F79" s="2" t="s">
        <v>67</v>
      </c>
      <c r="G79" s="2" t="s">
        <v>21</v>
      </c>
      <c r="H79" s="2">
        <v>37</v>
      </c>
      <c r="I79" s="7">
        <f>H79*263.81</f>
        <v>9760.9699999999993</v>
      </c>
    </row>
    <row r="80" spans="1:9" x14ac:dyDescent="0.25">
      <c r="A80" s="2" t="s">
        <v>860</v>
      </c>
      <c r="B80" s="6">
        <v>46102</v>
      </c>
      <c r="C80" s="2" t="s">
        <v>861</v>
      </c>
      <c r="D80" s="2" t="s">
        <v>29</v>
      </c>
      <c r="E80" s="2" t="s">
        <v>13</v>
      </c>
      <c r="F80" s="2" t="s">
        <v>74</v>
      </c>
      <c r="G80" s="2" t="s">
        <v>56</v>
      </c>
      <c r="H80" s="2">
        <v>24</v>
      </c>
      <c r="I80" s="7">
        <f>H80*250.26</f>
        <v>6006.24</v>
      </c>
    </row>
    <row r="81" spans="1:9" x14ac:dyDescent="0.25">
      <c r="A81" s="2" t="s">
        <v>862</v>
      </c>
      <c r="B81" s="6">
        <v>46274</v>
      </c>
      <c r="C81" s="2" t="s">
        <v>863</v>
      </c>
      <c r="D81" s="2" t="s">
        <v>59</v>
      </c>
      <c r="E81" s="2" t="s">
        <v>79</v>
      </c>
      <c r="F81" s="2" t="s">
        <v>102</v>
      </c>
      <c r="G81" s="2" t="s">
        <v>31</v>
      </c>
      <c r="H81" s="2">
        <v>31</v>
      </c>
      <c r="I81" s="7">
        <f>H81*323.38</f>
        <v>10024.780000000001</v>
      </c>
    </row>
    <row r="82" spans="1:9" x14ac:dyDescent="0.25">
      <c r="A82" s="2" t="s">
        <v>864</v>
      </c>
      <c r="B82" s="6">
        <v>46119</v>
      </c>
      <c r="C82" s="2" t="s">
        <v>865</v>
      </c>
      <c r="D82" s="2" t="s">
        <v>24</v>
      </c>
      <c r="E82" s="2" t="s">
        <v>23</v>
      </c>
      <c r="F82" s="2" t="s">
        <v>40</v>
      </c>
      <c r="G82" s="2" t="s">
        <v>31</v>
      </c>
      <c r="H82" s="2">
        <v>1</v>
      </c>
      <c r="I82" s="7">
        <f>H82*331.19</f>
        <v>331.19</v>
      </c>
    </row>
    <row r="83" spans="1:9" x14ac:dyDescent="0.25">
      <c r="A83" s="2" t="s">
        <v>866</v>
      </c>
      <c r="B83" s="6">
        <v>46063</v>
      </c>
      <c r="C83" s="2" t="s">
        <v>509</v>
      </c>
      <c r="D83" s="2" t="s">
        <v>29</v>
      </c>
      <c r="E83" s="2" t="s">
        <v>85</v>
      </c>
      <c r="F83" s="2" t="s">
        <v>52</v>
      </c>
      <c r="G83" s="2" t="s">
        <v>50</v>
      </c>
      <c r="H83" s="2">
        <v>25</v>
      </c>
      <c r="I83" s="7">
        <f>H83*136.25</f>
        <v>3406.25</v>
      </c>
    </row>
    <row r="84" spans="1:9" x14ac:dyDescent="0.25">
      <c r="A84" s="2" t="s">
        <v>867</v>
      </c>
      <c r="B84" s="6">
        <v>46234</v>
      </c>
      <c r="C84" s="2" t="s">
        <v>528</v>
      </c>
      <c r="D84" s="2" t="s">
        <v>19</v>
      </c>
      <c r="E84" s="2" t="s">
        <v>13</v>
      </c>
      <c r="F84" s="2" t="s">
        <v>102</v>
      </c>
      <c r="G84" s="2" t="s">
        <v>31</v>
      </c>
      <c r="H84" s="2">
        <v>35</v>
      </c>
      <c r="I84" s="7">
        <f>H84*486.24</f>
        <v>17018.400000000001</v>
      </c>
    </row>
    <row r="85" spans="1:9" x14ac:dyDescent="0.25">
      <c r="A85" s="2" t="s">
        <v>868</v>
      </c>
      <c r="B85" s="6">
        <v>46162</v>
      </c>
      <c r="C85" s="2" t="s">
        <v>869</v>
      </c>
      <c r="D85" s="2" t="s">
        <v>54</v>
      </c>
      <c r="E85" s="2" t="s">
        <v>35</v>
      </c>
      <c r="F85" s="2" t="s">
        <v>30</v>
      </c>
      <c r="G85" s="2" t="s">
        <v>31</v>
      </c>
      <c r="H85" s="2">
        <v>30</v>
      </c>
      <c r="I85" s="7">
        <f>H85*372.55</f>
        <v>11176.5</v>
      </c>
    </row>
    <row r="86" spans="1:9" x14ac:dyDescent="0.25">
      <c r="A86" s="2" t="s">
        <v>870</v>
      </c>
      <c r="B86" s="6">
        <v>46075</v>
      </c>
      <c r="C86" s="2" t="s">
        <v>871</v>
      </c>
      <c r="D86" s="2" t="s">
        <v>14</v>
      </c>
      <c r="E86" s="2" t="s">
        <v>47</v>
      </c>
      <c r="F86" s="2" t="s">
        <v>96</v>
      </c>
      <c r="G86" s="2" t="s">
        <v>50</v>
      </c>
      <c r="H86" s="2">
        <v>35</v>
      </c>
      <c r="I86" s="7">
        <f>H86*18.17</f>
        <v>635.95000000000005</v>
      </c>
    </row>
    <row r="87" spans="1:9" x14ac:dyDescent="0.25">
      <c r="A87" s="2" t="s">
        <v>872</v>
      </c>
      <c r="B87" s="6">
        <v>46275</v>
      </c>
      <c r="C87" s="2" t="s">
        <v>659</v>
      </c>
      <c r="D87" s="2" t="s">
        <v>54</v>
      </c>
      <c r="E87" s="2" t="s">
        <v>47</v>
      </c>
      <c r="F87" s="2" t="s">
        <v>26</v>
      </c>
      <c r="G87" s="2" t="s">
        <v>16</v>
      </c>
      <c r="H87" s="2">
        <v>6</v>
      </c>
      <c r="I87" s="7">
        <f>H87*94.66</f>
        <v>567.96</v>
      </c>
    </row>
    <row r="88" spans="1:9" x14ac:dyDescent="0.25">
      <c r="A88" s="2" t="s">
        <v>873</v>
      </c>
      <c r="B88" s="6">
        <v>46097</v>
      </c>
      <c r="C88" s="2" t="s">
        <v>874</v>
      </c>
      <c r="D88" s="2" t="s">
        <v>45</v>
      </c>
      <c r="E88" s="2" t="s">
        <v>42</v>
      </c>
      <c r="F88" s="2" t="s">
        <v>69</v>
      </c>
      <c r="G88" s="2" t="s">
        <v>31</v>
      </c>
      <c r="H88" s="2">
        <v>3</v>
      </c>
      <c r="I88" s="7">
        <f>H88*201.5</f>
        <v>604.5</v>
      </c>
    </row>
    <row r="89" spans="1:9" x14ac:dyDescent="0.25">
      <c r="A89" s="2" t="s">
        <v>875</v>
      </c>
      <c r="B89" s="6">
        <v>46151</v>
      </c>
      <c r="C89" s="2" t="s">
        <v>434</v>
      </c>
      <c r="D89" s="2" t="s">
        <v>45</v>
      </c>
      <c r="E89" s="2" t="s">
        <v>23</v>
      </c>
      <c r="F89" s="2" t="s">
        <v>77</v>
      </c>
      <c r="G89" s="2" t="s">
        <v>56</v>
      </c>
      <c r="H89" s="2">
        <v>13</v>
      </c>
      <c r="I89" s="7">
        <f>H89*537.94</f>
        <v>6993.2200000000012</v>
      </c>
    </row>
    <row r="90" spans="1:9" x14ac:dyDescent="0.25">
      <c r="A90" s="2" t="s">
        <v>876</v>
      </c>
      <c r="B90" s="6">
        <v>46040</v>
      </c>
      <c r="C90" s="2" t="s">
        <v>755</v>
      </c>
      <c r="D90" s="2" t="s">
        <v>59</v>
      </c>
      <c r="E90" s="2" t="s">
        <v>18</v>
      </c>
      <c r="F90" s="2" t="s">
        <v>112</v>
      </c>
      <c r="G90" s="2" t="s">
        <v>56</v>
      </c>
      <c r="H90" s="2">
        <v>16</v>
      </c>
      <c r="I90" s="7">
        <f>H90*443.88</f>
        <v>7102.08</v>
      </c>
    </row>
    <row r="91" spans="1:9" x14ac:dyDescent="0.25">
      <c r="A91" s="2" t="s">
        <v>877</v>
      </c>
      <c r="B91" s="6">
        <v>46182</v>
      </c>
      <c r="C91" s="2" t="s">
        <v>878</v>
      </c>
      <c r="D91" s="2" t="s">
        <v>14</v>
      </c>
      <c r="E91" s="2" t="s">
        <v>35</v>
      </c>
      <c r="F91" s="2" t="s">
        <v>43</v>
      </c>
      <c r="G91" s="2" t="s">
        <v>21</v>
      </c>
      <c r="H91" s="2">
        <v>31</v>
      </c>
      <c r="I91" s="7">
        <f>H91*236.53</f>
        <v>7332.43</v>
      </c>
    </row>
    <row r="92" spans="1:9" x14ac:dyDescent="0.25">
      <c r="A92" s="2" t="s">
        <v>879</v>
      </c>
      <c r="B92" s="6">
        <v>46175</v>
      </c>
      <c r="C92" s="2" t="s">
        <v>880</v>
      </c>
      <c r="D92" s="2" t="s">
        <v>59</v>
      </c>
      <c r="E92" s="2" t="s">
        <v>23</v>
      </c>
      <c r="F92" s="2" t="s">
        <v>20</v>
      </c>
      <c r="G92" s="2" t="s">
        <v>21</v>
      </c>
      <c r="H92" s="2">
        <v>17</v>
      </c>
      <c r="I92" s="7">
        <f>H92*291.33</f>
        <v>4952.6099999999997</v>
      </c>
    </row>
    <row r="93" spans="1:9" x14ac:dyDescent="0.25">
      <c r="A93" s="2" t="s">
        <v>881</v>
      </c>
      <c r="B93" s="6">
        <v>46108</v>
      </c>
      <c r="C93" s="2" t="s">
        <v>613</v>
      </c>
      <c r="D93" s="2" t="s">
        <v>24</v>
      </c>
      <c r="E93" s="2" t="s">
        <v>23</v>
      </c>
      <c r="F93" s="2" t="s">
        <v>26</v>
      </c>
      <c r="G93" s="2" t="s">
        <v>16</v>
      </c>
      <c r="H93" s="2">
        <v>28</v>
      </c>
      <c r="I93" s="7">
        <f>H93*198.09</f>
        <v>5546.52</v>
      </c>
    </row>
    <row r="94" spans="1:9" x14ac:dyDescent="0.25">
      <c r="A94" s="2" t="s">
        <v>882</v>
      </c>
      <c r="B94" s="6">
        <v>46266</v>
      </c>
      <c r="C94" s="2" t="s">
        <v>442</v>
      </c>
      <c r="D94" s="2" t="s">
        <v>59</v>
      </c>
      <c r="E94" s="2" t="s">
        <v>18</v>
      </c>
      <c r="F94" s="2" t="s">
        <v>15</v>
      </c>
      <c r="G94" s="2" t="s">
        <v>16</v>
      </c>
      <c r="H94" s="2">
        <v>38</v>
      </c>
      <c r="I94" s="7">
        <f>H94*471.17</f>
        <v>17904.46</v>
      </c>
    </row>
    <row r="95" spans="1:9" x14ac:dyDescent="0.25">
      <c r="A95" s="2" t="s">
        <v>883</v>
      </c>
      <c r="B95" s="6">
        <v>46196</v>
      </c>
      <c r="C95" s="2" t="s">
        <v>884</v>
      </c>
      <c r="D95" s="2" t="s">
        <v>14</v>
      </c>
      <c r="E95" s="2" t="s">
        <v>13</v>
      </c>
      <c r="F95" s="2" t="s">
        <v>123</v>
      </c>
      <c r="G95" s="2" t="s">
        <v>50</v>
      </c>
      <c r="H95" s="2">
        <v>32</v>
      </c>
      <c r="I95" s="7">
        <f>H95*59.38</f>
        <v>1900.16</v>
      </c>
    </row>
    <row r="96" spans="1:9" x14ac:dyDescent="0.25">
      <c r="A96" s="2" t="s">
        <v>885</v>
      </c>
      <c r="B96" s="6">
        <v>46185</v>
      </c>
      <c r="C96" s="2" t="s">
        <v>886</v>
      </c>
      <c r="D96" s="2" t="s">
        <v>59</v>
      </c>
      <c r="E96" s="2" t="s">
        <v>28</v>
      </c>
      <c r="F96" s="2" t="s">
        <v>20</v>
      </c>
      <c r="G96" s="2" t="s">
        <v>21</v>
      </c>
      <c r="H96" s="2">
        <v>9</v>
      </c>
      <c r="I96" s="7">
        <f>H96*295.27</f>
        <v>2657.43</v>
      </c>
    </row>
    <row r="97" spans="1:9" x14ac:dyDescent="0.25">
      <c r="A97" s="2" t="s">
        <v>887</v>
      </c>
      <c r="B97" s="6">
        <v>46206</v>
      </c>
      <c r="C97" s="2" t="s">
        <v>473</v>
      </c>
      <c r="D97" s="2" t="s">
        <v>24</v>
      </c>
      <c r="E97" s="2" t="s">
        <v>47</v>
      </c>
      <c r="F97" s="2" t="s">
        <v>77</v>
      </c>
      <c r="G97" s="2" t="s">
        <v>56</v>
      </c>
      <c r="H97" s="2">
        <v>2</v>
      </c>
      <c r="I97" s="7">
        <f>H97*415.1</f>
        <v>830.2</v>
      </c>
    </row>
    <row r="98" spans="1:9" x14ac:dyDescent="0.25">
      <c r="A98" s="2" t="s">
        <v>888</v>
      </c>
      <c r="B98" s="6">
        <v>46120</v>
      </c>
      <c r="C98" s="2" t="s">
        <v>763</v>
      </c>
      <c r="D98" s="2" t="s">
        <v>54</v>
      </c>
      <c r="E98" s="2" t="s">
        <v>28</v>
      </c>
      <c r="F98" s="2" t="s">
        <v>36</v>
      </c>
      <c r="G98" s="2" t="s">
        <v>21</v>
      </c>
      <c r="H98" s="2">
        <v>35</v>
      </c>
      <c r="I98" s="7">
        <f>H98*419.74</f>
        <v>14690.9</v>
      </c>
    </row>
    <row r="99" spans="1:9" x14ac:dyDescent="0.25">
      <c r="A99" s="2" t="s">
        <v>889</v>
      </c>
      <c r="B99" s="6">
        <v>46105</v>
      </c>
      <c r="C99" s="2" t="s">
        <v>481</v>
      </c>
      <c r="D99" s="2" t="s">
        <v>24</v>
      </c>
      <c r="E99" s="2" t="s">
        <v>38</v>
      </c>
      <c r="F99" s="2" t="s">
        <v>74</v>
      </c>
      <c r="G99" s="2" t="s">
        <v>56</v>
      </c>
      <c r="H99" s="2">
        <v>39</v>
      </c>
      <c r="I99" s="7">
        <f>H99*549.11</f>
        <v>21415.29</v>
      </c>
    </row>
    <row r="100" spans="1:9" x14ac:dyDescent="0.25">
      <c r="A100" s="2" t="s">
        <v>890</v>
      </c>
      <c r="B100" s="6">
        <v>46282</v>
      </c>
      <c r="C100" s="2" t="s">
        <v>636</v>
      </c>
      <c r="D100" s="2" t="s">
        <v>45</v>
      </c>
      <c r="E100" s="2" t="s">
        <v>85</v>
      </c>
      <c r="F100" s="2" t="s">
        <v>102</v>
      </c>
      <c r="G100" s="2" t="s">
        <v>31</v>
      </c>
      <c r="H100" s="2">
        <v>30</v>
      </c>
      <c r="I100" s="7">
        <f>H100*5.43</f>
        <v>162.89999999999998</v>
      </c>
    </row>
    <row r="101" spans="1:9" x14ac:dyDescent="0.25">
      <c r="A101" s="2" t="s">
        <v>891</v>
      </c>
      <c r="B101" s="6">
        <v>46221</v>
      </c>
      <c r="C101" s="2" t="s">
        <v>892</v>
      </c>
      <c r="D101" s="2" t="s">
        <v>24</v>
      </c>
      <c r="E101" s="2" t="s">
        <v>42</v>
      </c>
      <c r="F101" s="2" t="s">
        <v>40</v>
      </c>
      <c r="G101" s="2" t="s">
        <v>31</v>
      </c>
      <c r="H101" s="2">
        <v>21</v>
      </c>
      <c r="I101" s="7">
        <f>H101*434</f>
        <v>9114</v>
      </c>
    </row>
    <row r="102" spans="1:9" x14ac:dyDescent="0.25">
      <c r="A102" s="2" t="s">
        <v>893</v>
      </c>
      <c r="B102" s="6">
        <v>46187</v>
      </c>
      <c r="C102" s="2" t="s">
        <v>411</v>
      </c>
      <c r="D102" s="2" t="s">
        <v>14</v>
      </c>
      <c r="E102" s="2" t="s">
        <v>18</v>
      </c>
      <c r="F102" s="2" t="s">
        <v>49</v>
      </c>
      <c r="G102" s="2" t="s">
        <v>50</v>
      </c>
      <c r="H102" s="2">
        <v>21</v>
      </c>
      <c r="I102" s="7">
        <f>H102*248.83</f>
        <v>5225.43</v>
      </c>
    </row>
    <row r="103" spans="1:9" x14ac:dyDescent="0.25">
      <c r="A103" s="2" t="s">
        <v>894</v>
      </c>
      <c r="B103" s="6">
        <v>46126</v>
      </c>
      <c r="C103" s="2" t="s">
        <v>895</v>
      </c>
      <c r="D103" s="2" t="s">
        <v>45</v>
      </c>
      <c r="E103" s="2" t="s">
        <v>35</v>
      </c>
      <c r="F103" s="2" t="s">
        <v>26</v>
      </c>
      <c r="G103" s="2" t="s">
        <v>16</v>
      </c>
      <c r="H103" s="2">
        <v>12</v>
      </c>
      <c r="I103" s="7">
        <f>H103*524.73</f>
        <v>6296.76</v>
      </c>
    </row>
    <row r="104" spans="1:9" x14ac:dyDescent="0.25">
      <c r="A104" s="2" t="s">
        <v>896</v>
      </c>
      <c r="B104" s="6">
        <v>46154</v>
      </c>
      <c r="C104" s="2" t="s">
        <v>897</v>
      </c>
      <c r="D104" s="2" t="s">
        <v>29</v>
      </c>
      <c r="E104" s="2" t="s">
        <v>18</v>
      </c>
      <c r="F104" s="2" t="s">
        <v>67</v>
      </c>
      <c r="G104" s="2" t="s">
        <v>21</v>
      </c>
      <c r="H104" s="2">
        <v>32</v>
      </c>
      <c r="I104" s="7">
        <f>H104*317.86</f>
        <v>10171.52</v>
      </c>
    </row>
    <row r="105" spans="1:9" x14ac:dyDescent="0.25">
      <c r="A105" s="2" t="s">
        <v>898</v>
      </c>
      <c r="B105" s="6">
        <v>46063</v>
      </c>
      <c r="C105" s="2" t="s">
        <v>899</v>
      </c>
      <c r="D105" s="2" t="s">
        <v>45</v>
      </c>
      <c r="E105" s="2" t="s">
        <v>28</v>
      </c>
      <c r="F105" s="2" t="s">
        <v>26</v>
      </c>
      <c r="G105" s="2" t="s">
        <v>16</v>
      </c>
      <c r="H105" s="2">
        <v>32</v>
      </c>
      <c r="I105" s="7">
        <f>H105*557.4</f>
        <v>17836.8</v>
      </c>
    </row>
    <row r="106" spans="1:9" x14ac:dyDescent="0.25">
      <c r="A106" s="2" t="s">
        <v>900</v>
      </c>
      <c r="B106" s="6">
        <v>46052</v>
      </c>
      <c r="C106" s="2" t="s">
        <v>901</v>
      </c>
      <c r="D106" s="2" t="s">
        <v>45</v>
      </c>
      <c r="E106" s="2" t="s">
        <v>18</v>
      </c>
      <c r="F106" s="2" t="s">
        <v>67</v>
      </c>
      <c r="G106" s="2" t="s">
        <v>21</v>
      </c>
      <c r="H106" s="2">
        <v>24</v>
      </c>
      <c r="I106" s="7">
        <f>H106*477.58</f>
        <v>11461.92</v>
      </c>
    </row>
    <row r="107" spans="1:9" x14ac:dyDescent="0.25">
      <c r="A107" s="2" t="s">
        <v>902</v>
      </c>
      <c r="B107" s="6">
        <v>46072</v>
      </c>
      <c r="C107" s="2" t="s">
        <v>903</v>
      </c>
      <c r="D107" s="2" t="s">
        <v>29</v>
      </c>
      <c r="E107" s="2" t="s">
        <v>79</v>
      </c>
      <c r="F107" s="2" t="s">
        <v>30</v>
      </c>
      <c r="G107" s="2" t="s">
        <v>31</v>
      </c>
      <c r="H107" s="2">
        <v>14</v>
      </c>
      <c r="I107" s="7">
        <f>H107*576.55</f>
        <v>8071.6999999999989</v>
      </c>
    </row>
    <row r="108" spans="1:9" x14ac:dyDescent="0.25">
      <c r="A108" s="2" t="s">
        <v>904</v>
      </c>
      <c r="B108" s="6">
        <v>46114</v>
      </c>
      <c r="C108" s="2" t="s">
        <v>588</v>
      </c>
      <c r="D108" s="2" t="s">
        <v>24</v>
      </c>
      <c r="E108" s="2" t="s">
        <v>18</v>
      </c>
      <c r="F108" s="2" t="s">
        <v>123</v>
      </c>
      <c r="G108" s="2" t="s">
        <v>50</v>
      </c>
      <c r="H108" s="2">
        <v>34</v>
      </c>
      <c r="I108" s="7">
        <f>H108*395.84</f>
        <v>13458.56</v>
      </c>
    </row>
    <row r="109" spans="1:9" x14ac:dyDescent="0.25">
      <c r="A109" s="2" t="s">
        <v>905</v>
      </c>
      <c r="B109" s="6">
        <v>46241</v>
      </c>
      <c r="C109" s="2" t="s">
        <v>906</v>
      </c>
      <c r="D109" s="2" t="s">
        <v>29</v>
      </c>
      <c r="E109" s="2" t="s">
        <v>79</v>
      </c>
      <c r="F109" s="2" t="s">
        <v>36</v>
      </c>
      <c r="G109" s="2" t="s">
        <v>21</v>
      </c>
      <c r="H109" s="2">
        <v>30</v>
      </c>
      <c r="I109" s="7">
        <f>H109*423.02</f>
        <v>12690.599999999999</v>
      </c>
    </row>
    <row r="110" spans="1:9" x14ac:dyDescent="0.25">
      <c r="A110" s="2" t="s">
        <v>907</v>
      </c>
      <c r="B110" s="6">
        <v>46249</v>
      </c>
      <c r="C110" s="2" t="s">
        <v>908</v>
      </c>
      <c r="D110" s="2" t="s">
        <v>54</v>
      </c>
      <c r="E110" s="2" t="s">
        <v>28</v>
      </c>
      <c r="F110" s="2" t="s">
        <v>36</v>
      </c>
      <c r="G110" s="2" t="s">
        <v>21</v>
      </c>
      <c r="H110" s="2">
        <v>11</v>
      </c>
      <c r="I110" s="7">
        <f>H110*322.67</f>
        <v>3549.3700000000003</v>
      </c>
    </row>
    <row r="111" spans="1:9" x14ac:dyDescent="0.25">
      <c r="A111" s="2" t="s">
        <v>909</v>
      </c>
      <c r="B111" s="6">
        <v>46132</v>
      </c>
      <c r="C111" s="2" t="s">
        <v>910</v>
      </c>
      <c r="D111" s="2" t="s">
        <v>14</v>
      </c>
      <c r="E111" s="2" t="s">
        <v>38</v>
      </c>
      <c r="F111" s="2" t="s">
        <v>112</v>
      </c>
      <c r="G111" s="2" t="s">
        <v>56</v>
      </c>
      <c r="H111" s="2">
        <v>21</v>
      </c>
      <c r="I111" s="7">
        <f>H111*367.01</f>
        <v>7707.21</v>
      </c>
    </row>
    <row r="112" spans="1:9" x14ac:dyDescent="0.25">
      <c r="A112" s="2" t="s">
        <v>911</v>
      </c>
      <c r="B112" s="6">
        <v>46023</v>
      </c>
      <c r="C112" s="2" t="s">
        <v>366</v>
      </c>
      <c r="D112" s="2" t="s">
        <v>45</v>
      </c>
      <c r="E112" s="2" t="s">
        <v>42</v>
      </c>
      <c r="F112" s="2" t="s">
        <v>69</v>
      </c>
      <c r="G112" s="2" t="s">
        <v>31</v>
      </c>
      <c r="H112" s="2">
        <v>29</v>
      </c>
      <c r="I112" s="7">
        <f>H112*576.1</f>
        <v>16706.900000000001</v>
      </c>
    </row>
    <row r="113" spans="1:9" x14ac:dyDescent="0.25">
      <c r="A113" s="2" t="s">
        <v>912</v>
      </c>
      <c r="B113" s="6">
        <v>46136</v>
      </c>
      <c r="C113" s="2" t="s">
        <v>558</v>
      </c>
      <c r="D113" s="2" t="s">
        <v>45</v>
      </c>
      <c r="E113" s="2" t="s">
        <v>38</v>
      </c>
      <c r="F113" s="2" t="s">
        <v>49</v>
      </c>
      <c r="G113" s="2" t="s">
        <v>50</v>
      </c>
      <c r="H113" s="2">
        <v>1</v>
      </c>
      <c r="I113" s="7">
        <f>H113*183.7</f>
        <v>183.7</v>
      </c>
    </row>
    <row r="114" spans="1:9" x14ac:dyDescent="0.25">
      <c r="A114" s="2" t="s">
        <v>913</v>
      </c>
      <c r="B114" s="6">
        <v>46205</v>
      </c>
      <c r="C114" s="2" t="s">
        <v>477</v>
      </c>
      <c r="D114" s="2" t="s">
        <v>54</v>
      </c>
      <c r="E114" s="2" t="s">
        <v>85</v>
      </c>
      <c r="F114" s="2" t="s">
        <v>43</v>
      </c>
      <c r="G114" s="2" t="s">
        <v>21</v>
      </c>
      <c r="H114" s="2">
        <v>7</v>
      </c>
      <c r="I114" s="7">
        <f>H114*27.45</f>
        <v>192.15</v>
      </c>
    </row>
    <row r="115" spans="1:9" x14ac:dyDescent="0.25">
      <c r="A115" s="2" t="s">
        <v>914</v>
      </c>
      <c r="B115" s="6">
        <v>46070</v>
      </c>
      <c r="C115" s="2" t="s">
        <v>915</v>
      </c>
      <c r="D115" s="2" t="s">
        <v>19</v>
      </c>
      <c r="E115" s="2" t="s">
        <v>18</v>
      </c>
      <c r="F115" s="2" t="s">
        <v>123</v>
      </c>
      <c r="G115" s="2" t="s">
        <v>50</v>
      </c>
      <c r="H115" s="2">
        <v>17</v>
      </c>
      <c r="I115" s="7">
        <f>H115*487.59</f>
        <v>8289.0299999999988</v>
      </c>
    </row>
    <row r="116" spans="1:9" x14ac:dyDescent="0.25">
      <c r="A116" s="2" t="s">
        <v>916</v>
      </c>
      <c r="B116" s="6">
        <v>46071</v>
      </c>
      <c r="C116" s="2" t="s">
        <v>489</v>
      </c>
      <c r="D116" s="2" t="s">
        <v>45</v>
      </c>
      <c r="E116" s="2" t="s">
        <v>85</v>
      </c>
      <c r="F116" s="2" t="s">
        <v>69</v>
      </c>
      <c r="G116" s="2" t="s">
        <v>31</v>
      </c>
      <c r="H116" s="2">
        <v>12</v>
      </c>
      <c r="I116" s="7">
        <f>H116*295.52</f>
        <v>3546.24</v>
      </c>
    </row>
    <row r="117" spans="1:9" x14ac:dyDescent="0.25">
      <c r="A117" s="2" t="s">
        <v>917</v>
      </c>
      <c r="B117" s="6">
        <v>46194</v>
      </c>
      <c r="C117" s="2" t="s">
        <v>918</v>
      </c>
      <c r="D117" s="2" t="s">
        <v>24</v>
      </c>
      <c r="E117" s="2" t="s">
        <v>18</v>
      </c>
      <c r="F117" s="2" t="s">
        <v>55</v>
      </c>
      <c r="G117" s="2" t="s">
        <v>56</v>
      </c>
      <c r="H117" s="2">
        <v>4</v>
      </c>
      <c r="I117" s="7">
        <f>H117*553.51</f>
        <v>2214.04</v>
      </c>
    </row>
    <row r="118" spans="1:9" x14ac:dyDescent="0.25">
      <c r="A118" s="2" t="s">
        <v>919</v>
      </c>
      <c r="B118" s="6">
        <v>46291</v>
      </c>
      <c r="C118" s="2" t="s">
        <v>366</v>
      </c>
      <c r="D118" s="2" t="s">
        <v>29</v>
      </c>
      <c r="E118" s="2" t="s">
        <v>13</v>
      </c>
      <c r="F118" s="2" t="s">
        <v>96</v>
      </c>
      <c r="G118" s="2" t="s">
        <v>50</v>
      </c>
      <c r="H118" s="2">
        <v>25</v>
      </c>
      <c r="I118" s="7">
        <f>H118*37.21</f>
        <v>930.25</v>
      </c>
    </row>
    <row r="119" spans="1:9" x14ac:dyDescent="0.25">
      <c r="A119" s="2" t="s">
        <v>920</v>
      </c>
      <c r="B119" s="6">
        <v>46224</v>
      </c>
      <c r="C119" s="2" t="s">
        <v>899</v>
      </c>
      <c r="D119" s="2" t="s">
        <v>29</v>
      </c>
      <c r="E119" s="2" t="s">
        <v>42</v>
      </c>
      <c r="F119" s="2" t="s">
        <v>40</v>
      </c>
      <c r="G119" s="2" t="s">
        <v>31</v>
      </c>
      <c r="H119" s="2">
        <v>10</v>
      </c>
      <c r="I119" s="7">
        <f>H119*35.06</f>
        <v>350.6</v>
      </c>
    </row>
    <row r="120" spans="1:9" x14ac:dyDescent="0.25">
      <c r="A120" s="2" t="s">
        <v>921</v>
      </c>
      <c r="B120" s="6">
        <v>46224</v>
      </c>
      <c r="C120" s="2" t="s">
        <v>477</v>
      </c>
      <c r="D120" s="2" t="s">
        <v>45</v>
      </c>
      <c r="E120" s="2" t="s">
        <v>47</v>
      </c>
      <c r="F120" s="2" t="s">
        <v>26</v>
      </c>
      <c r="G120" s="2" t="s">
        <v>16</v>
      </c>
      <c r="H120" s="2">
        <v>28</v>
      </c>
      <c r="I120" s="7">
        <f>H120*177.42</f>
        <v>4967.7599999999993</v>
      </c>
    </row>
    <row r="121" spans="1:9" x14ac:dyDescent="0.25">
      <c r="A121" s="2" t="s">
        <v>922</v>
      </c>
      <c r="B121" s="6">
        <v>46066</v>
      </c>
      <c r="C121" s="2" t="s">
        <v>923</v>
      </c>
      <c r="D121" s="2" t="s">
        <v>59</v>
      </c>
      <c r="E121" s="2" t="s">
        <v>13</v>
      </c>
      <c r="F121" s="2" t="s">
        <v>20</v>
      </c>
      <c r="G121" s="2" t="s">
        <v>21</v>
      </c>
      <c r="H121" s="2">
        <v>36</v>
      </c>
      <c r="I121" s="7">
        <f>H121*242.52</f>
        <v>8730.7200000000012</v>
      </c>
    </row>
    <row r="122" spans="1:9" x14ac:dyDescent="0.25">
      <c r="A122" s="2" t="s">
        <v>924</v>
      </c>
      <c r="B122" s="6">
        <v>46225</v>
      </c>
      <c r="C122" s="2" t="s">
        <v>763</v>
      </c>
      <c r="D122" s="2" t="s">
        <v>29</v>
      </c>
      <c r="E122" s="2" t="s">
        <v>42</v>
      </c>
      <c r="F122" s="2" t="s">
        <v>52</v>
      </c>
      <c r="G122" s="2" t="s">
        <v>50</v>
      </c>
      <c r="H122" s="2">
        <v>36</v>
      </c>
      <c r="I122" s="7">
        <f>H122*122.87</f>
        <v>4423.32</v>
      </c>
    </row>
    <row r="123" spans="1:9" x14ac:dyDescent="0.25">
      <c r="A123" s="2" t="s">
        <v>925</v>
      </c>
      <c r="B123" s="6">
        <v>46243</v>
      </c>
      <c r="C123" s="2" t="s">
        <v>926</v>
      </c>
      <c r="D123" s="2" t="s">
        <v>45</v>
      </c>
      <c r="E123" s="2" t="s">
        <v>18</v>
      </c>
      <c r="F123" s="2" t="s">
        <v>123</v>
      </c>
      <c r="G123" s="2" t="s">
        <v>50</v>
      </c>
      <c r="H123" s="2">
        <v>5</v>
      </c>
      <c r="I123" s="7">
        <f>H123*163.42</f>
        <v>817.09999999999991</v>
      </c>
    </row>
    <row r="124" spans="1:9" x14ac:dyDescent="0.25">
      <c r="A124" s="2" t="s">
        <v>927</v>
      </c>
      <c r="B124" s="6">
        <v>46187</v>
      </c>
      <c r="C124" s="2" t="s">
        <v>646</v>
      </c>
      <c r="D124" s="2" t="s">
        <v>45</v>
      </c>
      <c r="E124" s="2" t="s">
        <v>38</v>
      </c>
      <c r="F124" s="2" t="s">
        <v>112</v>
      </c>
      <c r="G124" s="2" t="s">
        <v>56</v>
      </c>
      <c r="H124" s="2">
        <v>24</v>
      </c>
      <c r="I124" s="7">
        <f>H124*212.24</f>
        <v>5093.76</v>
      </c>
    </row>
    <row r="125" spans="1:9" x14ac:dyDescent="0.25">
      <c r="A125" s="2" t="s">
        <v>928</v>
      </c>
      <c r="B125" s="6">
        <v>46249</v>
      </c>
      <c r="C125" s="2" t="s">
        <v>442</v>
      </c>
      <c r="D125" s="2" t="s">
        <v>45</v>
      </c>
      <c r="E125" s="2" t="s">
        <v>23</v>
      </c>
      <c r="F125" s="2" t="s">
        <v>49</v>
      </c>
      <c r="G125" s="2" t="s">
        <v>50</v>
      </c>
      <c r="H125" s="2">
        <v>40</v>
      </c>
      <c r="I125" s="7">
        <f>H125*493.84</f>
        <v>19753.599999999999</v>
      </c>
    </row>
    <row r="126" spans="1:9" x14ac:dyDescent="0.25">
      <c r="A126" s="2" t="s">
        <v>929</v>
      </c>
      <c r="B126" s="6">
        <v>46066</v>
      </c>
      <c r="C126" s="2" t="s">
        <v>903</v>
      </c>
      <c r="D126" s="2" t="s">
        <v>19</v>
      </c>
      <c r="E126" s="2" t="s">
        <v>85</v>
      </c>
      <c r="F126" s="2" t="s">
        <v>49</v>
      </c>
      <c r="G126" s="2" t="s">
        <v>50</v>
      </c>
      <c r="H126" s="2">
        <v>10</v>
      </c>
      <c r="I126" s="7">
        <f>H126*455.85</f>
        <v>4558.5</v>
      </c>
    </row>
    <row r="127" spans="1:9" x14ac:dyDescent="0.25">
      <c r="A127" s="2" t="s">
        <v>930</v>
      </c>
      <c r="B127" s="6">
        <v>46079</v>
      </c>
      <c r="C127" s="2" t="s">
        <v>569</v>
      </c>
      <c r="D127" s="2" t="s">
        <v>45</v>
      </c>
      <c r="E127" s="2" t="s">
        <v>28</v>
      </c>
      <c r="F127" s="2" t="s">
        <v>49</v>
      </c>
      <c r="G127" s="2" t="s">
        <v>50</v>
      </c>
      <c r="H127" s="2">
        <v>1</v>
      </c>
      <c r="I127" s="7">
        <f>H127*209.25</f>
        <v>209.25</v>
      </c>
    </row>
    <row r="128" spans="1:9" x14ac:dyDescent="0.25">
      <c r="A128" s="2" t="s">
        <v>931</v>
      </c>
      <c r="B128" s="6">
        <v>46155</v>
      </c>
      <c r="C128" s="2" t="s">
        <v>710</v>
      </c>
      <c r="D128" s="2" t="s">
        <v>14</v>
      </c>
      <c r="E128" s="2" t="s">
        <v>13</v>
      </c>
      <c r="F128" s="2" t="s">
        <v>123</v>
      </c>
      <c r="G128" s="2" t="s">
        <v>50</v>
      </c>
      <c r="H128" s="2">
        <v>14</v>
      </c>
      <c r="I128" s="7">
        <f>H128*330.12</f>
        <v>4621.68</v>
      </c>
    </row>
    <row r="129" spans="1:9" x14ac:dyDescent="0.25">
      <c r="A129" s="2" t="s">
        <v>932</v>
      </c>
      <c r="B129" s="6">
        <v>46292</v>
      </c>
      <c r="C129" s="2" t="s">
        <v>897</v>
      </c>
      <c r="D129" s="2" t="s">
        <v>45</v>
      </c>
      <c r="E129" s="2" t="s">
        <v>38</v>
      </c>
      <c r="F129" s="2" t="s">
        <v>33</v>
      </c>
      <c r="G129" s="2" t="s">
        <v>16</v>
      </c>
      <c r="H129" s="2">
        <v>38</v>
      </c>
      <c r="I129" s="7">
        <f>H129*544.09</f>
        <v>20675.420000000002</v>
      </c>
    </row>
    <row r="130" spans="1:9" x14ac:dyDescent="0.25">
      <c r="A130" s="2" t="s">
        <v>933</v>
      </c>
      <c r="B130" s="6">
        <v>46027</v>
      </c>
      <c r="C130" s="2" t="s">
        <v>496</v>
      </c>
      <c r="D130" s="2" t="s">
        <v>54</v>
      </c>
      <c r="E130" s="2" t="s">
        <v>28</v>
      </c>
      <c r="F130" s="2" t="s">
        <v>49</v>
      </c>
      <c r="G130" s="2" t="s">
        <v>50</v>
      </c>
      <c r="H130" s="2">
        <v>4</v>
      </c>
      <c r="I130" s="7">
        <f>H130*281.65</f>
        <v>1126.5999999999999</v>
      </c>
    </row>
    <row r="131" spans="1:9" x14ac:dyDescent="0.25">
      <c r="A131" s="2" t="s">
        <v>934</v>
      </c>
      <c r="B131" s="6">
        <v>46220</v>
      </c>
      <c r="C131" s="2" t="s">
        <v>400</v>
      </c>
      <c r="D131" s="2" t="s">
        <v>14</v>
      </c>
      <c r="E131" s="2" t="s">
        <v>18</v>
      </c>
      <c r="F131" s="2" t="s">
        <v>15</v>
      </c>
      <c r="G131" s="2" t="s">
        <v>16</v>
      </c>
      <c r="H131" s="2">
        <v>19</v>
      </c>
      <c r="I131" s="7">
        <f>H131*521.11</f>
        <v>9901.09</v>
      </c>
    </row>
    <row r="132" spans="1:9" x14ac:dyDescent="0.25">
      <c r="A132" s="2" t="s">
        <v>935</v>
      </c>
      <c r="B132" s="6">
        <v>46118</v>
      </c>
      <c r="C132" s="2" t="s">
        <v>936</v>
      </c>
      <c r="D132" s="2" t="s">
        <v>29</v>
      </c>
      <c r="E132" s="2" t="s">
        <v>35</v>
      </c>
      <c r="F132" s="2" t="s">
        <v>69</v>
      </c>
      <c r="G132" s="2" t="s">
        <v>31</v>
      </c>
      <c r="H132" s="2">
        <v>39</v>
      </c>
      <c r="I132" s="7">
        <f>H132*321.28</f>
        <v>12529.919999999998</v>
      </c>
    </row>
    <row r="133" spans="1:9" x14ac:dyDescent="0.25">
      <c r="A133" s="2" t="s">
        <v>937</v>
      </c>
      <c r="B133" s="6">
        <v>46273</v>
      </c>
      <c r="C133" s="2" t="s">
        <v>636</v>
      </c>
      <c r="D133" s="2" t="s">
        <v>45</v>
      </c>
      <c r="E133" s="2" t="s">
        <v>28</v>
      </c>
      <c r="F133" s="2" t="s">
        <v>26</v>
      </c>
      <c r="G133" s="2" t="s">
        <v>16</v>
      </c>
      <c r="H133" s="2">
        <v>34</v>
      </c>
      <c r="I133" s="7">
        <f>H133*186.43</f>
        <v>6338.62</v>
      </c>
    </row>
    <row r="134" spans="1:9" x14ac:dyDescent="0.25">
      <c r="A134" s="2" t="s">
        <v>938</v>
      </c>
      <c r="B134" s="6">
        <v>46279</v>
      </c>
      <c r="C134" s="2" t="s">
        <v>560</v>
      </c>
      <c r="D134" s="2" t="s">
        <v>14</v>
      </c>
      <c r="E134" s="2" t="s">
        <v>38</v>
      </c>
      <c r="F134" s="2" t="s">
        <v>102</v>
      </c>
      <c r="G134" s="2" t="s">
        <v>31</v>
      </c>
      <c r="H134" s="2">
        <v>20</v>
      </c>
      <c r="I134" s="7">
        <f>H134*145.54</f>
        <v>2910.7999999999997</v>
      </c>
    </row>
    <row r="135" spans="1:9" x14ac:dyDescent="0.25">
      <c r="A135" s="2" t="s">
        <v>939</v>
      </c>
      <c r="B135" s="6">
        <v>46138</v>
      </c>
      <c r="C135" s="2" t="s">
        <v>670</v>
      </c>
      <c r="D135" s="2" t="s">
        <v>14</v>
      </c>
      <c r="E135" s="2" t="s">
        <v>13</v>
      </c>
      <c r="F135" s="2" t="s">
        <v>55</v>
      </c>
      <c r="G135" s="2" t="s">
        <v>56</v>
      </c>
      <c r="H135" s="2">
        <v>36</v>
      </c>
      <c r="I135" s="7">
        <f>H135*569.72</f>
        <v>20509.920000000002</v>
      </c>
    </row>
    <row r="136" spans="1:9" x14ac:dyDescent="0.25">
      <c r="A136" s="2" t="s">
        <v>940</v>
      </c>
      <c r="B136" s="6">
        <v>46139</v>
      </c>
      <c r="C136" s="2" t="s">
        <v>503</v>
      </c>
      <c r="D136" s="2" t="s">
        <v>19</v>
      </c>
      <c r="E136" s="2" t="s">
        <v>79</v>
      </c>
      <c r="F136" s="2" t="s">
        <v>33</v>
      </c>
      <c r="G136" s="2" t="s">
        <v>16</v>
      </c>
      <c r="H136" s="2">
        <v>34</v>
      </c>
      <c r="I136" s="7">
        <f>H136*576.56</f>
        <v>19603.039999999997</v>
      </c>
    </row>
    <row r="137" spans="1:9" x14ac:dyDescent="0.25">
      <c r="A137" s="2" t="s">
        <v>941</v>
      </c>
      <c r="B137" s="6">
        <v>46128</v>
      </c>
      <c r="C137" s="2" t="s">
        <v>625</v>
      </c>
      <c r="D137" s="2" t="s">
        <v>14</v>
      </c>
      <c r="E137" s="2" t="s">
        <v>23</v>
      </c>
      <c r="F137" s="2" t="s">
        <v>102</v>
      </c>
      <c r="G137" s="2" t="s">
        <v>31</v>
      </c>
      <c r="H137" s="2">
        <v>29</v>
      </c>
      <c r="I137" s="7">
        <f>H137*327.63</f>
        <v>9501.27</v>
      </c>
    </row>
    <row r="138" spans="1:9" x14ac:dyDescent="0.25">
      <c r="A138" s="2" t="s">
        <v>942</v>
      </c>
      <c r="B138" s="6">
        <v>46243</v>
      </c>
      <c r="C138" s="2" t="s">
        <v>858</v>
      </c>
      <c r="D138" s="2" t="s">
        <v>19</v>
      </c>
      <c r="E138" s="2" t="s">
        <v>28</v>
      </c>
      <c r="F138" s="2" t="s">
        <v>49</v>
      </c>
      <c r="G138" s="2" t="s">
        <v>50</v>
      </c>
      <c r="H138" s="2">
        <v>34</v>
      </c>
      <c r="I138" s="7">
        <f>H138*546.19</f>
        <v>18570.460000000003</v>
      </c>
    </row>
    <row r="139" spans="1:9" x14ac:dyDescent="0.25">
      <c r="A139" s="2" t="s">
        <v>943</v>
      </c>
      <c r="B139" s="6">
        <v>46083</v>
      </c>
      <c r="C139" s="2" t="s">
        <v>944</v>
      </c>
      <c r="D139" s="2" t="s">
        <v>14</v>
      </c>
      <c r="E139" s="2" t="s">
        <v>35</v>
      </c>
      <c r="F139" s="2" t="s">
        <v>65</v>
      </c>
      <c r="G139" s="2" t="s">
        <v>16</v>
      </c>
      <c r="H139" s="2">
        <v>35</v>
      </c>
      <c r="I139" s="7">
        <f>H139*569.42</f>
        <v>19929.699999999997</v>
      </c>
    </row>
    <row r="140" spans="1:9" x14ac:dyDescent="0.25">
      <c r="A140" s="2" t="s">
        <v>945</v>
      </c>
      <c r="B140" s="6">
        <v>46163</v>
      </c>
      <c r="C140" s="2" t="s">
        <v>946</v>
      </c>
      <c r="D140" s="2" t="s">
        <v>45</v>
      </c>
      <c r="E140" s="2" t="s">
        <v>13</v>
      </c>
      <c r="F140" s="2" t="s">
        <v>69</v>
      </c>
      <c r="G140" s="2" t="s">
        <v>31</v>
      </c>
      <c r="H140" s="2">
        <v>27</v>
      </c>
      <c r="I140" s="7">
        <f>H140*185.49</f>
        <v>5008.2300000000005</v>
      </c>
    </row>
    <row r="141" spans="1:9" x14ac:dyDescent="0.25">
      <c r="A141" s="2" t="s">
        <v>947</v>
      </c>
      <c r="B141" s="6">
        <v>46141</v>
      </c>
      <c r="C141" s="2" t="s">
        <v>948</v>
      </c>
      <c r="D141" s="2" t="s">
        <v>14</v>
      </c>
      <c r="E141" s="2" t="s">
        <v>35</v>
      </c>
      <c r="F141" s="2" t="s">
        <v>96</v>
      </c>
      <c r="G141" s="2" t="s">
        <v>50</v>
      </c>
      <c r="H141" s="2">
        <v>40</v>
      </c>
      <c r="I141" s="7">
        <f>H141*372.08</f>
        <v>14883.199999999999</v>
      </c>
    </row>
    <row r="142" spans="1:9" x14ac:dyDescent="0.25">
      <c r="A142" s="2" t="s">
        <v>949</v>
      </c>
      <c r="B142" s="6">
        <v>46263</v>
      </c>
      <c r="C142" s="2" t="s">
        <v>950</v>
      </c>
      <c r="D142" s="2" t="s">
        <v>24</v>
      </c>
      <c r="E142" s="2" t="s">
        <v>47</v>
      </c>
      <c r="F142" s="2" t="s">
        <v>30</v>
      </c>
      <c r="G142" s="2" t="s">
        <v>31</v>
      </c>
      <c r="H142" s="2">
        <v>31</v>
      </c>
      <c r="I142" s="7">
        <f>H142*84.78</f>
        <v>2628.18</v>
      </c>
    </row>
    <row r="143" spans="1:9" x14ac:dyDescent="0.25">
      <c r="A143" s="2" t="s">
        <v>951</v>
      </c>
      <c r="B143" s="6">
        <v>46232</v>
      </c>
      <c r="C143" s="2" t="s">
        <v>952</v>
      </c>
      <c r="D143" s="2" t="s">
        <v>19</v>
      </c>
      <c r="E143" s="2" t="s">
        <v>23</v>
      </c>
      <c r="F143" s="2" t="s">
        <v>123</v>
      </c>
      <c r="G143" s="2" t="s">
        <v>50</v>
      </c>
      <c r="H143" s="2">
        <v>13</v>
      </c>
      <c r="I143" s="7">
        <f>H143*139.63</f>
        <v>1815.19</v>
      </c>
    </row>
    <row r="144" spans="1:9" x14ac:dyDescent="0.25">
      <c r="A144" s="2" t="s">
        <v>953</v>
      </c>
      <c r="B144" s="6">
        <v>46247</v>
      </c>
      <c r="C144" s="2" t="s">
        <v>471</v>
      </c>
      <c r="D144" s="2" t="s">
        <v>54</v>
      </c>
      <c r="E144" s="2" t="s">
        <v>47</v>
      </c>
      <c r="F144" s="2" t="s">
        <v>96</v>
      </c>
      <c r="G144" s="2" t="s">
        <v>50</v>
      </c>
      <c r="H144" s="2">
        <v>12</v>
      </c>
      <c r="I144" s="7">
        <f>H144*556.63</f>
        <v>6679.5599999999995</v>
      </c>
    </row>
    <row r="145" spans="1:9" x14ac:dyDescent="0.25">
      <c r="A145" s="2" t="s">
        <v>954</v>
      </c>
      <c r="B145" s="6">
        <v>46217</v>
      </c>
      <c r="C145" s="2" t="s">
        <v>955</v>
      </c>
      <c r="D145" s="2" t="s">
        <v>14</v>
      </c>
      <c r="E145" s="2" t="s">
        <v>85</v>
      </c>
      <c r="F145" s="2" t="s">
        <v>52</v>
      </c>
      <c r="G145" s="2" t="s">
        <v>50</v>
      </c>
      <c r="H145" s="2">
        <v>26</v>
      </c>
      <c r="I145" s="7">
        <f>H145*466.85</f>
        <v>12138.1</v>
      </c>
    </row>
    <row r="146" spans="1:9" x14ac:dyDescent="0.25">
      <c r="A146" s="2" t="s">
        <v>956</v>
      </c>
      <c r="B146" s="6">
        <v>46256</v>
      </c>
      <c r="C146" s="2" t="s">
        <v>639</v>
      </c>
      <c r="D146" s="2" t="s">
        <v>29</v>
      </c>
      <c r="E146" s="2" t="s">
        <v>79</v>
      </c>
      <c r="F146" s="2" t="s">
        <v>20</v>
      </c>
      <c r="G146" s="2" t="s">
        <v>21</v>
      </c>
      <c r="H146" s="2">
        <v>34</v>
      </c>
      <c r="I146" s="7">
        <f>H146*70.04</f>
        <v>2381.36</v>
      </c>
    </row>
    <row r="147" spans="1:9" x14ac:dyDescent="0.25">
      <c r="A147" s="2" t="s">
        <v>957</v>
      </c>
      <c r="B147" s="6">
        <v>46048</v>
      </c>
      <c r="C147" s="2" t="s">
        <v>659</v>
      </c>
      <c r="D147" s="2" t="s">
        <v>24</v>
      </c>
      <c r="E147" s="2" t="s">
        <v>38</v>
      </c>
      <c r="F147" s="2" t="s">
        <v>65</v>
      </c>
      <c r="G147" s="2" t="s">
        <v>16</v>
      </c>
      <c r="H147" s="2">
        <v>25</v>
      </c>
      <c r="I147" s="7">
        <f>H147*312.1</f>
        <v>7802.5000000000009</v>
      </c>
    </row>
    <row r="148" spans="1:9" x14ac:dyDescent="0.25">
      <c r="A148" s="2" t="s">
        <v>958</v>
      </c>
      <c r="B148" s="6">
        <v>46050</v>
      </c>
      <c r="C148" s="2" t="s">
        <v>959</v>
      </c>
      <c r="D148" s="2" t="s">
        <v>59</v>
      </c>
      <c r="E148" s="2" t="s">
        <v>47</v>
      </c>
      <c r="F148" s="2" t="s">
        <v>69</v>
      </c>
      <c r="G148" s="2" t="s">
        <v>31</v>
      </c>
      <c r="H148" s="2">
        <v>11</v>
      </c>
      <c r="I148" s="7">
        <f>H148*256.36</f>
        <v>2819.96</v>
      </c>
    </row>
    <row r="149" spans="1:9" x14ac:dyDescent="0.25">
      <c r="A149" s="2" t="s">
        <v>960</v>
      </c>
      <c r="B149" s="6">
        <v>46092</v>
      </c>
      <c r="C149" s="2" t="s">
        <v>415</v>
      </c>
      <c r="D149" s="2" t="s">
        <v>24</v>
      </c>
      <c r="E149" s="2" t="s">
        <v>35</v>
      </c>
      <c r="F149" s="2" t="s">
        <v>65</v>
      </c>
      <c r="G149" s="2" t="s">
        <v>16</v>
      </c>
      <c r="H149" s="2">
        <v>8</v>
      </c>
      <c r="I149" s="7">
        <f>H149*111.96</f>
        <v>895.68</v>
      </c>
    </row>
    <row r="150" spans="1:9" x14ac:dyDescent="0.25">
      <c r="A150" s="2" t="s">
        <v>961</v>
      </c>
      <c r="B150" s="6">
        <v>46126</v>
      </c>
      <c r="C150" s="2" t="s">
        <v>962</v>
      </c>
      <c r="D150" s="2" t="s">
        <v>54</v>
      </c>
      <c r="E150" s="2" t="s">
        <v>13</v>
      </c>
      <c r="F150" s="2" t="s">
        <v>52</v>
      </c>
      <c r="G150" s="2" t="s">
        <v>50</v>
      </c>
      <c r="H150" s="2">
        <v>38</v>
      </c>
      <c r="I150" s="7">
        <f>H150*538.49</f>
        <v>20462.62</v>
      </c>
    </row>
    <row r="151" spans="1:9" x14ac:dyDescent="0.25">
      <c r="A151" s="2" t="s">
        <v>963</v>
      </c>
      <c r="B151" s="6">
        <v>46208</v>
      </c>
      <c r="C151" s="2" t="s">
        <v>380</v>
      </c>
      <c r="D151" s="2" t="s">
        <v>24</v>
      </c>
      <c r="E151" s="2" t="s">
        <v>42</v>
      </c>
      <c r="F151" s="2" t="s">
        <v>15</v>
      </c>
      <c r="G151" s="2" t="s">
        <v>16</v>
      </c>
      <c r="H151" s="2">
        <v>8</v>
      </c>
      <c r="I151" s="7">
        <f>H151*425.2</f>
        <v>3401.6</v>
      </c>
    </row>
    <row r="152" spans="1:9" x14ac:dyDescent="0.25">
      <c r="A152" s="2" t="s">
        <v>964</v>
      </c>
      <c r="B152" s="6">
        <v>46045</v>
      </c>
      <c r="C152" s="2" t="s">
        <v>720</v>
      </c>
      <c r="D152" s="2" t="s">
        <v>59</v>
      </c>
      <c r="E152" s="2" t="s">
        <v>13</v>
      </c>
      <c r="F152" s="2" t="s">
        <v>43</v>
      </c>
      <c r="G152" s="2" t="s">
        <v>21</v>
      </c>
      <c r="H152" s="2">
        <v>25</v>
      </c>
      <c r="I152" s="7">
        <f>H152*332.46</f>
        <v>8311.5</v>
      </c>
    </row>
    <row r="153" spans="1:9" x14ac:dyDescent="0.25">
      <c r="A153" s="2" t="s">
        <v>965</v>
      </c>
      <c r="B153" s="6">
        <v>46049</v>
      </c>
      <c r="C153" s="2" t="s">
        <v>966</v>
      </c>
      <c r="D153" s="2" t="s">
        <v>14</v>
      </c>
      <c r="E153" s="2" t="s">
        <v>47</v>
      </c>
      <c r="F153" s="2" t="s">
        <v>123</v>
      </c>
      <c r="G153" s="2" t="s">
        <v>50</v>
      </c>
      <c r="H153" s="2">
        <v>12</v>
      </c>
      <c r="I153" s="7">
        <f>H153*462.65</f>
        <v>5551.7999999999993</v>
      </c>
    </row>
    <row r="154" spans="1:9" x14ac:dyDescent="0.25">
      <c r="A154" s="2" t="s">
        <v>967</v>
      </c>
      <c r="B154" s="6">
        <v>46126</v>
      </c>
      <c r="C154" s="2" t="s">
        <v>582</v>
      </c>
      <c r="D154" s="2" t="s">
        <v>45</v>
      </c>
      <c r="E154" s="2" t="s">
        <v>47</v>
      </c>
      <c r="F154" s="2" t="s">
        <v>40</v>
      </c>
      <c r="G154" s="2" t="s">
        <v>31</v>
      </c>
      <c r="H154" s="2">
        <v>8</v>
      </c>
      <c r="I154" s="7">
        <f>H154*539.63</f>
        <v>4317.04</v>
      </c>
    </row>
    <row r="155" spans="1:9" x14ac:dyDescent="0.25">
      <c r="A155" s="2" t="s">
        <v>968</v>
      </c>
      <c r="B155" s="6">
        <v>46275</v>
      </c>
      <c r="C155" s="2" t="s">
        <v>969</v>
      </c>
      <c r="D155" s="2" t="s">
        <v>14</v>
      </c>
      <c r="E155" s="2" t="s">
        <v>47</v>
      </c>
      <c r="F155" s="2" t="s">
        <v>112</v>
      </c>
      <c r="G155" s="2" t="s">
        <v>56</v>
      </c>
      <c r="H155" s="2">
        <v>35</v>
      </c>
      <c r="I155" s="7">
        <f>H155*485.44</f>
        <v>16990.400000000001</v>
      </c>
    </row>
    <row r="156" spans="1:9" x14ac:dyDescent="0.25">
      <c r="A156" s="2" t="s">
        <v>970</v>
      </c>
      <c r="B156" s="6">
        <v>46026</v>
      </c>
      <c r="C156" s="2" t="s">
        <v>390</v>
      </c>
      <c r="D156" s="2" t="s">
        <v>29</v>
      </c>
      <c r="E156" s="2" t="s">
        <v>42</v>
      </c>
      <c r="F156" s="2" t="s">
        <v>112</v>
      </c>
      <c r="G156" s="2" t="s">
        <v>56</v>
      </c>
      <c r="H156" s="2">
        <v>29</v>
      </c>
      <c r="I156" s="7">
        <f>H156*52.25</f>
        <v>1515.25</v>
      </c>
    </row>
    <row r="157" spans="1:9" x14ac:dyDescent="0.25">
      <c r="A157" s="2" t="s">
        <v>971</v>
      </c>
      <c r="B157" s="6">
        <v>46201</v>
      </c>
      <c r="C157" s="2" t="s">
        <v>972</v>
      </c>
      <c r="D157" s="2" t="s">
        <v>14</v>
      </c>
      <c r="E157" s="2" t="s">
        <v>85</v>
      </c>
      <c r="F157" s="2" t="s">
        <v>96</v>
      </c>
      <c r="G157" s="2" t="s">
        <v>50</v>
      </c>
      <c r="H157" s="2">
        <v>12</v>
      </c>
      <c r="I157" s="7">
        <f>H157*93.21</f>
        <v>1118.52</v>
      </c>
    </row>
    <row r="158" spans="1:9" x14ac:dyDescent="0.25">
      <c r="A158" s="2" t="s">
        <v>973</v>
      </c>
      <c r="B158" s="6">
        <v>46048</v>
      </c>
      <c r="C158" s="2" t="s">
        <v>895</v>
      </c>
      <c r="D158" s="2" t="s">
        <v>19</v>
      </c>
      <c r="E158" s="2" t="s">
        <v>38</v>
      </c>
      <c r="F158" s="2" t="s">
        <v>36</v>
      </c>
      <c r="G158" s="2" t="s">
        <v>21</v>
      </c>
      <c r="H158" s="2">
        <v>22</v>
      </c>
      <c r="I158" s="7">
        <f>H158*552.63</f>
        <v>12157.86</v>
      </c>
    </row>
    <row r="159" spans="1:9" x14ac:dyDescent="0.25">
      <c r="A159" s="2" t="s">
        <v>974</v>
      </c>
      <c r="B159" s="6">
        <v>46207</v>
      </c>
      <c r="C159" s="2" t="s">
        <v>884</v>
      </c>
      <c r="D159" s="2" t="s">
        <v>54</v>
      </c>
      <c r="E159" s="2" t="s">
        <v>28</v>
      </c>
      <c r="F159" s="2" t="s">
        <v>43</v>
      </c>
      <c r="G159" s="2" t="s">
        <v>21</v>
      </c>
      <c r="H159" s="2">
        <v>30</v>
      </c>
      <c r="I159" s="7">
        <f>H159*450.85</f>
        <v>13525.5</v>
      </c>
    </row>
    <row r="160" spans="1:9" x14ac:dyDescent="0.25">
      <c r="A160" s="2" t="s">
        <v>975</v>
      </c>
      <c r="B160" s="6">
        <v>46056</v>
      </c>
      <c r="C160" s="2" t="s">
        <v>438</v>
      </c>
      <c r="D160" s="2" t="s">
        <v>45</v>
      </c>
      <c r="E160" s="2" t="s">
        <v>38</v>
      </c>
      <c r="F160" s="2" t="s">
        <v>55</v>
      </c>
      <c r="G160" s="2" t="s">
        <v>56</v>
      </c>
      <c r="H160" s="2">
        <v>28</v>
      </c>
      <c r="I160" s="7">
        <f>H160*506.77</f>
        <v>14189.56</v>
      </c>
    </row>
    <row r="161" spans="1:9" x14ac:dyDescent="0.25">
      <c r="A161" s="2" t="s">
        <v>976</v>
      </c>
      <c r="B161" s="6">
        <v>46130</v>
      </c>
      <c r="C161" s="2" t="s">
        <v>977</v>
      </c>
      <c r="D161" s="2" t="s">
        <v>29</v>
      </c>
      <c r="E161" s="2" t="s">
        <v>42</v>
      </c>
      <c r="F161" s="2" t="s">
        <v>69</v>
      </c>
      <c r="G161" s="2" t="s">
        <v>31</v>
      </c>
      <c r="H161" s="2">
        <v>34</v>
      </c>
      <c r="I161" s="7">
        <f>H161*129.86</f>
        <v>4415.2400000000007</v>
      </c>
    </row>
    <row r="162" spans="1:9" x14ac:dyDescent="0.25">
      <c r="A162" s="2" t="s">
        <v>978</v>
      </c>
      <c r="B162" s="6">
        <v>46170</v>
      </c>
      <c r="C162" s="2" t="s">
        <v>865</v>
      </c>
      <c r="D162" s="2" t="s">
        <v>54</v>
      </c>
      <c r="E162" s="2" t="s">
        <v>42</v>
      </c>
      <c r="F162" s="2" t="s">
        <v>33</v>
      </c>
      <c r="G162" s="2" t="s">
        <v>16</v>
      </c>
      <c r="H162" s="2">
        <v>39</v>
      </c>
      <c r="I162" s="7">
        <f>H162*560.67</f>
        <v>21866.129999999997</v>
      </c>
    </row>
    <row r="163" spans="1:9" x14ac:dyDescent="0.25">
      <c r="A163" s="2" t="s">
        <v>979</v>
      </c>
      <c r="B163" s="6">
        <v>46277</v>
      </c>
      <c r="C163" s="2" t="s">
        <v>980</v>
      </c>
      <c r="D163" s="2" t="s">
        <v>24</v>
      </c>
      <c r="E163" s="2" t="s">
        <v>47</v>
      </c>
      <c r="F163" s="2" t="s">
        <v>36</v>
      </c>
      <c r="G163" s="2" t="s">
        <v>21</v>
      </c>
      <c r="H163" s="2">
        <v>9</v>
      </c>
      <c r="I163" s="7">
        <f>H163*370.5</f>
        <v>3334.5</v>
      </c>
    </row>
    <row r="164" spans="1:9" x14ac:dyDescent="0.25">
      <c r="A164" s="2" t="s">
        <v>981</v>
      </c>
      <c r="B164" s="6">
        <v>46023</v>
      </c>
      <c r="C164" s="2" t="s">
        <v>982</v>
      </c>
      <c r="D164" s="2" t="s">
        <v>14</v>
      </c>
      <c r="E164" s="2" t="s">
        <v>18</v>
      </c>
      <c r="F164" s="2" t="s">
        <v>123</v>
      </c>
      <c r="G164" s="2" t="s">
        <v>50</v>
      </c>
      <c r="H164" s="2">
        <v>19</v>
      </c>
      <c r="I164" s="7">
        <f>H164*587.66</f>
        <v>11165.539999999999</v>
      </c>
    </row>
    <row r="165" spans="1:9" x14ac:dyDescent="0.25">
      <c r="A165" s="2" t="s">
        <v>983</v>
      </c>
      <c r="B165" s="6">
        <v>46202</v>
      </c>
      <c r="C165" s="2" t="s">
        <v>886</v>
      </c>
      <c r="D165" s="2" t="s">
        <v>19</v>
      </c>
      <c r="E165" s="2" t="s">
        <v>35</v>
      </c>
      <c r="F165" s="2" t="s">
        <v>52</v>
      </c>
      <c r="G165" s="2" t="s">
        <v>50</v>
      </c>
      <c r="H165" s="2">
        <v>27</v>
      </c>
      <c r="I165" s="7">
        <f>H165*32.07</f>
        <v>865.89</v>
      </c>
    </row>
    <row r="166" spans="1:9" x14ac:dyDescent="0.25">
      <c r="A166" s="2" t="s">
        <v>984</v>
      </c>
      <c r="B166" s="6">
        <v>46180</v>
      </c>
      <c r="C166" s="2" t="s">
        <v>985</v>
      </c>
      <c r="D166" s="2" t="s">
        <v>54</v>
      </c>
      <c r="E166" s="2" t="s">
        <v>35</v>
      </c>
      <c r="F166" s="2" t="s">
        <v>49</v>
      </c>
      <c r="G166" s="2" t="s">
        <v>50</v>
      </c>
      <c r="H166" s="2">
        <v>17</v>
      </c>
      <c r="I166" s="7">
        <f>H166*475.17</f>
        <v>8077.89</v>
      </c>
    </row>
    <row r="167" spans="1:9" x14ac:dyDescent="0.25">
      <c r="A167" s="2" t="s">
        <v>986</v>
      </c>
      <c r="B167" s="6">
        <v>46037</v>
      </c>
      <c r="C167" s="2" t="s">
        <v>436</v>
      </c>
      <c r="D167" s="2" t="s">
        <v>59</v>
      </c>
      <c r="E167" s="2" t="s">
        <v>28</v>
      </c>
      <c r="F167" s="2" t="s">
        <v>61</v>
      </c>
      <c r="G167" s="2" t="s">
        <v>16</v>
      </c>
      <c r="H167" s="2">
        <v>22</v>
      </c>
      <c r="I167" s="7">
        <f>H167*240.65</f>
        <v>5294.3</v>
      </c>
    </row>
    <row r="168" spans="1:9" x14ac:dyDescent="0.25">
      <c r="A168" s="2" t="s">
        <v>987</v>
      </c>
      <c r="B168" s="6">
        <v>46269</v>
      </c>
      <c r="C168" s="2" t="s">
        <v>551</v>
      </c>
      <c r="D168" s="2" t="s">
        <v>59</v>
      </c>
      <c r="E168" s="2" t="s">
        <v>42</v>
      </c>
      <c r="F168" s="2" t="s">
        <v>112</v>
      </c>
      <c r="G168" s="2" t="s">
        <v>56</v>
      </c>
      <c r="H168" s="2">
        <v>3</v>
      </c>
      <c r="I168" s="7">
        <f>H168*389.16</f>
        <v>1167.48</v>
      </c>
    </row>
    <row r="169" spans="1:9" x14ac:dyDescent="0.25">
      <c r="A169" s="2" t="s">
        <v>988</v>
      </c>
      <c r="B169" s="6">
        <v>46051</v>
      </c>
      <c r="C169" s="2" t="s">
        <v>989</v>
      </c>
      <c r="D169" s="2" t="s">
        <v>14</v>
      </c>
      <c r="E169" s="2" t="s">
        <v>28</v>
      </c>
      <c r="F169" s="2" t="s">
        <v>69</v>
      </c>
      <c r="G169" s="2" t="s">
        <v>31</v>
      </c>
      <c r="H169" s="2">
        <v>27</v>
      </c>
      <c r="I169" s="7">
        <f>H169*557.04</f>
        <v>15040.079999999998</v>
      </c>
    </row>
    <row r="170" spans="1:9" x14ac:dyDescent="0.25">
      <c r="A170" s="2" t="s">
        <v>990</v>
      </c>
      <c r="B170" s="6">
        <v>46192</v>
      </c>
      <c r="C170" s="2" t="s">
        <v>991</v>
      </c>
      <c r="D170" s="2" t="s">
        <v>54</v>
      </c>
      <c r="E170" s="2" t="s">
        <v>35</v>
      </c>
      <c r="F170" s="2" t="s">
        <v>20</v>
      </c>
      <c r="G170" s="2" t="s">
        <v>21</v>
      </c>
      <c r="H170" s="2">
        <v>14</v>
      </c>
      <c r="I170" s="7">
        <f>H170*348.55</f>
        <v>4879.7</v>
      </c>
    </row>
    <row r="171" spans="1:9" x14ac:dyDescent="0.25">
      <c r="A171" s="2" t="s">
        <v>992</v>
      </c>
      <c r="B171" s="6">
        <v>46222</v>
      </c>
      <c r="C171" s="2" t="s">
        <v>993</v>
      </c>
      <c r="D171" s="2" t="s">
        <v>59</v>
      </c>
      <c r="E171" s="2" t="s">
        <v>38</v>
      </c>
      <c r="F171" s="2" t="s">
        <v>69</v>
      </c>
      <c r="G171" s="2" t="s">
        <v>31</v>
      </c>
      <c r="H171" s="2">
        <v>35</v>
      </c>
      <c r="I171" s="7">
        <f>H171*506.23</f>
        <v>17718.05</v>
      </c>
    </row>
    <row r="172" spans="1:9" x14ac:dyDescent="0.25">
      <c r="A172" s="2" t="s">
        <v>994</v>
      </c>
      <c r="B172" s="6">
        <v>46277</v>
      </c>
      <c r="C172" s="2" t="s">
        <v>850</v>
      </c>
      <c r="D172" s="2" t="s">
        <v>59</v>
      </c>
      <c r="E172" s="2" t="s">
        <v>38</v>
      </c>
      <c r="F172" s="2" t="s">
        <v>30</v>
      </c>
      <c r="G172" s="2" t="s">
        <v>31</v>
      </c>
      <c r="H172" s="2">
        <v>18</v>
      </c>
      <c r="I172" s="7">
        <f>H172*251.25</f>
        <v>4522.5</v>
      </c>
    </row>
    <row r="173" spans="1:9" x14ac:dyDescent="0.25">
      <c r="A173" s="2" t="s">
        <v>995</v>
      </c>
      <c r="B173" s="6">
        <v>46042</v>
      </c>
      <c r="C173" s="2" t="s">
        <v>996</v>
      </c>
      <c r="D173" s="2" t="s">
        <v>29</v>
      </c>
      <c r="E173" s="2" t="s">
        <v>35</v>
      </c>
      <c r="F173" s="2" t="s">
        <v>49</v>
      </c>
      <c r="G173" s="2" t="s">
        <v>50</v>
      </c>
      <c r="H173" s="2">
        <v>12</v>
      </c>
      <c r="I173" s="7">
        <f>H173*71.78</f>
        <v>861.36</v>
      </c>
    </row>
    <row r="174" spans="1:9" x14ac:dyDescent="0.25">
      <c r="A174" s="2" t="s">
        <v>997</v>
      </c>
      <c r="B174" s="6">
        <v>46270</v>
      </c>
      <c r="C174" s="2" t="s">
        <v>777</v>
      </c>
      <c r="D174" s="2" t="s">
        <v>19</v>
      </c>
      <c r="E174" s="2" t="s">
        <v>18</v>
      </c>
      <c r="F174" s="2" t="s">
        <v>77</v>
      </c>
      <c r="G174" s="2" t="s">
        <v>56</v>
      </c>
      <c r="H174" s="2">
        <v>13</v>
      </c>
      <c r="I174" s="7">
        <f>H174*207.37</f>
        <v>2695.81</v>
      </c>
    </row>
    <row r="175" spans="1:9" x14ac:dyDescent="0.25">
      <c r="A175" s="2" t="s">
        <v>998</v>
      </c>
      <c r="B175" s="6">
        <v>46258</v>
      </c>
      <c r="C175" s="2" t="s">
        <v>428</v>
      </c>
      <c r="D175" s="2" t="s">
        <v>45</v>
      </c>
      <c r="E175" s="2" t="s">
        <v>35</v>
      </c>
      <c r="F175" s="2" t="s">
        <v>43</v>
      </c>
      <c r="G175" s="2" t="s">
        <v>21</v>
      </c>
      <c r="H175" s="2">
        <v>14</v>
      </c>
      <c r="I175" s="7">
        <f>H175*436.12</f>
        <v>6105.68</v>
      </c>
    </row>
    <row r="176" spans="1:9" x14ac:dyDescent="0.25">
      <c r="A176" s="2" t="s">
        <v>999</v>
      </c>
      <c r="B176" s="6">
        <v>46193</v>
      </c>
      <c r="C176" s="2" t="s">
        <v>693</v>
      </c>
      <c r="D176" s="2" t="s">
        <v>29</v>
      </c>
      <c r="E176" s="2" t="s">
        <v>38</v>
      </c>
      <c r="F176" s="2" t="s">
        <v>30</v>
      </c>
      <c r="G176" s="2" t="s">
        <v>31</v>
      </c>
      <c r="H176" s="2">
        <v>39</v>
      </c>
      <c r="I176" s="7">
        <f>H176*523.77</f>
        <v>20427.03</v>
      </c>
    </row>
    <row r="177" spans="1:9" x14ac:dyDescent="0.25">
      <c r="A177" s="2" t="s">
        <v>1000</v>
      </c>
      <c r="B177" s="6">
        <v>46130</v>
      </c>
      <c r="C177" s="2" t="s">
        <v>1001</v>
      </c>
      <c r="D177" s="2" t="s">
        <v>54</v>
      </c>
      <c r="E177" s="2" t="s">
        <v>38</v>
      </c>
      <c r="F177" s="2" t="s">
        <v>65</v>
      </c>
      <c r="G177" s="2" t="s">
        <v>16</v>
      </c>
      <c r="H177" s="2">
        <v>20</v>
      </c>
      <c r="I177" s="7">
        <f>H177*385.12</f>
        <v>7702.4</v>
      </c>
    </row>
    <row r="178" spans="1:9" x14ac:dyDescent="0.25">
      <c r="A178" s="2" t="s">
        <v>1002</v>
      </c>
      <c r="B178" s="6">
        <v>46162</v>
      </c>
      <c r="C178" s="2" t="s">
        <v>477</v>
      </c>
      <c r="D178" s="2" t="s">
        <v>45</v>
      </c>
      <c r="E178" s="2" t="s">
        <v>35</v>
      </c>
      <c r="F178" s="2" t="s">
        <v>36</v>
      </c>
      <c r="G178" s="2" t="s">
        <v>21</v>
      </c>
      <c r="H178" s="2">
        <v>29</v>
      </c>
      <c r="I178" s="7">
        <f>H178*404.32</f>
        <v>11725.28</v>
      </c>
    </row>
    <row r="179" spans="1:9" x14ac:dyDescent="0.25">
      <c r="A179" s="2" t="s">
        <v>1003</v>
      </c>
      <c r="B179" s="6">
        <v>46186</v>
      </c>
      <c r="C179" s="2" t="s">
        <v>725</v>
      </c>
      <c r="D179" s="2" t="s">
        <v>59</v>
      </c>
      <c r="E179" s="2" t="s">
        <v>38</v>
      </c>
      <c r="F179" s="2" t="s">
        <v>20</v>
      </c>
      <c r="G179" s="2" t="s">
        <v>21</v>
      </c>
      <c r="H179" s="2">
        <v>14</v>
      </c>
      <c r="I179" s="7">
        <f>H179*327.8</f>
        <v>4589.2</v>
      </c>
    </row>
    <row r="180" spans="1:9" x14ac:dyDescent="0.25">
      <c r="A180" s="2" t="s">
        <v>1004</v>
      </c>
      <c r="B180" s="6">
        <v>46196</v>
      </c>
      <c r="C180" s="2" t="s">
        <v>543</v>
      </c>
      <c r="D180" s="2" t="s">
        <v>19</v>
      </c>
      <c r="E180" s="2" t="s">
        <v>35</v>
      </c>
      <c r="F180" s="2" t="s">
        <v>43</v>
      </c>
      <c r="G180" s="2" t="s">
        <v>21</v>
      </c>
      <c r="H180" s="2">
        <v>11</v>
      </c>
      <c r="I180" s="7">
        <f>H180*47.39</f>
        <v>521.29</v>
      </c>
    </row>
    <row r="181" spans="1:9" x14ac:dyDescent="0.25">
      <c r="A181" s="2" t="s">
        <v>1005</v>
      </c>
      <c r="B181" s="6">
        <v>46067</v>
      </c>
      <c r="C181" s="2" t="s">
        <v>1006</v>
      </c>
      <c r="D181" s="2" t="s">
        <v>14</v>
      </c>
      <c r="E181" s="2" t="s">
        <v>85</v>
      </c>
      <c r="F181" s="2" t="s">
        <v>55</v>
      </c>
      <c r="G181" s="2" t="s">
        <v>56</v>
      </c>
      <c r="H181" s="2">
        <v>7</v>
      </c>
      <c r="I181" s="7">
        <f>H181*233.24</f>
        <v>1632.68</v>
      </c>
    </row>
    <row r="182" spans="1:9" x14ac:dyDescent="0.25">
      <c r="A182" s="2" t="s">
        <v>1007</v>
      </c>
      <c r="B182" s="6">
        <v>46193</v>
      </c>
      <c r="C182" s="2" t="s">
        <v>739</v>
      </c>
      <c r="D182" s="2" t="s">
        <v>59</v>
      </c>
      <c r="E182" s="2" t="s">
        <v>42</v>
      </c>
      <c r="F182" s="2" t="s">
        <v>67</v>
      </c>
      <c r="G182" s="2" t="s">
        <v>21</v>
      </c>
      <c r="H182" s="2">
        <v>40</v>
      </c>
      <c r="I182" s="7">
        <f>H182*216.6</f>
        <v>8664</v>
      </c>
    </row>
    <row r="183" spans="1:9" x14ac:dyDescent="0.25">
      <c r="A183" s="2" t="s">
        <v>1008</v>
      </c>
      <c r="B183" s="6">
        <v>46262</v>
      </c>
      <c r="C183" s="2" t="s">
        <v>1009</v>
      </c>
      <c r="D183" s="2" t="s">
        <v>14</v>
      </c>
      <c r="E183" s="2" t="s">
        <v>47</v>
      </c>
      <c r="F183" s="2" t="s">
        <v>33</v>
      </c>
      <c r="G183" s="2" t="s">
        <v>16</v>
      </c>
      <c r="H183" s="2">
        <v>37</v>
      </c>
      <c r="I183" s="7">
        <f>H183*83.42</f>
        <v>3086.54</v>
      </c>
    </row>
    <row r="184" spans="1:9" x14ac:dyDescent="0.25">
      <c r="A184" s="2" t="s">
        <v>1010</v>
      </c>
      <c r="B184" s="6">
        <v>46155</v>
      </c>
      <c r="C184" s="2" t="s">
        <v>1011</v>
      </c>
      <c r="D184" s="2" t="s">
        <v>14</v>
      </c>
      <c r="E184" s="2" t="s">
        <v>28</v>
      </c>
      <c r="F184" s="2" t="s">
        <v>77</v>
      </c>
      <c r="G184" s="2" t="s">
        <v>56</v>
      </c>
      <c r="H184" s="2">
        <v>15</v>
      </c>
      <c r="I184" s="7">
        <f>H184*90.51</f>
        <v>1357.65</v>
      </c>
    </row>
    <row r="185" spans="1:9" x14ac:dyDescent="0.25">
      <c r="A185" s="2" t="s">
        <v>1012</v>
      </c>
      <c r="B185" s="6">
        <v>46266</v>
      </c>
      <c r="C185" s="2" t="s">
        <v>1013</v>
      </c>
      <c r="D185" s="2" t="s">
        <v>24</v>
      </c>
      <c r="E185" s="2" t="s">
        <v>13</v>
      </c>
      <c r="F185" s="2" t="s">
        <v>69</v>
      </c>
      <c r="G185" s="2" t="s">
        <v>31</v>
      </c>
      <c r="H185" s="2">
        <v>32</v>
      </c>
      <c r="I185" s="7">
        <f>H185*23.01</f>
        <v>736.32</v>
      </c>
    </row>
    <row r="186" spans="1:9" x14ac:dyDescent="0.25">
      <c r="A186" s="2" t="s">
        <v>1014</v>
      </c>
      <c r="B186" s="6">
        <v>46283</v>
      </c>
      <c r="C186" s="2" t="s">
        <v>782</v>
      </c>
      <c r="D186" s="2" t="s">
        <v>59</v>
      </c>
      <c r="E186" s="2" t="s">
        <v>18</v>
      </c>
      <c r="F186" s="2" t="s">
        <v>102</v>
      </c>
      <c r="G186" s="2" t="s">
        <v>31</v>
      </c>
      <c r="H186" s="2">
        <v>39</v>
      </c>
      <c r="I186" s="7">
        <f>H186*346.93</f>
        <v>13530.27</v>
      </c>
    </row>
    <row r="187" spans="1:9" x14ac:dyDescent="0.25">
      <c r="A187" s="2" t="s">
        <v>1015</v>
      </c>
      <c r="B187" s="6">
        <v>46228</v>
      </c>
      <c r="C187" s="2" t="s">
        <v>545</v>
      </c>
      <c r="D187" s="2" t="s">
        <v>29</v>
      </c>
      <c r="E187" s="2" t="s">
        <v>23</v>
      </c>
      <c r="F187" s="2" t="s">
        <v>30</v>
      </c>
      <c r="G187" s="2" t="s">
        <v>31</v>
      </c>
      <c r="H187" s="2">
        <v>20</v>
      </c>
      <c r="I187" s="7">
        <f>H187*321.98</f>
        <v>6439.6</v>
      </c>
    </row>
    <row r="188" spans="1:9" x14ac:dyDescent="0.25">
      <c r="A188" s="2" t="s">
        <v>1016</v>
      </c>
      <c r="B188" s="6">
        <v>46197</v>
      </c>
      <c r="C188" s="2" t="s">
        <v>384</v>
      </c>
      <c r="D188" s="2" t="s">
        <v>29</v>
      </c>
      <c r="E188" s="2" t="s">
        <v>79</v>
      </c>
      <c r="F188" s="2" t="s">
        <v>43</v>
      </c>
      <c r="G188" s="2" t="s">
        <v>21</v>
      </c>
      <c r="H188" s="2">
        <v>31</v>
      </c>
      <c r="I188" s="7">
        <f>H188*233.37</f>
        <v>7234.47</v>
      </c>
    </row>
    <row r="189" spans="1:9" x14ac:dyDescent="0.25">
      <c r="A189" s="2" t="s">
        <v>1017</v>
      </c>
      <c r="B189" s="6">
        <v>46111</v>
      </c>
      <c r="C189" s="2" t="s">
        <v>1018</v>
      </c>
      <c r="D189" s="2" t="s">
        <v>29</v>
      </c>
      <c r="E189" s="2" t="s">
        <v>47</v>
      </c>
      <c r="F189" s="2" t="s">
        <v>74</v>
      </c>
      <c r="G189" s="2" t="s">
        <v>56</v>
      </c>
      <c r="H189" s="2">
        <v>35</v>
      </c>
      <c r="I189" s="7">
        <f>H189*418.01</f>
        <v>14630.35</v>
      </c>
    </row>
    <row r="190" spans="1:9" x14ac:dyDescent="0.25">
      <c r="A190" s="2" t="s">
        <v>1019</v>
      </c>
      <c r="B190" s="6">
        <v>46072</v>
      </c>
      <c r="C190" s="2" t="s">
        <v>631</v>
      </c>
      <c r="D190" s="2" t="s">
        <v>24</v>
      </c>
      <c r="E190" s="2" t="s">
        <v>18</v>
      </c>
      <c r="F190" s="2" t="s">
        <v>65</v>
      </c>
      <c r="G190" s="2" t="s">
        <v>16</v>
      </c>
      <c r="H190" s="2">
        <v>39</v>
      </c>
      <c r="I190" s="7">
        <f>H190*280.43</f>
        <v>10936.77</v>
      </c>
    </row>
    <row r="191" spans="1:9" x14ac:dyDescent="0.25">
      <c r="A191" s="2" t="s">
        <v>1020</v>
      </c>
      <c r="B191" s="6">
        <v>46217</v>
      </c>
      <c r="C191" s="2" t="s">
        <v>955</v>
      </c>
      <c r="D191" s="2" t="s">
        <v>14</v>
      </c>
      <c r="E191" s="2" t="s">
        <v>35</v>
      </c>
      <c r="F191" s="2" t="s">
        <v>20</v>
      </c>
      <c r="G191" s="2" t="s">
        <v>21</v>
      </c>
      <c r="H191" s="2">
        <v>39</v>
      </c>
      <c r="I191" s="7">
        <f>H191*463.95</f>
        <v>18094.05</v>
      </c>
    </row>
    <row r="192" spans="1:9" x14ac:dyDescent="0.25">
      <c r="A192" s="2" t="s">
        <v>1021</v>
      </c>
      <c r="B192" s="6">
        <v>46023</v>
      </c>
      <c r="C192" s="2" t="s">
        <v>532</v>
      </c>
      <c r="D192" s="2" t="s">
        <v>24</v>
      </c>
      <c r="E192" s="2" t="s">
        <v>42</v>
      </c>
      <c r="F192" s="2" t="s">
        <v>26</v>
      </c>
      <c r="G192" s="2" t="s">
        <v>16</v>
      </c>
      <c r="H192" s="2">
        <v>9</v>
      </c>
      <c r="I192" s="7">
        <f>H192*532.92</f>
        <v>4796.28</v>
      </c>
    </row>
    <row r="193" spans="1:9" x14ac:dyDescent="0.25">
      <c r="A193" s="2" t="s">
        <v>1022</v>
      </c>
      <c r="B193" s="6">
        <v>46123</v>
      </c>
      <c r="C193" s="2" t="s">
        <v>1023</v>
      </c>
      <c r="D193" s="2" t="s">
        <v>54</v>
      </c>
      <c r="E193" s="2" t="s">
        <v>85</v>
      </c>
      <c r="F193" s="2" t="s">
        <v>69</v>
      </c>
      <c r="G193" s="2" t="s">
        <v>31</v>
      </c>
      <c r="H193" s="2">
        <v>40</v>
      </c>
      <c r="I193" s="7">
        <f>H193*348.87</f>
        <v>13954.8</v>
      </c>
    </row>
    <row r="194" spans="1:9" x14ac:dyDescent="0.25">
      <c r="A194" s="2" t="s">
        <v>1024</v>
      </c>
      <c r="B194" s="6">
        <v>46027</v>
      </c>
      <c r="C194" s="2" t="s">
        <v>1025</v>
      </c>
      <c r="D194" s="2" t="s">
        <v>59</v>
      </c>
      <c r="E194" s="2" t="s">
        <v>13</v>
      </c>
      <c r="F194" s="2" t="s">
        <v>69</v>
      </c>
      <c r="G194" s="2" t="s">
        <v>31</v>
      </c>
      <c r="H194" s="2">
        <v>23</v>
      </c>
      <c r="I194" s="7">
        <f>H194*594.22</f>
        <v>13667.060000000001</v>
      </c>
    </row>
    <row r="195" spans="1:9" x14ac:dyDescent="0.25">
      <c r="A195" s="2" t="s">
        <v>1026</v>
      </c>
      <c r="B195" s="6">
        <v>46050</v>
      </c>
      <c r="C195" s="2" t="s">
        <v>1027</v>
      </c>
      <c r="D195" s="2" t="s">
        <v>59</v>
      </c>
      <c r="E195" s="2" t="s">
        <v>28</v>
      </c>
      <c r="F195" s="2" t="s">
        <v>30</v>
      </c>
      <c r="G195" s="2" t="s">
        <v>31</v>
      </c>
      <c r="H195" s="2">
        <v>24</v>
      </c>
      <c r="I195" s="7">
        <f>H195*541.14</f>
        <v>12987.36</v>
      </c>
    </row>
    <row r="196" spans="1:9" x14ac:dyDescent="0.25">
      <c r="A196" s="2" t="s">
        <v>1028</v>
      </c>
      <c r="B196" s="6">
        <v>46224</v>
      </c>
      <c r="C196" s="2" t="s">
        <v>1029</v>
      </c>
      <c r="D196" s="2" t="s">
        <v>24</v>
      </c>
      <c r="E196" s="2" t="s">
        <v>79</v>
      </c>
      <c r="F196" s="2" t="s">
        <v>61</v>
      </c>
      <c r="G196" s="2" t="s">
        <v>16</v>
      </c>
      <c r="H196" s="2">
        <v>2</v>
      </c>
      <c r="I196" s="7">
        <f>H196*144.97</f>
        <v>289.94</v>
      </c>
    </row>
    <row r="197" spans="1:9" x14ac:dyDescent="0.25">
      <c r="A197" s="2" t="s">
        <v>1030</v>
      </c>
      <c r="B197" s="6">
        <v>46119</v>
      </c>
      <c r="C197" s="2" t="s">
        <v>466</v>
      </c>
      <c r="D197" s="2" t="s">
        <v>59</v>
      </c>
      <c r="E197" s="2" t="s">
        <v>79</v>
      </c>
      <c r="F197" s="2" t="s">
        <v>77</v>
      </c>
      <c r="G197" s="2" t="s">
        <v>56</v>
      </c>
      <c r="H197" s="2">
        <v>12</v>
      </c>
      <c r="I197" s="7">
        <f>H197*287.55</f>
        <v>3450.6000000000004</v>
      </c>
    </row>
    <row r="198" spans="1:9" x14ac:dyDescent="0.25">
      <c r="A198" s="2" t="s">
        <v>1031</v>
      </c>
      <c r="B198" s="6">
        <v>46059</v>
      </c>
      <c r="C198" s="2" t="s">
        <v>1032</v>
      </c>
      <c r="D198" s="2" t="s">
        <v>24</v>
      </c>
      <c r="E198" s="2" t="s">
        <v>79</v>
      </c>
      <c r="F198" s="2" t="s">
        <v>49</v>
      </c>
      <c r="G198" s="2" t="s">
        <v>50</v>
      </c>
      <c r="H198" s="2">
        <v>9</v>
      </c>
      <c r="I198" s="7">
        <f>H198*84.9</f>
        <v>764.1</v>
      </c>
    </row>
    <row r="199" spans="1:9" x14ac:dyDescent="0.25">
      <c r="A199" s="2" t="s">
        <v>1033</v>
      </c>
      <c r="B199" s="6">
        <v>46235</v>
      </c>
      <c r="C199" s="2" t="s">
        <v>899</v>
      </c>
      <c r="D199" s="2" t="s">
        <v>29</v>
      </c>
      <c r="E199" s="2" t="s">
        <v>79</v>
      </c>
      <c r="F199" s="2" t="s">
        <v>96</v>
      </c>
      <c r="G199" s="2" t="s">
        <v>50</v>
      </c>
      <c r="H199" s="2">
        <v>9</v>
      </c>
      <c r="I199" s="7">
        <f>H199*387.13</f>
        <v>3484.17</v>
      </c>
    </row>
    <row r="200" spans="1:9" x14ac:dyDescent="0.25">
      <c r="A200" s="2" t="s">
        <v>1034</v>
      </c>
      <c r="B200" s="6">
        <v>46253</v>
      </c>
      <c r="C200" s="2" t="s">
        <v>1035</v>
      </c>
      <c r="D200" s="2" t="s">
        <v>19</v>
      </c>
      <c r="E200" s="2" t="s">
        <v>79</v>
      </c>
      <c r="F200" s="2" t="s">
        <v>43</v>
      </c>
      <c r="G200" s="2" t="s">
        <v>21</v>
      </c>
      <c r="H200" s="2">
        <v>30</v>
      </c>
      <c r="I200" s="7">
        <f>H200*308.1</f>
        <v>9243</v>
      </c>
    </row>
    <row r="201" spans="1:9" x14ac:dyDescent="0.25">
      <c r="A201" s="2" t="s">
        <v>1036</v>
      </c>
      <c r="B201" s="6">
        <v>46144</v>
      </c>
      <c r="C201" s="2" t="s">
        <v>777</v>
      </c>
      <c r="D201" s="2" t="s">
        <v>29</v>
      </c>
      <c r="E201" s="2" t="s">
        <v>85</v>
      </c>
      <c r="F201" s="2" t="s">
        <v>20</v>
      </c>
      <c r="G201" s="2" t="s">
        <v>21</v>
      </c>
      <c r="H201" s="2">
        <v>37</v>
      </c>
      <c r="I201" s="7">
        <f>H201*301.4</f>
        <v>11151.8</v>
      </c>
    </row>
    <row r="202" spans="1:9" x14ac:dyDescent="0.25">
      <c r="A202" s="2" t="s">
        <v>1037</v>
      </c>
      <c r="B202" s="6">
        <v>46211</v>
      </c>
      <c r="C202" s="2" t="s">
        <v>676</v>
      </c>
      <c r="D202" s="2" t="s">
        <v>14</v>
      </c>
      <c r="E202" s="2" t="s">
        <v>18</v>
      </c>
      <c r="F202" s="2" t="s">
        <v>30</v>
      </c>
      <c r="G202" s="2" t="s">
        <v>31</v>
      </c>
      <c r="H202" s="2">
        <v>3</v>
      </c>
      <c r="I202" s="7">
        <f>H202*343.05</f>
        <v>1029.1500000000001</v>
      </c>
    </row>
    <row r="203" spans="1:9" x14ac:dyDescent="0.25">
      <c r="A203" s="2" t="s">
        <v>1038</v>
      </c>
      <c r="B203" s="6">
        <v>46290</v>
      </c>
      <c r="C203" s="2" t="s">
        <v>977</v>
      </c>
      <c r="D203" s="2" t="s">
        <v>24</v>
      </c>
      <c r="E203" s="2" t="s">
        <v>18</v>
      </c>
      <c r="F203" s="2" t="s">
        <v>49</v>
      </c>
      <c r="G203" s="2" t="s">
        <v>50</v>
      </c>
      <c r="H203" s="2">
        <v>30</v>
      </c>
      <c r="I203" s="7">
        <f>H203*312.58</f>
        <v>9377.4</v>
      </c>
    </row>
    <row r="204" spans="1:9" x14ac:dyDescent="0.25">
      <c r="A204" s="2" t="s">
        <v>1039</v>
      </c>
      <c r="B204" s="6">
        <v>46198</v>
      </c>
      <c r="C204" s="2" t="s">
        <v>485</v>
      </c>
      <c r="D204" s="2" t="s">
        <v>24</v>
      </c>
      <c r="E204" s="2" t="s">
        <v>47</v>
      </c>
      <c r="F204" s="2" t="s">
        <v>36</v>
      </c>
      <c r="G204" s="2" t="s">
        <v>21</v>
      </c>
      <c r="H204" s="2">
        <v>40</v>
      </c>
      <c r="I204" s="7">
        <f>H204*36.4</f>
        <v>1456</v>
      </c>
    </row>
    <row r="205" spans="1:9" x14ac:dyDescent="0.25">
      <c r="A205" s="2" t="s">
        <v>1040</v>
      </c>
      <c r="B205" s="6">
        <v>46238</v>
      </c>
      <c r="C205" s="2" t="s">
        <v>918</v>
      </c>
      <c r="D205" s="2" t="s">
        <v>54</v>
      </c>
      <c r="E205" s="2" t="s">
        <v>13</v>
      </c>
      <c r="F205" s="2" t="s">
        <v>67</v>
      </c>
      <c r="G205" s="2" t="s">
        <v>21</v>
      </c>
      <c r="H205" s="2">
        <v>37</v>
      </c>
      <c r="I205" s="7">
        <f>H205*441.62</f>
        <v>16339.94</v>
      </c>
    </row>
    <row r="206" spans="1:9" x14ac:dyDescent="0.25">
      <c r="A206" s="2" t="s">
        <v>1041</v>
      </c>
      <c r="B206" s="6">
        <v>46156</v>
      </c>
      <c r="C206" s="2" t="s">
        <v>1042</v>
      </c>
      <c r="D206" s="2" t="s">
        <v>29</v>
      </c>
      <c r="E206" s="2" t="s">
        <v>13</v>
      </c>
      <c r="F206" s="2" t="s">
        <v>65</v>
      </c>
      <c r="G206" s="2" t="s">
        <v>16</v>
      </c>
      <c r="H206" s="2">
        <v>20</v>
      </c>
      <c r="I206" s="7">
        <f>H206*437.55</f>
        <v>8751</v>
      </c>
    </row>
    <row r="207" spans="1:9" x14ac:dyDescent="0.25">
      <c r="A207" s="2" t="s">
        <v>1043</v>
      </c>
      <c r="B207" s="6">
        <v>46036</v>
      </c>
      <c r="C207" s="2" t="s">
        <v>438</v>
      </c>
      <c r="D207" s="2" t="s">
        <v>19</v>
      </c>
      <c r="E207" s="2" t="s">
        <v>42</v>
      </c>
      <c r="F207" s="2" t="s">
        <v>20</v>
      </c>
      <c r="G207" s="2" t="s">
        <v>21</v>
      </c>
      <c r="H207" s="2">
        <v>19</v>
      </c>
      <c r="I207" s="7">
        <f>H207*486.29</f>
        <v>9239.51</v>
      </c>
    </row>
    <row r="208" spans="1:9" x14ac:dyDescent="0.25">
      <c r="A208" s="2" t="s">
        <v>1044</v>
      </c>
      <c r="B208" s="6">
        <v>46166</v>
      </c>
      <c r="C208" s="2" t="s">
        <v>1045</v>
      </c>
      <c r="D208" s="2" t="s">
        <v>45</v>
      </c>
      <c r="E208" s="2" t="s">
        <v>18</v>
      </c>
      <c r="F208" s="2" t="s">
        <v>61</v>
      </c>
      <c r="G208" s="2" t="s">
        <v>16</v>
      </c>
      <c r="H208" s="2">
        <v>17</v>
      </c>
      <c r="I208" s="7">
        <f>H208*83.86</f>
        <v>1425.62</v>
      </c>
    </row>
    <row r="209" spans="1:9" x14ac:dyDescent="0.25">
      <c r="A209" s="2" t="s">
        <v>1046</v>
      </c>
      <c r="B209" s="6">
        <v>46251</v>
      </c>
      <c r="C209" s="2" t="s">
        <v>1047</v>
      </c>
      <c r="D209" s="2" t="s">
        <v>54</v>
      </c>
      <c r="E209" s="2" t="s">
        <v>23</v>
      </c>
      <c r="F209" s="2" t="s">
        <v>43</v>
      </c>
      <c r="G209" s="2" t="s">
        <v>21</v>
      </c>
      <c r="H209" s="2">
        <v>38</v>
      </c>
      <c r="I209" s="7">
        <f>H209*444.69</f>
        <v>16898.22</v>
      </c>
    </row>
    <row r="210" spans="1:9" x14ac:dyDescent="0.25">
      <c r="A210" s="2" t="s">
        <v>1048</v>
      </c>
      <c r="B210" s="6">
        <v>46198</v>
      </c>
      <c r="C210" s="2" t="s">
        <v>1049</v>
      </c>
      <c r="D210" s="2" t="s">
        <v>59</v>
      </c>
      <c r="E210" s="2" t="s">
        <v>13</v>
      </c>
      <c r="F210" s="2" t="s">
        <v>77</v>
      </c>
      <c r="G210" s="2" t="s">
        <v>56</v>
      </c>
      <c r="H210" s="2">
        <v>34</v>
      </c>
      <c r="I210" s="7">
        <f>H210*517.9</f>
        <v>17608.599999999999</v>
      </c>
    </row>
    <row r="211" spans="1:9" x14ac:dyDescent="0.25">
      <c r="A211" s="2" t="s">
        <v>1050</v>
      </c>
      <c r="B211" s="6">
        <v>46248</v>
      </c>
      <c r="C211" s="2" t="s">
        <v>578</v>
      </c>
      <c r="D211" s="2" t="s">
        <v>14</v>
      </c>
      <c r="E211" s="2" t="s">
        <v>28</v>
      </c>
      <c r="F211" s="2" t="s">
        <v>112</v>
      </c>
      <c r="G211" s="2" t="s">
        <v>56</v>
      </c>
      <c r="H211" s="2">
        <v>25</v>
      </c>
      <c r="I211" s="7">
        <f>H211*146.58</f>
        <v>3664.5000000000005</v>
      </c>
    </row>
    <row r="212" spans="1:9" x14ac:dyDescent="0.25">
      <c r="A212" s="2" t="s">
        <v>1051</v>
      </c>
      <c r="B212" s="6">
        <v>46260</v>
      </c>
      <c r="C212" s="2" t="s">
        <v>415</v>
      </c>
      <c r="D212" s="2" t="s">
        <v>24</v>
      </c>
      <c r="E212" s="2" t="s">
        <v>42</v>
      </c>
      <c r="F212" s="2" t="s">
        <v>61</v>
      </c>
      <c r="G212" s="2" t="s">
        <v>16</v>
      </c>
      <c r="H212" s="2">
        <v>8</v>
      </c>
      <c r="I212" s="7">
        <f>H212*36.25</f>
        <v>290</v>
      </c>
    </row>
    <row r="213" spans="1:9" x14ac:dyDescent="0.25">
      <c r="A213" s="2" t="s">
        <v>1052</v>
      </c>
      <c r="B213" s="6">
        <v>46097</v>
      </c>
      <c r="C213" s="2" t="s">
        <v>1053</v>
      </c>
      <c r="D213" s="2" t="s">
        <v>45</v>
      </c>
      <c r="E213" s="2" t="s">
        <v>38</v>
      </c>
      <c r="F213" s="2" t="s">
        <v>52</v>
      </c>
      <c r="G213" s="2" t="s">
        <v>50</v>
      </c>
      <c r="H213" s="2">
        <v>25</v>
      </c>
      <c r="I213" s="7">
        <f>H213*287.38</f>
        <v>7184.5</v>
      </c>
    </row>
    <row r="214" spans="1:9" x14ac:dyDescent="0.25">
      <c r="A214" s="2" t="s">
        <v>1054</v>
      </c>
      <c r="B214" s="6">
        <v>46044</v>
      </c>
      <c r="C214" s="2" t="s">
        <v>1055</v>
      </c>
      <c r="D214" s="2" t="s">
        <v>54</v>
      </c>
      <c r="E214" s="2" t="s">
        <v>79</v>
      </c>
      <c r="F214" s="2" t="s">
        <v>112</v>
      </c>
      <c r="G214" s="2" t="s">
        <v>56</v>
      </c>
      <c r="H214" s="2">
        <v>21</v>
      </c>
      <c r="I214" s="7">
        <f>H214*577.25</f>
        <v>12122.25</v>
      </c>
    </row>
    <row r="215" spans="1:9" x14ac:dyDescent="0.25">
      <c r="A215" s="2" t="s">
        <v>1056</v>
      </c>
      <c r="B215" s="6">
        <v>46073</v>
      </c>
      <c r="C215" s="2" t="s">
        <v>654</v>
      </c>
      <c r="D215" s="2" t="s">
        <v>24</v>
      </c>
      <c r="E215" s="2" t="s">
        <v>47</v>
      </c>
      <c r="F215" s="2" t="s">
        <v>36</v>
      </c>
      <c r="G215" s="2" t="s">
        <v>21</v>
      </c>
      <c r="H215" s="2">
        <v>22</v>
      </c>
      <c r="I215" s="7">
        <f>H215*165.84</f>
        <v>3648.48</v>
      </c>
    </row>
    <row r="216" spans="1:9" x14ac:dyDescent="0.25">
      <c r="A216" s="2" t="s">
        <v>1057</v>
      </c>
      <c r="B216" s="6">
        <v>46115</v>
      </c>
      <c r="C216" s="2" t="s">
        <v>417</v>
      </c>
      <c r="D216" s="2" t="s">
        <v>14</v>
      </c>
      <c r="E216" s="2" t="s">
        <v>35</v>
      </c>
      <c r="F216" s="2" t="s">
        <v>123</v>
      </c>
      <c r="G216" s="2" t="s">
        <v>50</v>
      </c>
      <c r="H216" s="2">
        <v>34</v>
      </c>
      <c r="I216" s="7">
        <f>H216*205.76</f>
        <v>6995.84</v>
      </c>
    </row>
    <row r="217" spans="1:9" x14ac:dyDescent="0.25">
      <c r="A217" s="2" t="s">
        <v>1058</v>
      </c>
      <c r="B217" s="6">
        <v>46076</v>
      </c>
      <c r="C217" s="2" t="s">
        <v>1059</v>
      </c>
      <c r="D217" s="2" t="s">
        <v>14</v>
      </c>
      <c r="E217" s="2" t="s">
        <v>38</v>
      </c>
      <c r="F217" s="2" t="s">
        <v>15</v>
      </c>
      <c r="G217" s="2" t="s">
        <v>16</v>
      </c>
      <c r="H217" s="2">
        <v>27</v>
      </c>
      <c r="I217" s="7">
        <f>H217*63.13</f>
        <v>1704.51</v>
      </c>
    </row>
    <row r="218" spans="1:9" x14ac:dyDescent="0.25">
      <c r="A218" s="2" t="s">
        <v>1060</v>
      </c>
      <c r="B218" s="6">
        <v>46070</v>
      </c>
      <c r="C218" s="2" t="s">
        <v>1061</v>
      </c>
      <c r="D218" s="2" t="s">
        <v>59</v>
      </c>
      <c r="E218" s="2" t="s">
        <v>23</v>
      </c>
      <c r="F218" s="2" t="s">
        <v>40</v>
      </c>
      <c r="G218" s="2" t="s">
        <v>31</v>
      </c>
      <c r="H218" s="2">
        <v>3</v>
      </c>
      <c r="I218" s="7">
        <f>H218*19.1</f>
        <v>57.300000000000004</v>
      </c>
    </row>
    <row r="219" spans="1:9" x14ac:dyDescent="0.25">
      <c r="A219" s="2" t="s">
        <v>1062</v>
      </c>
      <c r="B219" s="6">
        <v>46089</v>
      </c>
      <c r="C219" s="2" t="s">
        <v>428</v>
      </c>
      <c r="D219" s="2" t="s">
        <v>29</v>
      </c>
      <c r="E219" s="2" t="s">
        <v>13</v>
      </c>
      <c r="F219" s="2" t="s">
        <v>20</v>
      </c>
      <c r="G219" s="2" t="s">
        <v>21</v>
      </c>
      <c r="H219" s="2">
        <v>8</v>
      </c>
      <c r="I219" s="7">
        <f>H219*56.4</f>
        <v>451.2</v>
      </c>
    </row>
    <row r="220" spans="1:9" x14ac:dyDescent="0.25">
      <c r="A220" s="2" t="s">
        <v>1063</v>
      </c>
      <c r="B220" s="6">
        <v>46061</v>
      </c>
      <c r="C220" s="2" t="s">
        <v>430</v>
      </c>
      <c r="D220" s="2" t="s">
        <v>14</v>
      </c>
      <c r="E220" s="2" t="s">
        <v>28</v>
      </c>
      <c r="F220" s="2" t="s">
        <v>26</v>
      </c>
      <c r="G220" s="2" t="s">
        <v>16</v>
      </c>
      <c r="H220" s="2">
        <v>17</v>
      </c>
      <c r="I220" s="7">
        <f>H220*180.27</f>
        <v>3064.59</v>
      </c>
    </row>
    <row r="221" spans="1:9" x14ac:dyDescent="0.25">
      <c r="A221" s="2" t="s">
        <v>1064</v>
      </c>
      <c r="B221" s="6">
        <v>46054</v>
      </c>
      <c r="C221" s="2" t="s">
        <v>415</v>
      </c>
      <c r="D221" s="2" t="s">
        <v>45</v>
      </c>
      <c r="E221" s="2" t="s">
        <v>38</v>
      </c>
      <c r="F221" s="2" t="s">
        <v>40</v>
      </c>
      <c r="G221" s="2" t="s">
        <v>31</v>
      </c>
      <c r="H221" s="2">
        <v>5</v>
      </c>
      <c r="I221" s="7">
        <f>H221*169.99</f>
        <v>849.95</v>
      </c>
    </row>
    <row r="222" spans="1:9" x14ac:dyDescent="0.25">
      <c r="A222" s="2" t="s">
        <v>1065</v>
      </c>
      <c r="B222" s="6">
        <v>46125</v>
      </c>
      <c r="C222" s="2" t="s">
        <v>869</v>
      </c>
      <c r="D222" s="2" t="s">
        <v>14</v>
      </c>
      <c r="E222" s="2" t="s">
        <v>47</v>
      </c>
      <c r="F222" s="2" t="s">
        <v>40</v>
      </c>
      <c r="G222" s="2" t="s">
        <v>31</v>
      </c>
      <c r="H222" s="2">
        <v>29</v>
      </c>
      <c r="I222" s="7">
        <f>H222*46.29</f>
        <v>1342.41</v>
      </c>
    </row>
    <row r="223" spans="1:9" x14ac:dyDescent="0.25">
      <c r="A223" s="2" t="s">
        <v>1066</v>
      </c>
      <c r="B223" s="6">
        <v>46134</v>
      </c>
      <c r="C223" s="2" t="s">
        <v>513</v>
      </c>
      <c r="D223" s="2" t="s">
        <v>24</v>
      </c>
      <c r="E223" s="2" t="s">
        <v>38</v>
      </c>
      <c r="F223" s="2" t="s">
        <v>26</v>
      </c>
      <c r="G223" s="2" t="s">
        <v>16</v>
      </c>
      <c r="H223" s="2">
        <v>35</v>
      </c>
      <c r="I223" s="7">
        <f>H223*462.38</f>
        <v>16183.3</v>
      </c>
    </row>
    <row r="224" spans="1:9" x14ac:dyDescent="0.25">
      <c r="A224" s="2" t="s">
        <v>1067</v>
      </c>
      <c r="B224" s="6">
        <v>46151</v>
      </c>
      <c r="C224" s="2" t="s">
        <v>962</v>
      </c>
      <c r="D224" s="2" t="s">
        <v>19</v>
      </c>
      <c r="E224" s="2" t="s">
        <v>35</v>
      </c>
      <c r="F224" s="2" t="s">
        <v>15</v>
      </c>
      <c r="G224" s="2" t="s">
        <v>16</v>
      </c>
      <c r="H224" s="2">
        <v>5</v>
      </c>
      <c r="I224" s="7">
        <f>H224*46.9</f>
        <v>234.5</v>
      </c>
    </row>
    <row r="225" spans="1:9" x14ac:dyDescent="0.25">
      <c r="A225" s="2" t="s">
        <v>1068</v>
      </c>
      <c r="B225" s="6">
        <v>46191</v>
      </c>
      <c r="C225" s="2" t="s">
        <v>586</v>
      </c>
      <c r="D225" s="2" t="s">
        <v>29</v>
      </c>
      <c r="E225" s="2" t="s">
        <v>47</v>
      </c>
      <c r="F225" s="2" t="s">
        <v>33</v>
      </c>
      <c r="G225" s="2" t="s">
        <v>16</v>
      </c>
      <c r="H225" s="2">
        <v>18</v>
      </c>
      <c r="I225" s="7">
        <f>H225*95.21</f>
        <v>1713.78</v>
      </c>
    </row>
    <row r="226" spans="1:9" x14ac:dyDescent="0.25">
      <c r="A226" s="2" t="s">
        <v>1069</v>
      </c>
      <c r="B226" s="6">
        <v>46058</v>
      </c>
      <c r="C226" s="2" t="s">
        <v>1070</v>
      </c>
      <c r="D226" s="2" t="s">
        <v>24</v>
      </c>
      <c r="E226" s="2" t="s">
        <v>47</v>
      </c>
      <c r="F226" s="2" t="s">
        <v>112</v>
      </c>
      <c r="G226" s="2" t="s">
        <v>56</v>
      </c>
      <c r="H226" s="2">
        <v>26</v>
      </c>
      <c r="I226" s="7">
        <f>H226*507.21</f>
        <v>13187.46</v>
      </c>
    </row>
    <row r="227" spans="1:9" x14ac:dyDescent="0.25">
      <c r="A227" s="2" t="s">
        <v>1071</v>
      </c>
      <c r="B227" s="6">
        <v>46206</v>
      </c>
      <c r="C227" s="2" t="s">
        <v>1029</v>
      </c>
      <c r="D227" s="2" t="s">
        <v>24</v>
      </c>
      <c r="E227" s="2" t="s">
        <v>35</v>
      </c>
      <c r="F227" s="2" t="s">
        <v>65</v>
      </c>
      <c r="G227" s="2" t="s">
        <v>16</v>
      </c>
      <c r="H227" s="2">
        <v>35</v>
      </c>
      <c r="I227" s="7">
        <f>H227*561.35</f>
        <v>19647.25</v>
      </c>
    </row>
    <row r="228" spans="1:9" x14ac:dyDescent="0.25">
      <c r="A228" s="2" t="s">
        <v>1072</v>
      </c>
      <c r="B228" s="6">
        <v>46197</v>
      </c>
      <c r="C228" s="2" t="s">
        <v>1073</v>
      </c>
      <c r="D228" s="2" t="s">
        <v>59</v>
      </c>
      <c r="E228" s="2" t="s">
        <v>38</v>
      </c>
      <c r="F228" s="2" t="s">
        <v>61</v>
      </c>
      <c r="G228" s="2" t="s">
        <v>16</v>
      </c>
      <c r="H228" s="2">
        <v>35</v>
      </c>
      <c r="I228" s="7">
        <f>H228*512.74</f>
        <v>17945.900000000001</v>
      </c>
    </row>
    <row r="229" spans="1:9" x14ac:dyDescent="0.25">
      <c r="A229" s="2" t="s">
        <v>1074</v>
      </c>
      <c r="B229" s="6">
        <v>46219</v>
      </c>
      <c r="C229" s="2" t="s">
        <v>1075</v>
      </c>
      <c r="D229" s="2" t="s">
        <v>24</v>
      </c>
      <c r="E229" s="2" t="s">
        <v>18</v>
      </c>
      <c r="F229" s="2" t="s">
        <v>123</v>
      </c>
      <c r="G229" s="2" t="s">
        <v>50</v>
      </c>
      <c r="H229" s="2">
        <v>36</v>
      </c>
      <c r="I229" s="7">
        <f>H229*28.4</f>
        <v>1022.4</v>
      </c>
    </row>
    <row r="230" spans="1:9" x14ac:dyDescent="0.25">
      <c r="A230" s="2" t="s">
        <v>1076</v>
      </c>
      <c r="B230" s="6">
        <v>46247</v>
      </c>
      <c r="C230" s="2" t="s">
        <v>780</v>
      </c>
      <c r="D230" s="2" t="s">
        <v>19</v>
      </c>
      <c r="E230" s="2" t="s">
        <v>35</v>
      </c>
      <c r="F230" s="2" t="s">
        <v>69</v>
      </c>
      <c r="G230" s="2" t="s">
        <v>31</v>
      </c>
      <c r="H230" s="2">
        <v>6</v>
      </c>
      <c r="I230" s="7">
        <f>H230*531.7</f>
        <v>3190.2000000000003</v>
      </c>
    </row>
    <row r="231" spans="1:9" x14ac:dyDescent="0.25">
      <c r="A231" s="2" t="s">
        <v>1077</v>
      </c>
      <c r="B231" s="6">
        <v>46180</v>
      </c>
      <c r="C231" s="2" t="s">
        <v>1078</v>
      </c>
      <c r="D231" s="2" t="s">
        <v>45</v>
      </c>
      <c r="E231" s="2" t="s">
        <v>35</v>
      </c>
      <c r="F231" s="2" t="s">
        <v>43</v>
      </c>
      <c r="G231" s="2" t="s">
        <v>21</v>
      </c>
      <c r="H231" s="2">
        <v>32</v>
      </c>
      <c r="I231" s="7">
        <f>H231*236.32</f>
        <v>7562.24</v>
      </c>
    </row>
    <row r="232" spans="1:9" x14ac:dyDescent="0.25">
      <c r="A232" s="2" t="s">
        <v>1079</v>
      </c>
      <c r="B232" s="6">
        <v>46044</v>
      </c>
      <c r="C232" s="2" t="s">
        <v>1080</v>
      </c>
      <c r="D232" s="2" t="s">
        <v>59</v>
      </c>
      <c r="E232" s="2" t="s">
        <v>42</v>
      </c>
      <c r="F232" s="2" t="s">
        <v>30</v>
      </c>
      <c r="G232" s="2" t="s">
        <v>31</v>
      </c>
      <c r="H232" s="2">
        <v>22</v>
      </c>
      <c r="I232" s="7">
        <f>H232*473.73</f>
        <v>10422.060000000001</v>
      </c>
    </row>
    <row r="233" spans="1:9" x14ac:dyDescent="0.25">
      <c r="A233" s="2" t="s">
        <v>1081</v>
      </c>
      <c r="B233" s="6">
        <v>46059</v>
      </c>
      <c r="C233" s="2" t="s">
        <v>1082</v>
      </c>
      <c r="D233" s="2" t="s">
        <v>24</v>
      </c>
      <c r="E233" s="2" t="s">
        <v>35</v>
      </c>
      <c r="F233" s="2" t="s">
        <v>77</v>
      </c>
      <c r="G233" s="2" t="s">
        <v>56</v>
      </c>
      <c r="H233" s="2">
        <v>38</v>
      </c>
      <c r="I233" s="7">
        <f>H233*143.63</f>
        <v>5457.94</v>
      </c>
    </row>
    <row r="234" spans="1:9" x14ac:dyDescent="0.25">
      <c r="A234" s="2" t="s">
        <v>1083</v>
      </c>
      <c r="B234" s="6">
        <v>46089</v>
      </c>
      <c r="C234" s="2" t="s">
        <v>1032</v>
      </c>
      <c r="D234" s="2" t="s">
        <v>45</v>
      </c>
      <c r="E234" s="2" t="s">
        <v>38</v>
      </c>
      <c r="F234" s="2" t="s">
        <v>55</v>
      </c>
      <c r="G234" s="2" t="s">
        <v>56</v>
      </c>
      <c r="H234" s="2">
        <v>16</v>
      </c>
      <c r="I234" s="7">
        <f>H234*422.27</f>
        <v>6756.32</v>
      </c>
    </row>
    <row r="235" spans="1:9" x14ac:dyDescent="0.25">
      <c r="A235" s="2" t="s">
        <v>1084</v>
      </c>
      <c r="B235" s="6">
        <v>46055</v>
      </c>
      <c r="C235" s="2" t="s">
        <v>982</v>
      </c>
      <c r="D235" s="2" t="s">
        <v>29</v>
      </c>
      <c r="E235" s="2" t="s">
        <v>85</v>
      </c>
      <c r="F235" s="2" t="s">
        <v>33</v>
      </c>
      <c r="G235" s="2" t="s">
        <v>16</v>
      </c>
      <c r="H235" s="2">
        <v>40</v>
      </c>
      <c r="I235" s="7">
        <f>H235*106.56</f>
        <v>4262.3999999999996</v>
      </c>
    </row>
    <row r="236" spans="1:9" x14ac:dyDescent="0.25">
      <c r="A236" s="2" t="s">
        <v>1085</v>
      </c>
      <c r="B236" s="6">
        <v>46228</v>
      </c>
      <c r="C236" s="2" t="s">
        <v>1086</v>
      </c>
      <c r="D236" s="2" t="s">
        <v>29</v>
      </c>
      <c r="E236" s="2" t="s">
        <v>42</v>
      </c>
      <c r="F236" s="2" t="s">
        <v>96</v>
      </c>
      <c r="G236" s="2" t="s">
        <v>50</v>
      </c>
      <c r="H236" s="2">
        <v>13</v>
      </c>
      <c r="I236" s="7">
        <f>H236*258.6</f>
        <v>3361.8</v>
      </c>
    </row>
    <row r="237" spans="1:9" x14ac:dyDescent="0.25">
      <c r="A237" s="2" t="s">
        <v>1087</v>
      </c>
      <c r="B237" s="6">
        <v>46111</v>
      </c>
      <c r="C237" s="2" t="s">
        <v>565</v>
      </c>
      <c r="D237" s="2" t="s">
        <v>54</v>
      </c>
      <c r="E237" s="2" t="s">
        <v>13</v>
      </c>
      <c r="F237" s="2" t="s">
        <v>49</v>
      </c>
      <c r="G237" s="2" t="s">
        <v>50</v>
      </c>
      <c r="H237" s="2">
        <v>14</v>
      </c>
      <c r="I237" s="7">
        <f>H237*459.72</f>
        <v>6436.08</v>
      </c>
    </row>
    <row r="238" spans="1:9" x14ac:dyDescent="0.25">
      <c r="A238" s="2" t="s">
        <v>1088</v>
      </c>
      <c r="B238" s="6">
        <v>46247</v>
      </c>
      <c r="C238" s="2" t="s">
        <v>816</v>
      </c>
      <c r="D238" s="2" t="s">
        <v>19</v>
      </c>
      <c r="E238" s="2" t="s">
        <v>18</v>
      </c>
      <c r="F238" s="2" t="s">
        <v>77</v>
      </c>
      <c r="G238" s="2" t="s">
        <v>56</v>
      </c>
      <c r="H238" s="2">
        <v>24</v>
      </c>
      <c r="I238" s="7">
        <f>H238*334.28</f>
        <v>8022.7199999999993</v>
      </c>
    </row>
    <row r="239" spans="1:9" x14ac:dyDescent="0.25">
      <c r="A239" s="2" t="s">
        <v>1089</v>
      </c>
      <c r="B239" s="6">
        <v>46272</v>
      </c>
      <c r="C239" s="2" t="s">
        <v>515</v>
      </c>
      <c r="D239" s="2" t="s">
        <v>19</v>
      </c>
      <c r="E239" s="2" t="s">
        <v>18</v>
      </c>
      <c r="F239" s="2" t="s">
        <v>67</v>
      </c>
      <c r="G239" s="2" t="s">
        <v>21</v>
      </c>
      <c r="H239" s="2">
        <v>11</v>
      </c>
      <c r="I239" s="7">
        <f>H239*14.3</f>
        <v>157.30000000000001</v>
      </c>
    </row>
    <row r="240" spans="1:9" x14ac:dyDescent="0.25">
      <c r="A240" s="2" t="s">
        <v>1090</v>
      </c>
      <c r="B240" s="6">
        <v>46266</v>
      </c>
      <c r="C240" s="2" t="s">
        <v>1091</v>
      </c>
      <c r="D240" s="2" t="s">
        <v>14</v>
      </c>
      <c r="E240" s="2" t="s">
        <v>38</v>
      </c>
      <c r="F240" s="2" t="s">
        <v>36</v>
      </c>
      <c r="G240" s="2" t="s">
        <v>21</v>
      </c>
      <c r="H240" s="2">
        <v>27</v>
      </c>
      <c r="I240" s="7">
        <f>H240*417.63</f>
        <v>11276.01</v>
      </c>
    </row>
    <row r="241" spans="1:9" x14ac:dyDescent="0.25">
      <c r="A241" s="2" t="s">
        <v>1092</v>
      </c>
      <c r="B241" s="6">
        <v>46112</v>
      </c>
      <c r="C241" s="2" t="s">
        <v>513</v>
      </c>
      <c r="D241" s="2" t="s">
        <v>29</v>
      </c>
      <c r="E241" s="2" t="s">
        <v>13</v>
      </c>
      <c r="F241" s="2" t="s">
        <v>67</v>
      </c>
      <c r="G241" s="2" t="s">
        <v>21</v>
      </c>
      <c r="H241" s="2">
        <v>27</v>
      </c>
      <c r="I241" s="7">
        <f>H241*147.36</f>
        <v>3978.7200000000003</v>
      </c>
    </row>
    <row r="242" spans="1:9" x14ac:dyDescent="0.25">
      <c r="A242" s="2" t="s">
        <v>1093</v>
      </c>
      <c r="B242" s="6">
        <v>46025</v>
      </c>
      <c r="C242" s="2" t="s">
        <v>1070</v>
      </c>
      <c r="D242" s="2" t="s">
        <v>45</v>
      </c>
      <c r="E242" s="2" t="s">
        <v>42</v>
      </c>
      <c r="F242" s="2" t="s">
        <v>55</v>
      </c>
      <c r="G242" s="2" t="s">
        <v>56</v>
      </c>
      <c r="H242" s="2">
        <v>20</v>
      </c>
      <c r="I242" s="7">
        <f>H242*211.97</f>
        <v>4239.3999999999996</v>
      </c>
    </row>
    <row r="243" spans="1:9" x14ac:dyDescent="0.25">
      <c r="A243" s="2" t="s">
        <v>1094</v>
      </c>
      <c r="B243" s="6">
        <v>46282</v>
      </c>
      <c r="C243" s="2" t="s">
        <v>400</v>
      </c>
      <c r="D243" s="2" t="s">
        <v>14</v>
      </c>
      <c r="E243" s="2" t="s">
        <v>23</v>
      </c>
      <c r="F243" s="2" t="s">
        <v>65</v>
      </c>
      <c r="G243" s="2" t="s">
        <v>16</v>
      </c>
      <c r="H243" s="2">
        <v>24</v>
      </c>
      <c r="I243" s="7">
        <f>H243*518.32</f>
        <v>12439.68</v>
      </c>
    </row>
    <row r="244" spans="1:9" x14ac:dyDescent="0.25">
      <c r="A244" s="2" t="s">
        <v>1095</v>
      </c>
      <c r="B244" s="6">
        <v>46099</v>
      </c>
      <c r="C244" s="2" t="s">
        <v>394</v>
      </c>
      <c r="D244" s="2" t="s">
        <v>19</v>
      </c>
      <c r="E244" s="2" t="s">
        <v>35</v>
      </c>
      <c r="F244" s="2" t="s">
        <v>30</v>
      </c>
      <c r="G244" s="2" t="s">
        <v>31</v>
      </c>
      <c r="H244" s="2">
        <v>13</v>
      </c>
      <c r="I244" s="7">
        <f>H244*72.04</f>
        <v>936.5200000000001</v>
      </c>
    </row>
    <row r="245" spans="1:9" x14ac:dyDescent="0.25">
      <c r="A245" s="2" t="s">
        <v>1096</v>
      </c>
      <c r="B245" s="6">
        <v>46151</v>
      </c>
      <c r="C245" s="2" t="s">
        <v>1097</v>
      </c>
      <c r="D245" s="2" t="s">
        <v>45</v>
      </c>
      <c r="E245" s="2" t="s">
        <v>18</v>
      </c>
      <c r="F245" s="2" t="s">
        <v>61</v>
      </c>
      <c r="G245" s="2" t="s">
        <v>16</v>
      </c>
      <c r="H245" s="2">
        <v>19</v>
      </c>
      <c r="I245" s="7">
        <f>H245*129.71</f>
        <v>2464.4900000000002</v>
      </c>
    </row>
    <row r="246" spans="1:9" x14ac:dyDescent="0.25">
      <c r="A246" s="2" t="s">
        <v>1098</v>
      </c>
      <c r="B246" s="6">
        <v>46037</v>
      </c>
      <c r="C246" s="2" t="s">
        <v>1099</v>
      </c>
      <c r="D246" s="2" t="s">
        <v>45</v>
      </c>
      <c r="E246" s="2" t="s">
        <v>23</v>
      </c>
      <c r="F246" s="2" t="s">
        <v>65</v>
      </c>
      <c r="G246" s="2" t="s">
        <v>16</v>
      </c>
      <c r="H246" s="2">
        <v>12</v>
      </c>
      <c r="I246" s="7">
        <f>H246*99.04</f>
        <v>1188.48</v>
      </c>
    </row>
    <row r="247" spans="1:9" x14ac:dyDescent="0.25">
      <c r="A247" s="2" t="s">
        <v>1100</v>
      </c>
      <c r="B247" s="6">
        <v>46189</v>
      </c>
      <c r="C247" s="2" t="s">
        <v>796</v>
      </c>
      <c r="D247" s="2" t="s">
        <v>54</v>
      </c>
      <c r="E247" s="2" t="s">
        <v>23</v>
      </c>
      <c r="F247" s="2" t="s">
        <v>74</v>
      </c>
      <c r="G247" s="2" t="s">
        <v>56</v>
      </c>
      <c r="H247" s="2">
        <v>27</v>
      </c>
      <c r="I247" s="7">
        <f>H247*123.26</f>
        <v>3328.02</v>
      </c>
    </row>
    <row r="248" spans="1:9" x14ac:dyDescent="0.25">
      <c r="A248" s="2" t="s">
        <v>1101</v>
      </c>
      <c r="B248" s="6">
        <v>46215</v>
      </c>
      <c r="C248" s="2" t="s">
        <v>530</v>
      </c>
      <c r="D248" s="2" t="s">
        <v>29</v>
      </c>
      <c r="E248" s="2" t="s">
        <v>47</v>
      </c>
      <c r="F248" s="2" t="s">
        <v>26</v>
      </c>
      <c r="G248" s="2" t="s">
        <v>16</v>
      </c>
      <c r="H248" s="2">
        <v>27</v>
      </c>
      <c r="I248" s="7">
        <f>H248*522.58</f>
        <v>14109.660000000002</v>
      </c>
    </row>
    <row r="249" spans="1:9" x14ac:dyDescent="0.25">
      <c r="A249" s="2" t="s">
        <v>1102</v>
      </c>
      <c r="B249" s="6">
        <v>46255</v>
      </c>
      <c r="C249" s="2" t="s">
        <v>1103</v>
      </c>
      <c r="D249" s="2" t="s">
        <v>19</v>
      </c>
      <c r="E249" s="2" t="s">
        <v>47</v>
      </c>
      <c r="F249" s="2" t="s">
        <v>33</v>
      </c>
      <c r="G249" s="2" t="s">
        <v>16</v>
      </c>
      <c r="H249" s="2">
        <v>10</v>
      </c>
      <c r="I249" s="7">
        <f>H249*133.62</f>
        <v>1336.2</v>
      </c>
    </row>
    <row r="250" spans="1:9" x14ac:dyDescent="0.25">
      <c r="A250" s="2" t="s">
        <v>1104</v>
      </c>
      <c r="B250" s="6">
        <v>46088</v>
      </c>
      <c r="C250" s="2" t="s">
        <v>1105</v>
      </c>
      <c r="D250" s="2" t="s">
        <v>45</v>
      </c>
      <c r="E250" s="2" t="s">
        <v>38</v>
      </c>
      <c r="F250" s="2" t="s">
        <v>49</v>
      </c>
      <c r="G250" s="2" t="s">
        <v>50</v>
      </c>
      <c r="H250" s="2">
        <v>18</v>
      </c>
      <c r="I250" s="7">
        <f>H250*125.32</f>
        <v>2255.7599999999998</v>
      </c>
    </row>
    <row r="251" spans="1:9" x14ac:dyDescent="0.25">
      <c r="A251" s="2" t="s">
        <v>1106</v>
      </c>
      <c r="B251" s="6">
        <v>46110</v>
      </c>
      <c r="C251" s="2" t="s">
        <v>1107</v>
      </c>
      <c r="D251" s="2" t="s">
        <v>29</v>
      </c>
      <c r="E251" s="2" t="s">
        <v>13</v>
      </c>
      <c r="F251" s="2" t="s">
        <v>96</v>
      </c>
      <c r="G251" s="2" t="s">
        <v>50</v>
      </c>
      <c r="H251" s="2">
        <v>30</v>
      </c>
      <c r="I251" s="7">
        <f>H251*277.85</f>
        <v>8335.5</v>
      </c>
    </row>
    <row r="252" spans="1:9" x14ac:dyDescent="0.25">
      <c r="A252" s="2" t="s">
        <v>1108</v>
      </c>
      <c r="B252" s="6">
        <v>46140</v>
      </c>
      <c r="C252" s="2" t="s">
        <v>496</v>
      </c>
      <c r="D252" s="2" t="s">
        <v>24</v>
      </c>
      <c r="E252" s="2" t="s">
        <v>23</v>
      </c>
      <c r="F252" s="2" t="s">
        <v>43</v>
      </c>
      <c r="G252" s="2" t="s">
        <v>21</v>
      </c>
      <c r="H252" s="2">
        <v>37</v>
      </c>
      <c r="I252" s="7">
        <f>H252*582.23</f>
        <v>21542.510000000002</v>
      </c>
    </row>
    <row r="253" spans="1:9" x14ac:dyDescent="0.25">
      <c r="A253" s="2" t="s">
        <v>1109</v>
      </c>
      <c r="B253" s="6">
        <v>46242</v>
      </c>
      <c r="C253" s="2" t="s">
        <v>1110</v>
      </c>
      <c r="D253" s="2" t="s">
        <v>24</v>
      </c>
      <c r="E253" s="2" t="s">
        <v>85</v>
      </c>
      <c r="F253" s="2" t="s">
        <v>67</v>
      </c>
      <c r="G253" s="2" t="s">
        <v>21</v>
      </c>
      <c r="H253" s="2">
        <v>30</v>
      </c>
      <c r="I253" s="7">
        <f>H253*171.11</f>
        <v>5133.3</v>
      </c>
    </row>
    <row r="254" spans="1:9" x14ac:dyDescent="0.25">
      <c r="A254" s="2" t="s">
        <v>1111</v>
      </c>
      <c r="B254" s="6">
        <v>46236</v>
      </c>
      <c r="C254" s="2" t="s">
        <v>884</v>
      </c>
      <c r="D254" s="2" t="s">
        <v>14</v>
      </c>
      <c r="E254" s="2" t="s">
        <v>42</v>
      </c>
      <c r="F254" s="2" t="s">
        <v>123</v>
      </c>
      <c r="G254" s="2" t="s">
        <v>50</v>
      </c>
      <c r="H254" s="2">
        <v>37</v>
      </c>
      <c r="I254" s="7">
        <f>H254*539.46</f>
        <v>19960.02</v>
      </c>
    </row>
    <row r="255" spans="1:9" x14ac:dyDescent="0.25">
      <c r="A255" s="2" t="s">
        <v>1112</v>
      </c>
      <c r="B255" s="6">
        <v>46073</v>
      </c>
      <c r="C255" s="2" t="s">
        <v>1113</v>
      </c>
      <c r="D255" s="2" t="s">
        <v>45</v>
      </c>
      <c r="E255" s="2" t="s">
        <v>42</v>
      </c>
      <c r="F255" s="2" t="s">
        <v>33</v>
      </c>
      <c r="G255" s="2" t="s">
        <v>16</v>
      </c>
      <c r="H255" s="2">
        <v>34</v>
      </c>
      <c r="I255" s="7">
        <f>H255*239.62</f>
        <v>8147.08</v>
      </c>
    </row>
    <row r="256" spans="1:9" x14ac:dyDescent="0.25">
      <c r="A256" s="2" t="s">
        <v>1114</v>
      </c>
      <c r="B256" s="6">
        <v>46174</v>
      </c>
      <c r="C256" s="2" t="s">
        <v>1115</v>
      </c>
      <c r="D256" s="2" t="s">
        <v>45</v>
      </c>
      <c r="E256" s="2" t="s">
        <v>47</v>
      </c>
      <c r="F256" s="2" t="s">
        <v>33</v>
      </c>
      <c r="G256" s="2" t="s">
        <v>16</v>
      </c>
      <c r="H256" s="2">
        <v>14</v>
      </c>
      <c r="I256" s="7">
        <f>H256*83.96</f>
        <v>1175.4399999999998</v>
      </c>
    </row>
    <row r="257" spans="1:9" x14ac:dyDescent="0.25">
      <c r="A257" s="2" t="s">
        <v>1116</v>
      </c>
      <c r="B257" s="6">
        <v>46035</v>
      </c>
      <c r="C257" s="2" t="s">
        <v>1113</v>
      </c>
      <c r="D257" s="2" t="s">
        <v>59</v>
      </c>
      <c r="E257" s="2" t="s">
        <v>79</v>
      </c>
      <c r="F257" s="2" t="s">
        <v>40</v>
      </c>
      <c r="G257" s="2" t="s">
        <v>31</v>
      </c>
      <c r="H257" s="2">
        <v>30</v>
      </c>
      <c r="I257" s="7">
        <f>H257*515.46</f>
        <v>15463.800000000001</v>
      </c>
    </row>
    <row r="258" spans="1:9" x14ac:dyDescent="0.25">
      <c r="A258" s="2" t="s">
        <v>1117</v>
      </c>
      <c r="B258" s="6">
        <v>46023</v>
      </c>
      <c r="C258" s="2" t="s">
        <v>496</v>
      </c>
      <c r="D258" s="2" t="s">
        <v>54</v>
      </c>
      <c r="E258" s="2" t="s">
        <v>42</v>
      </c>
      <c r="F258" s="2" t="s">
        <v>49</v>
      </c>
      <c r="G258" s="2" t="s">
        <v>50</v>
      </c>
      <c r="H258" s="2">
        <v>30</v>
      </c>
      <c r="I258" s="7">
        <f>H258*423.82</f>
        <v>12714.6</v>
      </c>
    </row>
    <row r="259" spans="1:9" x14ac:dyDescent="0.25">
      <c r="A259" s="2" t="s">
        <v>1118</v>
      </c>
      <c r="B259" s="6">
        <v>46129</v>
      </c>
      <c r="C259" s="2" t="s">
        <v>814</v>
      </c>
      <c r="D259" s="2" t="s">
        <v>14</v>
      </c>
      <c r="E259" s="2" t="s">
        <v>35</v>
      </c>
      <c r="F259" s="2" t="s">
        <v>61</v>
      </c>
      <c r="G259" s="2" t="s">
        <v>16</v>
      </c>
      <c r="H259" s="2">
        <v>28</v>
      </c>
      <c r="I259" s="7">
        <f>H259*452.97</f>
        <v>12683.16</v>
      </c>
    </row>
    <row r="260" spans="1:9" x14ac:dyDescent="0.25">
      <c r="A260" s="2" t="s">
        <v>1119</v>
      </c>
      <c r="B260" s="6">
        <v>46210</v>
      </c>
      <c r="C260" s="2" t="s">
        <v>1120</v>
      </c>
      <c r="D260" s="2" t="s">
        <v>54</v>
      </c>
      <c r="E260" s="2" t="s">
        <v>28</v>
      </c>
      <c r="F260" s="2" t="s">
        <v>36</v>
      </c>
      <c r="G260" s="2" t="s">
        <v>21</v>
      </c>
      <c r="H260" s="2">
        <v>4</v>
      </c>
      <c r="I260" s="7">
        <f>H260*71.03</f>
        <v>284.12</v>
      </c>
    </row>
    <row r="261" spans="1:9" x14ac:dyDescent="0.25">
      <c r="A261" s="2" t="s">
        <v>1121</v>
      </c>
      <c r="B261" s="6">
        <v>46127</v>
      </c>
      <c r="C261" s="2" t="s">
        <v>473</v>
      </c>
      <c r="D261" s="2" t="s">
        <v>29</v>
      </c>
      <c r="E261" s="2" t="s">
        <v>18</v>
      </c>
      <c r="F261" s="2" t="s">
        <v>96</v>
      </c>
      <c r="G261" s="2" t="s">
        <v>50</v>
      </c>
      <c r="H261" s="2">
        <v>36</v>
      </c>
      <c r="I261" s="7">
        <f>H261*427.06</f>
        <v>15374.16</v>
      </c>
    </row>
    <row r="262" spans="1:9" x14ac:dyDescent="0.25">
      <c r="A262" s="2" t="s">
        <v>1122</v>
      </c>
      <c r="B262" s="6">
        <v>46159</v>
      </c>
      <c r="C262" s="2" t="s">
        <v>1123</v>
      </c>
      <c r="D262" s="2" t="s">
        <v>54</v>
      </c>
      <c r="E262" s="2" t="s">
        <v>35</v>
      </c>
      <c r="F262" s="2" t="s">
        <v>77</v>
      </c>
      <c r="G262" s="2" t="s">
        <v>56</v>
      </c>
      <c r="H262" s="2">
        <v>15</v>
      </c>
      <c r="I262" s="7">
        <f>H262*195.68</f>
        <v>2935.2000000000003</v>
      </c>
    </row>
    <row r="263" spans="1:9" x14ac:dyDescent="0.25">
      <c r="A263" s="2" t="s">
        <v>1124</v>
      </c>
      <c r="B263" s="6">
        <v>46279</v>
      </c>
      <c r="C263" s="2" t="s">
        <v>1125</v>
      </c>
      <c r="D263" s="2" t="s">
        <v>24</v>
      </c>
      <c r="E263" s="2" t="s">
        <v>42</v>
      </c>
      <c r="F263" s="2" t="s">
        <v>61</v>
      </c>
      <c r="G263" s="2" t="s">
        <v>16</v>
      </c>
      <c r="H263" s="2">
        <v>23</v>
      </c>
      <c r="I263" s="7">
        <f>H263*274.18</f>
        <v>6306.14</v>
      </c>
    </row>
    <row r="264" spans="1:9" x14ac:dyDescent="0.25">
      <c r="A264" s="2" t="s">
        <v>1126</v>
      </c>
      <c r="B264" s="6">
        <v>46056</v>
      </c>
      <c r="C264" s="2" t="s">
        <v>1127</v>
      </c>
      <c r="D264" s="2" t="s">
        <v>45</v>
      </c>
      <c r="E264" s="2" t="s">
        <v>79</v>
      </c>
      <c r="F264" s="2" t="s">
        <v>36</v>
      </c>
      <c r="G264" s="2" t="s">
        <v>21</v>
      </c>
      <c r="H264" s="2">
        <v>29</v>
      </c>
      <c r="I264" s="7">
        <f>H264*374.47</f>
        <v>10859.630000000001</v>
      </c>
    </row>
    <row r="265" spans="1:9" x14ac:dyDescent="0.25">
      <c r="A265" s="2" t="s">
        <v>1128</v>
      </c>
      <c r="B265" s="6">
        <v>46164</v>
      </c>
      <c r="C265" s="2" t="s">
        <v>903</v>
      </c>
      <c r="D265" s="2" t="s">
        <v>24</v>
      </c>
      <c r="E265" s="2" t="s">
        <v>13</v>
      </c>
      <c r="F265" s="2" t="s">
        <v>49</v>
      </c>
      <c r="G265" s="2" t="s">
        <v>50</v>
      </c>
      <c r="H265" s="2">
        <v>5</v>
      </c>
      <c r="I265" s="7">
        <f>H265*70.07</f>
        <v>350.34999999999997</v>
      </c>
    </row>
    <row r="266" spans="1:9" x14ac:dyDescent="0.25">
      <c r="A266" s="2" t="s">
        <v>1129</v>
      </c>
      <c r="B266" s="6">
        <v>46090</v>
      </c>
      <c r="C266" s="2" t="s">
        <v>539</v>
      </c>
      <c r="D266" s="2" t="s">
        <v>24</v>
      </c>
      <c r="E266" s="2" t="s">
        <v>35</v>
      </c>
      <c r="F266" s="2" t="s">
        <v>96</v>
      </c>
      <c r="G266" s="2" t="s">
        <v>50</v>
      </c>
      <c r="H266" s="2">
        <v>19</v>
      </c>
      <c r="I266" s="7">
        <f>H266*252.84</f>
        <v>4803.96</v>
      </c>
    </row>
    <row r="267" spans="1:9" x14ac:dyDescent="0.25">
      <c r="A267" s="2" t="s">
        <v>1130</v>
      </c>
      <c r="B267" s="6">
        <v>46141</v>
      </c>
      <c r="C267" s="2" t="s">
        <v>1123</v>
      </c>
      <c r="D267" s="2" t="s">
        <v>24</v>
      </c>
      <c r="E267" s="2" t="s">
        <v>85</v>
      </c>
      <c r="F267" s="2" t="s">
        <v>40</v>
      </c>
      <c r="G267" s="2" t="s">
        <v>31</v>
      </c>
      <c r="H267" s="2">
        <v>5</v>
      </c>
      <c r="I267" s="7">
        <f>H267*18.11</f>
        <v>90.55</v>
      </c>
    </row>
    <row r="268" spans="1:9" x14ac:dyDescent="0.25">
      <c r="A268" s="2" t="s">
        <v>1131</v>
      </c>
      <c r="B268" s="6">
        <v>46250</v>
      </c>
      <c r="C268" s="2" t="s">
        <v>1132</v>
      </c>
      <c r="D268" s="2" t="s">
        <v>19</v>
      </c>
      <c r="E268" s="2" t="s">
        <v>38</v>
      </c>
      <c r="F268" s="2" t="s">
        <v>102</v>
      </c>
      <c r="G268" s="2" t="s">
        <v>31</v>
      </c>
      <c r="H268" s="2">
        <v>32</v>
      </c>
      <c r="I268" s="7">
        <f>H268*358.05</f>
        <v>11457.6</v>
      </c>
    </row>
    <row r="269" spans="1:9" x14ac:dyDescent="0.25">
      <c r="A269" s="2" t="s">
        <v>1133</v>
      </c>
      <c r="B269" s="6">
        <v>46170</v>
      </c>
      <c r="C269" s="2" t="s">
        <v>706</v>
      </c>
      <c r="D269" s="2" t="s">
        <v>54</v>
      </c>
      <c r="E269" s="2" t="s">
        <v>47</v>
      </c>
      <c r="F269" s="2" t="s">
        <v>49</v>
      </c>
      <c r="G269" s="2" t="s">
        <v>50</v>
      </c>
      <c r="H269" s="2">
        <v>15</v>
      </c>
      <c r="I269" s="7">
        <f>H269*293.12</f>
        <v>4396.8</v>
      </c>
    </row>
    <row r="270" spans="1:9" x14ac:dyDescent="0.25">
      <c r="A270" s="2" t="s">
        <v>1134</v>
      </c>
      <c r="B270" s="6">
        <v>46112</v>
      </c>
      <c r="C270" s="2" t="s">
        <v>1091</v>
      </c>
      <c r="D270" s="2" t="s">
        <v>45</v>
      </c>
      <c r="E270" s="2" t="s">
        <v>35</v>
      </c>
      <c r="F270" s="2" t="s">
        <v>123</v>
      </c>
      <c r="G270" s="2" t="s">
        <v>50</v>
      </c>
      <c r="H270" s="2">
        <v>35</v>
      </c>
      <c r="I270" s="7">
        <f>H270*174.72</f>
        <v>6115.2</v>
      </c>
    </row>
    <row r="271" spans="1:9" x14ac:dyDescent="0.25">
      <c r="A271" s="2" t="s">
        <v>1135</v>
      </c>
      <c r="B271" s="6">
        <v>46117</v>
      </c>
      <c r="C271" s="2" t="s">
        <v>892</v>
      </c>
      <c r="D271" s="2" t="s">
        <v>45</v>
      </c>
      <c r="E271" s="2" t="s">
        <v>28</v>
      </c>
      <c r="F271" s="2" t="s">
        <v>40</v>
      </c>
      <c r="G271" s="2" t="s">
        <v>31</v>
      </c>
      <c r="H271" s="2">
        <v>29</v>
      </c>
      <c r="I271" s="7">
        <f>H271*159.94</f>
        <v>4638.26</v>
      </c>
    </row>
    <row r="272" spans="1:9" x14ac:dyDescent="0.25">
      <c r="A272" s="2" t="s">
        <v>1136</v>
      </c>
      <c r="B272" s="6">
        <v>46106</v>
      </c>
      <c r="C272" s="2" t="s">
        <v>556</v>
      </c>
      <c r="D272" s="2" t="s">
        <v>45</v>
      </c>
      <c r="E272" s="2" t="s">
        <v>79</v>
      </c>
      <c r="F272" s="2" t="s">
        <v>40</v>
      </c>
      <c r="G272" s="2" t="s">
        <v>31</v>
      </c>
      <c r="H272" s="2">
        <v>24</v>
      </c>
      <c r="I272" s="7">
        <f>H272*271.82</f>
        <v>6523.68</v>
      </c>
    </row>
    <row r="273" spans="1:9" x14ac:dyDescent="0.25">
      <c r="A273" s="2" t="s">
        <v>1137</v>
      </c>
      <c r="B273" s="6">
        <v>46102</v>
      </c>
      <c r="C273" s="2" t="s">
        <v>1027</v>
      </c>
      <c r="D273" s="2" t="s">
        <v>29</v>
      </c>
      <c r="E273" s="2" t="s">
        <v>28</v>
      </c>
      <c r="F273" s="2" t="s">
        <v>77</v>
      </c>
      <c r="G273" s="2" t="s">
        <v>56</v>
      </c>
      <c r="H273" s="2">
        <v>30</v>
      </c>
      <c r="I273" s="7">
        <f>H273*557.05</f>
        <v>16711.5</v>
      </c>
    </row>
    <row r="274" spans="1:9" x14ac:dyDescent="0.25">
      <c r="A274" s="2" t="s">
        <v>1138</v>
      </c>
      <c r="B274" s="6">
        <v>46098</v>
      </c>
      <c r="C274" s="2" t="s">
        <v>426</v>
      </c>
      <c r="D274" s="2" t="s">
        <v>54</v>
      </c>
      <c r="E274" s="2" t="s">
        <v>18</v>
      </c>
      <c r="F274" s="2" t="s">
        <v>69</v>
      </c>
      <c r="G274" s="2" t="s">
        <v>31</v>
      </c>
      <c r="H274" s="2">
        <v>19</v>
      </c>
      <c r="I274" s="7">
        <f>H274*581.92</f>
        <v>11056.48</v>
      </c>
    </row>
    <row r="275" spans="1:9" x14ac:dyDescent="0.25">
      <c r="A275" s="2" t="s">
        <v>1139</v>
      </c>
      <c r="B275" s="6">
        <v>46082</v>
      </c>
      <c r="C275" s="2" t="s">
        <v>599</v>
      </c>
      <c r="D275" s="2" t="s">
        <v>29</v>
      </c>
      <c r="E275" s="2" t="s">
        <v>23</v>
      </c>
      <c r="F275" s="2" t="s">
        <v>55</v>
      </c>
      <c r="G275" s="2" t="s">
        <v>56</v>
      </c>
      <c r="H275" s="2">
        <v>9</v>
      </c>
      <c r="I275" s="7">
        <f>H275*408.41</f>
        <v>3675.69</v>
      </c>
    </row>
    <row r="276" spans="1:9" x14ac:dyDescent="0.25">
      <c r="A276" s="2" t="s">
        <v>1140</v>
      </c>
      <c r="B276" s="6">
        <v>46122</v>
      </c>
      <c r="C276" s="2" t="s">
        <v>798</v>
      </c>
      <c r="D276" s="2" t="s">
        <v>59</v>
      </c>
      <c r="E276" s="2" t="s">
        <v>38</v>
      </c>
      <c r="F276" s="2" t="s">
        <v>74</v>
      </c>
      <c r="G276" s="2" t="s">
        <v>56</v>
      </c>
      <c r="H276" s="2">
        <v>6</v>
      </c>
      <c r="I276" s="7">
        <f>H276*199.19</f>
        <v>1195.1399999999999</v>
      </c>
    </row>
    <row r="277" spans="1:9" x14ac:dyDescent="0.25">
      <c r="A277" s="2" t="s">
        <v>1141</v>
      </c>
      <c r="B277" s="6">
        <v>46251</v>
      </c>
      <c r="C277" s="2" t="s">
        <v>814</v>
      </c>
      <c r="D277" s="2" t="s">
        <v>19</v>
      </c>
      <c r="E277" s="2" t="s">
        <v>47</v>
      </c>
      <c r="F277" s="2" t="s">
        <v>96</v>
      </c>
      <c r="G277" s="2" t="s">
        <v>50</v>
      </c>
      <c r="H277" s="2">
        <v>6</v>
      </c>
      <c r="I277" s="7">
        <f>H277*325.36</f>
        <v>1952.16</v>
      </c>
    </row>
    <row r="278" spans="1:9" x14ac:dyDescent="0.25">
      <c r="A278" s="2" t="s">
        <v>1142</v>
      </c>
      <c r="B278" s="6">
        <v>46241</v>
      </c>
      <c r="C278" s="2" t="s">
        <v>413</v>
      </c>
      <c r="D278" s="2" t="s">
        <v>45</v>
      </c>
      <c r="E278" s="2" t="s">
        <v>38</v>
      </c>
      <c r="F278" s="2" t="s">
        <v>30</v>
      </c>
      <c r="G278" s="2" t="s">
        <v>31</v>
      </c>
      <c r="H278" s="2">
        <v>24</v>
      </c>
      <c r="I278" s="7">
        <f>H278*241.55</f>
        <v>5797.2000000000007</v>
      </c>
    </row>
    <row r="279" spans="1:9" x14ac:dyDescent="0.25">
      <c r="A279" s="2" t="s">
        <v>1143</v>
      </c>
      <c r="B279" s="6">
        <v>46067</v>
      </c>
      <c r="C279" s="2" t="s">
        <v>1023</v>
      </c>
      <c r="D279" s="2" t="s">
        <v>14</v>
      </c>
      <c r="E279" s="2" t="s">
        <v>79</v>
      </c>
      <c r="F279" s="2" t="s">
        <v>102</v>
      </c>
      <c r="G279" s="2" t="s">
        <v>31</v>
      </c>
      <c r="H279" s="2">
        <v>20</v>
      </c>
      <c r="I279" s="7">
        <f>H279*586.63</f>
        <v>11732.6</v>
      </c>
    </row>
    <row r="280" spans="1:9" x14ac:dyDescent="0.25">
      <c r="A280" s="2" t="s">
        <v>1144</v>
      </c>
      <c r="B280" s="6">
        <v>46240</v>
      </c>
      <c r="C280" s="2" t="s">
        <v>503</v>
      </c>
      <c r="D280" s="2" t="s">
        <v>29</v>
      </c>
      <c r="E280" s="2" t="s">
        <v>18</v>
      </c>
      <c r="F280" s="2" t="s">
        <v>74</v>
      </c>
      <c r="G280" s="2" t="s">
        <v>56</v>
      </c>
      <c r="H280" s="2">
        <v>11</v>
      </c>
      <c r="I280" s="7">
        <f>H280*484.38</f>
        <v>5328.18</v>
      </c>
    </row>
    <row r="281" spans="1:9" x14ac:dyDescent="0.25">
      <c r="A281" s="2" t="s">
        <v>1145</v>
      </c>
      <c r="B281" s="6">
        <v>46291</v>
      </c>
      <c r="C281" s="2" t="s">
        <v>1086</v>
      </c>
      <c r="D281" s="2" t="s">
        <v>59</v>
      </c>
      <c r="E281" s="2" t="s">
        <v>79</v>
      </c>
      <c r="F281" s="2" t="s">
        <v>123</v>
      </c>
      <c r="G281" s="2" t="s">
        <v>50</v>
      </c>
      <c r="H281" s="2">
        <v>20</v>
      </c>
      <c r="I281" s="7">
        <f>H281*287.39</f>
        <v>5747.7999999999993</v>
      </c>
    </row>
    <row r="282" spans="1:9" x14ac:dyDescent="0.25">
      <c r="A282" s="2" t="s">
        <v>1146</v>
      </c>
      <c r="B282" s="6">
        <v>46162</v>
      </c>
      <c r="C282" s="2" t="s">
        <v>503</v>
      </c>
      <c r="D282" s="2" t="s">
        <v>24</v>
      </c>
      <c r="E282" s="2" t="s">
        <v>85</v>
      </c>
      <c r="F282" s="2" t="s">
        <v>15</v>
      </c>
      <c r="G282" s="2" t="s">
        <v>16</v>
      </c>
      <c r="H282" s="2">
        <v>27</v>
      </c>
      <c r="I282" s="7">
        <f>H282*385.09</f>
        <v>10397.429999999998</v>
      </c>
    </row>
    <row r="283" spans="1:9" x14ac:dyDescent="0.25">
      <c r="A283" s="2" t="s">
        <v>1147</v>
      </c>
      <c r="B283" s="6">
        <v>46171</v>
      </c>
      <c r="C283" s="2" t="s">
        <v>543</v>
      </c>
      <c r="D283" s="2" t="s">
        <v>59</v>
      </c>
      <c r="E283" s="2" t="s">
        <v>38</v>
      </c>
      <c r="F283" s="2" t="s">
        <v>123</v>
      </c>
      <c r="G283" s="2" t="s">
        <v>50</v>
      </c>
      <c r="H283" s="2">
        <v>12</v>
      </c>
      <c r="I283" s="7">
        <f>H283*500.21</f>
        <v>6002.5199999999995</v>
      </c>
    </row>
    <row r="284" spans="1:9" x14ac:dyDescent="0.25">
      <c r="A284" s="2" t="s">
        <v>1148</v>
      </c>
      <c r="B284" s="6">
        <v>46260</v>
      </c>
      <c r="C284" s="2" t="s">
        <v>1149</v>
      </c>
      <c r="D284" s="2" t="s">
        <v>19</v>
      </c>
      <c r="E284" s="2" t="s">
        <v>38</v>
      </c>
      <c r="F284" s="2" t="s">
        <v>36</v>
      </c>
      <c r="G284" s="2" t="s">
        <v>21</v>
      </c>
      <c r="H284" s="2">
        <v>32</v>
      </c>
      <c r="I284" s="7">
        <f>H284*337.77</f>
        <v>10808.64</v>
      </c>
    </row>
    <row r="285" spans="1:9" x14ac:dyDescent="0.25">
      <c r="A285" s="2" t="s">
        <v>1150</v>
      </c>
      <c r="B285" s="6">
        <v>46170</v>
      </c>
      <c r="C285" s="2" t="s">
        <v>567</v>
      </c>
      <c r="D285" s="2" t="s">
        <v>14</v>
      </c>
      <c r="E285" s="2" t="s">
        <v>23</v>
      </c>
      <c r="F285" s="2" t="s">
        <v>69</v>
      </c>
      <c r="G285" s="2" t="s">
        <v>31</v>
      </c>
      <c r="H285" s="2">
        <v>8</v>
      </c>
      <c r="I285" s="7">
        <f>H285*394.02</f>
        <v>3152.16</v>
      </c>
    </row>
    <row r="286" spans="1:9" x14ac:dyDescent="0.25">
      <c r="A286" s="2" t="s">
        <v>1151</v>
      </c>
      <c r="B286" s="6">
        <v>46057</v>
      </c>
      <c r="C286" s="2" t="s">
        <v>489</v>
      </c>
      <c r="D286" s="2" t="s">
        <v>29</v>
      </c>
      <c r="E286" s="2" t="s">
        <v>47</v>
      </c>
      <c r="F286" s="2" t="s">
        <v>15</v>
      </c>
      <c r="G286" s="2" t="s">
        <v>16</v>
      </c>
      <c r="H286" s="2">
        <v>18</v>
      </c>
      <c r="I286" s="7">
        <f>H286*298.36</f>
        <v>5370.4800000000005</v>
      </c>
    </row>
    <row r="287" spans="1:9" x14ac:dyDescent="0.25">
      <c r="A287" s="2" t="s">
        <v>1152</v>
      </c>
      <c r="B287" s="6">
        <v>46266</v>
      </c>
      <c r="C287" s="2" t="s">
        <v>761</v>
      </c>
      <c r="D287" s="2" t="s">
        <v>14</v>
      </c>
      <c r="E287" s="2" t="s">
        <v>85</v>
      </c>
      <c r="F287" s="2" t="s">
        <v>67</v>
      </c>
      <c r="G287" s="2" t="s">
        <v>21</v>
      </c>
      <c r="H287" s="2">
        <v>17</v>
      </c>
      <c r="I287" s="7">
        <f>H287*378.66</f>
        <v>6437.22</v>
      </c>
    </row>
    <row r="288" spans="1:9" x14ac:dyDescent="0.25">
      <c r="A288" s="2" t="s">
        <v>1153</v>
      </c>
      <c r="B288" s="6">
        <v>46097</v>
      </c>
      <c r="C288" s="2" t="s">
        <v>955</v>
      </c>
      <c r="D288" s="2" t="s">
        <v>19</v>
      </c>
      <c r="E288" s="2" t="s">
        <v>28</v>
      </c>
      <c r="F288" s="2" t="s">
        <v>61</v>
      </c>
      <c r="G288" s="2" t="s">
        <v>16</v>
      </c>
      <c r="H288" s="2">
        <v>11</v>
      </c>
      <c r="I288" s="7">
        <f>H288*351.08</f>
        <v>3861.8799999999997</v>
      </c>
    </row>
    <row r="289" spans="1:9" x14ac:dyDescent="0.25">
      <c r="A289" s="2" t="s">
        <v>1154</v>
      </c>
      <c r="B289" s="6">
        <v>46205</v>
      </c>
      <c r="C289" s="2" t="s">
        <v>874</v>
      </c>
      <c r="D289" s="2" t="s">
        <v>29</v>
      </c>
      <c r="E289" s="2" t="s">
        <v>18</v>
      </c>
      <c r="F289" s="2" t="s">
        <v>96</v>
      </c>
      <c r="G289" s="2" t="s">
        <v>50</v>
      </c>
      <c r="H289" s="2">
        <v>18</v>
      </c>
      <c r="I289" s="7">
        <f>H289*219.89</f>
        <v>3958.0199999999995</v>
      </c>
    </row>
    <row r="290" spans="1:9" x14ac:dyDescent="0.25">
      <c r="A290" s="2" t="s">
        <v>1155</v>
      </c>
      <c r="B290" s="6">
        <v>46108</v>
      </c>
      <c r="C290" s="2" t="s">
        <v>623</v>
      </c>
      <c r="D290" s="2" t="s">
        <v>59</v>
      </c>
      <c r="E290" s="2" t="s">
        <v>38</v>
      </c>
      <c r="F290" s="2" t="s">
        <v>43</v>
      </c>
      <c r="G290" s="2" t="s">
        <v>21</v>
      </c>
      <c r="H290" s="2">
        <v>12</v>
      </c>
      <c r="I290" s="7">
        <f>H290*459.99</f>
        <v>5519.88</v>
      </c>
    </row>
    <row r="291" spans="1:9" x14ac:dyDescent="0.25">
      <c r="A291" s="2" t="s">
        <v>1156</v>
      </c>
      <c r="B291" s="6">
        <v>46203</v>
      </c>
      <c r="C291" s="2" t="s">
        <v>407</v>
      </c>
      <c r="D291" s="2" t="s">
        <v>29</v>
      </c>
      <c r="E291" s="2" t="s">
        <v>38</v>
      </c>
      <c r="F291" s="2" t="s">
        <v>102</v>
      </c>
      <c r="G291" s="2" t="s">
        <v>31</v>
      </c>
      <c r="H291" s="2">
        <v>7</v>
      </c>
      <c r="I291" s="7">
        <f>H291*322.98</f>
        <v>2260.86</v>
      </c>
    </row>
    <row r="292" spans="1:9" x14ac:dyDescent="0.25">
      <c r="A292" s="2" t="s">
        <v>1157</v>
      </c>
      <c r="B292" s="6">
        <v>46106</v>
      </c>
      <c r="C292" s="2" t="s">
        <v>906</v>
      </c>
      <c r="D292" s="2" t="s">
        <v>29</v>
      </c>
      <c r="E292" s="2" t="s">
        <v>23</v>
      </c>
      <c r="F292" s="2" t="s">
        <v>69</v>
      </c>
      <c r="G292" s="2" t="s">
        <v>31</v>
      </c>
      <c r="H292" s="2">
        <v>27</v>
      </c>
      <c r="I292" s="7">
        <f>H292*207.49</f>
        <v>5602.2300000000005</v>
      </c>
    </row>
    <row r="293" spans="1:9" x14ac:dyDescent="0.25">
      <c r="A293" s="2" t="s">
        <v>1158</v>
      </c>
      <c r="B293" s="6">
        <v>46062</v>
      </c>
      <c r="C293" s="2" t="s">
        <v>534</v>
      </c>
      <c r="D293" s="2" t="s">
        <v>45</v>
      </c>
      <c r="E293" s="2" t="s">
        <v>47</v>
      </c>
      <c r="F293" s="2" t="s">
        <v>96</v>
      </c>
      <c r="G293" s="2" t="s">
        <v>50</v>
      </c>
      <c r="H293" s="2">
        <v>27</v>
      </c>
      <c r="I293" s="7">
        <f>H293*278.99</f>
        <v>7532.7300000000005</v>
      </c>
    </row>
    <row r="294" spans="1:9" x14ac:dyDescent="0.25">
      <c r="A294" s="2" t="s">
        <v>1159</v>
      </c>
      <c r="B294" s="6">
        <v>46249</v>
      </c>
      <c r="C294" s="2" t="s">
        <v>1025</v>
      </c>
      <c r="D294" s="2" t="s">
        <v>19</v>
      </c>
      <c r="E294" s="2" t="s">
        <v>38</v>
      </c>
      <c r="F294" s="2" t="s">
        <v>102</v>
      </c>
      <c r="G294" s="2" t="s">
        <v>31</v>
      </c>
      <c r="H294" s="2">
        <v>24</v>
      </c>
      <c r="I294" s="7">
        <f>H294*87.71</f>
        <v>2105.04</v>
      </c>
    </row>
    <row r="295" spans="1:9" x14ac:dyDescent="0.25">
      <c r="A295" s="2" t="s">
        <v>1160</v>
      </c>
      <c r="B295" s="6">
        <v>46095</v>
      </c>
      <c r="C295" s="2" t="s">
        <v>1161</v>
      </c>
      <c r="D295" s="2" t="s">
        <v>19</v>
      </c>
      <c r="E295" s="2" t="s">
        <v>13</v>
      </c>
      <c r="F295" s="2" t="s">
        <v>15</v>
      </c>
      <c r="G295" s="2" t="s">
        <v>16</v>
      </c>
      <c r="H295" s="2">
        <v>15</v>
      </c>
      <c r="I295" s="7">
        <f>H295*81.59</f>
        <v>1223.8500000000001</v>
      </c>
    </row>
    <row r="296" spans="1:9" x14ac:dyDescent="0.25">
      <c r="A296" s="2" t="s">
        <v>1162</v>
      </c>
      <c r="B296" s="6">
        <v>46270</v>
      </c>
      <c r="C296" s="2" t="s">
        <v>1163</v>
      </c>
      <c r="D296" s="2" t="s">
        <v>45</v>
      </c>
      <c r="E296" s="2" t="s">
        <v>35</v>
      </c>
      <c r="F296" s="2" t="s">
        <v>33</v>
      </c>
      <c r="G296" s="2" t="s">
        <v>16</v>
      </c>
      <c r="H296" s="2">
        <v>8</v>
      </c>
      <c r="I296" s="7">
        <f>H296*51.25</f>
        <v>410</v>
      </c>
    </row>
    <row r="297" spans="1:9" x14ac:dyDescent="0.25">
      <c r="A297" s="2" t="s">
        <v>1164</v>
      </c>
      <c r="B297" s="6">
        <v>46152</v>
      </c>
      <c r="C297" s="2" t="s">
        <v>884</v>
      </c>
      <c r="D297" s="2" t="s">
        <v>14</v>
      </c>
      <c r="E297" s="2" t="s">
        <v>35</v>
      </c>
      <c r="F297" s="2" t="s">
        <v>20</v>
      </c>
      <c r="G297" s="2" t="s">
        <v>21</v>
      </c>
      <c r="H297" s="2">
        <v>31</v>
      </c>
      <c r="I297" s="7">
        <f>H297*75.76</f>
        <v>2348.56</v>
      </c>
    </row>
    <row r="298" spans="1:9" x14ac:dyDescent="0.25">
      <c r="A298" s="2" t="s">
        <v>1165</v>
      </c>
      <c r="B298" s="6">
        <v>46125</v>
      </c>
      <c r="C298" s="2" t="s">
        <v>403</v>
      </c>
      <c r="D298" s="2" t="s">
        <v>45</v>
      </c>
      <c r="E298" s="2" t="s">
        <v>18</v>
      </c>
      <c r="F298" s="2" t="s">
        <v>15</v>
      </c>
      <c r="G298" s="2" t="s">
        <v>16</v>
      </c>
      <c r="H298" s="2">
        <v>39</v>
      </c>
      <c r="I298" s="7">
        <f>H298*127.21</f>
        <v>4961.1899999999996</v>
      </c>
    </row>
    <row r="299" spans="1:9" x14ac:dyDescent="0.25">
      <c r="A299" s="2" t="s">
        <v>1166</v>
      </c>
      <c r="B299" s="6">
        <v>46105</v>
      </c>
      <c r="C299" s="2" t="s">
        <v>1167</v>
      </c>
      <c r="D299" s="2" t="s">
        <v>29</v>
      </c>
      <c r="E299" s="2" t="s">
        <v>23</v>
      </c>
      <c r="F299" s="2" t="s">
        <v>49</v>
      </c>
      <c r="G299" s="2" t="s">
        <v>50</v>
      </c>
      <c r="H299" s="2">
        <v>38</v>
      </c>
      <c r="I299" s="7">
        <f>H299*211.96</f>
        <v>8054.4800000000005</v>
      </c>
    </row>
    <row r="300" spans="1:9" x14ac:dyDescent="0.25">
      <c r="A300" s="2" t="s">
        <v>1168</v>
      </c>
      <c r="B300" s="6">
        <v>46030</v>
      </c>
      <c r="C300" s="2" t="s">
        <v>571</v>
      </c>
      <c r="D300" s="2" t="s">
        <v>19</v>
      </c>
      <c r="E300" s="2" t="s">
        <v>38</v>
      </c>
      <c r="F300" s="2" t="s">
        <v>20</v>
      </c>
      <c r="G300" s="2" t="s">
        <v>21</v>
      </c>
      <c r="H300" s="2">
        <v>7</v>
      </c>
      <c r="I300" s="7">
        <f>H300*492.65</f>
        <v>3448.5499999999997</v>
      </c>
    </row>
    <row r="301" spans="1:9" x14ac:dyDescent="0.25">
      <c r="A301" s="2" t="s">
        <v>1169</v>
      </c>
      <c r="B301" s="6">
        <v>46281</v>
      </c>
      <c r="C301" s="2" t="s">
        <v>661</v>
      </c>
      <c r="D301" s="2" t="s">
        <v>29</v>
      </c>
      <c r="E301" s="2" t="s">
        <v>13</v>
      </c>
      <c r="F301" s="2" t="s">
        <v>96</v>
      </c>
      <c r="G301" s="2" t="s">
        <v>50</v>
      </c>
      <c r="H301" s="2">
        <v>7</v>
      </c>
      <c r="I301" s="7">
        <f>H301*554.92</f>
        <v>3884.4399999999996</v>
      </c>
    </row>
    <row r="302" spans="1:9" x14ac:dyDescent="0.25">
      <c r="A302" s="2" t="s">
        <v>1170</v>
      </c>
      <c r="B302" s="6">
        <v>46217</v>
      </c>
      <c r="C302" s="2" t="s">
        <v>503</v>
      </c>
      <c r="D302" s="2" t="s">
        <v>19</v>
      </c>
      <c r="E302" s="2" t="s">
        <v>79</v>
      </c>
      <c r="F302" s="2" t="s">
        <v>55</v>
      </c>
      <c r="G302" s="2" t="s">
        <v>56</v>
      </c>
      <c r="H302" s="2">
        <v>12</v>
      </c>
      <c r="I302" s="7">
        <f>H302*501.67</f>
        <v>6020.04</v>
      </c>
    </row>
    <row r="303" spans="1:9" x14ac:dyDescent="0.25">
      <c r="A303" s="2" t="s">
        <v>1171</v>
      </c>
      <c r="B303" s="6">
        <v>46289</v>
      </c>
      <c r="C303" s="2" t="s">
        <v>1172</v>
      </c>
      <c r="D303" s="2" t="s">
        <v>14</v>
      </c>
      <c r="E303" s="2" t="s">
        <v>38</v>
      </c>
      <c r="F303" s="2" t="s">
        <v>61</v>
      </c>
      <c r="G303" s="2" t="s">
        <v>16</v>
      </c>
      <c r="H303" s="2">
        <v>8</v>
      </c>
      <c r="I303" s="7">
        <f>H303*282.21</f>
        <v>2257.6799999999998</v>
      </c>
    </row>
    <row r="304" spans="1:9" x14ac:dyDescent="0.25">
      <c r="A304" s="2" t="s">
        <v>1173</v>
      </c>
      <c r="B304" s="6">
        <v>46082</v>
      </c>
      <c r="C304" s="2" t="s">
        <v>713</v>
      </c>
      <c r="D304" s="2" t="s">
        <v>29</v>
      </c>
      <c r="E304" s="2" t="s">
        <v>38</v>
      </c>
      <c r="F304" s="2" t="s">
        <v>20</v>
      </c>
      <c r="G304" s="2" t="s">
        <v>21</v>
      </c>
      <c r="H304" s="2">
        <v>6</v>
      </c>
      <c r="I304" s="7">
        <f>H304*200.23</f>
        <v>1201.3799999999999</v>
      </c>
    </row>
    <row r="305" spans="1:9" x14ac:dyDescent="0.25">
      <c r="A305" s="2" t="s">
        <v>1174</v>
      </c>
      <c r="B305" s="6">
        <v>46242</v>
      </c>
      <c r="C305" s="2" t="s">
        <v>528</v>
      </c>
      <c r="D305" s="2" t="s">
        <v>59</v>
      </c>
      <c r="E305" s="2" t="s">
        <v>47</v>
      </c>
      <c r="F305" s="2" t="s">
        <v>77</v>
      </c>
      <c r="G305" s="2" t="s">
        <v>56</v>
      </c>
      <c r="H305" s="2">
        <v>36</v>
      </c>
      <c r="I305" s="7">
        <f>H305*247.33</f>
        <v>8903.880000000001</v>
      </c>
    </row>
    <row r="306" spans="1:9" x14ac:dyDescent="0.25">
      <c r="A306" s="2" t="s">
        <v>1175</v>
      </c>
      <c r="B306" s="6">
        <v>46274</v>
      </c>
      <c r="C306" s="2" t="s">
        <v>1009</v>
      </c>
      <c r="D306" s="2" t="s">
        <v>29</v>
      </c>
      <c r="E306" s="2" t="s">
        <v>18</v>
      </c>
      <c r="F306" s="2" t="s">
        <v>40</v>
      </c>
      <c r="G306" s="2" t="s">
        <v>31</v>
      </c>
      <c r="H306" s="2">
        <v>1</v>
      </c>
      <c r="I306" s="7">
        <f>H306*599.24</f>
        <v>599.24</v>
      </c>
    </row>
    <row r="307" spans="1:9" x14ac:dyDescent="0.25">
      <c r="A307" s="2" t="s">
        <v>1176</v>
      </c>
      <c r="B307" s="6">
        <v>46075</v>
      </c>
      <c r="C307" s="2" t="s">
        <v>1177</v>
      </c>
      <c r="D307" s="2" t="s">
        <v>19</v>
      </c>
      <c r="E307" s="2" t="s">
        <v>28</v>
      </c>
      <c r="F307" s="2" t="s">
        <v>26</v>
      </c>
      <c r="G307" s="2" t="s">
        <v>16</v>
      </c>
      <c r="H307" s="2">
        <v>26</v>
      </c>
      <c r="I307" s="7">
        <f>H307*243.37</f>
        <v>6327.62</v>
      </c>
    </row>
    <row r="308" spans="1:9" x14ac:dyDescent="0.25">
      <c r="A308" s="2" t="s">
        <v>1178</v>
      </c>
      <c r="B308" s="6">
        <v>46240</v>
      </c>
      <c r="C308" s="2" t="s">
        <v>661</v>
      </c>
      <c r="D308" s="2" t="s">
        <v>59</v>
      </c>
      <c r="E308" s="2" t="s">
        <v>85</v>
      </c>
      <c r="F308" s="2" t="s">
        <v>52</v>
      </c>
      <c r="G308" s="2" t="s">
        <v>50</v>
      </c>
      <c r="H308" s="2">
        <v>8</v>
      </c>
      <c r="I308" s="7">
        <f>H308*143.56</f>
        <v>1148.48</v>
      </c>
    </row>
    <row r="309" spans="1:9" x14ac:dyDescent="0.25">
      <c r="A309" s="2" t="s">
        <v>1179</v>
      </c>
      <c r="B309" s="6">
        <v>46230</v>
      </c>
      <c r="C309" s="2" t="s">
        <v>1078</v>
      </c>
      <c r="D309" s="2" t="s">
        <v>19</v>
      </c>
      <c r="E309" s="2" t="s">
        <v>47</v>
      </c>
      <c r="F309" s="2" t="s">
        <v>36</v>
      </c>
      <c r="G309" s="2" t="s">
        <v>21</v>
      </c>
      <c r="H309" s="2">
        <v>26</v>
      </c>
      <c r="I309" s="7">
        <f>H309*216.88</f>
        <v>5638.88</v>
      </c>
    </row>
    <row r="310" spans="1:9" x14ac:dyDescent="0.25">
      <c r="A310" s="2" t="s">
        <v>1180</v>
      </c>
      <c r="B310" s="6">
        <v>46141</v>
      </c>
      <c r="C310" s="2" t="s">
        <v>407</v>
      </c>
      <c r="D310" s="2" t="s">
        <v>14</v>
      </c>
      <c r="E310" s="2" t="s">
        <v>35</v>
      </c>
      <c r="F310" s="2" t="s">
        <v>15</v>
      </c>
      <c r="G310" s="2" t="s">
        <v>16</v>
      </c>
      <c r="H310" s="2">
        <v>17</v>
      </c>
      <c r="I310" s="7">
        <f>H310*296.16</f>
        <v>5034.72</v>
      </c>
    </row>
    <row r="311" spans="1:9" x14ac:dyDescent="0.25">
      <c r="A311" s="2" t="s">
        <v>1181</v>
      </c>
      <c r="B311" s="6">
        <v>46218</v>
      </c>
      <c r="C311" s="2" t="s">
        <v>489</v>
      </c>
      <c r="D311" s="2" t="s">
        <v>19</v>
      </c>
      <c r="E311" s="2" t="s">
        <v>38</v>
      </c>
      <c r="F311" s="2" t="s">
        <v>33</v>
      </c>
      <c r="G311" s="2" t="s">
        <v>16</v>
      </c>
      <c r="H311" s="2">
        <v>2</v>
      </c>
      <c r="I311" s="7">
        <f>H311*583.38</f>
        <v>1166.76</v>
      </c>
    </row>
    <row r="312" spans="1:9" x14ac:dyDescent="0.25">
      <c r="A312" s="2" t="s">
        <v>1182</v>
      </c>
      <c r="B312" s="6">
        <v>46289</v>
      </c>
      <c r="C312" s="2" t="s">
        <v>1183</v>
      </c>
      <c r="D312" s="2" t="s">
        <v>19</v>
      </c>
      <c r="E312" s="2" t="s">
        <v>38</v>
      </c>
      <c r="F312" s="2" t="s">
        <v>20</v>
      </c>
      <c r="G312" s="2" t="s">
        <v>21</v>
      </c>
      <c r="H312" s="2">
        <v>5</v>
      </c>
      <c r="I312" s="7">
        <f>H312*398.34</f>
        <v>1991.6999999999998</v>
      </c>
    </row>
    <row r="313" spans="1:9" x14ac:dyDescent="0.25">
      <c r="A313" s="2" t="s">
        <v>1184</v>
      </c>
      <c r="B313" s="6">
        <v>46198</v>
      </c>
      <c r="C313" s="2" t="s">
        <v>1185</v>
      </c>
      <c r="D313" s="2" t="s">
        <v>59</v>
      </c>
      <c r="E313" s="2" t="s">
        <v>35</v>
      </c>
      <c r="F313" s="2" t="s">
        <v>112</v>
      </c>
      <c r="G313" s="2" t="s">
        <v>56</v>
      </c>
      <c r="H313" s="2">
        <v>33</v>
      </c>
      <c r="I313" s="7">
        <f>H313*160.69</f>
        <v>5302.7699999999995</v>
      </c>
    </row>
    <row r="314" spans="1:9" x14ac:dyDescent="0.25">
      <c r="A314" s="2" t="s">
        <v>1186</v>
      </c>
      <c r="B314" s="6">
        <v>46215</v>
      </c>
      <c r="C314" s="2" t="s">
        <v>1113</v>
      </c>
      <c r="D314" s="2" t="s">
        <v>45</v>
      </c>
      <c r="E314" s="2" t="s">
        <v>13</v>
      </c>
      <c r="F314" s="2" t="s">
        <v>55</v>
      </c>
      <c r="G314" s="2" t="s">
        <v>56</v>
      </c>
      <c r="H314" s="2">
        <v>25</v>
      </c>
      <c r="I314" s="7">
        <f>H314*272.82</f>
        <v>6820.5</v>
      </c>
    </row>
    <row r="315" spans="1:9" x14ac:dyDescent="0.25">
      <c r="A315" s="2" t="s">
        <v>1187</v>
      </c>
      <c r="B315" s="6">
        <v>46091</v>
      </c>
      <c r="C315" s="2" t="s">
        <v>1188</v>
      </c>
      <c r="D315" s="2" t="s">
        <v>24</v>
      </c>
      <c r="E315" s="2" t="s">
        <v>18</v>
      </c>
      <c r="F315" s="2" t="s">
        <v>36</v>
      </c>
      <c r="G315" s="2" t="s">
        <v>21</v>
      </c>
      <c r="H315" s="2">
        <v>11</v>
      </c>
      <c r="I315" s="7">
        <f>H315*297.43</f>
        <v>3271.73</v>
      </c>
    </row>
    <row r="316" spans="1:9" x14ac:dyDescent="0.25">
      <c r="A316" s="2" t="s">
        <v>1189</v>
      </c>
      <c r="B316" s="6">
        <v>46263</v>
      </c>
      <c r="C316" s="2" t="s">
        <v>1099</v>
      </c>
      <c r="D316" s="2" t="s">
        <v>29</v>
      </c>
      <c r="E316" s="2" t="s">
        <v>35</v>
      </c>
      <c r="F316" s="2" t="s">
        <v>67</v>
      </c>
      <c r="G316" s="2" t="s">
        <v>21</v>
      </c>
      <c r="H316" s="2">
        <v>36</v>
      </c>
      <c r="I316" s="7">
        <f>H316*412.8</f>
        <v>14860.800000000001</v>
      </c>
    </row>
    <row r="317" spans="1:9" x14ac:dyDescent="0.25">
      <c r="A317" s="2" t="s">
        <v>1190</v>
      </c>
      <c r="B317" s="6">
        <v>46216</v>
      </c>
      <c r="C317" s="2" t="s">
        <v>489</v>
      </c>
      <c r="D317" s="2" t="s">
        <v>59</v>
      </c>
      <c r="E317" s="2" t="s">
        <v>38</v>
      </c>
      <c r="F317" s="2" t="s">
        <v>74</v>
      </c>
      <c r="G317" s="2" t="s">
        <v>56</v>
      </c>
      <c r="H317" s="2">
        <v>32</v>
      </c>
      <c r="I317" s="7">
        <f>H317*356.67</f>
        <v>11413.44</v>
      </c>
    </row>
    <row r="318" spans="1:9" x14ac:dyDescent="0.25">
      <c r="A318" s="2" t="s">
        <v>1191</v>
      </c>
      <c r="B318" s="6">
        <v>46088</v>
      </c>
      <c r="C318" s="2" t="s">
        <v>908</v>
      </c>
      <c r="D318" s="2" t="s">
        <v>29</v>
      </c>
      <c r="E318" s="2" t="s">
        <v>35</v>
      </c>
      <c r="F318" s="2" t="s">
        <v>30</v>
      </c>
      <c r="G318" s="2" t="s">
        <v>31</v>
      </c>
      <c r="H318" s="2">
        <v>2</v>
      </c>
      <c r="I318" s="7">
        <f>H318*356.33</f>
        <v>712.66</v>
      </c>
    </row>
    <row r="319" spans="1:9" x14ac:dyDescent="0.25">
      <c r="A319" s="2" t="s">
        <v>1192</v>
      </c>
      <c r="B319" s="6">
        <v>46205</v>
      </c>
      <c r="C319" s="2" t="s">
        <v>1193</v>
      </c>
      <c r="D319" s="2" t="s">
        <v>14</v>
      </c>
      <c r="E319" s="2" t="s">
        <v>23</v>
      </c>
      <c r="F319" s="2" t="s">
        <v>69</v>
      </c>
      <c r="G319" s="2" t="s">
        <v>31</v>
      </c>
      <c r="H319" s="2">
        <v>7</v>
      </c>
      <c r="I319" s="7">
        <f>H319*259.75</f>
        <v>1818.25</v>
      </c>
    </row>
    <row r="320" spans="1:9" x14ac:dyDescent="0.25">
      <c r="A320" s="2" t="s">
        <v>1194</v>
      </c>
      <c r="B320" s="6">
        <v>46056</v>
      </c>
      <c r="C320" s="2" t="s">
        <v>599</v>
      </c>
      <c r="D320" s="2" t="s">
        <v>19</v>
      </c>
      <c r="E320" s="2" t="s">
        <v>35</v>
      </c>
      <c r="F320" s="2" t="s">
        <v>123</v>
      </c>
      <c r="G320" s="2" t="s">
        <v>50</v>
      </c>
      <c r="H320" s="2">
        <v>20</v>
      </c>
      <c r="I320" s="7">
        <f>H320*357.56</f>
        <v>7151.2</v>
      </c>
    </row>
    <row r="321" spans="1:9" x14ac:dyDescent="0.25">
      <c r="A321" s="2" t="s">
        <v>1195</v>
      </c>
      <c r="B321" s="6">
        <v>46239</v>
      </c>
      <c r="C321" s="2" t="s">
        <v>563</v>
      </c>
      <c r="D321" s="2" t="s">
        <v>54</v>
      </c>
      <c r="E321" s="2" t="s">
        <v>35</v>
      </c>
      <c r="F321" s="2" t="s">
        <v>36</v>
      </c>
      <c r="G321" s="2" t="s">
        <v>21</v>
      </c>
      <c r="H321" s="2">
        <v>3</v>
      </c>
      <c r="I321" s="7">
        <f>H321*279.24</f>
        <v>837.72</v>
      </c>
    </row>
    <row r="322" spans="1:9" x14ac:dyDescent="0.25">
      <c r="A322" s="2" t="s">
        <v>1196</v>
      </c>
      <c r="B322" s="6">
        <v>46222</v>
      </c>
      <c r="C322" s="2" t="s">
        <v>417</v>
      </c>
      <c r="D322" s="2" t="s">
        <v>59</v>
      </c>
      <c r="E322" s="2" t="s">
        <v>47</v>
      </c>
      <c r="F322" s="2" t="s">
        <v>55</v>
      </c>
      <c r="G322" s="2" t="s">
        <v>56</v>
      </c>
      <c r="H322" s="2">
        <v>21</v>
      </c>
      <c r="I322" s="7">
        <f>H322*229.75</f>
        <v>4824.75</v>
      </c>
    </row>
    <row r="323" spans="1:9" x14ac:dyDescent="0.25">
      <c r="A323" s="2" t="s">
        <v>1197</v>
      </c>
      <c r="B323" s="6">
        <v>46196</v>
      </c>
      <c r="C323" s="2" t="s">
        <v>696</v>
      </c>
      <c r="D323" s="2" t="s">
        <v>54</v>
      </c>
      <c r="E323" s="2" t="s">
        <v>79</v>
      </c>
      <c r="F323" s="2" t="s">
        <v>26</v>
      </c>
      <c r="G323" s="2" t="s">
        <v>16</v>
      </c>
      <c r="H323" s="2">
        <v>22</v>
      </c>
      <c r="I323" s="7">
        <f>H323*300.56</f>
        <v>6612.32</v>
      </c>
    </row>
    <row r="324" spans="1:9" x14ac:dyDescent="0.25">
      <c r="A324" s="2" t="s">
        <v>1198</v>
      </c>
      <c r="B324" s="6">
        <v>46132</v>
      </c>
      <c r="C324" s="2" t="s">
        <v>871</v>
      </c>
      <c r="D324" s="2" t="s">
        <v>54</v>
      </c>
      <c r="E324" s="2" t="s">
        <v>85</v>
      </c>
      <c r="F324" s="2" t="s">
        <v>52</v>
      </c>
      <c r="G324" s="2" t="s">
        <v>50</v>
      </c>
      <c r="H324" s="2">
        <v>5</v>
      </c>
      <c r="I324" s="7">
        <f>H324*505.03</f>
        <v>2525.1499999999996</v>
      </c>
    </row>
    <row r="325" spans="1:9" x14ac:dyDescent="0.25">
      <c r="A325" s="2" t="s">
        <v>1199</v>
      </c>
      <c r="B325" s="6">
        <v>46070</v>
      </c>
      <c r="C325" s="2" t="s">
        <v>1200</v>
      </c>
      <c r="D325" s="2" t="s">
        <v>54</v>
      </c>
      <c r="E325" s="2" t="s">
        <v>38</v>
      </c>
      <c r="F325" s="2" t="s">
        <v>77</v>
      </c>
      <c r="G325" s="2" t="s">
        <v>56</v>
      </c>
      <c r="H325" s="2">
        <v>40</v>
      </c>
      <c r="I325" s="7">
        <f>H325*447.02</f>
        <v>17880.8</v>
      </c>
    </row>
    <row r="326" spans="1:9" x14ac:dyDescent="0.25">
      <c r="A326" s="2" t="s">
        <v>1201</v>
      </c>
      <c r="B326" s="6">
        <v>46130</v>
      </c>
      <c r="C326" s="2" t="s">
        <v>1047</v>
      </c>
      <c r="D326" s="2" t="s">
        <v>14</v>
      </c>
      <c r="E326" s="2" t="s">
        <v>38</v>
      </c>
      <c r="F326" s="2" t="s">
        <v>65</v>
      </c>
      <c r="G326" s="2" t="s">
        <v>16</v>
      </c>
      <c r="H326" s="2">
        <v>34</v>
      </c>
      <c r="I326" s="7">
        <f>H326*287.78</f>
        <v>9784.5199999999986</v>
      </c>
    </row>
    <row r="327" spans="1:9" x14ac:dyDescent="0.25">
      <c r="A327" s="2" t="s">
        <v>1202</v>
      </c>
      <c r="B327" s="6">
        <v>46183</v>
      </c>
      <c r="C327" s="2" t="s">
        <v>499</v>
      </c>
      <c r="D327" s="2" t="s">
        <v>54</v>
      </c>
      <c r="E327" s="2" t="s">
        <v>85</v>
      </c>
      <c r="F327" s="2" t="s">
        <v>36</v>
      </c>
      <c r="G327" s="2" t="s">
        <v>21</v>
      </c>
      <c r="H327" s="2">
        <v>28</v>
      </c>
      <c r="I327" s="7">
        <f>H327*399.76</f>
        <v>11193.279999999999</v>
      </c>
    </row>
    <row r="328" spans="1:9" x14ac:dyDescent="0.25">
      <c r="A328" s="2" t="s">
        <v>1203</v>
      </c>
      <c r="B328" s="6">
        <v>46032</v>
      </c>
      <c r="C328" s="2" t="s">
        <v>1125</v>
      </c>
      <c r="D328" s="2" t="s">
        <v>29</v>
      </c>
      <c r="E328" s="2" t="s">
        <v>47</v>
      </c>
      <c r="F328" s="2" t="s">
        <v>67</v>
      </c>
      <c r="G328" s="2" t="s">
        <v>21</v>
      </c>
      <c r="H328" s="2">
        <v>36</v>
      </c>
      <c r="I328" s="7">
        <f>H328*112.46</f>
        <v>4048.56</v>
      </c>
    </row>
    <row r="329" spans="1:9" x14ac:dyDescent="0.25">
      <c r="A329" s="2" t="s">
        <v>1204</v>
      </c>
      <c r="B329" s="6">
        <v>46245</v>
      </c>
      <c r="C329" s="2" t="s">
        <v>458</v>
      </c>
      <c r="D329" s="2" t="s">
        <v>45</v>
      </c>
      <c r="E329" s="2" t="s">
        <v>42</v>
      </c>
      <c r="F329" s="2" t="s">
        <v>52</v>
      </c>
      <c r="G329" s="2" t="s">
        <v>50</v>
      </c>
      <c r="H329" s="2">
        <v>18</v>
      </c>
      <c r="I329" s="7">
        <f>H329*562.61</f>
        <v>10126.98</v>
      </c>
    </row>
    <row r="330" spans="1:9" x14ac:dyDescent="0.25">
      <c r="A330" s="2" t="s">
        <v>1205</v>
      </c>
      <c r="B330" s="6">
        <v>46100</v>
      </c>
      <c r="C330" s="2" t="s">
        <v>1206</v>
      </c>
      <c r="D330" s="2" t="s">
        <v>24</v>
      </c>
      <c r="E330" s="2" t="s">
        <v>28</v>
      </c>
      <c r="F330" s="2" t="s">
        <v>49</v>
      </c>
      <c r="G330" s="2" t="s">
        <v>50</v>
      </c>
      <c r="H330" s="2">
        <v>30</v>
      </c>
      <c r="I330" s="7">
        <f>H330*92.91</f>
        <v>2787.2999999999997</v>
      </c>
    </row>
    <row r="331" spans="1:9" x14ac:dyDescent="0.25">
      <c r="A331" s="2" t="s">
        <v>1207</v>
      </c>
      <c r="B331" s="6">
        <v>46169</v>
      </c>
      <c r="C331" s="2" t="s">
        <v>720</v>
      </c>
      <c r="D331" s="2" t="s">
        <v>29</v>
      </c>
      <c r="E331" s="2" t="s">
        <v>23</v>
      </c>
      <c r="F331" s="2" t="s">
        <v>26</v>
      </c>
      <c r="G331" s="2" t="s">
        <v>16</v>
      </c>
      <c r="H331" s="2">
        <v>27</v>
      </c>
      <c r="I331" s="7">
        <f>H331*163.83</f>
        <v>4423.4100000000008</v>
      </c>
    </row>
    <row r="332" spans="1:9" x14ac:dyDescent="0.25">
      <c r="A332" s="2" t="s">
        <v>1208</v>
      </c>
      <c r="B332" s="6">
        <v>46037</v>
      </c>
      <c r="C332" s="2" t="s">
        <v>794</v>
      </c>
      <c r="D332" s="2" t="s">
        <v>24</v>
      </c>
      <c r="E332" s="2" t="s">
        <v>47</v>
      </c>
      <c r="F332" s="2" t="s">
        <v>77</v>
      </c>
      <c r="G332" s="2" t="s">
        <v>56</v>
      </c>
      <c r="H332" s="2">
        <v>8</v>
      </c>
      <c r="I332" s="7">
        <f>H332*94.23</f>
        <v>753.84</v>
      </c>
    </row>
    <row r="333" spans="1:9" x14ac:dyDescent="0.25">
      <c r="A333" s="2" t="s">
        <v>1209</v>
      </c>
      <c r="B333" s="6">
        <v>46041</v>
      </c>
      <c r="C333" s="2" t="s">
        <v>1210</v>
      </c>
      <c r="D333" s="2" t="s">
        <v>19</v>
      </c>
      <c r="E333" s="2" t="s">
        <v>35</v>
      </c>
      <c r="F333" s="2" t="s">
        <v>67</v>
      </c>
      <c r="G333" s="2" t="s">
        <v>21</v>
      </c>
      <c r="H333" s="2">
        <v>28</v>
      </c>
      <c r="I333" s="7">
        <f>H333*389.92</f>
        <v>10917.76</v>
      </c>
    </row>
    <row r="334" spans="1:9" x14ac:dyDescent="0.25">
      <c r="A334" s="2" t="s">
        <v>1211</v>
      </c>
      <c r="B334" s="6">
        <v>46044</v>
      </c>
      <c r="C334" s="2" t="s">
        <v>1212</v>
      </c>
      <c r="D334" s="2" t="s">
        <v>45</v>
      </c>
      <c r="E334" s="2" t="s">
        <v>18</v>
      </c>
      <c r="F334" s="2" t="s">
        <v>102</v>
      </c>
      <c r="G334" s="2" t="s">
        <v>31</v>
      </c>
      <c r="H334" s="2">
        <v>36</v>
      </c>
      <c r="I334" s="7">
        <f>H334*109.71</f>
        <v>3949.56</v>
      </c>
    </row>
    <row r="335" spans="1:9" x14ac:dyDescent="0.25">
      <c r="A335" s="2" t="s">
        <v>1213</v>
      </c>
      <c r="B335" s="6">
        <v>46231</v>
      </c>
      <c r="C335" s="2" t="s">
        <v>1214</v>
      </c>
      <c r="D335" s="2" t="s">
        <v>45</v>
      </c>
      <c r="E335" s="2" t="s">
        <v>79</v>
      </c>
      <c r="F335" s="2" t="s">
        <v>102</v>
      </c>
      <c r="G335" s="2" t="s">
        <v>31</v>
      </c>
      <c r="H335" s="2">
        <v>5</v>
      </c>
      <c r="I335" s="7">
        <f>H335*540.84</f>
        <v>2704.2000000000003</v>
      </c>
    </row>
    <row r="336" spans="1:9" x14ac:dyDescent="0.25">
      <c r="A336" s="2" t="s">
        <v>1215</v>
      </c>
      <c r="B336" s="6">
        <v>46279</v>
      </c>
      <c r="C336" s="2" t="s">
        <v>1055</v>
      </c>
      <c r="D336" s="2" t="s">
        <v>59</v>
      </c>
      <c r="E336" s="2" t="s">
        <v>85</v>
      </c>
      <c r="F336" s="2" t="s">
        <v>123</v>
      </c>
      <c r="G336" s="2" t="s">
        <v>50</v>
      </c>
      <c r="H336" s="2">
        <v>8</v>
      </c>
      <c r="I336" s="7">
        <f>H336*344.73</f>
        <v>2757.84</v>
      </c>
    </row>
    <row r="337" spans="1:9" x14ac:dyDescent="0.25">
      <c r="A337" s="2" t="s">
        <v>1216</v>
      </c>
      <c r="B337" s="6">
        <v>46144</v>
      </c>
      <c r="C337" s="2" t="s">
        <v>1217</v>
      </c>
      <c r="D337" s="2" t="s">
        <v>54</v>
      </c>
      <c r="E337" s="2" t="s">
        <v>85</v>
      </c>
      <c r="F337" s="2" t="s">
        <v>36</v>
      </c>
      <c r="G337" s="2" t="s">
        <v>21</v>
      </c>
      <c r="H337" s="2">
        <v>32</v>
      </c>
      <c r="I337" s="7">
        <f>H337*531.32</f>
        <v>17002.240000000002</v>
      </c>
    </row>
    <row r="338" spans="1:9" x14ac:dyDescent="0.25">
      <c r="A338" s="2" t="s">
        <v>1218</v>
      </c>
      <c r="B338" s="6">
        <v>46077</v>
      </c>
      <c r="C338" s="2" t="s">
        <v>436</v>
      </c>
      <c r="D338" s="2" t="s">
        <v>24</v>
      </c>
      <c r="E338" s="2" t="s">
        <v>79</v>
      </c>
      <c r="F338" s="2" t="s">
        <v>77</v>
      </c>
      <c r="G338" s="2" t="s">
        <v>56</v>
      </c>
      <c r="H338" s="2">
        <v>28</v>
      </c>
      <c r="I338" s="7">
        <f>H338*134.71</f>
        <v>3771.88</v>
      </c>
    </row>
    <row r="339" spans="1:9" x14ac:dyDescent="0.25">
      <c r="A339" s="2" t="s">
        <v>1219</v>
      </c>
      <c r="B339" s="6">
        <v>46080</v>
      </c>
      <c r="C339" s="2" t="s">
        <v>1097</v>
      </c>
      <c r="D339" s="2" t="s">
        <v>24</v>
      </c>
      <c r="E339" s="2" t="s">
        <v>23</v>
      </c>
      <c r="F339" s="2" t="s">
        <v>30</v>
      </c>
      <c r="G339" s="2" t="s">
        <v>31</v>
      </c>
      <c r="H339" s="2">
        <v>32</v>
      </c>
      <c r="I339" s="7">
        <f>H339*322.41</f>
        <v>10317.120000000001</v>
      </c>
    </row>
    <row r="340" spans="1:9" x14ac:dyDescent="0.25">
      <c r="A340" s="2" t="s">
        <v>1220</v>
      </c>
      <c r="B340" s="6">
        <v>46211</v>
      </c>
      <c r="C340" s="2" t="s">
        <v>1221</v>
      </c>
      <c r="D340" s="2" t="s">
        <v>29</v>
      </c>
      <c r="E340" s="2" t="s">
        <v>35</v>
      </c>
      <c r="F340" s="2" t="s">
        <v>40</v>
      </c>
      <c r="G340" s="2" t="s">
        <v>31</v>
      </c>
      <c r="H340" s="2">
        <v>24</v>
      </c>
      <c r="I340" s="7">
        <f>H340*287.76</f>
        <v>6906.24</v>
      </c>
    </row>
    <row r="341" spans="1:9" x14ac:dyDescent="0.25">
      <c r="A341" s="2" t="s">
        <v>1222</v>
      </c>
      <c r="B341" s="6">
        <v>46181</v>
      </c>
      <c r="C341" s="2" t="s">
        <v>845</v>
      </c>
      <c r="D341" s="2" t="s">
        <v>45</v>
      </c>
      <c r="E341" s="2" t="s">
        <v>42</v>
      </c>
      <c r="F341" s="2" t="s">
        <v>26</v>
      </c>
      <c r="G341" s="2" t="s">
        <v>16</v>
      </c>
      <c r="H341" s="2">
        <v>17</v>
      </c>
      <c r="I341" s="7">
        <f>H341*333.87</f>
        <v>5675.79</v>
      </c>
    </row>
    <row r="342" spans="1:9" x14ac:dyDescent="0.25">
      <c r="A342" s="2" t="s">
        <v>1223</v>
      </c>
      <c r="B342" s="6">
        <v>46224</v>
      </c>
      <c r="C342" s="2" t="s">
        <v>627</v>
      </c>
      <c r="D342" s="2" t="s">
        <v>59</v>
      </c>
      <c r="E342" s="2" t="s">
        <v>23</v>
      </c>
      <c r="F342" s="2" t="s">
        <v>52</v>
      </c>
      <c r="G342" s="2" t="s">
        <v>50</v>
      </c>
      <c r="H342" s="2">
        <v>25</v>
      </c>
      <c r="I342" s="7">
        <f>H342*9.68</f>
        <v>242</v>
      </c>
    </row>
    <row r="343" spans="1:9" x14ac:dyDescent="0.25">
      <c r="A343" s="2" t="s">
        <v>1224</v>
      </c>
      <c r="B343" s="6">
        <v>46185</v>
      </c>
      <c r="C343" s="2" t="s">
        <v>718</v>
      </c>
      <c r="D343" s="2" t="s">
        <v>54</v>
      </c>
      <c r="E343" s="2" t="s">
        <v>18</v>
      </c>
      <c r="F343" s="2" t="s">
        <v>40</v>
      </c>
      <c r="G343" s="2" t="s">
        <v>31</v>
      </c>
      <c r="H343" s="2">
        <v>11</v>
      </c>
      <c r="I343" s="7">
        <f>H343*549.96</f>
        <v>6049.56</v>
      </c>
    </row>
    <row r="344" spans="1:9" x14ac:dyDescent="0.25">
      <c r="A344" s="2" t="s">
        <v>1225</v>
      </c>
      <c r="B344" s="6">
        <v>46193</v>
      </c>
      <c r="C344" s="2" t="s">
        <v>718</v>
      </c>
      <c r="D344" s="2" t="s">
        <v>59</v>
      </c>
      <c r="E344" s="2" t="s">
        <v>13</v>
      </c>
      <c r="F344" s="2" t="s">
        <v>112</v>
      </c>
      <c r="G344" s="2" t="s">
        <v>56</v>
      </c>
      <c r="H344" s="2">
        <v>27</v>
      </c>
      <c r="I344" s="7">
        <f>H344*556.27</f>
        <v>15019.289999999999</v>
      </c>
    </row>
    <row r="345" spans="1:9" x14ac:dyDescent="0.25">
      <c r="A345" s="2" t="s">
        <v>1226</v>
      </c>
      <c r="B345" s="6">
        <v>46190</v>
      </c>
      <c r="C345" s="2" t="s">
        <v>1227</v>
      </c>
      <c r="D345" s="2" t="s">
        <v>59</v>
      </c>
      <c r="E345" s="2" t="s">
        <v>35</v>
      </c>
      <c r="F345" s="2" t="s">
        <v>30</v>
      </c>
      <c r="G345" s="2" t="s">
        <v>31</v>
      </c>
      <c r="H345" s="2">
        <v>23</v>
      </c>
      <c r="I345" s="7">
        <f>H345*255.42</f>
        <v>5874.66</v>
      </c>
    </row>
    <row r="346" spans="1:9" x14ac:dyDescent="0.25">
      <c r="A346" s="2" t="s">
        <v>1228</v>
      </c>
      <c r="B346" s="6">
        <v>46125</v>
      </c>
      <c r="C346" s="2" t="s">
        <v>1229</v>
      </c>
      <c r="D346" s="2" t="s">
        <v>45</v>
      </c>
      <c r="E346" s="2" t="s">
        <v>18</v>
      </c>
      <c r="F346" s="2" t="s">
        <v>52</v>
      </c>
      <c r="G346" s="2" t="s">
        <v>50</v>
      </c>
      <c r="H346" s="2">
        <v>9</v>
      </c>
      <c r="I346" s="7">
        <f>H346*6.83</f>
        <v>61.47</v>
      </c>
    </row>
    <row r="347" spans="1:9" x14ac:dyDescent="0.25">
      <c r="A347" s="2" t="s">
        <v>1230</v>
      </c>
      <c r="B347" s="6">
        <v>46089</v>
      </c>
      <c r="C347" s="2" t="s">
        <v>489</v>
      </c>
      <c r="D347" s="2" t="s">
        <v>59</v>
      </c>
      <c r="E347" s="2" t="s">
        <v>28</v>
      </c>
      <c r="F347" s="2" t="s">
        <v>123</v>
      </c>
      <c r="G347" s="2" t="s">
        <v>50</v>
      </c>
      <c r="H347" s="2">
        <v>34</v>
      </c>
      <c r="I347" s="7">
        <f>H347*429.57</f>
        <v>14605.38</v>
      </c>
    </row>
    <row r="348" spans="1:9" x14ac:dyDescent="0.25">
      <c r="A348" s="2" t="s">
        <v>1231</v>
      </c>
      <c r="B348" s="6">
        <v>46190</v>
      </c>
      <c r="C348" s="2" t="s">
        <v>680</v>
      </c>
      <c r="D348" s="2" t="s">
        <v>24</v>
      </c>
      <c r="E348" s="2" t="s">
        <v>28</v>
      </c>
      <c r="F348" s="2" t="s">
        <v>112</v>
      </c>
      <c r="G348" s="2" t="s">
        <v>56</v>
      </c>
      <c r="H348" s="2">
        <v>9</v>
      </c>
      <c r="I348" s="7">
        <f>H348*160.1</f>
        <v>1440.8999999999999</v>
      </c>
    </row>
    <row r="349" spans="1:9" x14ac:dyDescent="0.25">
      <c r="A349" s="2" t="s">
        <v>1232</v>
      </c>
      <c r="B349" s="6">
        <v>46137</v>
      </c>
      <c r="C349" s="2" t="s">
        <v>409</v>
      </c>
      <c r="D349" s="2" t="s">
        <v>14</v>
      </c>
      <c r="E349" s="2" t="s">
        <v>85</v>
      </c>
      <c r="F349" s="2" t="s">
        <v>52</v>
      </c>
      <c r="G349" s="2" t="s">
        <v>50</v>
      </c>
      <c r="H349" s="2">
        <v>25</v>
      </c>
      <c r="I349" s="7">
        <f>H349*567.13</f>
        <v>14178.25</v>
      </c>
    </row>
    <row r="350" spans="1:9" x14ac:dyDescent="0.25">
      <c r="A350" s="2" t="s">
        <v>1233</v>
      </c>
      <c r="B350" s="6">
        <v>46109</v>
      </c>
      <c r="C350" s="2" t="s">
        <v>605</v>
      </c>
      <c r="D350" s="2" t="s">
        <v>24</v>
      </c>
      <c r="E350" s="2" t="s">
        <v>85</v>
      </c>
      <c r="F350" s="2" t="s">
        <v>96</v>
      </c>
      <c r="G350" s="2" t="s">
        <v>50</v>
      </c>
      <c r="H350" s="2">
        <v>30</v>
      </c>
      <c r="I350" s="7">
        <f>H350*122.97</f>
        <v>3689.1</v>
      </c>
    </row>
    <row r="351" spans="1:9" x14ac:dyDescent="0.25">
      <c r="A351" s="2" t="s">
        <v>1234</v>
      </c>
      <c r="B351" s="6">
        <v>46110</v>
      </c>
      <c r="C351" s="2" t="s">
        <v>1235</v>
      </c>
      <c r="D351" s="2" t="s">
        <v>14</v>
      </c>
      <c r="E351" s="2" t="s">
        <v>42</v>
      </c>
      <c r="F351" s="2" t="s">
        <v>40</v>
      </c>
      <c r="G351" s="2" t="s">
        <v>31</v>
      </c>
      <c r="H351" s="2">
        <v>6</v>
      </c>
      <c r="I351" s="7">
        <f>H351*575.03</f>
        <v>3450.18</v>
      </c>
    </row>
    <row r="352" spans="1:9" x14ac:dyDescent="0.25">
      <c r="A352" s="2" t="s">
        <v>1236</v>
      </c>
      <c r="B352" s="6">
        <v>46127</v>
      </c>
      <c r="C352" s="2" t="s">
        <v>558</v>
      </c>
      <c r="D352" s="2" t="s">
        <v>54</v>
      </c>
      <c r="E352" s="2" t="s">
        <v>47</v>
      </c>
      <c r="F352" s="2" t="s">
        <v>112</v>
      </c>
      <c r="G352" s="2" t="s">
        <v>56</v>
      </c>
      <c r="H352" s="2">
        <v>32</v>
      </c>
      <c r="I352" s="7">
        <f>H352*75.51</f>
        <v>2416.3200000000002</v>
      </c>
    </row>
    <row r="353" spans="1:9" x14ac:dyDescent="0.25">
      <c r="A353" s="2" t="s">
        <v>1237</v>
      </c>
      <c r="B353" s="6">
        <v>46133</v>
      </c>
      <c r="C353" s="2" t="s">
        <v>633</v>
      </c>
      <c r="D353" s="2" t="s">
        <v>19</v>
      </c>
      <c r="E353" s="2" t="s">
        <v>79</v>
      </c>
      <c r="F353" s="2" t="s">
        <v>77</v>
      </c>
      <c r="G353" s="2" t="s">
        <v>56</v>
      </c>
      <c r="H353" s="2">
        <v>28</v>
      </c>
      <c r="I353" s="7">
        <f>H353*514.52</f>
        <v>14406.56</v>
      </c>
    </row>
    <row r="354" spans="1:9" x14ac:dyDescent="0.25">
      <c r="A354" s="2" t="s">
        <v>1238</v>
      </c>
      <c r="B354" s="6">
        <v>46157</v>
      </c>
      <c r="C354" s="2" t="s">
        <v>390</v>
      </c>
      <c r="D354" s="2" t="s">
        <v>19</v>
      </c>
      <c r="E354" s="2" t="s">
        <v>28</v>
      </c>
      <c r="F354" s="2" t="s">
        <v>52</v>
      </c>
      <c r="G354" s="2" t="s">
        <v>50</v>
      </c>
      <c r="H354" s="2">
        <v>10</v>
      </c>
      <c r="I354" s="7">
        <f>H354*22.12</f>
        <v>221.20000000000002</v>
      </c>
    </row>
    <row r="355" spans="1:9" x14ac:dyDescent="0.25">
      <c r="A355" s="2" t="s">
        <v>1239</v>
      </c>
      <c r="B355" s="6">
        <v>46091</v>
      </c>
      <c r="C355" s="2" t="s">
        <v>1029</v>
      </c>
      <c r="D355" s="2" t="s">
        <v>14</v>
      </c>
      <c r="E355" s="2" t="s">
        <v>23</v>
      </c>
      <c r="F355" s="2" t="s">
        <v>67</v>
      </c>
      <c r="G355" s="2" t="s">
        <v>21</v>
      </c>
      <c r="H355" s="2">
        <v>6</v>
      </c>
      <c r="I355" s="7">
        <f>H355*11.14</f>
        <v>66.84</v>
      </c>
    </row>
    <row r="356" spans="1:9" x14ac:dyDescent="0.25">
      <c r="A356" s="2" t="s">
        <v>1240</v>
      </c>
      <c r="B356" s="6">
        <v>46071</v>
      </c>
      <c r="C356" s="2" t="s">
        <v>1241</v>
      </c>
      <c r="D356" s="2" t="s">
        <v>54</v>
      </c>
      <c r="E356" s="2" t="s">
        <v>23</v>
      </c>
      <c r="F356" s="2" t="s">
        <v>112</v>
      </c>
      <c r="G356" s="2" t="s">
        <v>56</v>
      </c>
      <c r="H356" s="2">
        <v>39</v>
      </c>
      <c r="I356" s="7">
        <f>H356*157.45</f>
        <v>6140.5499999999993</v>
      </c>
    </row>
    <row r="357" spans="1:9" x14ac:dyDescent="0.25">
      <c r="A357" s="2" t="s">
        <v>1242</v>
      </c>
      <c r="B357" s="6">
        <v>46046</v>
      </c>
      <c r="C357" s="2" t="s">
        <v>1243</v>
      </c>
      <c r="D357" s="2" t="s">
        <v>29</v>
      </c>
      <c r="E357" s="2" t="s">
        <v>79</v>
      </c>
      <c r="F357" s="2" t="s">
        <v>74</v>
      </c>
      <c r="G357" s="2" t="s">
        <v>56</v>
      </c>
      <c r="H357" s="2">
        <v>39</v>
      </c>
      <c r="I357" s="7">
        <f>H357*563.9</f>
        <v>21992.1</v>
      </c>
    </row>
    <row r="358" spans="1:9" x14ac:dyDescent="0.25">
      <c r="A358" s="2" t="s">
        <v>1244</v>
      </c>
      <c r="B358" s="6">
        <v>46044</v>
      </c>
      <c r="C358" s="2" t="s">
        <v>580</v>
      </c>
      <c r="D358" s="2" t="s">
        <v>19</v>
      </c>
      <c r="E358" s="2" t="s">
        <v>42</v>
      </c>
      <c r="F358" s="2" t="s">
        <v>69</v>
      </c>
      <c r="G358" s="2" t="s">
        <v>31</v>
      </c>
      <c r="H358" s="2">
        <v>24</v>
      </c>
      <c r="I358" s="7">
        <f>H358*83.68</f>
        <v>2008.3200000000002</v>
      </c>
    </row>
    <row r="359" spans="1:9" x14ac:dyDescent="0.25">
      <c r="A359" s="2" t="s">
        <v>1245</v>
      </c>
      <c r="B359" s="6">
        <v>46185</v>
      </c>
      <c r="C359" s="2" t="s">
        <v>1246</v>
      </c>
      <c r="D359" s="2" t="s">
        <v>54</v>
      </c>
      <c r="E359" s="2" t="s">
        <v>18</v>
      </c>
      <c r="F359" s="2" t="s">
        <v>74</v>
      </c>
      <c r="G359" s="2" t="s">
        <v>56</v>
      </c>
      <c r="H359" s="2">
        <v>30</v>
      </c>
      <c r="I359" s="7">
        <f>H359*83.49</f>
        <v>2504.6999999999998</v>
      </c>
    </row>
    <row r="360" spans="1:9" x14ac:dyDescent="0.25">
      <c r="A360" s="2" t="s">
        <v>1247</v>
      </c>
      <c r="B360" s="6">
        <v>46166</v>
      </c>
      <c r="C360" s="2" t="s">
        <v>413</v>
      </c>
      <c r="D360" s="2" t="s">
        <v>54</v>
      </c>
      <c r="E360" s="2" t="s">
        <v>85</v>
      </c>
      <c r="F360" s="2" t="s">
        <v>30</v>
      </c>
      <c r="G360" s="2" t="s">
        <v>31</v>
      </c>
      <c r="H360" s="2">
        <v>9</v>
      </c>
      <c r="I360" s="7">
        <f>H360*302.03</f>
        <v>2718.2699999999995</v>
      </c>
    </row>
    <row r="361" spans="1:9" x14ac:dyDescent="0.25">
      <c r="A361" s="2" t="s">
        <v>1248</v>
      </c>
      <c r="B361" s="6">
        <v>46184</v>
      </c>
      <c r="C361" s="2" t="s">
        <v>1212</v>
      </c>
      <c r="D361" s="2" t="s">
        <v>29</v>
      </c>
      <c r="E361" s="2" t="s">
        <v>47</v>
      </c>
      <c r="F361" s="2" t="s">
        <v>102</v>
      </c>
      <c r="G361" s="2" t="s">
        <v>31</v>
      </c>
      <c r="H361" s="2">
        <v>28</v>
      </c>
      <c r="I361" s="7">
        <f>H361*536.14</f>
        <v>15011.92</v>
      </c>
    </row>
    <row r="362" spans="1:9" x14ac:dyDescent="0.25">
      <c r="A362" s="2" t="s">
        <v>1249</v>
      </c>
      <c r="B362" s="6">
        <v>46116</v>
      </c>
      <c r="C362" s="2" t="s">
        <v>487</v>
      </c>
      <c r="D362" s="2" t="s">
        <v>19</v>
      </c>
      <c r="E362" s="2" t="s">
        <v>47</v>
      </c>
      <c r="F362" s="2" t="s">
        <v>26</v>
      </c>
      <c r="G362" s="2" t="s">
        <v>16</v>
      </c>
      <c r="H362" s="2">
        <v>10</v>
      </c>
      <c r="I362" s="7">
        <f>H362*37.47</f>
        <v>374.7</v>
      </c>
    </row>
    <row r="363" spans="1:9" x14ac:dyDescent="0.25">
      <c r="A363" s="2" t="s">
        <v>1250</v>
      </c>
      <c r="B363" s="6">
        <v>46205</v>
      </c>
      <c r="C363" s="2" t="s">
        <v>466</v>
      </c>
      <c r="D363" s="2" t="s">
        <v>24</v>
      </c>
      <c r="E363" s="2" t="s">
        <v>18</v>
      </c>
      <c r="F363" s="2" t="s">
        <v>55</v>
      </c>
      <c r="G363" s="2" t="s">
        <v>56</v>
      </c>
      <c r="H363" s="2">
        <v>32</v>
      </c>
      <c r="I363" s="7">
        <f>H363*29.27</f>
        <v>936.64</v>
      </c>
    </row>
    <row r="364" spans="1:9" x14ac:dyDescent="0.25">
      <c r="A364" s="2" t="s">
        <v>1251</v>
      </c>
      <c r="B364" s="6">
        <v>46168</v>
      </c>
      <c r="C364" s="2" t="s">
        <v>1252</v>
      </c>
      <c r="D364" s="2" t="s">
        <v>14</v>
      </c>
      <c r="E364" s="2" t="s">
        <v>42</v>
      </c>
      <c r="F364" s="2" t="s">
        <v>96</v>
      </c>
      <c r="G364" s="2" t="s">
        <v>50</v>
      </c>
      <c r="H364" s="2">
        <v>23</v>
      </c>
      <c r="I364" s="7">
        <f>H364*60.68</f>
        <v>1395.64</v>
      </c>
    </row>
    <row r="365" spans="1:9" x14ac:dyDescent="0.25">
      <c r="A365" s="2" t="s">
        <v>1253</v>
      </c>
      <c r="B365" s="6">
        <v>46025</v>
      </c>
      <c r="C365" s="2" t="s">
        <v>1167</v>
      </c>
      <c r="D365" s="2" t="s">
        <v>19</v>
      </c>
      <c r="E365" s="2" t="s">
        <v>79</v>
      </c>
      <c r="F365" s="2" t="s">
        <v>40</v>
      </c>
      <c r="G365" s="2" t="s">
        <v>31</v>
      </c>
      <c r="H365" s="2">
        <v>38</v>
      </c>
      <c r="I365" s="7">
        <f>H365*598.81</f>
        <v>22754.78</v>
      </c>
    </row>
    <row r="366" spans="1:9" x14ac:dyDescent="0.25">
      <c r="A366" s="2" t="s">
        <v>1254</v>
      </c>
      <c r="B366" s="6">
        <v>46191</v>
      </c>
      <c r="C366" s="2" t="s">
        <v>1243</v>
      </c>
      <c r="D366" s="2" t="s">
        <v>14</v>
      </c>
      <c r="E366" s="2" t="s">
        <v>18</v>
      </c>
      <c r="F366" s="2" t="s">
        <v>26</v>
      </c>
      <c r="G366" s="2" t="s">
        <v>16</v>
      </c>
      <c r="H366" s="2">
        <v>32</v>
      </c>
      <c r="I366" s="7">
        <f>H366*407.76</f>
        <v>13048.32</v>
      </c>
    </row>
    <row r="367" spans="1:9" x14ac:dyDescent="0.25">
      <c r="A367" s="2" t="s">
        <v>1255</v>
      </c>
      <c r="B367" s="6">
        <v>46077</v>
      </c>
      <c r="C367" s="2" t="s">
        <v>1001</v>
      </c>
      <c r="D367" s="2" t="s">
        <v>45</v>
      </c>
      <c r="E367" s="2" t="s">
        <v>47</v>
      </c>
      <c r="F367" s="2" t="s">
        <v>74</v>
      </c>
      <c r="G367" s="2" t="s">
        <v>56</v>
      </c>
      <c r="H367" s="2">
        <v>38</v>
      </c>
      <c r="I367" s="7">
        <f>H367*557.84</f>
        <v>21197.920000000002</v>
      </c>
    </row>
    <row r="368" spans="1:9" x14ac:dyDescent="0.25">
      <c r="A368" s="2" t="s">
        <v>1256</v>
      </c>
      <c r="B368" s="6">
        <v>46025</v>
      </c>
      <c r="C368" s="2" t="s">
        <v>1086</v>
      </c>
      <c r="D368" s="2" t="s">
        <v>29</v>
      </c>
      <c r="E368" s="2" t="s">
        <v>47</v>
      </c>
      <c r="F368" s="2" t="s">
        <v>112</v>
      </c>
      <c r="G368" s="2" t="s">
        <v>56</v>
      </c>
      <c r="H368" s="2">
        <v>18</v>
      </c>
      <c r="I368" s="7">
        <f>H368*358.55</f>
        <v>6453.9000000000005</v>
      </c>
    </row>
    <row r="369" spans="1:9" x14ac:dyDescent="0.25">
      <c r="A369" s="2" t="s">
        <v>1257</v>
      </c>
      <c r="B369" s="6">
        <v>46167</v>
      </c>
      <c r="C369" s="2" t="s">
        <v>1258</v>
      </c>
      <c r="D369" s="2" t="s">
        <v>14</v>
      </c>
      <c r="E369" s="2" t="s">
        <v>18</v>
      </c>
      <c r="F369" s="2" t="s">
        <v>40</v>
      </c>
      <c r="G369" s="2" t="s">
        <v>31</v>
      </c>
      <c r="H369" s="2">
        <v>14</v>
      </c>
      <c r="I369" s="7">
        <f>H369*518.65</f>
        <v>7261.0999999999995</v>
      </c>
    </row>
    <row r="370" spans="1:9" x14ac:dyDescent="0.25">
      <c r="A370" s="2" t="s">
        <v>1259</v>
      </c>
      <c r="B370" s="6">
        <v>46114</v>
      </c>
      <c r="C370" s="2" t="s">
        <v>794</v>
      </c>
      <c r="D370" s="2" t="s">
        <v>45</v>
      </c>
      <c r="E370" s="2" t="s">
        <v>35</v>
      </c>
      <c r="F370" s="2" t="s">
        <v>67</v>
      </c>
      <c r="G370" s="2" t="s">
        <v>21</v>
      </c>
      <c r="H370" s="2">
        <v>6</v>
      </c>
      <c r="I370" s="7">
        <f>H370*242.32</f>
        <v>1453.92</v>
      </c>
    </row>
    <row r="371" spans="1:9" x14ac:dyDescent="0.25">
      <c r="A371" s="2" t="s">
        <v>1260</v>
      </c>
      <c r="B371" s="6">
        <v>46168</v>
      </c>
      <c r="C371" s="2" t="s">
        <v>741</v>
      </c>
      <c r="D371" s="2" t="s">
        <v>24</v>
      </c>
      <c r="E371" s="2" t="s">
        <v>79</v>
      </c>
      <c r="F371" s="2" t="s">
        <v>123</v>
      </c>
      <c r="G371" s="2" t="s">
        <v>50</v>
      </c>
      <c r="H371" s="2">
        <v>25</v>
      </c>
      <c r="I371" s="7">
        <f>H371*468.8</f>
        <v>11720</v>
      </c>
    </row>
    <row r="372" spans="1:9" x14ac:dyDescent="0.25">
      <c r="A372" s="2" t="s">
        <v>1261</v>
      </c>
      <c r="B372" s="6">
        <v>46211</v>
      </c>
      <c r="C372" s="2" t="s">
        <v>959</v>
      </c>
      <c r="D372" s="2" t="s">
        <v>24</v>
      </c>
      <c r="E372" s="2" t="s">
        <v>79</v>
      </c>
      <c r="F372" s="2" t="s">
        <v>40</v>
      </c>
      <c r="G372" s="2" t="s">
        <v>31</v>
      </c>
      <c r="H372" s="2">
        <v>23</v>
      </c>
      <c r="I372" s="7">
        <f>H372*400.98</f>
        <v>9222.5400000000009</v>
      </c>
    </row>
    <row r="373" spans="1:9" x14ac:dyDescent="0.25">
      <c r="A373" s="2" t="s">
        <v>1262</v>
      </c>
      <c r="B373" s="6">
        <v>46069</v>
      </c>
      <c r="C373" s="2" t="s">
        <v>1263</v>
      </c>
      <c r="D373" s="2" t="s">
        <v>29</v>
      </c>
      <c r="E373" s="2" t="s">
        <v>13</v>
      </c>
      <c r="F373" s="2" t="s">
        <v>74</v>
      </c>
      <c r="G373" s="2" t="s">
        <v>56</v>
      </c>
      <c r="H373" s="2">
        <v>37</v>
      </c>
      <c r="I373" s="7">
        <f>H373*362.2</f>
        <v>13401.4</v>
      </c>
    </row>
    <row r="374" spans="1:9" x14ac:dyDescent="0.25">
      <c r="A374" s="2" t="s">
        <v>1264</v>
      </c>
      <c r="B374" s="6">
        <v>46197</v>
      </c>
      <c r="C374" s="2" t="s">
        <v>1227</v>
      </c>
      <c r="D374" s="2" t="s">
        <v>14</v>
      </c>
      <c r="E374" s="2" t="s">
        <v>13</v>
      </c>
      <c r="F374" s="2" t="s">
        <v>112</v>
      </c>
      <c r="G374" s="2" t="s">
        <v>56</v>
      </c>
      <c r="H374" s="2">
        <v>6</v>
      </c>
      <c r="I374" s="7">
        <f>H374*29.06</f>
        <v>174.35999999999999</v>
      </c>
    </row>
    <row r="375" spans="1:9" x14ac:dyDescent="0.25">
      <c r="A375" s="2" t="s">
        <v>1265</v>
      </c>
      <c r="B375" s="6">
        <v>46063</v>
      </c>
      <c r="C375" s="2" t="s">
        <v>863</v>
      </c>
      <c r="D375" s="2" t="s">
        <v>19</v>
      </c>
      <c r="E375" s="2" t="s">
        <v>38</v>
      </c>
      <c r="F375" s="2" t="s">
        <v>55</v>
      </c>
      <c r="G375" s="2" t="s">
        <v>56</v>
      </c>
      <c r="H375" s="2">
        <v>19</v>
      </c>
      <c r="I375" s="7">
        <f>H375*283.59</f>
        <v>5388.2099999999991</v>
      </c>
    </row>
    <row r="376" spans="1:9" x14ac:dyDescent="0.25">
      <c r="A376" s="2" t="s">
        <v>1266</v>
      </c>
      <c r="B376" s="6">
        <v>46062</v>
      </c>
      <c r="C376" s="2" t="s">
        <v>397</v>
      </c>
      <c r="D376" s="2" t="s">
        <v>29</v>
      </c>
      <c r="E376" s="2" t="s">
        <v>79</v>
      </c>
      <c r="F376" s="2" t="s">
        <v>52</v>
      </c>
      <c r="G376" s="2" t="s">
        <v>50</v>
      </c>
      <c r="H376" s="2">
        <v>19</v>
      </c>
      <c r="I376" s="7">
        <f>H376*343.28</f>
        <v>6522.32</v>
      </c>
    </row>
    <row r="377" spans="1:9" x14ac:dyDescent="0.25">
      <c r="A377" s="2" t="s">
        <v>1267</v>
      </c>
      <c r="B377" s="6">
        <v>46152</v>
      </c>
      <c r="C377" s="2" t="s">
        <v>908</v>
      </c>
      <c r="D377" s="2" t="s">
        <v>45</v>
      </c>
      <c r="E377" s="2" t="s">
        <v>42</v>
      </c>
      <c r="F377" s="2" t="s">
        <v>55</v>
      </c>
      <c r="G377" s="2" t="s">
        <v>56</v>
      </c>
      <c r="H377" s="2">
        <v>30</v>
      </c>
      <c r="I377" s="7">
        <f>H377*398.21</f>
        <v>11946.3</v>
      </c>
    </row>
    <row r="378" spans="1:9" x14ac:dyDescent="0.25">
      <c r="A378" s="2" t="s">
        <v>1268</v>
      </c>
      <c r="B378" s="6">
        <v>46116</v>
      </c>
      <c r="C378" s="2" t="s">
        <v>1080</v>
      </c>
      <c r="D378" s="2" t="s">
        <v>24</v>
      </c>
      <c r="E378" s="2" t="s">
        <v>38</v>
      </c>
      <c r="F378" s="2" t="s">
        <v>15</v>
      </c>
      <c r="G378" s="2" t="s">
        <v>16</v>
      </c>
      <c r="H378" s="2">
        <v>30</v>
      </c>
      <c r="I378" s="7">
        <f>H378*111.83</f>
        <v>3354.9</v>
      </c>
    </row>
    <row r="379" spans="1:9" x14ac:dyDescent="0.25">
      <c r="A379" s="2" t="s">
        <v>1269</v>
      </c>
      <c r="B379" s="6">
        <v>46158</v>
      </c>
      <c r="C379" s="2" t="s">
        <v>1258</v>
      </c>
      <c r="D379" s="2" t="s">
        <v>19</v>
      </c>
      <c r="E379" s="2" t="s">
        <v>13</v>
      </c>
      <c r="F379" s="2" t="s">
        <v>69</v>
      </c>
      <c r="G379" s="2" t="s">
        <v>31</v>
      </c>
      <c r="H379" s="2">
        <v>29</v>
      </c>
      <c r="I379" s="7">
        <f>H379*376.17</f>
        <v>10908.93</v>
      </c>
    </row>
    <row r="380" spans="1:9" x14ac:dyDescent="0.25">
      <c r="A380" s="2" t="s">
        <v>1270</v>
      </c>
      <c r="B380" s="6">
        <v>46077</v>
      </c>
      <c r="C380" s="2" t="s">
        <v>1271</v>
      </c>
      <c r="D380" s="2" t="s">
        <v>45</v>
      </c>
      <c r="E380" s="2" t="s">
        <v>79</v>
      </c>
      <c r="F380" s="2" t="s">
        <v>65</v>
      </c>
      <c r="G380" s="2" t="s">
        <v>16</v>
      </c>
      <c r="H380" s="2">
        <v>17</v>
      </c>
      <c r="I380" s="7">
        <f>H380*523.61</f>
        <v>8901.3700000000008</v>
      </c>
    </row>
    <row r="381" spans="1:9" x14ac:dyDescent="0.25">
      <c r="A381" s="2" t="s">
        <v>1272</v>
      </c>
      <c r="B381" s="6">
        <v>46258</v>
      </c>
      <c r="C381" s="2" t="s">
        <v>910</v>
      </c>
      <c r="D381" s="2" t="s">
        <v>14</v>
      </c>
      <c r="E381" s="2" t="s">
        <v>85</v>
      </c>
      <c r="F381" s="2" t="s">
        <v>15</v>
      </c>
      <c r="G381" s="2" t="s">
        <v>16</v>
      </c>
      <c r="H381" s="2">
        <v>11</v>
      </c>
      <c r="I381" s="7">
        <f>H381*395.2</f>
        <v>4347.2</v>
      </c>
    </row>
    <row r="382" spans="1:9" x14ac:dyDescent="0.25">
      <c r="A382" s="2" t="s">
        <v>1273</v>
      </c>
      <c r="B382" s="6">
        <v>46207</v>
      </c>
      <c r="C382" s="2" t="s">
        <v>1274</v>
      </c>
      <c r="D382" s="2" t="s">
        <v>45</v>
      </c>
      <c r="E382" s="2" t="s">
        <v>13</v>
      </c>
      <c r="F382" s="2" t="s">
        <v>74</v>
      </c>
      <c r="G382" s="2" t="s">
        <v>56</v>
      </c>
      <c r="H382" s="2">
        <v>40</v>
      </c>
      <c r="I382" s="7">
        <f>H382*488.81</f>
        <v>19552.400000000001</v>
      </c>
    </row>
    <row r="383" spans="1:9" x14ac:dyDescent="0.25">
      <c r="A383" s="2" t="s">
        <v>1275</v>
      </c>
      <c r="B383" s="6">
        <v>46031</v>
      </c>
      <c r="C383" s="2" t="s">
        <v>528</v>
      </c>
      <c r="D383" s="2" t="s">
        <v>19</v>
      </c>
      <c r="E383" s="2" t="s">
        <v>47</v>
      </c>
      <c r="F383" s="2" t="s">
        <v>96</v>
      </c>
      <c r="G383" s="2" t="s">
        <v>50</v>
      </c>
      <c r="H383" s="2">
        <v>13</v>
      </c>
      <c r="I383" s="7">
        <f>H383*71.59</f>
        <v>930.67000000000007</v>
      </c>
    </row>
    <row r="384" spans="1:9" x14ac:dyDescent="0.25">
      <c r="A384" s="2" t="s">
        <v>1276</v>
      </c>
      <c r="B384" s="6">
        <v>46120</v>
      </c>
      <c r="C384" s="2" t="s">
        <v>812</v>
      </c>
      <c r="D384" s="2" t="s">
        <v>19</v>
      </c>
      <c r="E384" s="2" t="s">
        <v>47</v>
      </c>
      <c r="F384" s="2" t="s">
        <v>123</v>
      </c>
      <c r="G384" s="2" t="s">
        <v>50</v>
      </c>
      <c r="H384" s="2">
        <v>28</v>
      </c>
      <c r="I384" s="7">
        <f>H384*506.04</f>
        <v>14169.12</v>
      </c>
    </row>
    <row r="385" spans="1:9" x14ac:dyDescent="0.25">
      <c r="A385" s="2" t="s">
        <v>1277</v>
      </c>
      <c r="B385" s="6">
        <v>46101</v>
      </c>
      <c r="C385" s="2" t="s">
        <v>1278</v>
      </c>
      <c r="D385" s="2" t="s">
        <v>45</v>
      </c>
      <c r="E385" s="2" t="s">
        <v>47</v>
      </c>
      <c r="F385" s="2" t="s">
        <v>55</v>
      </c>
      <c r="G385" s="2" t="s">
        <v>56</v>
      </c>
      <c r="H385" s="2">
        <v>8</v>
      </c>
      <c r="I385" s="7">
        <f>H385*103.83</f>
        <v>830.64</v>
      </c>
    </row>
    <row r="386" spans="1:9" x14ac:dyDescent="0.25">
      <c r="A386" s="2" t="s">
        <v>1279</v>
      </c>
      <c r="B386" s="6">
        <v>46223</v>
      </c>
      <c r="C386" s="2" t="s">
        <v>897</v>
      </c>
      <c r="D386" s="2" t="s">
        <v>45</v>
      </c>
      <c r="E386" s="2" t="s">
        <v>79</v>
      </c>
      <c r="F386" s="2" t="s">
        <v>43</v>
      </c>
      <c r="G386" s="2" t="s">
        <v>21</v>
      </c>
      <c r="H386" s="2">
        <v>13</v>
      </c>
      <c r="I386" s="7">
        <f>H386*180.42</f>
        <v>2345.46</v>
      </c>
    </row>
    <row r="387" spans="1:9" x14ac:dyDescent="0.25">
      <c r="A387" s="2" t="s">
        <v>1280</v>
      </c>
      <c r="B387" s="6">
        <v>46171</v>
      </c>
      <c r="C387" s="2" t="s">
        <v>487</v>
      </c>
      <c r="D387" s="2" t="s">
        <v>24</v>
      </c>
      <c r="E387" s="2" t="s">
        <v>42</v>
      </c>
      <c r="F387" s="2" t="s">
        <v>112</v>
      </c>
      <c r="G387" s="2" t="s">
        <v>56</v>
      </c>
      <c r="H387" s="2">
        <v>38</v>
      </c>
      <c r="I387" s="7">
        <f>H387*359.52</f>
        <v>13661.759999999998</v>
      </c>
    </row>
    <row r="388" spans="1:9" x14ac:dyDescent="0.25">
      <c r="A388" s="2" t="s">
        <v>1281</v>
      </c>
      <c r="B388" s="6">
        <v>46032</v>
      </c>
      <c r="C388" s="2" t="s">
        <v>865</v>
      </c>
      <c r="D388" s="2" t="s">
        <v>29</v>
      </c>
      <c r="E388" s="2" t="s">
        <v>18</v>
      </c>
      <c r="F388" s="2" t="s">
        <v>67</v>
      </c>
      <c r="G388" s="2" t="s">
        <v>21</v>
      </c>
      <c r="H388" s="2">
        <v>15</v>
      </c>
      <c r="I388" s="7">
        <f>H388*430</f>
        <v>6450</v>
      </c>
    </row>
    <row r="389" spans="1:9" x14ac:dyDescent="0.25">
      <c r="A389" s="2" t="s">
        <v>1282</v>
      </c>
      <c r="B389" s="6">
        <v>46200</v>
      </c>
      <c r="C389" s="2" t="s">
        <v>843</v>
      </c>
      <c r="D389" s="2" t="s">
        <v>45</v>
      </c>
      <c r="E389" s="2" t="s">
        <v>13</v>
      </c>
      <c r="F389" s="2" t="s">
        <v>69</v>
      </c>
      <c r="G389" s="2" t="s">
        <v>31</v>
      </c>
      <c r="H389" s="2">
        <v>31</v>
      </c>
      <c r="I389" s="7">
        <f>H389*74.58</f>
        <v>2311.98</v>
      </c>
    </row>
    <row r="390" spans="1:9" x14ac:dyDescent="0.25">
      <c r="A390" s="2" t="s">
        <v>1283</v>
      </c>
      <c r="B390" s="6">
        <v>46141</v>
      </c>
      <c r="C390" s="2" t="s">
        <v>571</v>
      </c>
      <c r="D390" s="2" t="s">
        <v>14</v>
      </c>
      <c r="E390" s="2" t="s">
        <v>28</v>
      </c>
      <c r="F390" s="2" t="s">
        <v>40</v>
      </c>
      <c r="G390" s="2" t="s">
        <v>31</v>
      </c>
      <c r="H390" s="2">
        <v>31</v>
      </c>
      <c r="I390" s="7">
        <f>H390*209.59</f>
        <v>6497.29</v>
      </c>
    </row>
    <row r="391" spans="1:9" x14ac:dyDescent="0.25">
      <c r="A391" s="2" t="s">
        <v>1284</v>
      </c>
      <c r="B391" s="6">
        <v>46222</v>
      </c>
      <c r="C391" s="2" t="s">
        <v>1285</v>
      </c>
      <c r="D391" s="2" t="s">
        <v>14</v>
      </c>
      <c r="E391" s="2" t="s">
        <v>28</v>
      </c>
      <c r="F391" s="2" t="s">
        <v>67</v>
      </c>
      <c r="G391" s="2" t="s">
        <v>21</v>
      </c>
      <c r="H391" s="2">
        <v>9</v>
      </c>
      <c r="I391" s="7">
        <f>H391*530.49</f>
        <v>4774.41</v>
      </c>
    </row>
    <row r="392" spans="1:9" x14ac:dyDescent="0.25">
      <c r="A392" s="2" t="s">
        <v>1286</v>
      </c>
      <c r="B392" s="6">
        <v>46067</v>
      </c>
      <c r="C392" s="2" t="s">
        <v>1287</v>
      </c>
      <c r="D392" s="2" t="s">
        <v>19</v>
      </c>
      <c r="E392" s="2" t="s">
        <v>13</v>
      </c>
      <c r="F392" s="2" t="s">
        <v>77</v>
      </c>
      <c r="G392" s="2" t="s">
        <v>56</v>
      </c>
      <c r="H392" s="2">
        <v>40</v>
      </c>
      <c r="I392" s="7">
        <f>H392*128.29</f>
        <v>5131.5999999999995</v>
      </c>
    </row>
    <row r="393" spans="1:9" x14ac:dyDescent="0.25">
      <c r="A393" s="2" t="s">
        <v>1288</v>
      </c>
      <c r="B393" s="6">
        <v>46275</v>
      </c>
      <c r="C393" s="2" t="s">
        <v>680</v>
      </c>
      <c r="D393" s="2" t="s">
        <v>29</v>
      </c>
      <c r="E393" s="2" t="s">
        <v>35</v>
      </c>
      <c r="F393" s="2" t="s">
        <v>67</v>
      </c>
      <c r="G393" s="2" t="s">
        <v>21</v>
      </c>
      <c r="H393" s="2">
        <v>7</v>
      </c>
      <c r="I393" s="7">
        <f>H393*477.12</f>
        <v>3339.84</v>
      </c>
    </row>
    <row r="394" spans="1:9" x14ac:dyDescent="0.25">
      <c r="A394" s="2" t="s">
        <v>1289</v>
      </c>
      <c r="B394" s="6">
        <v>46104</v>
      </c>
      <c r="C394" s="2" t="s">
        <v>1290</v>
      </c>
      <c r="D394" s="2" t="s">
        <v>45</v>
      </c>
      <c r="E394" s="2" t="s">
        <v>18</v>
      </c>
      <c r="F394" s="2" t="s">
        <v>61</v>
      </c>
      <c r="G394" s="2" t="s">
        <v>16</v>
      </c>
      <c r="H394" s="2">
        <v>17</v>
      </c>
      <c r="I394" s="7">
        <f>H394*217.44</f>
        <v>3696.48</v>
      </c>
    </row>
    <row r="395" spans="1:9" x14ac:dyDescent="0.25">
      <c r="A395" s="2" t="s">
        <v>1291</v>
      </c>
      <c r="B395" s="6">
        <v>46084</v>
      </c>
      <c r="C395" s="2" t="s">
        <v>469</v>
      </c>
      <c r="D395" s="2" t="s">
        <v>54</v>
      </c>
      <c r="E395" s="2" t="s">
        <v>28</v>
      </c>
      <c r="F395" s="2" t="s">
        <v>69</v>
      </c>
      <c r="G395" s="2" t="s">
        <v>31</v>
      </c>
      <c r="H395" s="2">
        <v>8</v>
      </c>
      <c r="I395" s="7">
        <f>H395*372.45</f>
        <v>2979.6</v>
      </c>
    </row>
    <row r="396" spans="1:9" x14ac:dyDescent="0.25">
      <c r="A396" s="2" t="s">
        <v>1292</v>
      </c>
      <c r="B396" s="6">
        <v>46100</v>
      </c>
      <c r="C396" s="2" t="s">
        <v>1293</v>
      </c>
      <c r="D396" s="2" t="s">
        <v>45</v>
      </c>
      <c r="E396" s="2" t="s">
        <v>35</v>
      </c>
      <c r="F396" s="2" t="s">
        <v>30</v>
      </c>
      <c r="G396" s="2" t="s">
        <v>31</v>
      </c>
      <c r="H396" s="2">
        <v>36</v>
      </c>
      <c r="I396" s="7">
        <f>H396*164.16</f>
        <v>5909.76</v>
      </c>
    </row>
    <row r="397" spans="1:9" x14ac:dyDescent="0.25">
      <c r="A397" s="2" t="s">
        <v>1294</v>
      </c>
      <c r="B397" s="6">
        <v>46075</v>
      </c>
      <c r="C397" s="2" t="s">
        <v>748</v>
      </c>
      <c r="D397" s="2" t="s">
        <v>45</v>
      </c>
      <c r="E397" s="2" t="s">
        <v>13</v>
      </c>
      <c r="F397" s="2" t="s">
        <v>112</v>
      </c>
      <c r="G397" s="2" t="s">
        <v>56</v>
      </c>
      <c r="H397" s="2">
        <v>8</v>
      </c>
      <c r="I397" s="7">
        <f>H397*584.92</f>
        <v>4679.3599999999997</v>
      </c>
    </row>
    <row r="398" spans="1:9" x14ac:dyDescent="0.25">
      <c r="A398" s="2" t="s">
        <v>1295</v>
      </c>
      <c r="B398" s="6">
        <v>46172</v>
      </c>
      <c r="C398" s="2" t="s">
        <v>899</v>
      </c>
      <c r="D398" s="2" t="s">
        <v>24</v>
      </c>
      <c r="E398" s="2" t="s">
        <v>18</v>
      </c>
      <c r="F398" s="2" t="s">
        <v>26</v>
      </c>
      <c r="G398" s="2" t="s">
        <v>16</v>
      </c>
      <c r="H398" s="2">
        <v>24</v>
      </c>
      <c r="I398" s="7">
        <f>H398*98.43</f>
        <v>2362.3200000000002</v>
      </c>
    </row>
    <row r="399" spans="1:9" x14ac:dyDescent="0.25">
      <c r="A399" s="2" t="s">
        <v>1296</v>
      </c>
      <c r="B399" s="6">
        <v>46085</v>
      </c>
      <c r="C399" s="2" t="s">
        <v>499</v>
      </c>
      <c r="D399" s="2" t="s">
        <v>59</v>
      </c>
      <c r="E399" s="2" t="s">
        <v>35</v>
      </c>
      <c r="F399" s="2" t="s">
        <v>49</v>
      </c>
      <c r="G399" s="2" t="s">
        <v>50</v>
      </c>
      <c r="H399" s="2">
        <v>22</v>
      </c>
      <c r="I399" s="7">
        <f>H399*492.4</f>
        <v>10832.8</v>
      </c>
    </row>
    <row r="400" spans="1:9" x14ac:dyDescent="0.25">
      <c r="A400" s="2" t="s">
        <v>1297</v>
      </c>
      <c r="B400" s="6">
        <v>46110</v>
      </c>
      <c r="C400" s="2" t="s">
        <v>812</v>
      </c>
      <c r="D400" s="2" t="s">
        <v>14</v>
      </c>
      <c r="E400" s="2" t="s">
        <v>79</v>
      </c>
      <c r="F400" s="2" t="s">
        <v>52</v>
      </c>
      <c r="G400" s="2" t="s">
        <v>50</v>
      </c>
      <c r="H400" s="2">
        <v>22</v>
      </c>
      <c r="I400" s="7">
        <f>H400*175.62</f>
        <v>3863.6400000000003</v>
      </c>
    </row>
    <row r="401" spans="1:9" x14ac:dyDescent="0.25">
      <c r="A401" s="2" t="s">
        <v>1298</v>
      </c>
      <c r="B401" s="6">
        <v>46238</v>
      </c>
      <c r="C401" s="2" t="s">
        <v>1110</v>
      </c>
      <c r="D401" s="2" t="s">
        <v>24</v>
      </c>
      <c r="E401" s="2" t="s">
        <v>79</v>
      </c>
      <c r="F401" s="2" t="s">
        <v>40</v>
      </c>
      <c r="G401" s="2" t="s">
        <v>31</v>
      </c>
      <c r="H401" s="2">
        <v>10</v>
      </c>
      <c r="I401" s="7">
        <f>H401*453.16</f>
        <v>4531.6000000000004</v>
      </c>
    </row>
    <row r="402" spans="1:9" x14ac:dyDescent="0.25">
      <c r="A402" s="2" t="s">
        <v>1299</v>
      </c>
      <c r="B402" s="6">
        <v>46028</v>
      </c>
      <c r="C402" s="2" t="s">
        <v>1300</v>
      </c>
      <c r="D402" s="2" t="s">
        <v>54</v>
      </c>
      <c r="E402" s="2" t="s">
        <v>28</v>
      </c>
      <c r="F402" s="2" t="s">
        <v>74</v>
      </c>
      <c r="G402" s="2" t="s">
        <v>56</v>
      </c>
      <c r="H402" s="2">
        <v>2</v>
      </c>
      <c r="I402" s="7">
        <f>H402*268.33</f>
        <v>536.66</v>
      </c>
    </row>
    <row r="403" spans="1:9" x14ac:dyDescent="0.25">
      <c r="A403" s="2" t="s">
        <v>1301</v>
      </c>
      <c r="B403" s="6">
        <v>46041</v>
      </c>
      <c r="C403" s="2" t="s">
        <v>1302</v>
      </c>
      <c r="D403" s="2" t="s">
        <v>14</v>
      </c>
      <c r="E403" s="2" t="s">
        <v>42</v>
      </c>
      <c r="F403" s="2" t="s">
        <v>77</v>
      </c>
      <c r="G403" s="2" t="s">
        <v>56</v>
      </c>
      <c r="H403" s="2">
        <v>28</v>
      </c>
      <c r="I403" s="7">
        <f>H403*41.57</f>
        <v>1163.96</v>
      </c>
    </row>
    <row r="404" spans="1:9" x14ac:dyDescent="0.25">
      <c r="A404" s="2" t="s">
        <v>1303</v>
      </c>
      <c r="B404" s="6">
        <v>46178</v>
      </c>
      <c r="C404" s="2" t="s">
        <v>703</v>
      </c>
      <c r="D404" s="2" t="s">
        <v>59</v>
      </c>
      <c r="E404" s="2" t="s">
        <v>38</v>
      </c>
      <c r="F404" s="2" t="s">
        <v>69</v>
      </c>
      <c r="G404" s="2" t="s">
        <v>31</v>
      </c>
      <c r="H404" s="2">
        <v>26</v>
      </c>
      <c r="I404" s="7">
        <f>H404*532.04</f>
        <v>13833.039999999999</v>
      </c>
    </row>
    <row r="406" spans="1:9" x14ac:dyDescent="0.25">
      <c r="A406" s="9" t="s">
        <v>1304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86"/>
  <sheetViews>
    <sheetView zoomScaleNormal="100" workbookViewId="0">
      <pane ySplit="4" topLeftCell="A5" activePane="bottomLeft" state="frozen"/>
      <selection pane="bottomLeft" sqref="A1:I1"/>
    </sheetView>
  </sheetViews>
  <sheetFormatPr baseColWidth="10" defaultColWidth="8.7109375" defaultRowHeight="15" x14ac:dyDescent="0.25"/>
  <cols>
    <col min="1" max="1" width="104.5703125" bestFit="1" customWidth="1"/>
    <col min="2" max="2" width="16.140625" bestFit="1" customWidth="1"/>
    <col min="3" max="3" width="19.85546875" bestFit="1" customWidth="1"/>
    <col min="4" max="4" width="10" bestFit="1" customWidth="1"/>
    <col min="5" max="5" width="8.28515625" bestFit="1" customWidth="1"/>
    <col min="6" max="6" width="11.28515625" bestFit="1" customWidth="1"/>
    <col min="7" max="7" width="23.85546875" bestFit="1" customWidth="1"/>
    <col min="8" max="8" width="14.42578125" bestFit="1" customWidth="1"/>
    <col min="9" max="9" width="15.7109375" bestFit="1" customWidth="1"/>
    <col min="10" max="10" width="3" customWidth="1"/>
    <col min="11" max="11" width="24.28515625" bestFit="1" customWidth="1"/>
    <col min="12" max="12" width="18.140625" bestFit="1" customWidth="1"/>
  </cols>
  <sheetData>
    <row r="1" spans="1:9" ht="25.5" customHeight="1" x14ac:dyDescent="0.25">
      <c r="A1" s="21" t="s">
        <v>1305</v>
      </c>
      <c r="B1" s="21"/>
      <c r="C1" s="21"/>
      <c r="D1" s="21"/>
      <c r="E1" s="21"/>
      <c r="F1" s="21"/>
      <c r="G1" s="21"/>
      <c r="H1" s="21"/>
      <c r="I1" s="21"/>
    </row>
    <row r="2" spans="1:9" x14ac:dyDescent="0.25">
      <c r="A2" s="4" t="s">
        <v>1306</v>
      </c>
    </row>
    <row r="4" spans="1:9" ht="27.75" customHeight="1" x14ac:dyDescent="0.25">
      <c r="A4" s="5" t="s">
        <v>1307</v>
      </c>
      <c r="B4" s="5" t="s">
        <v>1308</v>
      </c>
      <c r="C4" s="5" t="s">
        <v>1309</v>
      </c>
      <c r="D4" s="5" t="s">
        <v>1310</v>
      </c>
      <c r="E4" s="5" t="s">
        <v>360</v>
      </c>
      <c r="F4" s="5" t="s">
        <v>1311</v>
      </c>
      <c r="G4" s="5" t="s">
        <v>1312</v>
      </c>
      <c r="H4" s="5" t="s">
        <v>1313</v>
      </c>
      <c r="I4" s="5" t="s">
        <v>1314</v>
      </c>
    </row>
    <row r="5" spans="1:9" x14ac:dyDescent="0.25">
      <c r="A5" s="2" t="s">
        <v>1315</v>
      </c>
      <c r="B5" s="2" t="s">
        <v>1316</v>
      </c>
      <c r="C5" s="2" t="s">
        <v>1317</v>
      </c>
      <c r="D5" s="2" t="s">
        <v>1318</v>
      </c>
      <c r="E5" s="2" t="s">
        <v>1319</v>
      </c>
      <c r="F5" s="2">
        <v>17</v>
      </c>
      <c r="G5" s="10">
        <v>6822</v>
      </c>
      <c r="H5" s="7">
        <v>9059.99</v>
      </c>
      <c r="I5" s="11">
        <f t="shared" ref="I5:I68" si="0">IFERROR(H5/(G5*12),"N/A")</f>
        <v>0.11067123521938825</v>
      </c>
    </row>
    <row r="6" spans="1:9" x14ac:dyDescent="0.25">
      <c r="A6" s="2" t="s">
        <v>1320</v>
      </c>
      <c r="B6" s="2" t="s">
        <v>1321</v>
      </c>
      <c r="C6" s="2" t="s">
        <v>1322</v>
      </c>
      <c r="D6" s="2" t="s">
        <v>1323</v>
      </c>
      <c r="E6" s="2" t="s">
        <v>1319</v>
      </c>
      <c r="F6" s="2">
        <v>10</v>
      </c>
      <c r="G6" s="10">
        <v>6394</v>
      </c>
      <c r="H6" s="7">
        <v>8767.16</v>
      </c>
      <c r="I6" s="11">
        <f t="shared" si="0"/>
        <v>0.11426285058909394</v>
      </c>
    </row>
    <row r="7" spans="1:9" x14ac:dyDescent="0.25">
      <c r="A7" s="2" t="s">
        <v>1324</v>
      </c>
      <c r="B7" s="2" t="s">
        <v>1325</v>
      </c>
      <c r="C7" s="2" t="s">
        <v>1326</v>
      </c>
      <c r="D7" s="2" t="s">
        <v>1327</v>
      </c>
      <c r="E7" s="2" t="s">
        <v>1319</v>
      </c>
      <c r="F7" s="2">
        <v>16</v>
      </c>
      <c r="G7" s="10">
        <v>5757</v>
      </c>
      <c r="H7" s="7">
        <v>6063.76</v>
      </c>
      <c r="I7" s="11">
        <f t="shared" si="0"/>
        <v>8.7773724740895148E-2</v>
      </c>
    </row>
    <row r="8" spans="1:9" x14ac:dyDescent="0.25">
      <c r="A8" s="2" t="s">
        <v>1328</v>
      </c>
      <c r="B8" s="2" t="s">
        <v>1329</v>
      </c>
      <c r="C8" s="2" t="s">
        <v>1330</v>
      </c>
      <c r="D8" s="2" t="s">
        <v>1323</v>
      </c>
      <c r="E8" s="2" t="s">
        <v>1331</v>
      </c>
      <c r="F8" s="2">
        <v>8</v>
      </c>
      <c r="G8" s="10">
        <v>2394</v>
      </c>
      <c r="H8" s="7">
        <v>3682.64</v>
      </c>
      <c r="I8" s="11">
        <f t="shared" si="0"/>
        <v>0.12818991924255083</v>
      </c>
    </row>
    <row r="9" spans="1:9" x14ac:dyDescent="0.25">
      <c r="A9" s="2" t="s">
        <v>1332</v>
      </c>
      <c r="B9" s="2" t="s">
        <v>1333</v>
      </c>
      <c r="C9" s="2" t="s">
        <v>1322</v>
      </c>
      <c r="D9" s="2" t="s">
        <v>1327</v>
      </c>
      <c r="E9" s="2" t="s">
        <v>1331</v>
      </c>
      <c r="F9" s="2">
        <v>11</v>
      </c>
      <c r="G9" s="10">
        <v>2431</v>
      </c>
      <c r="H9" s="7">
        <v>2961.21</v>
      </c>
      <c r="I9" s="11">
        <f t="shared" si="0"/>
        <v>0.10150863842040313</v>
      </c>
    </row>
    <row r="10" spans="1:9" x14ac:dyDescent="0.25">
      <c r="A10" s="2" t="s">
        <v>1334</v>
      </c>
      <c r="B10" s="2" t="s">
        <v>1335</v>
      </c>
      <c r="C10" s="2" t="s">
        <v>1330</v>
      </c>
      <c r="D10" s="2" t="s">
        <v>1336</v>
      </c>
      <c r="E10" s="2" t="s">
        <v>1331</v>
      </c>
      <c r="F10" s="2">
        <v>3</v>
      </c>
      <c r="G10" s="10">
        <v>2819</v>
      </c>
      <c r="H10" s="7">
        <v>1986.89</v>
      </c>
      <c r="I10" s="11">
        <f t="shared" si="0"/>
        <v>5.8735071538370584E-2</v>
      </c>
    </row>
    <row r="11" spans="1:9" x14ac:dyDescent="0.25">
      <c r="A11" s="2" t="s">
        <v>1337</v>
      </c>
      <c r="B11" s="2" t="s">
        <v>1338</v>
      </c>
      <c r="C11" s="2" t="s">
        <v>16</v>
      </c>
      <c r="D11" s="2" t="s">
        <v>1339</v>
      </c>
      <c r="E11" s="2" t="s">
        <v>1331</v>
      </c>
      <c r="F11" s="2">
        <v>18</v>
      </c>
      <c r="G11" s="10">
        <v>3058</v>
      </c>
      <c r="H11" s="7">
        <v>4143.13</v>
      </c>
      <c r="I11" s="11">
        <f t="shared" si="0"/>
        <v>0.11290413124046218</v>
      </c>
    </row>
    <row r="12" spans="1:9" x14ac:dyDescent="0.25">
      <c r="A12" s="2" t="s">
        <v>1340</v>
      </c>
      <c r="B12" s="2" t="s">
        <v>1341</v>
      </c>
      <c r="C12" s="2" t="s">
        <v>1326</v>
      </c>
      <c r="D12" s="2" t="s">
        <v>1342</v>
      </c>
      <c r="E12" s="2" t="s">
        <v>1319</v>
      </c>
      <c r="F12" s="2">
        <v>21</v>
      </c>
      <c r="G12" s="10">
        <v>4346</v>
      </c>
      <c r="H12" s="7">
        <v>5886.17</v>
      </c>
      <c r="I12" s="11">
        <f t="shared" si="0"/>
        <v>0.1128656619113361</v>
      </c>
    </row>
    <row r="13" spans="1:9" x14ac:dyDescent="0.25">
      <c r="A13" s="2" t="s">
        <v>1343</v>
      </c>
      <c r="B13" s="2" t="s">
        <v>1344</v>
      </c>
      <c r="C13" s="2" t="s">
        <v>1326</v>
      </c>
      <c r="D13" s="2" t="s">
        <v>1345</v>
      </c>
      <c r="E13" s="2" t="s">
        <v>1331</v>
      </c>
      <c r="F13" s="2">
        <v>6</v>
      </c>
      <c r="G13" s="10">
        <v>2639</v>
      </c>
      <c r="H13" s="7">
        <v>2503.6799999999998</v>
      </c>
      <c r="I13" s="11">
        <f t="shared" si="0"/>
        <v>7.9060250094732845E-2</v>
      </c>
    </row>
    <row r="14" spans="1:9" x14ac:dyDescent="0.25">
      <c r="A14" s="2" t="s">
        <v>1346</v>
      </c>
      <c r="B14" s="2" t="s">
        <v>1347</v>
      </c>
      <c r="C14" s="2" t="s">
        <v>1322</v>
      </c>
      <c r="D14" s="2" t="s">
        <v>1336</v>
      </c>
      <c r="E14" s="2" t="s">
        <v>1319</v>
      </c>
      <c r="F14" s="2">
        <v>13</v>
      </c>
      <c r="G14" s="10">
        <v>4265</v>
      </c>
      <c r="H14" s="7">
        <v>4192.3</v>
      </c>
      <c r="I14" s="11">
        <f t="shared" si="0"/>
        <v>8.1912856584603358E-2</v>
      </c>
    </row>
    <row r="15" spans="1:9" x14ac:dyDescent="0.25">
      <c r="A15" s="2" t="s">
        <v>1348</v>
      </c>
      <c r="B15" s="2" t="s">
        <v>1349</v>
      </c>
      <c r="C15" s="2" t="s">
        <v>1317</v>
      </c>
      <c r="D15" s="2" t="s">
        <v>1350</v>
      </c>
      <c r="E15" s="2" t="s">
        <v>1331</v>
      </c>
      <c r="F15" s="2">
        <v>18</v>
      </c>
      <c r="G15" s="10">
        <v>3044</v>
      </c>
      <c r="H15" s="7">
        <v>3194.84</v>
      </c>
      <c r="I15" s="11">
        <f t="shared" si="0"/>
        <v>8.7462768287341217E-2</v>
      </c>
    </row>
    <row r="16" spans="1:9" x14ac:dyDescent="0.25">
      <c r="A16" s="2" t="s">
        <v>1351</v>
      </c>
      <c r="B16" s="2" t="s">
        <v>1352</v>
      </c>
      <c r="C16" s="2" t="s">
        <v>1353</v>
      </c>
      <c r="D16" s="2" t="s">
        <v>1354</v>
      </c>
      <c r="E16" s="2" t="s">
        <v>1331</v>
      </c>
      <c r="F16" s="2">
        <v>14</v>
      </c>
      <c r="G16" s="10">
        <v>2902</v>
      </c>
      <c r="H16" s="7">
        <v>4009.05</v>
      </c>
      <c r="I16" s="11">
        <f t="shared" si="0"/>
        <v>0.11512319090282565</v>
      </c>
    </row>
    <row r="17" spans="1:9" x14ac:dyDescent="0.25">
      <c r="A17" s="2" t="s">
        <v>1355</v>
      </c>
      <c r="B17" s="2" t="s">
        <v>1356</v>
      </c>
      <c r="C17" s="2" t="s">
        <v>1357</v>
      </c>
      <c r="D17" s="2" t="s">
        <v>1342</v>
      </c>
      <c r="E17" s="2" t="s">
        <v>1319</v>
      </c>
      <c r="F17" s="2">
        <v>22</v>
      </c>
      <c r="G17" s="10">
        <v>6949</v>
      </c>
      <c r="H17" s="7">
        <v>3070.35</v>
      </c>
      <c r="I17" s="11">
        <f t="shared" si="0"/>
        <v>3.6820046049791333E-2</v>
      </c>
    </row>
    <row r="18" spans="1:9" x14ac:dyDescent="0.25">
      <c r="A18" s="2" t="s">
        <v>1358</v>
      </c>
      <c r="B18" s="2" t="s">
        <v>1359</v>
      </c>
      <c r="C18" s="2" t="s">
        <v>1317</v>
      </c>
      <c r="D18" s="2" t="s">
        <v>1342</v>
      </c>
      <c r="E18" s="2" t="s">
        <v>1319</v>
      </c>
      <c r="F18" s="2">
        <v>15</v>
      </c>
      <c r="G18" s="10">
        <v>3467</v>
      </c>
      <c r="H18" s="7">
        <v>4869.5200000000004</v>
      </c>
      <c r="I18" s="11">
        <f t="shared" si="0"/>
        <v>0.11704451495048554</v>
      </c>
    </row>
    <row r="19" spans="1:9" x14ac:dyDescent="0.25">
      <c r="A19" s="2" t="s">
        <v>1360</v>
      </c>
      <c r="B19" s="2" t="s">
        <v>1361</v>
      </c>
      <c r="C19" s="2" t="s">
        <v>1357</v>
      </c>
      <c r="D19" s="2" t="s">
        <v>1323</v>
      </c>
      <c r="E19" s="2" t="s">
        <v>1331</v>
      </c>
      <c r="F19" s="2">
        <v>3</v>
      </c>
      <c r="G19" s="10">
        <v>2147</v>
      </c>
      <c r="H19" s="7">
        <v>1753.14</v>
      </c>
      <c r="I19" s="11">
        <f t="shared" si="0"/>
        <v>6.8046110852352126E-2</v>
      </c>
    </row>
    <row r="20" spans="1:9" x14ac:dyDescent="0.25">
      <c r="A20" s="2" t="s">
        <v>1362</v>
      </c>
      <c r="B20" s="2" t="s">
        <v>28</v>
      </c>
      <c r="C20" s="2" t="s">
        <v>16</v>
      </c>
      <c r="D20" s="2" t="s">
        <v>1354</v>
      </c>
      <c r="E20" s="2" t="s">
        <v>1319</v>
      </c>
      <c r="F20" s="2">
        <v>9</v>
      </c>
      <c r="G20" s="10">
        <v>6267</v>
      </c>
      <c r="H20" s="7">
        <v>4468.91</v>
      </c>
      <c r="I20" s="11">
        <f t="shared" si="0"/>
        <v>5.9423833838625602E-2</v>
      </c>
    </row>
    <row r="21" spans="1:9" x14ac:dyDescent="0.25">
      <c r="A21" s="2" t="s">
        <v>1363</v>
      </c>
      <c r="B21" s="2" t="s">
        <v>1364</v>
      </c>
      <c r="C21" s="2" t="s">
        <v>16</v>
      </c>
      <c r="D21" s="2" t="s">
        <v>1339</v>
      </c>
      <c r="E21" s="2" t="s">
        <v>1331</v>
      </c>
      <c r="F21" s="2">
        <v>13</v>
      </c>
      <c r="G21" s="10">
        <v>1999</v>
      </c>
      <c r="H21" s="7">
        <v>3401.18</v>
      </c>
      <c r="I21" s="11">
        <f t="shared" si="0"/>
        <v>0.14178672669668166</v>
      </c>
    </row>
    <row r="22" spans="1:9" x14ac:dyDescent="0.25">
      <c r="A22" s="2" t="s">
        <v>1365</v>
      </c>
      <c r="B22" s="2" t="s">
        <v>1366</v>
      </c>
      <c r="C22" s="2" t="s">
        <v>16</v>
      </c>
      <c r="D22" s="2" t="s">
        <v>1327</v>
      </c>
      <c r="E22" s="2" t="s">
        <v>1331</v>
      </c>
      <c r="F22" s="2">
        <v>15</v>
      </c>
      <c r="G22" s="10">
        <v>1904</v>
      </c>
      <c r="H22" s="7">
        <v>820.3</v>
      </c>
      <c r="I22" s="11">
        <f t="shared" si="0"/>
        <v>3.5902485994397756E-2</v>
      </c>
    </row>
    <row r="23" spans="1:9" x14ac:dyDescent="0.25">
      <c r="A23" s="2" t="s">
        <v>1367</v>
      </c>
      <c r="B23" s="2" t="s">
        <v>1368</v>
      </c>
      <c r="C23" s="2" t="s">
        <v>1353</v>
      </c>
      <c r="D23" s="2" t="s">
        <v>1369</v>
      </c>
      <c r="E23" s="2" t="s">
        <v>1331</v>
      </c>
      <c r="F23" s="2">
        <v>9</v>
      </c>
      <c r="G23" s="10">
        <v>3058</v>
      </c>
      <c r="H23" s="7">
        <v>2891.96</v>
      </c>
      <c r="I23" s="11">
        <f t="shared" si="0"/>
        <v>7.8808589492042724E-2</v>
      </c>
    </row>
    <row r="24" spans="1:9" x14ac:dyDescent="0.25">
      <c r="A24" s="2" t="s">
        <v>1370</v>
      </c>
      <c r="B24" s="2" t="s">
        <v>1371</v>
      </c>
      <c r="C24" s="2" t="s">
        <v>1330</v>
      </c>
      <c r="D24" s="2" t="s">
        <v>1369</v>
      </c>
      <c r="E24" s="2" t="s">
        <v>1331</v>
      </c>
      <c r="F24" s="2">
        <v>19</v>
      </c>
      <c r="G24" s="10">
        <v>2171</v>
      </c>
      <c r="H24" s="7">
        <v>3101.59</v>
      </c>
      <c r="I24" s="11">
        <f t="shared" si="0"/>
        <v>0.11905381544603102</v>
      </c>
    </row>
    <row r="25" spans="1:9" x14ac:dyDescent="0.25">
      <c r="A25" s="2" t="s">
        <v>1372</v>
      </c>
      <c r="B25" s="2" t="s">
        <v>1373</v>
      </c>
      <c r="C25" s="2" t="s">
        <v>1317</v>
      </c>
      <c r="D25" s="2" t="s">
        <v>1345</v>
      </c>
      <c r="E25" s="2" t="s">
        <v>1331</v>
      </c>
      <c r="F25" s="2">
        <v>23</v>
      </c>
      <c r="G25" s="10">
        <v>2566</v>
      </c>
      <c r="H25" s="7">
        <v>973.36</v>
      </c>
      <c r="I25" s="11">
        <f t="shared" si="0"/>
        <v>3.161080800207846E-2</v>
      </c>
    </row>
    <row r="26" spans="1:9" x14ac:dyDescent="0.25">
      <c r="A26" s="2" t="s">
        <v>1374</v>
      </c>
      <c r="B26" s="2" t="s">
        <v>1375</v>
      </c>
      <c r="C26" s="2" t="s">
        <v>1353</v>
      </c>
      <c r="D26" s="2" t="s">
        <v>1342</v>
      </c>
      <c r="E26" s="2" t="s">
        <v>1319</v>
      </c>
      <c r="F26" s="2">
        <v>12</v>
      </c>
      <c r="G26" s="10">
        <v>5977</v>
      </c>
      <c r="H26" s="7">
        <v>6478.78</v>
      </c>
      <c r="I26" s="11">
        <f t="shared" si="0"/>
        <v>9.0329317940996037E-2</v>
      </c>
    </row>
    <row r="27" spans="1:9" x14ac:dyDescent="0.25">
      <c r="A27" s="2" t="s">
        <v>1376</v>
      </c>
      <c r="B27" s="2" t="s">
        <v>1377</v>
      </c>
      <c r="C27" s="2" t="s">
        <v>1330</v>
      </c>
      <c r="D27" s="2" t="s">
        <v>1342</v>
      </c>
      <c r="E27" s="2" t="s">
        <v>1319</v>
      </c>
      <c r="F27" s="2">
        <v>0</v>
      </c>
      <c r="G27" s="10">
        <v>5730</v>
      </c>
      <c r="H27" s="7">
        <v>6390.26</v>
      </c>
      <c r="I27" s="11">
        <f t="shared" si="0"/>
        <v>9.2935718440954052E-2</v>
      </c>
    </row>
    <row r="28" spans="1:9" x14ac:dyDescent="0.25">
      <c r="A28" s="2" t="s">
        <v>1378</v>
      </c>
      <c r="B28" s="2" t="s">
        <v>1379</v>
      </c>
      <c r="C28" s="2" t="s">
        <v>16</v>
      </c>
      <c r="D28" s="2" t="s">
        <v>1339</v>
      </c>
      <c r="E28" s="2" t="s">
        <v>1331</v>
      </c>
      <c r="F28" s="2">
        <v>17</v>
      </c>
      <c r="G28" s="10">
        <v>3081</v>
      </c>
      <c r="H28" s="7">
        <v>4380.8100000000004</v>
      </c>
      <c r="I28" s="11">
        <f t="shared" si="0"/>
        <v>0.1184899383317105</v>
      </c>
    </row>
    <row r="29" spans="1:9" x14ac:dyDescent="0.25">
      <c r="A29" s="2" t="s">
        <v>1380</v>
      </c>
      <c r="B29" s="2" t="s">
        <v>1381</v>
      </c>
      <c r="C29" s="2" t="s">
        <v>1330</v>
      </c>
      <c r="D29" s="2" t="s">
        <v>1327</v>
      </c>
      <c r="E29" s="2" t="s">
        <v>1331</v>
      </c>
      <c r="F29" s="2">
        <v>0</v>
      </c>
      <c r="G29" s="10">
        <v>2146</v>
      </c>
      <c r="H29" s="7">
        <v>2718.72</v>
      </c>
      <c r="I29" s="11">
        <f t="shared" si="0"/>
        <v>0.10557315936626281</v>
      </c>
    </row>
    <row r="30" spans="1:9" x14ac:dyDescent="0.25">
      <c r="A30" s="2" t="s">
        <v>1382</v>
      </c>
      <c r="B30" s="2" t="s">
        <v>1338</v>
      </c>
      <c r="C30" s="2" t="s">
        <v>1326</v>
      </c>
      <c r="D30" s="2" t="s">
        <v>1336</v>
      </c>
      <c r="E30" s="2" t="s">
        <v>1331</v>
      </c>
      <c r="F30" s="2">
        <v>7</v>
      </c>
      <c r="G30" s="10">
        <v>3086</v>
      </c>
      <c r="H30" s="7">
        <v>2879.23</v>
      </c>
      <c r="I30" s="11">
        <f t="shared" si="0"/>
        <v>7.7749783970620004E-2</v>
      </c>
    </row>
    <row r="31" spans="1:9" x14ac:dyDescent="0.25">
      <c r="A31" s="2" t="s">
        <v>1383</v>
      </c>
      <c r="B31" s="2" t="s">
        <v>1384</v>
      </c>
      <c r="C31" s="2" t="s">
        <v>1353</v>
      </c>
      <c r="D31" s="2" t="s">
        <v>1327</v>
      </c>
      <c r="E31" s="2" t="s">
        <v>1331</v>
      </c>
      <c r="F31" s="2">
        <v>15</v>
      </c>
      <c r="G31" s="10">
        <v>1947</v>
      </c>
      <c r="H31" s="7">
        <v>1499.84</v>
      </c>
      <c r="I31" s="11">
        <f t="shared" si="0"/>
        <v>6.4194487245334705E-2</v>
      </c>
    </row>
    <row r="32" spans="1:9" x14ac:dyDescent="0.25">
      <c r="A32" s="2" t="s">
        <v>1385</v>
      </c>
      <c r="B32" s="2" t="s">
        <v>1377</v>
      </c>
      <c r="C32" s="2" t="s">
        <v>1330</v>
      </c>
      <c r="D32" s="2" t="s">
        <v>1354</v>
      </c>
      <c r="E32" s="2" t="s">
        <v>1331</v>
      </c>
      <c r="F32" s="2">
        <v>12</v>
      </c>
      <c r="G32" s="10">
        <v>2426</v>
      </c>
      <c r="H32" s="7">
        <v>926.73</v>
      </c>
      <c r="I32" s="11">
        <f t="shared" si="0"/>
        <v>3.183326463314097E-2</v>
      </c>
    </row>
    <row r="33" spans="1:9" x14ac:dyDescent="0.25">
      <c r="A33" s="2" t="s">
        <v>1386</v>
      </c>
      <c r="B33" s="2" t="s">
        <v>1352</v>
      </c>
      <c r="C33" s="2" t="s">
        <v>1326</v>
      </c>
      <c r="D33" s="2" t="s">
        <v>1327</v>
      </c>
      <c r="E33" s="2" t="s">
        <v>1319</v>
      </c>
      <c r="F33" s="2">
        <v>8</v>
      </c>
      <c r="G33" s="10">
        <v>3934</v>
      </c>
      <c r="H33" s="7">
        <v>1890.66</v>
      </c>
      <c r="I33" s="11">
        <f t="shared" si="0"/>
        <v>4.0049567869852566E-2</v>
      </c>
    </row>
    <row r="34" spans="1:9" x14ac:dyDescent="0.25">
      <c r="A34" s="2" t="s">
        <v>1387</v>
      </c>
      <c r="B34" s="2" t="s">
        <v>1388</v>
      </c>
      <c r="C34" s="2" t="s">
        <v>1357</v>
      </c>
      <c r="D34" s="2" t="s">
        <v>1342</v>
      </c>
      <c r="E34" s="2" t="s">
        <v>1331</v>
      </c>
      <c r="F34" s="2">
        <v>5</v>
      </c>
      <c r="G34" s="10">
        <v>1955</v>
      </c>
      <c r="H34" s="7">
        <v>2644.62</v>
      </c>
      <c r="I34" s="11">
        <f t="shared" si="0"/>
        <v>0.11272890025575447</v>
      </c>
    </row>
    <row r="35" spans="1:9" x14ac:dyDescent="0.25">
      <c r="A35" s="2" t="s">
        <v>1389</v>
      </c>
      <c r="B35" s="2" t="s">
        <v>1390</v>
      </c>
      <c r="C35" s="2" t="s">
        <v>1326</v>
      </c>
      <c r="D35" s="2" t="s">
        <v>1339</v>
      </c>
      <c r="E35" s="2" t="s">
        <v>1319</v>
      </c>
      <c r="F35" s="2">
        <v>10</v>
      </c>
      <c r="G35" s="10">
        <v>5312</v>
      </c>
      <c r="H35" s="7">
        <v>4386.6499999999996</v>
      </c>
      <c r="I35" s="11">
        <f t="shared" si="0"/>
        <v>6.8816672941767063E-2</v>
      </c>
    </row>
    <row r="36" spans="1:9" x14ac:dyDescent="0.25">
      <c r="A36" s="2" t="s">
        <v>1391</v>
      </c>
      <c r="B36" s="2" t="s">
        <v>1392</v>
      </c>
      <c r="C36" s="2" t="s">
        <v>16</v>
      </c>
      <c r="D36" s="2" t="s">
        <v>1342</v>
      </c>
      <c r="E36" s="2" t="s">
        <v>1331</v>
      </c>
      <c r="F36" s="2">
        <v>18</v>
      </c>
      <c r="G36" s="10">
        <v>2384</v>
      </c>
      <c r="H36" s="7">
        <v>2405.5700000000002</v>
      </c>
      <c r="I36" s="11">
        <f t="shared" si="0"/>
        <v>8.4087318232662203E-2</v>
      </c>
    </row>
    <row r="37" spans="1:9" x14ac:dyDescent="0.25">
      <c r="A37" s="2" t="s">
        <v>1393</v>
      </c>
      <c r="B37" s="2" t="s">
        <v>1394</v>
      </c>
      <c r="C37" s="2" t="s">
        <v>1326</v>
      </c>
      <c r="D37" s="2" t="s">
        <v>1339</v>
      </c>
      <c r="E37" s="2" t="s">
        <v>1319</v>
      </c>
      <c r="F37" s="2">
        <v>14</v>
      </c>
      <c r="G37" s="10">
        <v>6534</v>
      </c>
      <c r="H37" s="7">
        <v>2235.38</v>
      </c>
      <c r="I37" s="11">
        <f t="shared" si="0"/>
        <v>2.8509590858075709E-2</v>
      </c>
    </row>
    <row r="38" spans="1:9" x14ac:dyDescent="0.25">
      <c r="A38" s="2" t="s">
        <v>1395</v>
      </c>
      <c r="B38" s="2" t="s">
        <v>1396</v>
      </c>
      <c r="C38" s="2" t="s">
        <v>1322</v>
      </c>
      <c r="D38" s="2" t="s">
        <v>1318</v>
      </c>
      <c r="E38" s="2" t="s">
        <v>1319</v>
      </c>
      <c r="F38" s="2">
        <v>18</v>
      </c>
      <c r="G38" s="10">
        <v>4031</v>
      </c>
      <c r="H38" s="7">
        <v>2516.36</v>
      </c>
      <c r="I38" s="11">
        <f t="shared" si="0"/>
        <v>5.2021003886545937E-2</v>
      </c>
    </row>
    <row r="39" spans="1:9" x14ac:dyDescent="0.25">
      <c r="A39" s="2" t="s">
        <v>1397</v>
      </c>
      <c r="B39" s="2" t="s">
        <v>1398</v>
      </c>
      <c r="C39" s="2" t="s">
        <v>1357</v>
      </c>
      <c r="D39" s="2" t="s">
        <v>1323</v>
      </c>
      <c r="E39" s="2" t="s">
        <v>1331</v>
      </c>
      <c r="F39" s="2">
        <v>2</v>
      </c>
      <c r="G39" s="10">
        <v>2924</v>
      </c>
      <c r="H39" s="7">
        <v>1629.82</v>
      </c>
      <c r="I39" s="11">
        <f t="shared" si="0"/>
        <v>4.6449498404012766E-2</v>
      </c>
    </row>
    <row r="40" spans="1:9" x14ac:dyDescent="0.25">
      <c r="A40" s="2" t="s">
        <v>1399</v>
      </c>
      <c r="B40" s="2" t="s">
        <v>1400</v>
      </c>
      <c r="C40" s="2" t="s">
        <v>16</v>
      </c>
      <c r="D40" s="2" t="s">
        <v>1327</v>
      </c>
      <c r="E40" s="2" t="s">
        <v>1331</v>
      </c>
      <c r="F40" s="2">
        <v>17</v>
      </c>
      <c r="G40" s="10">
        <v>2767</v>
      </c>
      <c r="H40" s="7">
        <v>4813.78</v>
      </c>
      <c r="I40" s="11">
        <f t="shared" si="0"/>
        <v>0.14497590651728706</v>
      </c>
    </row>
    <row r="41" spans="1:9" x14ac:dyDescent="0.25">
      <c r="A41" s="2" t="s">
        <v>1401</v>
      </c>
      <c r="B41" s="2" t="s">
        <v>1325</v>
      </c>
      <c r="C41" s="2" t="s">
        <v>1322</v>
      </c>
      <c r="D41" s="2" t="s">
        <v>1327</v>
      </c>
      <c r="E41" s="2" t="s">
        <v>1331</v>
      </c>
      <c r="F41" s="2">
        <v>19</v>
      </c>
      <c r="G41" s="10">
        <v>2492</v>
      </c>
      <c r="H41" s="7">
        <v>3136.86</v>
      </c>
      <c r="I41" s="11">
        <f t="shared" si="0"/>
        <v>0.10489767255216693</v>
      </c>
    </row>
    <row r="42" spans="1:9" x14ac:dyDescent="0.25">
      <c r="A42" s="2" t="s">
        <v>1402</v>
      </c>
      <c r="B42" s="2" t="s">
        <v>1403</v>
      </c>
      <c r="C42" s="2" t="s">
        <v>1353</v>
      </c>
      <c r="D42" s="2" t="s">
        <v>1323</v>
      </c>
      <c r="E42" s="2" t="s">
        <v>1319</v>
      </c>
      <c r="F42" s="2">
        <v>8</v>
      </c>
      <c r="G42" s="10"/>
      <c r="H42" s="7">
        <v>11357.73</v>
      </c>
      <c r="I42" s="11" t="str">
        <f t="shared" si="0"/>
        <v>N/A</v>
      </c>
    </row>
    <row r="43" spans="1:9" x14ac:dyDescent="0.25">
      <c r="A43" s="2" t="s">
        <v>1404</v>
      </c>
      <c r="B43" s="2" t="s">
        <v>1405</v>
      </c>
      <c r="C43" s="2" t="s">
        <v>1326</v>
      </c>
      <c r="D43" s="2" t="s">
        <v>1354</v>
      </c>
      <c r="E43" s="2" t="s">
        <v>1319</v>
      </c>
      <c r="F43" s="2">
        <v>23</v>
      </c>
      <c r="G43" s="10">
        <v>3772</v>
      </c>
      <c r="H43" s="7">
        <v>2674.33</v>
      </c>
      <c r="I43" s="11">
        <f t="shared" si="0"/>
        <v>5.9082935666313181E-2</v>
      </c>
    </row>
    <row r="44" spans="1:9" x14ac:dyDescent="0.25">
      <c r="A44" s="2" t="s">
        <v>1406</v>
      </c>
      <c r="B44" s="2" t="s">
        <v>1407</v>
      </c>
      <c r="C44" s="2" t="s">
        <v>1317</v>
      </c>
      <c r="D44" s="2" t="s">
        <v>1336</v>
      </c>
      <c r="E44" s="2" t="s">
        <v>1331</v>
      </c>
      <c r="F44" s="2">
        <v>8</v>
      </c>
      <c r="G44" s="10">
        <v>2784</v>
      </c>
      <c r="H44" s="7">
        <v>1583.89</v>
      </c>
      <c r="I44" s="11">
        <f t="shared" si="0"/>
        <v>4.7410500478927205E-2</v>
      </c>
    </row>
    <row r="45" spans="1:9" x14ac:dyDescent="0.25">
      <c r="A45" s="2" t="s">
        <v>1408</v>
      </c>
      <c r="B45" s="2" t="s">
        <v>1409</v>
      </c>
      <c r="C45" s="2" t="s">
        <v>1317</v>
      </c>
      <c r="D45" s="2" t="s">
        <v>1339</v>
      </c>
      <c r="E45" s="2" t="s">
        <v>1319</v>
      </c>
      <c r="F45" s="2">
        <v>24</v>
      </c>
      <c r="G45" s="10">
        <v>6908</v>
      </c>
      <c r="H45" s="7">
        <v>4600.04</v>
      </c>
      <c r="I45" s="11">
        <f t="shared" si="0"/>
        <v>5.5491700443929745E-2</v>
      </c>
    </row>
    <row r="46" spans="1:9" x14ac:dyDescent="0.25">
      <c r="A46" s="2" t="s">
        <v>1410</v>
      </c>
      <c r="B46" s="2" t="s">
        <v>1411</v>
      </c>
      <c r="C46" s="2" t="s">
        <v>1353</v>
      </c>
      <c r="D46" s="2" t="s">
        <v>1350</v>
      </c>
      <c r="E46" s="2" t="s">
        <v>1331</v>
      </c>
      <c r="F46" s="2">
        <v>10</v>
      </c>
      <c r="G46" s="10">
        <v>1932</v>
      </c>
      <c r="H46" s="7">
        <v>3218.46</v>
      </c>
      <c r="I46" s="11">
        <f t="shared" si="0"/>
        <v>0.13882246376811594</v>
      </c>
    </row>
    <row r="47" spans="1:9" x14ac:dyDescent="0.25">
      <c r="A47" s="2" t="s">
        <v>1412</v>
      </c>
      <c r="B47" s="2" t="s">
        <v>1413</v>
      </c>
      <c r="C47" s="2" t="s">
        <v>1353</v>
      </c>
      <c r="D47" s="2" t="s">
        <v>1323</v>
      </c>
      <c r="E47" s="2" t="s">
        <v>1319</v>
      </c>
      <c r="F47" s="2">
        <v>0</v>
      </c>
      <c r="G47" s="10">
        <v>4621</v>
      </c>
      <c r="H47" s="7">
        <v>4087.43</v>
      </c>
      <c r="I47" s="11">
        <f t="shared" si="0"/>
        <v>7.3711137560412601E-2</v>
      </c>
    </row>
    <row r="48" spans="1:9" x14ac:dyDescent="0.25">
      <c r="A48" s="2" t="s">
        <v>1414</v>
      </c>
      <c r="B48" s="2" t="s">
        <v>1415</v>
      </c>
      <c r="C48" s="2" t="s">
        <v>1322</v>
      </c>
      <c r="D48" s="2" t="s">
        <v>1336</v>
      </c>
      <c r="E48" s="2" t="s">
        <v>1331</v>
      </c>
      <c r="F48" s="2">
        <v>20</v>
      </c>
      <c r="G48" s="10">
        <v>2058</v>
      </c>
      <c r="H48" s="7">
        <v>2223.2399999999998</v>
      </c>
      <c r="I48" s="11">
        <f t="shared" si="0"/>
        <v>9.0024295432458684E-2</v>
      </c>
    </row>
    <row r="49" spans="1:9" x14ac:dyDescent="0.25">
      <c r="A49" s="2" t="s">
        <v>1416</v>
      </c>
      <c r="B49" s="2" t="s">
        <v>1417</v>
      </c>
      <c r="C49" s="2" t="s">
        <v>1330</v>
      </c>
      <c r="D49" s="2" t="s">
        <v>1369</v>
      </c>
      <c r="E49" s="2" t="s">
        <v>1331</v>
      </c>
      <c r="F49" s="2">
        <v>19</v>
      </c>
      <c r="G49" s="10">
        <v>2633</v>
      </c>
      <c r="H49" s="7">
        <v>2220.4899999999998</v>
      </c>
      <c r="I49" s="11">
        <f t="shared" si="0"/>
        <v>7.0277566780605136E-2</v>
      </c>
    </row>
    <row r="50" spans="1:9" x14ac:dyDescent="0.25">
      <c r="A50" s="2" t="s">
        <v>1418</v>
      </c>
      <c r="B50" s="2" t="s">
        <v>1419</v>
      </c>
      <c r="C50" s="2" t="s">
        <v>1326</v>
      </c>
      <c r="D50" s="2" t="s">
        <v>1336</v>
      </c>
      <c r="E50" s="2" t="s">
        <v>1331</v>
      </c>
      <c r="F50" s="2">
        <v>14</v>
      </c>
      <c r="G50" s="10">
        <v>1919</v>
      </c>
      <c r="H50" s="7">
        <v>1123.71</v>
      </c>
      <c r="I50" s="11">
        <f t="shared" si="0"/>
        <v>4.879755080771235E-2</v>
      </c>
    </row>
    <row r="51" spans="1:9" x14ac:dyDescent="0.25">
      <c r="A51" s="2" t="s">
        <v>1420</v>
      </c>
      <c r="B51" s="2" t="s">
        <v>1421</v>
      </c>
      <c r="C51" s="2" t="s">
        <v>16</v>
      </c>
      <c r="D51" s="2" t="s">
        <v>1369</v>
      </c>
      <c r="E51" s="2" t="s">
        <v>1319</v>
      </c>
      <c r="F51" s="2">
        <v>19</v>
      </c>
      <c r="G51" s="10">
        <v>5683</v>
      </c>
      <c r="H51" s="7">
        <v>8530.9</v>
      </c>
      <c r="I51" s="11">
        <f t="shared" si="0"/>
        <v>0.12509384714646019</v>
      </c>
    </row>
    <row r="52" spans="1:9" x14ac:dyDescent="0.25">
      <c r="A52" s="2" t="s">
        <v>1422</v>
      </c>
      <c r="B52" s="2" t="s">
        <v>1405</v>
      </c>
      <c r="C52" s="2" t="s">
        <v>1326</v>
      </c>
      <c r="D52" s="2" t="s">
        <v>1318</v>
      </c>
      <c r="E52" s="2" t="s">
        <v>1319</v>
      </c>
      <c r="F52" s="2">
        <v>15</v>
      </c>
      <c r="G52" s="10">
        <v>4912</v>
      </c>
      <c r="H52" s="7">
        <v>1233.56</v>
      </c>
      <c r="I52" s="11">
        <f t="shared" si="0"/>
        <v>2.0927660152008684E-2</v>
      </c>
    </row>
    <row r="53" spans="1:9" x14ac:dyDescent="0.25">
      <c r="A53" s="2" t="s">
        <v>1423</v>
      </c>
      <c r="B53" s="2" t="s">
        <v>1424</v>
      </c>
      <c r="C53" s="2" t="s">
        <v>1357</v>
      </c>
      <c r="D53" s="2" t="s">
        <v>1350</v>
      </c>
      <c r="E53" s="2" t="s">
        <v>1331</v>
      </c>
      <c r="F53" s="2">
        <v>5</v>
      </c>
      <c r="G53" s="10">
        <v>3030</v>
      </c>
      <c r="H53" s="7">
        <v>1643.11</v>
      </c>
      <c r="I53" s="11">
        <f t="shared" si="0"/>
        <v>4.5190044004400437E-2</v>
      </c>
    </row>
    <row r="54" spans="1:9" x14ac:dyDescent="0.25">
      <c r="A54" s="2" t="s">
        <v>1425</v>
      </c>
      <c r="B54" s="2" t="s">
        <v>1426</v>
      </c>
      <c r="C54" s="2" t="s">
        <v>16</v>
      </c>
      <c r="D54" s="2" t="s">
        <v>1323</v>
      </c>
      <c r="E54" s="2" t="s">
        <v>1319</v>
      </c>
      <c r="F54" s="2">
        <v>4</v>
      </c>
      <c r="G54" s="10">
        <v>3732</v>
      </c>
      <c r="H54" s="7">
        <v>1637.57</v>
      </c>
      <c r="I54" s="11">
        <f t="shared" si="0"/>
        <v>3.6565961057520545E-2</v>
      </c>
    </row>
    <row r="55" spans="1:9" x14ac:dyDescent="0.25">
      <c r="A55" s="2" t="s">
        <v>1427</v>
      </c>
      <c r="B55" s="2" t="s">
        <v>1338</v>
      </c>
      <c r="C55" s="2" t="s">
        <v>1317</v>
      </c>
      <c r="D55" s="2" t="s">
        <v>1318</v>
      </c>
      <c r="E55" s="2" t="s">
        <v>1331</v>
      </c>
      <c r="F55" s="2">
        <v>6</v>
      </c>
      <c r="G55" s="10">
        <v>1947</v>
      </c>
      <c r="H55" s="7">
        <v>3480.15</v>
      </c>
      <c r="I55" s="11">
        <f t="shared" si="0"/>
        <v>0.14895351823317926</v>
      </c>
    </row>
    <row r="56" spans="1:9" x14ac:dyDescent="0.25">
      <c r="A56" s="2" t="s">
        <v>1428</v>
      </c>
      <c r="B56" s="2" t="s">
        <v>1429</v>
      </c>
      <c r="C56" s="2" t="s">
        <v>1317</v>
      </c>
      <c r="D56" s="2" t="s">
        <v>1345</v>
      </c>
      <c r="E56" s="2" t="s">
        <v>1331</v>
      </c>
      <c r="F56" s="2">
        <v>14</v>
      </c>
      <c r="G56" s="10">
        <v>1904</v>
      </c>
      <c r="H56" s="7">
        <v>3242.72</v>
      </c>
      <c r="I56" s="11">
        <f t="shared" si="0"/>
        <v>0.14192577030812323</v>
      </c>
    </row>
    <row r="57" spans="1:9" x14ac:dyDescent="0.25">
      <c r="A57" s="2" t="s">
        <v>1430</v>
      </c>
      <c r="B57" s="2" t="s">
        <v>1431</v>
      </c>
      <c r="C57" s="2" t="s">
        <v>1330</v>
      </c>
      <c r="D57" s="2" t="s">
        <v>1336</v>
      </c>
      <c r="E57" s="2" t="s">
        <v>1331</v>
      </c>
      <c r="F57" s="2">
        <v>8</v>
      </c>
      <c r="G57" s="10">
        <v>2149</v>
      </c>
      <c r="H57" s="7">
        <v>2796</v>
      </c>
      <c r="I57" s="11">
        <f t="shared" si="0"/>
        <v>0.10842252210330386</v>
      </c>
    </row>
    <row r="58" spans="1:9" x14ac:dyDescent="0.25">
      <c r="A58" s="2" t="s">
        <v>1432</v>
      </c>
      <c r="B58" s="2" t="s">
        <v>1433</v>
      </c>
      <c r="C58" s="2" t="s">
        <v>1357</v>
      </c>
      <c r="D58" s="2" t="s">
        <v>1369</v>
      </c>
      <c r="E58" s="2" t="s">
        <v>1331</v>
      </c>
      <c r="F58" s="2">
        <v>23</v>
      </c>
      <c r="G58" s="10">
        <v>2359</v>
      </c>
      <c r="H58" s="7">
        <v>738.99</v>
      </c>
      <c r="I58" s="11">
        <f t="shared" si="0"/>
        <v>2.6105341246290801E-2</v>
      </c>
    </row>
    <row r="59" spans="1:9" x14ac:dyDescent="0.25">
      <c r="A59" s="2" t="s">
        <v>1434</v>
      </c>
      <c r="B59" s="2" t="s">
        <v>1435</v>
      </c>
      <c r="C59" s="2" t="s">
        <v>1326</v>
      </c>
      <c r="D59" s="2" t="s">
        <v>1339</v>
      </c>
      <c r="E59" s="2" t="s">
        <v>1319</v>
      </c>
      <c r="F59" s="2">
        <v>6</v>
      </c>
      <c r="G59" s="10">
        <v>5941</v>
      </c>
      <c r="H59" s="7">
        <v>2184.04</v>
      </c>
      <c r="I59" s="11">
        <f t="shared" si="0"/>
        <v>3.0635134376928688E-2</v>
      </c>
    </row>
    <row r="60" spans="1:9" x14ac:dyDescent="0.25">
      <c r="A60" s="2" t="s">
        <v>1436</v>
      </c>
      <c r="B60" s="2" t="s">
        <v>1437</v>
      </c>
      <c r="C60" s="2" t="s">
        <v>1317</v>
      </c>
      <c r="D60" s="2" t="s">
        <v>1342</v>
      </c>
      <c r="E60" s="2" t="s">
        <v>1331</v>
      </c>
      <c r="F60" s="2">
        <v>2</v>
      </c>
      <c r="G60" s="10">
        <v>2411</v>
      </c>
      <c r="H60" s="7">
        <v>1319.13</v>
      </c>
      <c r="I60" s="11">
        <f t="shared" si="0"/>
        <v>4.5594151804230612E-2</v>
      </c>
    </row>
    <row r="61" spans="1:9" x14ac:dyDescent="0.25">
      <c r="A61" s="2" t="s">
        <v>1438</v>
      </c>
      <c r="B61" s="2" t="s">
        <v>1439</v>
      </c>
      <c r="C61" s="2" t="s">
        <v>1317</v>
      </c>
      <c r="D61" s="2" t="s">
        <v>1336</v>
      </c>
      <c r="E61" s="2" t="s">
        <v>1331</v>
      </c>
      <c r="F61" s="2">
        <v>0</v>
      </c>
      <c r="G61" s="10">
        <v>2882</v>
      </c>
      <c r="H61" s="7">
        <v>2633.69</v>
      </c>
      <c r="I61" s="11">
        <f t="shared" si="0"/>
        <v>7.6153423548461718E-2</v>
      </c>
    </row>
    <row r="62" spans="1:9" x14ac:dyDescent="0.25">
      <c r="A62" s="2" t="s">
        <v>1440</v>
      </c>
      <c r="B62" s="2" t="s">
        <v>1441</v>
      </c>
      <c r="C62" s="2" t="s">
        <v>1330</v>
      </c>
      <c r="D62" s="2" t="s">
        <v>1336</v>
      </c>
      <c r="E62" s="2" t="s">
        <v>1319</v>
      </c>
      <c r="F62" s="2">
        <v>3</v>
      </c>
      <c r="G62" s="10">
        <v>7079</v>
      </c>
      <c r="H62" s="7">
        <v>4331.22</v>
      </c>
      <c r="I62" s="11">
        <f t="shared" si="0"/>
        <v>5.0986721288317563E-2</v>
      </c>
    </row>
    <row r="63" spans="1:9" x14ac:dyDescent="0.25">
      <c r="A63" s="2" t="s">
        <v>1442</v>
      </c>
      <c r="B63" s="2" t="s">
        <v>1443</v>
      </c>
      <c r="C63" s="2" t="s">
        <v>1357</v>
      </c>
      <c r="D63" s="2" t="s">
        <v>1350</v>
      </c>
      <c r="E63" s="2" t="s">
        <v>1331</v>
      </c>
      <c r="F63" s="2">
        <v>2</v>
      </c>
      <c r="G63" s="10">
        <v>3128</v>
      </c>
      <c r="H63" s="7">
        <v>3774.01</v>
      </c>
      <c r="I63" s="11">
        <f t="shared" si="0"/>
        <v>0.10054374467178176</v>
      </c>
    </row>
    <row r="64" spans="1:9" x14ac:dyDescent="0.25">
      <c r="A64" s="2" t="s">
        <v>1444</v>
      </c>
      <c r="B64" s="2" t="s">
        <v>1445</v>
      </c>
      <c r="C64" s="2" t="s">
        <v>1322</v>
      </c>
      <c r="D64" s="2" t="s">
        <v>1327</v>
      </c>
      <c r="E64" s="2" t="s">
        <v>1319</v>
      </c>
      <c r="F64" s="2">
        <v>1</v>
      </c>
      <c r="G64" s="10">
        <v>3473</v>
      </c>
      <c r="H64" s="7">
        <v>2878.2</v>
      </c>
      <c r="I64" s="11">
        <f t="shared" si="0"/>
        <v>6.9061330262021298E-2</v>
      </c>
    </row>
    <row r="65" spans="1:9" x14ac:dyDescent="0.25">
      <c r="A65" s="2" t="s">
        <v>1446</v>
      </c>
      <c r="B65" s="2" t="s">
        <v>1447</v>
      </c>
      <c r="C65" s="2" t="s">
        <v>1330</v>
      </c>
      <c r="D65" s="2" t="s">
        <v>1327</v>
      </c>
      <c r="E65" s="2" t="s">
        <v>1331</v>
      </c>
      <c r="F65" s="2">
        <v>9</v>
      </c>
      <c r="G65" s="10">
        <v>3150</v>
      </c>
      <c r="H65" s="7">
        <v>3833.07</v>
      </c>
      <c r="I65" s="11">
        <f t="shared" si="0"/>
        <v>0.10140396825396826</v>
      </c>
    </row>
    <row r="66" spans="1:9" x14ac:dyDescent="0.25">
      <c r="A66" s="2" t="s">
        <v>1448</v>
      </c>
      <c r="B66" s="2" t="s">
        <v>1449</v>
      </c>
      <c r="C66" s="2" t="s">
        <v>1357</v>
      </c>
      <c r="D66" s="2" t="s">
        <v>1350</v>
      </c>
      <c r="E66" s="2" t="s">
        <v>1319</v>
      </c>
      <c r="F66" s="2">
        <v>12</v>
      </c>
      <c r="G66" s="10">
        <v>6490</v>
      </c>
      <c r="H66" s="7">
        <v>2527.8200000000002</v>
      </c>
      <c r="I66" s="11">
        <f t="shared" si="0"/>
        <v>3.2457883923985624E-2</v>
      </c>
    </row>
    <row r="67" spans="1:9" x14ac:dyDescent="0.25">
      <c r="A67" s="2" t="s">
        <v>1450</v>
      </c>
      <c r="B67" s="2" t="s">
        <v>1451</v>
      </c>
      <c r="C67" s="2" t="s">
        <v>1330</v>
      </c>
      <c r="D67" s="2" t="s">
        <v>1350</v>
      </c>
      <c r="E67" s="2" t="s">
        <v>1331</v>
      </c>
      <c r="F67" s="2">
        <v>0</v>
      </c>
      <c r="G67" s="10">
        <v>2828</v>
      </c>
      <c r="H67" s="7">
        <v>2372.4499999999998</v>
      </c>
      <c r="I67" s="11">
        <f t="shared" si="0"/>
        <v>6.9909535596416786E-2</v>
      </c>
    </row>
    <row r="68" spans="1:9" x14ac:dyDescent="0.25">
      <c r="A68" s="2" t="s">
        <v>1452</v>
      </c>
      <c r="B68" s="2" t="s">
        <v>1453</v>
      </c>
      <c r="C68" s="2" t="s">
        <v>1322</v>
      </c>
      <c r="D68" s="2" t="s">
        <v>1339</v>
      </c>
      <c r="E68" s="2" t="s">
        <v>1319</v>
      </c>
      <c r="F68" s="2">
        <v>21</v>
      </c>
      <c r="G68" s="10">
        <v>3412</v>
      </c>
      <c r="H68" s="7">
        <v>3235.8</v>
      </c>
      <c r="I68" s="11">
        <f t="shared" si="0"/>
        <v>7.9029894490035169E-2</v>
      </c>
    </row>
    <row r="69" spans="1:9" x14ac:dyDescent="0.25">
      <c r="A69" s="2" t="s">
        <v>1454</v>
      </c>
      <c r="B69" s="2" t="s">
        <v>1403</v>
      </c>
      <c r="C69" s="2" t="s">
        <v>1322</v>
      </c>
      <c r="D69" s="2" t="s">
        <v>1354</v>
      </c>
      <c r="E69" s="2" t="s">
        <v>1319</v>
      </c>
      <c r="F69" s="2">
        <v>19</v>
      </c>
      <c r="G69" s="10">
        <v>3753</v>
      </c>
      <c r="H69" s="7">
        <v>4371.88</v>
      </c>
      <c r="I69" s="11">
        <f t="shared" ref="I69:I132" si="1">IFERROR(H69/(G69*12),"N/A")</f>
        <v>9.7075228705924152E-2</v>
      </c>
    </row>
    <row r="70" spans="1:9" x14ac:dyDescent="0.25">
      <c r="A70" s="2" t="s">
        <v>1455</v>
      </c>
      <c r="B70" s="2" t="s">
        <v>1456</v>
      </c>
      <c r="C70" s="2" t="s">
        <v>1317</v>
      </c>
      <c r="D70" s="2" t="s">
        <v>1354</v>
      </c>
      <c r="E70" s="2" t="s">
        <v>1331</v>
      </c>
      <c r="F70" s="2">
        <v>11</v>
      </c>
      <c r="G70" s="10">
        <v>2762</v>
      </c>
      <c r="H70" s="7">
        <v>2737.09</v>
      </c>
      <c r="I70" s="11">
        <f t="shared" si="1"/>
        <v>8.258176442191649E-2</v>
      </c>
    </row>
    <row r="71" spans="1:9" x14ac:dyDescent="0.25">
      <c r="A71" s="2" t="s">
        <v>1457</v>
      </c>
      <c r="B71" s="2" t="s">
        <v>1458</v>
      </c>
      <c r="C71" s="2" t="s">
        <v>16</v>
      </c>
      <c r="D71" s="2" t="s">
        <v>1323</v>
      </c>
      <c r="E71" s="2" t="s">
        <v>1319</v>
      </c>
      <c r="F71" s="2">
        <v>1</v>
      </c>
      <c r="G71" s="10">
        <v>3695</v>
      </c>
      <c r="H71" s="7">
        <v>1622.78</v>
      </c>
      <c r="I71" s="11">
        <f t="shared" si="1"/>
        <v>3.6598556608028868E-2</v>
      </c>
    </row>
    <row r="72" spans="1:9" x14ac:dyDescent="0.25">
      <c r="A72" s="2" t="s">
        <v>1459</v>
      </c>
      <c r="B72" s="2" t="s">
        <v>1460</v>
      </c>
      <c r="C72" s="2" t="s">
        <v>1317</v>
      </c>
      <c r="D72" s="2" t="s">
        <v>1369</v>
      </c>
      <c r="E72" s="2" t="s">
        <v>1331</v>
      </c>
      <c r="F72" s="2">
        <v>9</v>
      </c>
      <c r="G72" s="10">
        <v>3095</v>
      </c>
      <c r="H72" s="7">
        <v>5016.83</v>
      </c>
      <c r="I72" s="11">
        <f t="shared" si="1"/>
        <v>0.13507889068389875</v>
      </c>
    </row>
    <row r="73" spans="1:9" x14ac:dyDescent="0.25">
      <c r="A73" s="2" t="s">
        <v>1461</v>
      </c>
      <c r="B73" s="2" t="s">
        <v>1462</v>
      </c>
      <c r="C73" s="2" t="s">
        <v>1326</v>
      </c>
      <c r="D73" s="2" t="s">
        <v>1354</v>
      </c>
      <c r="E73" s="2" t="s">
        <v>1331</v>
      </c>
      <c r="F73" s="2">
        <v>9</v>
      </c>
      <c r="G73" s="10">
        <v>2655</v>
      </c>
      <c r="H73" s="7">
        <v>4655.87</v>
      </c>
      <c r="I73" s="11">
        <f t="shared" si="1"/>
        <v>0.14613527934714374</v>
      </c>
    </row>
    <row r="74" spans="1:9" x14ac:dyDescent="0.25">
      <c r="A74" s="2" t="s">
        <v>1463</v>
      </c>
      <c r="B74" s="2" t="s">
        <v>1464</v>
      </c>
      <c r="C74" s="2" t="s">
        <v>1322</v>
      </c>
      <c r="D74" s="2" t="s">
        <v>1339</v>
      </c>
      <c r="E74" s="2" t="s">
        <v>1319</v>
      </c>
      <c r="F74" s="2">
        <v>17</v>
      </c>
      <c r="G74" s="10">
        <v>3647</v>
      </c>
      <c r="H74" s="7">
        <v>3276.52</v>
      </c>
      <c r="I74" s="11">
        <f t="shared" si="1"/>
        <v>7.4867927977332965E-2</v>
      </c>
    </row>
    <row r="75" spans="1:9" x14ac:dyDescent="0.25">
      <c r="A75" s="2" t="s">
        <v>1465</v>
      </c>
      <c r="B75" s="2" t="s">
        <v>1466</v>
      </c>
      <c r="C75" s="2" t="s">
        <v>1330</v>
      </c>
      <c r="D75" s="2" t="s">
        <v>1336</v>
      </c>
      <c r="E75" s="2" t="s">
        <v>1319</v>
      </c>
      <c r="F75" s="2">
        <v>6</v>
      </c>
      <c r="G75" s="10">
        <v>7097</v>
      </c>
      <c r="H75" s="7">
        <v>9395.43</v>
      </c>
      <c r="I75" s="11">
        <f t="shared" si="1"/>
        <v>0.11032161476680288</v>
      </c>
    </row>
    <row r="76" spans="1:9" x14ac:dyDescent="0.25">
      <c r="A76" s="2" t="s">
        <v>1467</v>
      </c>
      <c r="B76" s="2" t="s">
        <v>1468</v>
      </c>
      <c r="C76" s="2" t="s">
        <v>1330</v>
      </c>
      <c r="D76" s="2" t="s">
        <v>1342</v>
      </c>
      <c r="E76" s="2" t="s">
        <v>1331</v>
      </c>
      <c r="F76" s="2">
        <v>10</v>
      </c>
      <c r="G76" s="10">
        <v>3161</v>
      </c>
      <c r="H76" s="7">
        <v>2236.17</v>
      </c>
      <c r="I76" s="11">
        <f t="shared" si="1"/>
        <v>5.895207212907308E-2</v>
      </c>
    </row>
    <row r="77" spans="1:9" x14ac:dyDescent="0.25">
      <c r="A77" s="2" t="s">
        <v>1469</v>
      </c>
      <c r="B77" s="2" t="s">
        <v>1470</v>
      </c>
      <c r="C77" s="2" t="s">
        <v>1353</v>
      </c>
      <c r="D77" s="2" t="s">
        <v>1339</v>
      </c>
      <c r="E77" s="2" t="s">
        <v>1331</v>
      </c>
      <c r="F77" s="2">
        <v>1</v>
      </c>
      <c r="G77" s="10">
        <v>2915</v>
      </c>
      <c r="H77" s="7">
        <v>1697.33</v>
      </c>
      <c r="I77" s="11">
        <f t="shared" si="1"/>
        <v>4.8522870211549454E-2</v>
      </c>
    </row>
    <row r="78" spans="1:9" x14ac:dyDescent="0.25">
      <c r="A78" s="2" t="s">
        <v>1471</v>
      </c>
      <c r="B78" s="2" t="s">
        <v>1368</v>
      </c>
      <c r="C78" s="2" t="s">
        <v>1353</v>
      </c>
      <c r="D78" s="2" t="s">
        <v>1339</v>
      </c>
      <c r="E78" s="2" t="s">
        <v>1331</v>
      </c>
      <c r="F78" s="2">
        <v>7</v>
      </c>
      <c r="G78" s="10">
        <v>2884</v>
      </c>
      <c r="H78" s="7">
        <v>3997.09</v>
      </c>
      <c r="I78" s="11">
        <f t="shared" si="1"/>
        <v>0.11549612806287564</v>
      </c>
    </row>
    <row r="79" spans="1:9" x14ac:dyDescent="0.25">
      <c r="A79" s="2" t="s">
        <v>1472</v>
      </c>
      <c r="B79" s="2" t="s">
        <v>1473</v>
      </c>
      <c r="C79" s="2" t="s">
        <v>1353</v>
      </c>
      <c r="D79" s="2" t="s">
        <v>1323</v>
      </c>
      <c r="E79" s="2" t="s">
        <v>1319</v>
      </c>
      <c r="F79" s="2">
        <v>0</v>
      </c>
      <c r="G79" s="10">
        <v>6172</v>
      </c>
      <c r="H79" s="7">
        <v>1576.52</v>
      </c>
      <c r="I79" s="11">
        <f t="shared" si="1"/>
        <v>2.128591488442428E-2</v>
      </c>
    </row>
    <row r="80" spans="1:9" x14ac:dyDescent="0.25">
      <c r="A80" s="2" t="s">
        <v>1474</v>
      </c>
      <c r="B80" s="2" t="s">
        <v>1475</v>
      </c>
      <c r="C80" s="2" t="s">
        <v>1322</v>
      </c>
      <c r="D80" s="2" t="s">
        <v>1327</v>
      </c>
      <c r="E80" s="2" t="s">
        <v>1319</v>
      </c>
      <c r="F80" s="2">
        <v>14</v>
      </c>
      <c r="G80" s="10">
        <v>4792</v>
      </c>
      <c r="H80" s="7">
        <v>5869.63</v>
      </c>
      <c r="I80" s="11">
        <f t="shared" si="1"/>
        <v>0.10207342097941013</v>
      </c>
    </row>
    <row r="81" spans="1:9" x14ac:dyDescent="0.25">
      <c r="A81" s="2" t="s">
        <v>1476</v>
      </c>
      <c r="B81" s="2" t="s">
        <v>1477</v>
      </c>
      <c r="C81" s="2" t="s">
        <v>16</v>
      </c>
      <c r="D81" s="2" t="s">
        <v>1323</v>
      </c>
      <c r="E81" s="2" t="s">
        <v>1319</v>
      </c>
      <c r="F81" s="2">
        <v>5</v>
      </c>
      <c r="G81" s="10">
        <v>4993</v>
      </c>
      <c r="H81" s="7">
        <v>8094.63</v>
      </c>
      <c r="I81" s="11">
        <f t="shared" si="1"/>
        <v>0.13509963949529341</v>
      </c>
    </row>
    <row r="82" spans="1:9" x14ac:dyDescent="0.25">
      <c r="A82" s="2" t="s">
        <v>1478</v>
      </c>
      <c r="B82" s="2" t="s">
        <v>1479</v>
      </c>
      <c r="C82" s="2" t="s">
        <v>16</v>
      </c>
      <c r="D82" s="2" t="s">
        <v>1354</v>
      </c>
      <c r="E82" s="2" t="s">
        <v>1319</v>
      </c>
      <c r="F82" s="2">
        <v>0</v>
      </c>
      <c r="G82" s="10">
        <v>4642</v>
      </c>
      <c r="H82" s="7">
        <v>7217.82</v>
      </c>
      <c r="I82" s="11">
        <f t="shared" si="1"/>
        <v>0.12957453683757</v>
      </c>
    </row>
    <row r="83" spans="1:9" x14ac:dyDescent="0.25">
      <c r="A83" s="2" t="s">
        <v>1480</v>
      </c>
      <c r="B83" s="2" t="s">
        <v>1481</v>
      </c>
      <c r="C83" s="2" t="s">
        <v>1353</v>
      </c>
      <c r="D83" s="2" t="s">
        <v>1339</v>
      </c>
      <c r="E83" s="2" t="s">
        <v>1331</v>
      </c>
      <c r="F83" s="2">
        <v>3</v>
      </c>
      <c r="G83" s="10">
        <v>2593</v>
      </c>
      <c r="H83" s="7">
        <v>4408.9799999999996</v>
      </c>
      <c r="I83" s="11">
        <f t="shared" si="1"/>
        <v>0.14169494793675277</v>
      </c>
    </row>
    <row r="84" spans="1:9" x14ac:dyDescent="0.25">
      <c r="A84" s="2" t="s">
        <v>1482</v>
      </c>
      <c r="B84" s="2" t="s">
        <v>1483</v>
      </c>
      <c r="C84" s="2" t="s">
        <v>1326</v>
      </c>
      <c r="D84" s="2" t="s">
        <v>1342</v>
      </c>
      <c r="E84" s="2" t="s">
        <v>1331</v>
      </c>
      <c r="F84" s="2">
        <v>21</v>
      </c>
      <c r="G84" s="10">
        <v>2250</v>
      </c>
      <c r="H84" s="7">
        <v>3843.48</v>
      </c>
      <c r="I84" s="11">
        <f t="shared" si="1"/>
        <v>0.14235111111111112</v>
      </c>
    </row>
    <row r="85" spans="1:9" x14ac:dyDescent="0.25">
      <c r="A85" s="2" t="s">
        <v>1484</v>
      </c>
      <c r="B85" s="2" t="s">
        <v>1485</v>
      </c>
      <c r="C85" s="2" t="s">
        <v>1322</v>
      </c>
      <c r="D85" s="2" t="s">
        <v>1336</v>
      </c>
      <c r="E85" s="2" t="s">
        <v>1319</v>
      </c>
      <c r="F85" s="2">
        <v>4</v>
      </c>
      <c r="G85" s="10">
        <v>4753</v>
      </c>
      <c r="H85" s="7">
        <v>2561.98</v>
      </c>
      <c r="I85" s="11">
        <f t="shared" si="1"/>
        <v>4.4918647871519744E-2</v>
      </c>
    </row>
    <row r="86" spans="1:9" x14ac:dyDescent="0.25">
      <c r="A86" s="2" t="s">
        <v>1486</v>
      </c>
      <c r="B86" s="2" t="s">
        <v>1487</v>
      </c>
      <c r="C86" s="2" t="s">
        <v>1357</v>
      </c>
      <c r="D86" s="2" t="s">
        <v>1339</v>
      </c>
      <c r="E86" s="2" t="s">
        <v>1331</v>
      </c>
      <c r="F86" s="2">
        <v>20</v>
      </c>
      <c r="G86" s="10">
        <v>2400</v>
      </c>
      <c r="H86" s="7">
        <v>4024.27</v>
      </c>
      <c r="I86" s="11">
        <f t="shared" si="1"/>
        <v>0.13973159722222223</v>
      </c>
    </row>
    <row r="87" spans="1:9" x14ac:dyDescent="0.25">
      <c r="A87" s="2" t="s">
        <v>1488</v>
      </c>
      <c r="B87" s="2" t="s">
        <v>1489</v>
      </c>
      <c r="C87" s="2" t="s">
        <v>1330</v>
      </c>
      <c r="D87" s="2" t="s">
        <v>1354</v>
      </c>
      <c r="E87" s="2" t="s">
        <v>1331</v>
      </c>
      <c r="F87" s="2">
        <v>25</v>
      </c>
      <c r="G87" s="10">
        <v>2204</v>
      </c>
      <c r="H87" s="7">
        <v>1655.6</v>
      </c>
      <c r="I87" s="11">
        <f t="shared" si="1"/>
        <v>6.2598306110102836E-2</v>
      </c>
    </row>
    <row r="88" spans="1:9" x14ac:dyDescent="0.25">
      <c r="A88" s="2" t="s">
        <v>1490</v>
      </c>
      <c r="B88" s="2" t="s">
        <v>1491</v>
      </c>
      <c r="C88" s="2" t="s">
        <v>1330</v>
      </c>
      <c r="D88" s="2" t="s">
        <v>1350</v>
      </c>
      <c r="E88" s="2" t="s">
        <v>1331</v>
      </c>
      <c r="F88" s="2">
        <v>18</v>
      </c>
      <c r="G88" s="10">
        <v>2901</v>
      </c>
      <c r="H88" s="7">
        <v>1643.16</v>
      </c>
      <c r="I88" s="11">
        <f t="shared" si="1"/>
        <v>4.7200965184419165E-2</v>
      </c>
    </row>
    <row r="89" spans="1:9" x14ac:dyDescent="0.25">
      <c r="A89" s="2" t="s">
        <v>1492</v>
      </c>
      <c r="B89" s="2" t="s">
        <v>1371</v>
      </c>
      <c r="C89" s="2" t="s">
        <v>1322</v>
      </c>
      <c r="D89" s="2" t="s">
        <v>1354</v>
      </c>
      <c r="E89" s="2" t="s">
        <v>1319</v>
      </c>
      <c r="F89" s="2">
        <v>12</v>
      </c>
      <c r="G89" s="10">
        <v>7371</v>
      </c>
      <c r="H89" s="7">
        <v>6072.64</v>
      </c>
      <c r="I89" s="11">
        <f t="shared" si="1"/>
        <v>6.8654637543526437E-2</v>
      </c>
    </row>
    <row r="90" spans="1:9" x14ac:dyDescent="0.25">
      <c r="A90" s="2" t="s">
        <v>1493</v>
      </c>
      <c r="B90" s="2" t="s">
        <v>1494</v>
      </c>
      <c r="C90" s="2" t="s">
        <v>1326</v>
      </c>
      <c r="D90" s="2" t="s">
        <v>1318</v>
      </c>
      <c r="E90" s="2" t="s">
        <v>1331</v>
      </c>
      <c r="F90" s="2">
        <v>16</v>
      </c>
      <c r="G90" s="10">
        <v>2889</v>
      </c>
      <c r="H90" s="7">
        <v>3918.68</v>
      </c>
      <c r="I90" s="11">
        <f t="shared" si="1"/>
        <v>0.11303449867312795</v>
      </c>
    </row>
    <row r="91" spans="1:9" x14ac:dyDescent="0.25">
      <c r="A91" s="2" t="s">
        <v>1495</v>
      </c>
      <c r="B91" s="2" t="s">
        <v>1496</v>
      </c>
      <c r="C91" s="2" t="s">
        <v>1357</v>
      </c>
      <c r="D91" s="2" t="s">
        <v>1339</v>
      </c>
      <c r="E91" s="2" t="s">
        <v>1331</v>
      </c>
      <c r="F91" s="2">
        <v>25</v>
      </c>
      <c r="G91" s="10">
        <v>3095</v>
      </c>
      <c r="H91" s="7">
        <v>3879.86</v>
      </c>
      <c r="I91" s="11">
        <f t="shared" si="1"/>
        <v>0.10446580506192785</v>
      </c>
    </row>
    <row r="92" spans="1:9" x14ac:dyDescent="0.25">
      <c r="A92" s="2" t="s">
        <v>1497</v>
      </c>
      <c r="B92" s="2" t="s">
        <v>1498</v>
      </c>
      <c r="C92" s="2" t="s">
        <v>1353</v>
      </c>
      <c r="D92" s="2" t="s">
        <v>1354</v>
      </c>
      <c r="E92" s="2" t="s">
        <v>1331</v>
      </c>
      <c r="F92" s="2">
        <v>12</v>
      </c>
      <c r="G92" s="10">
        <v>2347</v>
      </c>
      <c r="H92" s="7">
        <v>1683.64</v>
      </c>
      <c r="I92" s="11">
        <f t="shared" si="1"/>
        <v>5.9779860815225114E-2</v>
      </c>
    </row>
    <row r="93" spans="1:9" x14ac:dyDescent="0.25">
      <c r="A93" s="2" t="s">
        <v>1499</v>
      </c>
      <c r="B93" s="2" t="s">
        <v>1500</v>
      </c>
      <c r="C93" s="2" t="s">
        <v>1330</v>
      </c>
      <c r="D93" s="2" t="s">
        <v>1369</v>
      </c>
      <c r="E93" s="2" t="s">
        <v>1331</v>
      </c>
      <c r="F93" s="2">
        <v>17</v>
      </c>
      <c r="G93" s="10">
        <v>2073</v>
      </c>
      <c r="H93" s="7">
        <v>931.93</v>
      </c>
      <c r="I93" s="11">
        <f t="shared" si="1"/>
        <v>3.7463016562148253E-2</v>
      </c>
    </row>
    <row r="94" spans="1:9" x14ac:dyDescent="0.25">
      <c r="A94" s="2" t="s">
        <v>1501</v>
      </c>
      <c r="B94" s="2" t="s">
        <v>1502</v>
      </c>
      <c r="C94" s="2" t="s">
        <v>1357</v>
      </c>
      <c r="D94" s="2" t="s">
        <v>1345</v>
      </c>
      <c r="E94" s="2" t="s">
        <v>1331</v>
      </c>
      <c r="F94" s="2">
        <v>18</v>
      </c>
      <c r="G94" s="10">
        <v>1984</v>
      </c>
      <c r="H94" s="7">
        <v>1916.14</v>
      </c>
      <c r="I94" s="11">
        <f t="shared" si="1"/>
        <v>8.0483030913978501E-2</v>
      </c>
    </row>
    <row r="95" spans="1:9" x14ac:dyDescent="0.25">
      <c r="A95" s="2" t="s">
        <v>1503</v>
      </c>
      <c r="B95" s="2" t="s">
        <v>1504</v>
      </c>
      <c r="C95" s="2" t="s">
        <v>1353</v>
      </c>
      <c r="D95" s="2" t="s">
        <v>1345</v>
      </c>
      <c r="E95" s="2" t="s">
        <v>1331</v>
      </c>
      <c r="F95" s="2">
        <v>13</v>
      </c>
      <c r="G95" s="10">
        <v>2652</v>
      </c>
      <c r="H95" s="7">
        <v>3964.81</v>
      </c>
      <c r="I95" s="11">
        <f t="shared" si="1"/>
        <v>0.12458553293112117</v>
      </c>
    </row>
    <row r="96" spans="1:9" x14ac:dyDescent="0.25">
      <c r="A96" s="2" t="s">
        <v>1505</v>
      </c>
      <c r="B96" s="2" t="s">
        <v>1366</v>
      </c>
      <c r="C96" s="2" t="s">
        <v>1322</v>
      </c>
      <c r="D96" s="2" t="s">
        <v>1318</v>
      </c>
      <c r="E96" s="2" t="s">
        <v>1319</v>
      </c>
      <c r="F96" s="2">
        <v>7</v>
      </c>
      <c r="G96" s="10">
        <v>5375</v>
      </c>
      <c r="H96" s="7">
        <v>6701.3</v>
      </c>
      <c r="I96" s="11">
        <f t="shared" si="1"/>
        <v>0.10389612403100776</v>
      </c>
    </row>
    <row r="97" spans="1:9" x14ac:dyDescent="0.25">
      <c r="A97" s="2" t="s">
        <v>1506</v>
      </c>
      <c r="B97" s="2" t="s">
        <v>1507</v>
      </c>
      <c r="C97" s="2" t="s">
        <v>1330</v>
      </c>
      <c r="D97" s="2" t="s">
        <v>1342</v>
      </c>
      <c r="E97" s="2" t="s">
        <v>1331</v>
      </c>
      <c r="F97" s="2">
        <v>17</v>
      </c>
      <c r="G97" s="10">
        <v>2060</v>
      </c>
      <c r="H97" s="7">
        <v>3019.88</v>
      </c>
      <c r="I97" s="11">
        <f t="shared" si="1"/>
        <v>0.12216343042071198</v>
      </c>
    </row>
    <row r="98" spans="1:9" x14ac:dyDescent="0.25">
      <c r="A98" s="2" t="s">
        <v>1508</v>
      </c>
      <c r="B98" s="2" t="s">
        <v>1504</v>
      </c>
      <c r="C98" s="2" t="s">
        <v>1322</v>
      </c>
      <c r="D98" s="2" t="s">
        <v>1318</v>
      </c>
      <c r="E98" s="2" t="s">
        <v>1331</v>
      </c>
      <c r="F98" s="2">
        <v>17</v>
      </c>
      <c r="G98" s="10">
        <v>2310</v>
      </c>
      <c r="H98" s="7">
        <v>1757.13</v>
      </c>
      <c r="I98" s="11">
        <f t="shared" si="1"/>
        <v>6.3388528138528147E-2</v>
      </c>
    </row>
    <row r="99" spans="1:9" x14ac:dyDescent="0.25">
      <c r="A99" s="2" t="s">
        <v>1509</v>
      </c>
      <c r="B99" s="2" t="s">
        <v>1510</v>
      </c>
      <c r="C99" s="2" t="s">
        <v>1317</v>
      </c>
      <c r="D99" s="2" t="s">
        <v>1323</v>
      </c>
      <c r="E99" s="2" t="s">
        <v>1331</v>
      </c>
      <c r="F99" s="2">
        <v>21</v>
      </c>
      <c r="G99" s="10">
        <v>2462</v>
      </c>
      <c r="H99" s="7">
        <v>1323.08</v>
      </c>
      <c r="I99" s="11">
        <f t="shared" si="1"/>
        <v>4.4783373950717568E-2</v>
      </c>
    </row>
    <row r="100" spans="1:9" x14ac:dyDescent="0.25">
      <c r="A100" s="2" t="s">
        <v>1511</v>
      </c>
      <c r="B100" s="2" t="s">
        <v>1512</v>
      </c>
      <c r="C100" s="2" t="s">
        <v>1326</v>
      </c>
      <c r="D100" s="2" t="s">
        <v>1350</v>
      </c>
      <c r="E100" s="2" t="s">
        <v>1319</v>
      </c>
      <c r="F100" s="2">
        <v>9</v>
      </c>
      <c r="G100" s="10">
        <v>5508</v>
      </c>
      <c r="H100" s="7">
        <v>8387.59</v>
      </c>
      <c r="I100" s="11">
        <f t="shared" si="1"/>
        <v>0.12690011498426532</v>
      </c>
    </row>
    <row r="101" spans="1:9" x14ac:dyDescent="0.25">
      <c r="A101" s="2" t="s">
        <v>1513</v>
      </c>
      <c r="B101" s="2" t="s">
        <v>1514</v>
      </c>
      <c r="C101" s="2" t="s">
        <v>1330</v>
      </c>
      <c r="D101" s="2" t="s">
        <v>1339</v>
      </c>
      <c r="E101" s="2" t="s">
        <v>1331</v>
      </c>
      <c r="F101" s="2">
        <v>15</v>
      </c>
      <c r="G101" s="10">
        <v>2949</v>
      </c>
      <c r="H101" s="7">
        <v>5258.86</v>
      </c>
      <c r="I101" s="11">
        <f t="shared" si="1"/>
        <v>0.14860574205945518</v>
      </c>
    </row>
    <row r="102" spans="1:9" x14ac:dyDescent="0.25">
      <c r="A102" s="2" t="s">
        <v>1515</v>
      </c>
      <c r="B102" s="2" t="s">
        <v>1516</v>
      </c>
      <c r="C102" s="2" t="s">
        <v>16</v>
      </c>
      <c r="D102" s="2" t="s">
        <v>1369</v>
      </c>
      <c r="E102" s="2" t="s">
        <v>1331</v>
      </c>
      <c r="F102" s="2">
        <v>6</v>
      </c>
      <c r="G102" s="10">
        <v>2871</v>
      </c>
      <c r="H102" s="7">
        <v>1735.83</v>
      </c>
      <c r="I102" s="11">
        <f t="shared" si="1"/>
        <v>5.0384012539184952E-2</v>
      </c>
    </row>
    <row r="103" spans="1:9" x14ac:dyDescent="0.25">
      <c r="A103" s="2" t="s">
        <v>1517</v>
      </c>
      <c r="B103" s="2" t="s">
        <v>1518</v>
      </c>
      <c r="C103" s="2" t="s">
        <v>1317</v>
      </c>
      <c r="D103" s="2" t="s">
        <v>1345</v>
      </c>
      <c r="E103" s="2" t="s">
        <v>1331</v>
      </c>
      <c r="F103" s="2">
        <v>10</v>
      </c>
      <c r="G103" s="10">
        <v>2075</v>
      </c>
      <c r="H103" s="7">
        <v>1511.42</v>
      </c>
      <c r="I103" s="11">
        <f t="shared" si="1"/>
        <v>6.0699598393574299E-2</v>
      </c>
    </row>
    <row r="104" spans="1:9" x14ac:dyDescent="0.25">
      <c r="A104" s="2" t="s">
        <v>1519</v>
      </c>
      <c r="B104" s="2" t="s">
        <v>1520</v>
      </c>
      <c r="C104" s="2" t="s">
        <v>16</v>
      </c>
      <c r="D104" s="2" t="s">
        <v>1318</v>
      </c>
      <c r="E104" s="2" t="s">
        <v>1331</v>
      </c>
      <c r="F104" s="2">
        <v>17</v>
      </c>
      <c r="G104" s="10">
        <v>1961</v>
      </c>
      <c r="H104" s="7">
        <v>1616.91</v>
      </c>
      <c r="I104" s="11">
        <f t="shared" si="1"/>
        <v>6.871111677715451E-2</v>
      </c>
    </row>
    <row r="105" spans="1:9" x14ac:dyDescent="0.25">
      <c r="A105" s="2" t="s">
        <v>1521</v>
      </c>
      <c r="B105" s="2" t="s">
        <v>1522</v>
      </c>
      <c r="C105" s="2" t="s">
        <v>1317</v>
      </c>
      <c r="D105" s="2" t="s">
        <v>1345</v>
      </c>
      <c r="E105" s="2" t="s">
        <v>1319</v>
      </c>
      <c r="F105" s="2">
        <v>25</v>
      </c>
      <c r="G105" s="10">
        <v>6105</v>
      </c>
      <c r="H105" s="7">
        <v>4701.6000000000004</v>
      </c>
      <c r="I105" s="11">
        <f t="shared" si="1"/>
        <v>6.4176904176904179E-2</v>
      </c>
    </row>
    <row r="106" spans="1:9" x14ac:dyDescent="0.25">
      <c r="A106" s="2" t="s">
        <v>1523</v>
      </c>
      <c r="B106" s="2" t="s">
        <v>1439</v>
      </c>
      <c r="C106" s="2" t="s">
        <v>1330</v>
      </c>
      <c r="D106" s="2" t="s">
        <v>1327</v>
      </c>
      <c r="E106" s="2" t="s">
        <v>1331</v>
      </c>
      <c r="F106" s="2">
        <v>17</v>
      </c>
      <c r="G106" s="10">
        <v>2513</v>
      </c>
      <c r="H106" s="7">
        <v>1881.44</v>
      </c>
      <c r="I106" s="11">
        <f t="shared" si="1"/>
        <v>6.2390237432020164E-2</v>
      </c>
    </row>
    <row r="107" spans="1:9" x14ac:dyDescent="0.25">
      <c r="A107" s="2" t="s">
        <v>1524</v>
      </c>
      <c r="B107" s="2" t="s">
        <v>1525</v>
      </c>
      <c r="C107" s="2" t="s">
        <v>16</v>
      </c>
      <c r="D107" s="2" t="s">
        <v>1342</v>
      </c>
      <c r="E107" s="2" t="s">
        <v>1319</v>
      </c>
      <c r="F107" s="2">
        <v>10</v>
      </c>
      <c r="G107" s="10">
        <v>6402</v>
      </c>
      <c r="H107" s="7">
        <v>11325.58</v>
      </c>
      <c r="I107" s="11">
        <f t="shared" si="1"/>
        <v>0.14742242007705925</v>
      </c>
    </row>
    <row r="108" spans="1:9" x14ac:dyDescent="0.25">
      <c r="A108" s="2" t="s">
        <v>1526</v>
      </c>
      <c r="B108" s="2" t="s">
        <v>1527</v>
      </c>
      <c r="C108" s="2" t="s">
        <v>1357</v>
      </c>
      <c r="D108" s="2" t="s">
        <v>1342</v>
      </c>
      <c r="E108" s="2" t="s">
        <v>1331</v>
      </c>
      <c r="F108" s="2">
        <v>15</v>
      </c>
      <c r="G108" s="10"/>
      <c r="H108" s="7">
        <v>1597.85</v>
      </c>
      <c r="I108" s="11" t="str">
        <f t="shared" si="1"/>
        <v>N/A</v>
      </c>
    </row>
    <row r="109" spans="1:9" x14ac:dyDescent="0.25">
      <c r="A109" s="2" t="s">
        <v>1528</v>
      </c>
      <c r="B109" s="2" t="s">
        <v>1529</v>
      </c>
      <c r="C109" s="2" t="s">
        <v>16</v>
      </c>
      <c r="D109" s="2" t="s">
        <v>1327</v>
      </c>
      <c r="E109" s="2" t="s">
        <v>1319</v>
      </c>
      <c r="F109" s="2">
        <v>17</v>
      </c>
      <c r="G109" s="10">
        <v>4655</v>
      </c>
      <c r="H109" s="7">
        <v>1350.01</v>
      </c>
      <c r="I109" s="11">
        <f t="shared" si="1"/>
        <v>2.4167740780522737E-2</v>
      </c>
    </row>
    <row r="110" spans="1:9" x14ac:dyDescent="0.25">
      <c r="A110" s="2" t="s">
        <v>1530</v>
      </c>
      <c r="B110" s="2" t="s">
        <v>1531</v>
      </c>
      <c r="C110" s="2" t="s">
        <v>16</v>
      </c>
      <c r="D110" s="2" t="s">
        <v>1342</v>
      </c>
      <c r="E110" s="2" t="s">
        <v>1319</v>
      </c>
      <c r="F110" s="2">
        <v>12</v>
      </c>
      <c r="G110" s="10">
        <v>5525</v>
      </c>
      <c r="H110" s="7">
        <v>3100.59</v>
      </c>
      <c r="I110" s="11">
        <f t="shared" si="1"/>
        <v>4.6766063348416292E-2</v>
      </c>
    </row>
    <row r="111" spans="1:9" x14ac:dyDescent="0.25">
      <c r="A111" s="2" t="s">
        <v>1532</v>
      </c>
      <c r="B111" s="2" t="s">
        <v>1533</v>
      </c>
      <c r="C111" s="2" t="s">
        <v>1353</v>
      </c>
      <c r="D111" s="2" t="s">
        <v>1354</v>
      </c>
      <c r="E111" s="2" t="s">
        <v>1319</v>
      </c>
      <c r="F111" s="2">
        <v>16</v>
      </c>
      <c r="G111" s="10">
        <v>3290</v>
      </c>
      <c r="H111" s="7">
        <v>1671.48</v>
      </c>
      <c r="I111" s="11">
        <f t="shared" si="1"/>
        <v>4.2337386018237083E-2</v>
      </c>
    </row>
    <row r="112" spans="1:9" x14ac:dyDescent="0.25">
      <c r="A112" s="2" t="s">
        <v>1534</v>
      </c>
      <c r="B112" s="2" t="s">
        <v>1316</v>
      </c>
      <c r="C112" s="2" t="s">
        <v>1322</v>
      </c>
      <c r="D112" s="2" t="s">
        <v>1354</v>
      </c>
      <c r="E112" s="2" t="s">
        <v>1319</v>
      </c>
      <c r="F112" s="2">
        <v>13</v>
      </c>
      <c r="G112" s="10">
        <v>7117</v>
      </c>
      <c r="H112" s="7">
        <v>9958.84</v>
      </c>
      <c r="I112" s="11">
        <f t="shared" si="1"/>
        <v>0.11660858976160367</v>
      </c>
    </row>
    <row r="113" spans="1:9" x14ac:dyDescent="0.25">
      <c r="A113" s="2" t="s">
        <v>1535</v>
      </c>
      <c r="B113" s="2" t="s">
        <v>1536</v>
      </c>
      <c r="C113" s="2" t="s">
        <v>1330</v>
      </c>
      <c r="D113" s="2" t="s">
        <v>1350</v>
      </c>
      <c r="E113" s="2" t="s">
        <v>1319</v>
      </c>
      <c r="F113" s="2">
        <v>13</v>
      </c>
      <c r="G113" s="10">
        <v>7089</v>
      </c>
      <c r="H113" s="7">
        <v>3457.3</v>
      </c>
      <c r="I113" s="11">
        <f t="shared" si="1"/>
        <v>4.0641604363567972E-2</v>
      </c>
    </row>
    <row r="114" spans="1:9" x14ac:dyDescent="0.25">
      <c r="A114" s="2" t="s">
        <v>1537</v>
      </c>
      <c r="B114" s="2" t="s">
        <v>1538</v>
      </c>
      <c r="C114" s="2" t="s">
        <v>16</v>
      </c>
      <c r="D114" s="2" t="s">
        <v>1369</v>
      </c>
      <c r="E114" s="2" t="s">
        <v>1331</v>
      </c>
      <c r="F114" s="2">
        <v>21</v>
      </c>
      <c r="G114" s="10">
        <v>2839</v>
      </c>
      <c r="H114" s="7">
        <v>1901.24</v>
      </c>
      <c r="I114" s="11">
        <f t="shared" si="1"/>
        <v>5.5807209111189388E-2</v>
      </c>
    </row>
    <row r="115" spans="1:9" x14ac:dyDescent="0.25">
      <c r="A115" s="2" t="s">
        <v>1539</v>
      </c>
      <c r="B115" s="2" t="s">
        <v>1540</v>
      </c>
      <c r="C115" s="2" t="s">
        <v>1322</v>
      </c>
      <c r="D115" s="2" t="s">
        <v>1369</v>
      </c>
      <c r="E115" s="2" t="s">
        <v>1331</v>
      </c>
      <c r="F115" s="2">
        <v>19</v>
      </c>
      <c r="G115" s="10">
        <v>2405</v>
      </c>
      <c r="H115" s="7">
        <v>2550.11</v>
      </c>
      <c r="I115" s="11">
        <f t="shared" si="1"/>
        <v>8.8361399861399861E-2</v>
      </c>
    </row>
    <row r="116" spans="1:9" x14ac:dyDescent="0.25">
      <c r="A116" s="2" t="s">
        <v>1541</v>
      </c>
      <c r="B116" s="2" t="s">
        <v>1542</v>
      </c>
      <c r="C116" s="2" t="s">
        <v>1353</v>
      </c>
      <c r="D116" s="2" t="s">
        <v>1318</v>
      </c>
      <c r="E116" s="2" t="s">
        <v>1331</v>
      </c>
      <c r="F116" s="2">
        <v>23</v>
      </c>
      <c r="G116" s="10">
        <v>2086</v>
      </c>
      <c r="H116" s="7">
        <v>1437.55</v>
      </c>
      <c r="I116" s="11">
        <f t="shared" si="1"/>
        <v>5.7428491530840522E-2</v>
      </c>
    </row>
    <row r="117" spans="1:9" x14ac:dyDescent="0.25">
      <c r="A117" s="2" t="s">
        <v>1543</v>
      </c>
      <c r="B117" s="2" t="s">
        <v>1544</v>
      </c>
      <c r="C117" s="2" t="s">
        <v>1353</v>
      </c>
      <c r="D117" s="2" t="s">
        <v>1345</v>
      </c>
      <c r="E117" s="2" t="s">
        <v>1331</v>
      </c>
      <c r="F117" s="2">
        <v>25</v>
      </c>
      <c r="G117" s="10">
        <v>2258</v>
      </c>
      <c r="H117" s="7">
        <v>2003.94</v>
      </c>
      <c r="I117" s="11">
        <f t="shared" si="1"/>
        <v>7.3957041629760856E-2</v>
      </c>
    </row>
    <row r="118" spans="1:9" x14ac:dyDescent="0.25">
      <c r="A118" s="2" t="s">
        <v>1545</v>
      </c>
      <c r="B118" s="2" t="s">
        <v>1546</v>
      </c>
      <c r="C118" s="2" t="s">
        <v>1353</v>
      </c>
      <c r="D118" s="2" t="s">
        <v>1327</v>
      </c>
      <c r="E118" s="2" t="s">
        <v>1331</v>
      </c>
      <c r="F118" s="2">
        <v>21</v>
      </c>
      <c r="G118" s="10">
        <v>2275</v>
      </c>
      <c r="H118" s="7">
        <v>3025.05</v>
      </c>
      <c r="I118" s="11">
        <f t="shared" si="1"/>
        <v>0.11080769230769232</v>
      </c>
    </row>
    <row r="119" spans="1:9" x14ac:dyDescent="0.25">
      <c r="A119" s="2" t="s">
        <v>1547</v>
      </c>
      <c r="B119" s="2" t="s">
        <v>1548</v>
      </c>
      <c r="C119" s="2" t="s">
        <v>16</v>
      </c>
      <c r="D119" s="2" t="s">
        <v>1342</v>
      </c>
      <c r="E119" s="2" t="s">
        <v>1331</v>
      </c>
      <c r="F119" s="2">
        <v>5</v>
      </c>
      <c r="G119" s="10"/>
      <c r="H119" s="7">
        <v>3977.3</v>
      </c>
      <c r="I119" s="11" t="str">
        <f t="shared" si="1"/>
        <v>N/A</v>
      </c>
    </row>
    <row r="120" spans="1:9" x14ac:dyDescent="0.25">
      <c r="A120" s="2" t="s">
        <v>1549</v>
      </c>
      <c r="B120" s="2" t="s">
        <v>1550</v>
      </c>
      <c r="C120" s="2" t="s">
        <v>1317</v>
      </c>
      <c r="D120" s="2" t="s">
        <v>1336</v>
      </c>
      <c r="E120" s="2" t="s">
        <v>1331</v>
      </c>
      <c r="F120" s="2">
        <v>6</v>
      </c>
      <c r="G120" s="10">
        <v>2910</v>
      </c>
      <c r="H120" s="7">
        <v>2565.44</v>
      </c>
      <c r="I120" s="11">
        <f t="shared" si="1"/>
        <v>7.3466208476517761E-2</v>
      </c>
    </row>
    <row r="121" spans="1:9" x14ac:dyDescent="0.25">
      <c r="A121" s="2" t="s">
        <v>1551</v>
      </c>
      <c r="B121" s="2" t="s">
        <v>1552</v>
      </c>
      <c r="C121" s="2" t="s">
        <v>1322</v>
      </c>
      <c r="D121" s="2" t="s">
        <v>1339</v>
      </c>
      <c r="E121" s="2" t="s">
        <v>1331</v>
      </c>
      <c r="F121" s="2">
        <v>16</v>
      </c>
      <c r="G121" s="10">
        <v>2567</v>
      </c>
      <c r="H121" s="7">
        <v>2258.3200000000002</v>
      </c>
      <c r="I121" s="11">
        <f t="shared" si="1"/>
        <v>7.33125568108038E-2</v>
      </c>
    </row>
    <row r="122" spans="1:9" x14ac:dyDescent="0.25">
      <c r="A122" s="2" t="s">
        <v>1553</v>
      </c>
      <c r="B122" s="2" t="s">
        <v>1554</v>
      </c>
      <c r="C122" s="2" t="s">
        <v>1357</v>
      </c>
      <c r="D122" s="2" t="s">
        <v>1336</v>
      </c>
      <c r="E122" s="2" t="s">
        <v>1319</v>
      </c>
      <c r="F122" s="2">
        <v>0</v>
      </c>
      <c r="G122" s="10">
        <v>3799</v>
      </c>
      <c r="H122" s="7">
        <v>4697.96</v>
      </c>
      <c r="I122" s="11">
        <f t="shared" si="1"/>
        <v>0.10305255769062034</v>
      </c>
    </row>
    <row r="123" spans="1:9" x14ac:dyDescent="0.25">
      <c r="A123" s="2" t="s">
        <v>1555</v>
      </c>
      <c r="B123" s="2" t="s">
        <v>1556</v>
      </c>
      <c r="C123" s="2" t="s">
        <v>1317</v>
      </c>
      <c r="D123" s="2" t="s">
        <v>1354</v>
      </c>
      <c r="E123" s="2" t="s">
        <v>1331</v>
      </c>
      <c r="F123" s="2">
        <v>6</v>
      </c>
      <c r="G123" s="10">
        <v>2712</v>
      </c>
      <c r="H123" s="7">
        <v>810.69</v>
      </c>
      <c r="I123" s="11">
        <f t="shared" si="1"/>
        <v>2.4910582595870208E-2</v>
      </c>
    </row>
    <row r="124" spans="1:9" x14ac:dyDescent="0.25">
      <c r="A124" s="2" t="s">
        <v>1557</v>
      </c>
      <c r="B124" s="2" t="s">
        <v>1558</v>
      </c>
      <c r="C124" s="2" t="s">
        <v>1326</v>
      </c>
      <c r="D124" s="2" t="s">
        <v>1339</v>
      </c>
      <c r="E124" s="2" t="s">
        <v>1331</v>
      </c>
      <c r="F124" s="2">
        <v>14</v>
      </c>
      <c r="G124" s="10">
        <v>2892</v>
      </c>
      <c r="H124" s="7">
        <v>2775.5</v>
      </c>
      <c r="I124" s="11">
        <f t="shared" si="1"/>
        <v>7.9976371599815577E-2</v>
      </c>
    </row>
    <row r="125" spans="1:9" x14ac:dyDescent="0.25">
      <c r="A125" s="2" t="s">
        <v>1559</v>
      </c>
      <c r="B125" s="2" t="s">
        <v>1560</v>
      </c>
      <c r="C125" s="2" t="s">
        <v>1317</v>
      </c>
      <c r="D125" s="2" t="s">
        <v>1327</v>
      </c>
      <c r="E125" s="2" t="s">
        <v>1331</v>
      </c>
      <c r="F125" s="2">
        <v>4</v>
      </c>
      <c r="G125" s="10">
        <v>2864</v>
      </c>
      <c r="H125" s="7">
        <v>4352.8999999999996</v>
      </c>
      <c r="I125" s="11">
        <f t="shared" si="1"/>
        <v>0.12665560986964616</v>
      </c>
    </row>
    <row r="126" spans="1:9" x14ac:dyDescent="0.25">
      <c r="A126" s="2" t="s">
        <v>1561</v>
      </c>
      <c r="B126" s="2" t="s">
        <v>1562</v>
      </c>
      <c r="C126" s="2" t="s">
        <v>1357</v>
      </c>
      <c r="D126" s="2" t="s">
        <v>1342</v>
      </c>
      <c r="E126" s="2" t="s">
        <v>1319</v>
      </c>
      <c r="F126" s="2">
        <v>9</v>
      </c>
      <c r="G126" s="10">
        <v>4217</v>
      </c>
      <c r="H126" s="7">
        <v>4529.3100000000004</v>
      </c>
      <c r="I126" s="11">
        <f t="shared" si="1"/>
        <v>8.9504979843490637E-2</v>
      </c>
    </row>
    <row r="127" spans="1:9" x14ac:dyDescent="0.25">
      <c r="A127" s="2" t="s">
        <v>1563</v>
      </c>
      <c r="B127" s="2" t="s">
        <v>1564</v>
      </c>
      <c r="C127" s="2" t="s">
        <v>1317</v>
      </c>
      <c r="D127" s="2" t="s">
        <v>1339</v>
      </c>
      <c r="E127" s="2" t="s">
        <v>1331</v>
      </c>
      <c r="F127" s="2">
        <v>21</v>
      </c>
      <c r="G127" s="10">
        <v>2459</v>
      </c>
      <c r="H127" s="7">
        <v>1178.98</v>
      </c>
      <c r="I127" s="11">
        <f t="shared" si="1"/>
        <v>3.9954588586146131E-2</v>
      </c>
    </row>
    <row r="128" spans="1:9" x14ac:dyDescent="0.25">
      <c r="A128" s="2" t="s">
        <v>1565</v>
      </c>
      <c r="B128" s="2" t="s">
        <v>1566</v>
      </c>
      <c r="C128" s="2" t="s">
        <v>1317</v>
      </c>
      <c r="D128" s="2" t="s">
        <v>1342</v>
      </c>
      <c r="E128" s="2" t="s">
        <v>1319</v>
      </c>
      <c r="F128" s="2">
        <v>21</v>
      </c>
      <c r="G128" s="10">
        <v>4970</v>
      </c>
      <c r="H128" s="7">
        <v>4620.17</v>
      </c>
      <c r="I128" s="11">
        <f t="shared" si="1"/>
        <v>7.74676391683434E-2</v>
      </c>
    </row>
    <row r="129" spans="1:9" x14ac:dyDescent="0.25">
      <c r="A129" s="2" t="s">
        <v>1567</v>
      </c>
      <c r="B129" s="2" t="s">
        <v>1568</v>
      </c>
      <c r="C129" s="2" t="s">
        <v>1353</v>
      </c>
      <c r="D129" s="2" t="s">
        <v>1339</v>
      </c>
      <c r="E129" s="2" t="s">
        <v>1331</v>
      </c>
      <c r="F129" s="2">
        <v>14</v>
      </c>
      <c r="G129" s="10">
        <v>2007</v>
      </c>
      <c r="H129" s="7">
        <v>2354.61</v>
      </c>
      <c r="I129" s="11">
        <f t="shared" si="1"/>
        <v>9.7766567015445949E-2</v>
      </c>
    </row>
    <row r="130" spans="1:9" x14ac:dyDescent="0.25">
      <c r="A130" s="2" t="s">
        <v>1569</v>
      </c>
      <c r="B130" s="2" t="s">
        <v>1570</v>
      </c>
      <c r="C130" s="2" t="s">
        <v>16</v>
      </c>
      <c r="D130" s="2" t="s">
        <v>1327</v>
      </c>
      <c r="E130" s="2" t="s">
        <v>1331</v>
      </c>
      <c r="F130" s="2">
        <v>7</v>
      </c>
      <c r="G130" s="10">
        <v>2309</v>
      </c>
      <c r="H130" s="7">
        <v>883.34</v>
      </c>
      <c r="I130" s="11">
        <f t="shared" si="1"/>
        <v>3.1880323372311246E-2</v>
      </c>
    </row>
    <row r="131" spans="1:9" x14ac:dyDescent="0.25">
      <c r="A131" s="2" t="s">
        <v>1571</v>
      </c>
      <c r="B131" s="2" t="s">
        <v>1572</v>
      </c>
      <c r="C131" s="2" t="s">
        <v>1326</v>
      </c>
      <c r="D131" s="2" t="s">
        <v>1354</v>
      </c>
      <c r="E131" s="2" t="s">
        <v>1331</v>
      </c>
      <c r="F131" s="2">
        <v>21</v>
      </c>
      <c r="G131" s="10">
        <v>2029</v>
      </c>
      <c r="H131" s="7">
        <v>1185.1099999999999</v>
      </c>
      <c r="I131" s="11">
        <f t="shared" si="1"/>
        <v>4.8673813044192535E-2</v>
      </c>
    </row>
    <row r="132" spans="1:9" x14ac:dyDescent="0.25">
      <c r="A132" s="2" t="s">
        <v>1573</v>
      </c>
      <c r="B132" s="2" t="s">
        <v>1574</v>
      </c>
      <c r="C132" s="2" t="s">
        <v>1322</v>
      </c>
      <c r="D132" s="2" t="s">
        <v>1339</v>
      </c>
      <c r="E132" s="2" t="s">
        <v>1331</v>
      </c>
      <c r="F132" s="2">
        <v>3</v>
      </c>
      <c r="G132" s="10">
        <v>2569</v>
      </c>
      <c r="H132" s="7">
        <v>1909.74</v>
      </c>
      <c r="I132" s="11">
        <f t="shared" si="1"/>
        <v>6.1948228882833786E-2</v>
      </c>
    </row>
    <row r="133" spans="1:9" x14ac:dyDescent="0.25">
      <c r="A133" s="2" t="s">
        <v>1575</v>
      </c>
      <c r="B133" s="2" t="s">
        <v>1576</v>
      </c>
      <c r="C133" s="2" t="s">
        <v>1357</v>
      </c>
      <c r="D133" s="2" t="s">
        <v>1336</v>
      </c>
      <c r="E133" s="2" t="s">
        <v>1331</v>
      </c>
      <c r="F133" s="2">
        <v>13</v>
      </c>
      <c r="G133" s="10">
        <v>2147</v>
      </c>
      <c r="H133" s="7">
        <v>1293.69</v>
      </c>
      <c r="I133" s="11">
        <f t="shared" ref="I133:I196" si="2">IFERROR(H133/(G133*12),"N/A")</f>
        <v>5.021308802980904E-2</v>
      </c>
    </row>
    <row r="134" spans="1:9" x14ac:dyDescent="0.25">
      <c r="A134" s="2" t="s">
        <v>1577</v>
      </c>
      <c r="B134" s="2" t="s">
        <v>1578</v>
      </c>
      <c r="C134" s="2" t="s">
        <v>16</v>
      </c>
      <c r="D134" s="2" t="s">
        <v>1339</v>
      </c>
      <c r="E134" s="2" t="s">
        <v>1319</v>
      </c>
      <c r="F134" s="2">
        <v>20</v>
      </c>
      <c r="G134" s="10">
        <v>5790</v>
      </c>
      <c r="H134" s="7">
        <v>1497.82</v>
      </c>
      <c r="I134" s="11">
        <f t="shared" si="2"/>
        <v>2.1557570523891765E-2</v>
      </c>
    </row>
    <row r="135" spans="1:9" x14ac:dyDescent="0.25">
      <c r="A135" s="2" t="s">
        <v>1579</v>
      </c>
      <c r="B135" s="2" t="s">
        <v>1580</v>
      </c>
      <c r="C135" s="2" t="s">
        <v>1322</v>
      </c>
      <c r="D135" s="2" t="s">
        <v>1345</v>
      </c>
      <c r="E135" s="2" t="s">
        <v>1331</v>
      </c>
      <c r="F135" s="2">
        <v>8</v>
      </c>
      <c r="G135" s="10">
        <v>3177</v>
      </c>
      <c r="H135" s="7">
        <v>2591.19</v>
      </c>
      <c r="I135" s="11">
        <f t="shared" si="2"/>
        <v>6.7967422096317287E-2</v>
      </c>
    </row>
    <row r="136" spans="1:9" x14ac:dyDescent="0.25">
      <c r="A136" s="2" t="s">
        <v>1581</v>
      </c>
      <c r="B136" s="2" t="s">
        <v>1582</v>
      </c>
      <c r="C136" s="2" t="s">
        <v>1326</v>
      </c>
      <c r="D136" s="2" t="s">
        <v>1318</v>
      </c>
      <c r="E136" s="2" t="s">
        <v>1331</v>
      </c>
      <c r="F136" s="2">
        <v>15</v>
      </c>
      <c r="G136" s="10">
        <v>2108</v>
      </c>
      <c r="H136" s="7">
        <v>2849.06</v>
      </c>
      <c r="I136" s="11">
        <f t="shared" si="2"/>
        <v>0.11262887413029728</v>
      </c>
    </row>
    <row r="137" spans="1:9" x14ac:dyDescent="0.25">
      <c r="A137" s="2" t="s">
        <v>1583</v>
      </c>
      <c r="B137" s="2" t="s">
        <v>1584</v>
      </c>
      <c r="C137" s="2" t="s">
        <v>1322</v>
      </c>
      <c r="D137" s="2" t="s">
        <v>1354</v>
      </c>
      <c r="E137" s="2" t="s">
        <v>1331</v>
      </c>
      <c r="F137" s="2">
        <v>20</v>
      </c>
      <c r="G137" s="10">
        <v>2695</v>
      </c>
      <c r="H137" s="7">
        <v>3496.83</v>
      </c>
      <c r="I137" s="11">
        <f t="shared" si="2"/>
        <v>0.10812708719851577</v>
      </c>
    </row>
    <row r="138" spans="1:9" x14ac:dyDescent="0.25">
      <c r="A138" s="2" t="s">
        <v>1585</v>
      </c>
      <c r="B138" s="2" t="s">
        <v>1586</v>
      </c>
      <c r="C138" s="2" t="s">
        <v>1317</v>
      </c>
      <c r="D138" s="2" t="s">
        <v>1336</v>
      </c>
      <c r="E138" s="2" t="s">
        <v>1331</v>
      </c>
      <c r="F138" s="2">
        <v>22</v>
      </c>
      <c r="G138" s="10">
        <v>2551</v>
      </c>
      <c r="H138" s="7">
        <v>4504.34</v>
      </c>
      <c r="I138" s="11">
        <f t="shared" si="2"/>
        <v>0.14714295047693715</v>
      </c>
    </row>
    <row r="139" spans="1:9" x14ac:dyDescent="0.25">
      <c r="A139" s="2" t="s">
        <v>1587</v>
      </c>
      <c r="B139" s="2" t="s">
        <v>1588</v>
      </c>
      <c r="C139" s="2" t="s">
        <v>1322</v>
      </c>
      <c r="D139" s="2" t="s">
        <v>1350</v>
      </c>
      <c r="E139" s="2" t="s">
        <v>1331</v>
      </c>
      <c r="F139" s="2">
        <v>18</v>
      </c>
      <c r="G139" s="10">
        <v>2819</v>
      </c>
      <c r="H139" s="7">
        <v>2358.09</v>
      </c>
      <c r="I139" s="11">
        <f t="shared" si="2"/>
        <v>6.9708229868747792E-2</v>
      </c>
    </row>
    <row r="140" spans="1:9" x14ac:dyDescent="0.25">
      <c r="A140" s="2" t="s">
        <v>1589</v>
      </c>
      <c r="B140" s="2" t="s">
        <v>1590</v>
      </c>
      <c r="C140" s="2" t="s">
        <v>1317</v>
      </c>
      <c r="D140" s="2" t="s">
        <v>1339</v>
      </c>
      <c r="E140" s="2" t="s">
        <v>1331</v>
      </c>
      <c r="F140" s="2">
        <v>7</v>
      </c>
      <c r="G140" s="10"/>
      <c r="H140" s="7">
        <v>2334.52</v>
      </c>
      <c r="I140" s="11" t="str">
        <f t="shared" si="2"/>
        <v>N/A</v>
      </c>
    </row>
    <row r="141" spans="1:9" x14ac:dyDescent="0.25">
      <c r="A141" s="2" t="s">
        <v>1591</v>
      </c>
      <c r="B141" s="2" t="s">
        <v>1398</v>
      </c>
      <c r="C141" s="2" t="s">
        <v>1317</v>
      </c>
      <c r="D141" s="2" t="s">
        <v>1369</v>
      </c>
      <c r="E141" s="2" t="s">
        <v>1331</v>
      </c>
      <c r="F141" s="2">
        <v>7</v>
      </c>
      <c r="G141" s="10">
        <v>3169</v>
      </c>
      <c r="H141" s="7">
        <v>1153.03</v>
      </c>
      <c r="I141" s="11">
        <f t="shared" si="2"/>
        <v>3.0320553276533081E-2</v>
      </c>
    </row>
    <row r="142" spans="1:9" x14ac:dyDescent="0.25">
      <c r="A142" s="2" t="s">
        <v>1592</v>
      </c>
      <c r="B142" s="2" t="s">
        <v>1593</v>
      </c>
      <c r="C142" s="2" t="s">
        <v>1326</v>
      </c>
      <c r="D142" s="2" t="s">
        <v>1369</v>
      </c>
      <c r="E142" s="2" t="s">
        <v>1319</v>
      </c>
      <c r="F142" s="2">
        <v>12</v>
      </c>
      <c r="G142" s="10">
        <v>4874</v>
      </c>
      <c r="H142" s="7">
        <v>6051.46</v>
      </c>
      <c r="I142" s="11">
        <f t="shared" si="2"/>
        <v>0.10346498427027767</v>
      </c>
    </row>
    <row r="143" spans="1:9" x14ac:dyDescent="0.25">
      <c r="A143" s="2" t="s">
        <v>1594</v>
      </c>
      <c r="B143" s="2" t="s">
        <v>1566</v>
      </c>
      <c r="C143" s="2" t="s">
        <v>1317</v>
      </c>
      <c r="D143" s="2" t="s">
        <v>1345</v>
      </c>
      <c r="E143" s="2" t="s">
        <v>1331</v>
      </c>
      <c r="F143" s="2">
        <v>4</v>
      </c>
      <c r="G143" s="10">
        <v>2469</v>
      </c>
      <c r="H143" s="7">
        <v>1815.6</v>
      </c>
      <c r="I143" s="11">
        <f t="shared" si="2"/>
        <v>6.1279870392871603E-2</v>
      </c>
    </row>
    <row r="144" spans="1:9" x14ac:dyDescent="0.25">
      <c r="A144" s="2" t="s">
        <v>1595</v>
      </c>
      <c r="B144" s="2" t="s">
        <v>1409</v>
      </c>
      <c r="C144" s="2" t="s">
        <v>1317</v>
      </c>
      <c r="D144" s="2" t="s">
        <v>1339</v>
      </c>
      <c r="E144" s="2" t="s">
        <v>1331</v>
      </c>
      <c r="F144" s="2">
        <v>24</v>
      </c>
      <c r="G144" s="10">
        <v>1948</v>
      </c>
      <c r="H144" s="7">
        <v>1163.45</v>
      </c>
      <c r="I144" s="11">
        <f t="shared" si="2"/>
        <v>4.9771132785763179E-2</v>
      </c>
    </row>
    <row r="145" spans="1:9" x14ac:dyDescent="0.25">
      <c r="A145" s="2" t="s">
        <v>1596</v>
      </c>
      <c r="B145" s="2" t="s">
        <v>1593</v>
      </c>
      <c r="C145" s="2" t="s">
        <v>16</v>
      </c>
      <c r="D145" s="2" t="s">
        <v>1345</v>
      </c>
      <c r="E145" s="2" t="s">
        <v>1331</v>
      </c>
      <c r="F145" s="2">
        <v>21</v>
      </c>
      <c r="G145" s="10">
        <v>2408</v>
      </c>
      <c r="H145" s="7">
        <v>3588.56</v>
      </c>
      <c r="I145" s="11">
        <f t="shared" si="2"/>
        <v>0.12418881506090808</v>
      </c>
    </row>
    <row r="146" spans="1:9" x14ac:dyDescent="0.25">
      <c r="A146" s="2" t="s">
        <v>1597</v>
      </c>
      <c r="B146" s="2" t="s">
        <v>1586</v>
      </c>
      <c r="C146" s="2" t="s">
        <v>1357</v>
      </c>
      <c r="D146" s="2" t="s">
        <v>1339</v>
      </c>
      <c r="E146" s="2" t="s">
        <v>1319</v>
      </c>
      <c r="F146" s="2">
        <v>14</v>
      </c>
      <c r="G146" s="10">
        <v>3249</v>
      </c>
      <c r="H146" s="7">
        <v>1107.27</v>
      </c>
      <c r="I146" s="11">
        <f t="shared" si="2"/>
        <v>2.840027700831025E-2</v>
      </c>
    </row>
    <row r="147" spans="1:9" x14ac:dyDescent="0.25">
      <c r="A147" s="2" t="s">
        <v>1598</v>
      </c>
      <c r="B147" s="2" t="s">
        <v>1599</v>
      </c>
      <c r="C147" s="2" t="s">
        <v>1322</v>
      </c>
      <c r="D147" s="2" t="s">
        <v>1323</v>
      </c>
      <c r="E147" s="2" t="s">
        <v>1331</v>
      </c>
      <c r="F147" s="2">
        <v>4</v>
      </c>
      <c r="G147" s="10">
        <v>2318</v>
      </c>
      <c r="H147" s="7">
        <v>1010.36</v>
      </c>
      <c r="I147" s="11">
        <f t="shared" si="2"/>
        <v>3.6322979580097788E-2</v>
      </c>
    </row>
    <row r="148" spans="1:9" x14ac:dyDescent="0.25">
      <c r="A148" s="2" t="s">
        <v>1600</v>
      </c>
      <c r="B148" s="2" t="s">
        <v>1601</v>
      </c>
      <c r="C148" s="2" t="s">
        <v>1330</v>
      </c>
      <c r="D148" s="2" t="s">
        <v>1318</v>
      </c>
      <c r="E148" s="2" t="s">
        <v>1331</v>
      </c>
      <c r="F148" s="2">
        <v>6</v>
      </c>
      <c r="G148" s="10">
        <v>2383</v>
      </c>
      <c r="H148" s="7">
        <v>2458.2600000000002</v>
      </c>
      <c r="I148" s="11">
        <f t="shared" si="2"/>
        <v>8.596516995383971E-2</v>
      </c>
    </row>
    <row r="149" spans="1:9" x14ac:dyDescent="0.25">
      <c r="A149" s="2" t="s">
        <v>1602</v>
      </c>
      <c r="B149" s="2" t="s">
        <v>1603</v>
      </c>
      <c r="C149" s="2" t="s">
        <v>16</v>
      </c>
      <c r="D149" s="2" t="s">
        <v>1318</v>
      </c>
      <c r="E149" s="2" t="s">
        <v>1331</v>
      </c>
      <c r="F149" s="2">
        <v>7</v>
      </c>
      <c r="G149" s="10">
        <v>2768</v>
      </c>
      <c r="H149" s="7">
        <v>1426.18</v>
      </c>
      <c r="I149" s="11">
        <f t="shared" si="2"/>
        <v>4.29365366088632E-2</v>
      </c>
    </row>
    <row r="150" spans="1:9" x14ac:dyDescent="0.25">
      <c r="A150" s="2" t="s">
        <v>1604</v>
      </c>
      <c r="B150" s="2" t="s">
        <v>1586</v>
      </c>
      <c r="C150" s="2" t="s">
        <v>1357</v>
      </c>
      <c r="D150" s="2" t="s">
        <v>1336</v>
      </c>
      <c r="E150" s="2" t="s">
        <v>1331</v>
      </c>
      <c r="F150" s="2">
        <v>20</v>
      </c>
      <c r="G150" s="10">
        <v>2312</v>
      </c>
      <c r="H150" s="7">
        <v>1535.41</v>
      </c>
      <c r="I150" s="11">
        <f t="shared" si="2"/>
        <v>5.5342055940023074E-2</v>
      </c>
    </row>
    <row r="151" spans="1:9" x14ac:dyDescent="0.25">
      <c r="A151" s="2" t="s">
        <v>1605</v>
      </c>
      <c r="B151" s="2" t="s">
        <v>1483</v>
      </c>
      <c r="C151" s="2" t="s">
        <v>1353</v>
      </c>
      <c r="D151" s="2" t="s">
        <v>1354</v>
      </c>
      <c r="E151" s="2" t="s">
        <v>1331</v>
      </c>
      <c r="F151" s="2">
        <v>15</v>
      </c>
      <c r="G151" s="10">
        <v>2803</v>
      </c>
      <c r="H151" s="7">
        <v>2521.04</v>
      </c>
      <c r="I151" s="11">
        <f t="shared" si="2"/>
        <v>7.495064811511476E-2</v>
      </c>
    </row>
    <row r="152" spans="1:9" x14ac:dyDescent="0.25">
      <c r="A152" s="2" t="s">
        <v>1606</v>
      </c>
      <c r="B152" s="2" t="s">
        <v>1607</v>
      </c>
      <c r="C152" s="2" t="s">
        <v>1330</v>
      </c>
      <c r="D152" s="2" t="s">
        <v>1318</v>
      </c>
      <c r="E152" s="2" t="s">
        <v>1331</v>
      </c>
      <c r="F152" s="2">
        <v>15</v>
      </c>
      <c r="G152" s="10">
        <v>1940</v>
      </c>
      <c r="H152" s="7">
        <v>2771.5</v>
      </c>
      <c r="I152" s="11">
        <f t="shared" si="2"/>
        <v>0.11905068728522336</v>
      </c>
    </row>
    <row r="153" spans="1:9" x14ac:dyDescent="0.25">
      <c r="A153" s="2" t="s">
        <v>1608</v>
      </c>
      <c r="B153" s="2" t="s">
        <v>1527</v>
      </c>
      <c r="C153" s="2" t="s">
        <v>1357</v>
      </c>
      <c r="D153" s="2" t="s">
        <v>1369</v>
      </c>
      <c r="E153" s="2" t="s">
        <v>1331</v>
      </c>
      <c r="F153" s="2">
        <v>17</v>
      </c>
      <c r="G153" s="10">
        <v>2259</v>
      </c>
      <c r="H153" s="7">
        <v>1448.87</v>
      </c>
      <c r="I153" s="11">
        <f t="shared" si="2"/>
        <v>5.3448059613398255E-2</v>
      </c>
    </row>
    <row r="154" spans="1:9" x14ac:dyDescent="0.25">
      <c r="A154" s="2" t="s">
        <v>1609</v>
      </c>
      <c r="B154" s="2" t="s">
        <v>1610</v>
      </c>
      <c r="C154" s="2" t="s">
        <v>1326</v>
      </c>
      <c r="D154" s="2" t="s">
        <v>1339</v>
      </c>
      <c r="E154" s="2" t="s">
        <v>1331</v>
      </c>
      <c r="F154" s="2">
        <v>19</v>
      </c>
      <c r="G154" s="10">
        <v>2884</v>
      </c>
      <c r="H154" s="7">
        <v>1015.82</v>
      </c>
      <c r="I154" s="11">
        <f t="shared" si="2"/>
        <v>2.9352172907998152E-2</v>
      </c>
    </row>
    <row r="155" spans="1:9" x14ac:dyDescent="0.25">
      <c r="A155" s="2" t="s">
        <v>1611</v>
      </c>
      <c r="B155" s="2" t="s">
        <v>1612</v>
      </c>
      <c r="C155" s="2" t="s">
        <v>16</v>
      </c>
      <c r="D155" s="2" t="s">
        <v>1345</v>
      </c>
      <c r="E155" s="2" t="s">
        <v>1331</v>
      </c>
      <c r="F155" s="2">
        <v>0</v>
      </c>
      <c r="G155" s="10">
        <v>1926</v>
      </c>
      <c r="H155" s="7">
        <v>3051.13</v>
      </c>
      <c r="I155" s="11">
        <f t="shared" si="2"/>
        <v>0.1320149705780547</v>
      </c>
    </row>
    <row r="156" spans="1:9" x14ac:dyDescent="0.25">
      <c r="A156" s="2" t="s">
        <v>1613</v>
      </c>
      <c r="B156" s="2" t="s">
        <v>1614</v>
      </c>
      <c r="C156" s="2" t="s">
        <v>1353</v>
      </c>
      <c r="D156" s="2" t="s">
        <v>1342</v>
      </c>
      <c r="E156" s="2" t="s">
        <v>1331</v>
      </c>
      <c r="F156" s="2">
        <v>23</v>
      </c>
      <c r="G156" s="10">
        <v>2664</v>
      </c>
      <c r="H156" s="7">
        <v>2235.36</v>
      </c>
      <c r="I156" s="11">
        <f t="shared" si="2"/>
        <v>6.9924924924924928E-2</v>
      </c>
    </row>
    <row r="157" spans="1:9" x14ac:dyDescent="0.25">
      <c r="A157" s="2" t="s">
        <v>1615</v>
      </c>
      <c r="B157" s="2" t="s">
        <v>1616</v>
      </c>
      <c r="C157" s="2" t="s">
        <v>1353</v>
      </c>
      <c r="D157" s="2" t="s">
        <v>1345</v>
      </c>
      <c r="E157" s="2" t="s">
        <v>1331</v>
      </c>
      <c r="F157" s="2">
        <v>3</v>
      </c>
      <c r="G157" s="10">
        <v>2688</v>
      </c>
      <c r="H157" s="7">
        <v>4553.8</v>
      </c>
      <c r="I157" s="11">
        <f t="shared" si="2"/>
        <v>0.14117683531746034</v>
      </c>
    </row>
    <row r="158" spans="1:9" x14ac:dyDescent="0.25">
      <c r="A158" s="2" t="s">
        <v>1617</v>
      </c>
      <c r="B158" s="2" t="s">
        <v>1618</v>
      </c>
      <c r="C158" s="2" t="s">
        <v>1326</v>
      </c>
      <c r="D158" s="2" t="s">
        <v>1327</v>
      </c>
      <c r="E158" s="2" t="s">
        <v>1331</v>
      </c>
      <c r="F158" s="2">
        <v>24</v>
      </c>
      <c r="G158" s="10">
        <v>2613</v>
      </c>
      <c r="H158" s="7">
        <v>2704.43</v>
      </c>
      <c r="I158" s="11">
        <f t="shared" si="2"/>
        <v>8.6249202704426584E-2</v>
      </c>
    </row>
    <row r="159" spans="1:9" x14ac:dyDescent="0.25">
      <c r="A159" s="2" t="s">
        <v>1619</v>
      </c>
      <c r="B159" s="2" t="s">
        <v>1620</v>
      </c>
      <c r="C159" s="2" t="s">
        <v>1317</v>
      </c>
      <c r="D159" s="2" t="s">
        <v>1327</v>
      </c>
      <c r="E159" s="2" t="s">
        <v>1331</v>
      </c>
      <c r="F159" s="2">
        <v>13</v>
      </c>
      <c r="G159" s="10">
        <v>2405</v>
      </c>
      <c r="H159" s="7">
        <v>1486.46</v>
      </c>
      <c r="I159" s="11">
        <f t="shared" si="2"/>
        <v>5.1505890505890509E-2</v>
      </c>
    </row>
    <row r="160" spans="1:9" x14ac:dyDescent="0.25">
      <c r="A160" s="2" t="s">
        <v>1621</v>
      </c>
      <c r="B160" s="2" t="s">
        <v>1622</v>
      </c>
      <c r="C160" s="2" t="s">
        <v>1317</v>
      </c>
      <c r="D160" s="2" t="s">
        <v>1339</v>
      </c>
      <c r="E160" s="2" t="s">
        <v>1331</v>
      </c>
      <c r="F160" s="2">
        <v>4</v>
      </c>
      <c r="G160" s="10">
        <v>2435</v>
      </c>
      <c r="H160" s="7">
        <v>2884.21</v>
      </c>
      <c r="I160" s="11">
        <f t="shared" si="2"/>
        <v>9.8706707734428481E-2</v>
      </c>
    </row>
    <row r="161" spans="1:9" x14ac:dyDescent="0.25">
      <c r="A161" s="2" t="s">
        <v>1623</v>
      </c>
      <c r="B161" s="2" t="s">
        <v>1624</v>
      </c>
      <c r="C161" s="2" t="s">
        <v>1357</v>
      </c>
      <c r="D161" s="2" t="s">
        <v>1345</v>
      </c>
      <c r="E161" s="2" t="s">
        <v>1331</v>
      </c>
      <c r="F161" s="2">
        <v>21</v>
      </c>
      <c r="G161" s="10"/>
      <c r="H161" s="7">
        <v>578.12</v>
      </c>
      <c r="I161" s="11" t="str">
        <f t="shared" si="2"/>
        <v>N/A</v>
      </c>
    </row>
    <row r="162" spans="1:9" x14ac:dyDescent="0.25">
      <c r="A162" s="2" t="s">
        <v>1625</v>
      </c>
      <c r="B162" s="2" t="s">
        <v>1352</v>
      </c>
      <c r="C162" s="2" t="s">
        <v>1317</v>
      </c>
      <c r="D162" s="2" t="s">
        <v>1345</v>
      </c>
      <c r="E162" s="2" t="s">
        <v>1331</v>
      </c>
      <c r="F162" s="2">
        <v>2</v>
      </c>
      <c r="G162" s="10">
        <v>2961</v>
      </c>
      <c r="H162" s="7">
        <v>4913.84</v>
      </c>
      <c r="I162" s="11">
        <f t="shared" si="2"/>
        <v>0.13829336935719916</v>
      </c>
    </row>
    <row r="163" spans="1:9" x14ac:dyDescent="0.25">
      <c r="A163" s="2" t="s">
        <v>1626</v>
      </c>
      <c r="B163" s="2" t="s">
        <v>1498</v>
      </c>
      <c r="C163" s="2" t="s">
        <v>1326</v>
      </c>
      <c r="D163" s="2" t="s">
        <v>1318</v>
      </c>
      <c r="E163" s="2" t="s">
        <v>1331</v>
      </c>
      <c r="F163" s="2">
        <v>16</v>
      </c>
      <c r="G163" s="10">
        <v>2991</v>
      </c>
      <c r="H163" s="7">
        <v>3790.31</v>
      </c>
      <c r="I163" s="11">
        <f t="shared" si="2"/>
        <v>0.10560319848434191</v>
      </c>
    </row>
    <row r="164" spans="1:9" x14ac:dyDescent="0.25">
      <c r="A164" s="2" t="s">
        <v>1627</v>
      </c>
      <c r="B164" s="2" t="s">
        <v>1628</v>
      </c>
      <c r="C164" s="2" t="s">
        <v>1317</v>
      </c>
      <c r="D164" s="2" t="s">
        <v>1354</v>
      </c>
      <c r="E164" s="2" t="s">
        <v>1331</v>
      </c>
      <c r="F164" s="2">
        <v>23</v>
      </c>
      <c r="G164" s="10">
        <v>2082</v>
      </c>
      <c r="H164" s="7">
        <v>854.59</v>
      </c>
      <c r="I164" s="11">
        <f t="shared" si="2"/>
        <v>3.4205491514569322E-2</v>
      </c>
    </row>
    <row r="165" spans="1:9" x14ac:dyDescent="0.25">
      <c r="A165" s="2" t="s">
        <v>1629</v>
      </c>
      <c r="B165" s="2" t="s">
        <v>1630</v>
      </c>
      <c r="C165" s="2" t="s">
        <v>1326</v>
      </c>
      <c r="D165" s="2" t="s">
        <v>1369</v>
      </c>
      <c r="E165" s="2" t="s">
        <v>1331</v>
      </c>
      <c r="F165" s="2">
        <v>23</v>
      </c>
      <c r="G165" s="10">
        <v>2715</v>
      </c>
      <c r="H165" s="7">
        <v>3612.18</v>
      </c>
      <c r="I165" s="11">
        <f t="shared" si="2"/>
        <v>0.11087108655616942</v>
      </c>
    </row>
    <row r="166" spans="1:9" x14ac:dyDescent="0.25">
      <c r="A166" s="2" t="s">
        <v>1631</v>
      </c>
      <c r="B166" s="2" t="s">
        <v>1329</v>
      </c>
      <c r="C166" s="2" t="s">
        <v>1322</v>
      </c>
      <c r="D166" s="2" t="s">
        <v>1354</v>
      </c>
      <c r="E166" s="2" t="s">
        <v>1319</v>
      </c>
      <c r="F166" s="2">
        <v>24</v>
      </c>
      <c r="G166" s="10">
        <v>6622</v>
      </c>
      <c r="H166" s="7">
        <v>7012.31</v>
      </c>
      <c r="I166" s="11">
        <f t="shared" si="2"/>
        <v>8.8245117285814967E-2</v>
      </c>
    </row>
    <row r="167" spans="1:9" x14ac:dyDescent="0.25">
      <c r="A167" s="2" t="s">
        <v>1632</v>
      </c>
      <c r="B167" s="2" t="s">
        <v>1633</v>
      </c>
      <c r="C167" s="2" t="s">
        <v>16</v>
      </c>
      <c r="D167" s="2" t="s">
        <v>1342</v>
      </c>
      <c r="E167" s="2" t="s">
        <v>1331</v>
      </c>
      <c r="F167" s="2">
        <v>22</v>
      </c>
      <c r="G167" s="10">
        <v>2175</v>
      </c>
      <c r="H167" s="7">
        <v>1193.8800000000001</v>
      </c>
      <c r="I167" s="11">
        <f t="shared" si="2"/>
        <v>4.5742528735632185E-2</v>
      </c>
    </row>
    <row r="168" spans="1:9" x14ac:dyDescent="0.25">
      <c r="A168" s="2" t="s">
        <v>1634</v>
      </c>
      <c r="B168" s="2" t="s">
        <v>1616</v>
      </c>
      <c r="C168" s="2" t="s">
        <v>1353</v>
      </c>
      <c r="D168" s="2" t="s">
        <v>1318</v>
      </c>
      <c r="E168" s="2" t="s">
        <v>1331</v>
      </c>
      <c r="F168" s="2">
        <v>6</v>
      </c>
      <c r="G168" s="10">
        <v>2280</v>
      </c>
      <c r="H168" s="7">
        <v>1261.9100000000001</v>
      </c>
      <c r="I168" s="11">
        <f t="shared" si="2"/>
        <v>4.6122441520467843E-2</v>
      </c>
    </row>
    <row r="169" spans="1:9" x14ac:dyDescent="0.25">
      <c r="A169" s="2" t="s">
        <v>1635</v>
      </c>
      <c r="B169" s="2" t="s">
        <v>1636</v>
      </c>
      <c r="C169" s="2" t="s">
        <v>1330</v>
      </c>
      <c r="D169" s="2" t="s">
        <v>1318</v>
      </c>
      <c r="E169" s="2" t="s">
        <v>1331</v>
      </c>
      <c r="F169" s="2">
        <v>20</v>
      </c>
      <c r="G169" s="10">
        <v>3178</v>
      </c>
      <c r="H169" s="7">
        <v>1304.08</v>
      </c>
      <c r="I169" s="11">
        <f t="shared" si="2"/>
        <v>3.419551080344032E-2</v>
      </c>
    </row>
    <row r="170" spans="1:9" x14ac:dyDescent="0.25">
      <c r="A170" s="2" t="s">
        <v>1637</v>
      </c>
      <c r="B170" s="2" t="s">
        <v>1426</v>
      </c>
      <c r="C170" s="2" t="s">
        <v>1322</v>
      </c>
      <c r="D170" s="2" t="s">
        <v>1369</v>
      </c>
      <c r="E170" s="2" t="s">
        <v>1331</v>
      </c>
      <c r="F170" s="2">
        <v>8</v>
      </c>
      <c r="G170" s="10">
        <v>2031</v>
      </c>
      <c r="H170" s="7">
        <v>1571.5</v>
      </c>
      <c r="I170" s="11">
        <f t="shared" si="2"/>
        <v>6.4479730838667329E-2</v>
      </c>
    </row>
    <row r="171" spans="1:9" x14ac:dyDescent="0.25">
      <c r="A171" s="2" t="s">
        <v>1638</v>
      </c>
      <c r="B171" s="2" t="s">
        <v>1439</v>
      </c>
      <c r="C171" s="2" t="s">
        <v>1353</v>
      </c>
      <c r="D171" s="2" t="s">
        <v>1327</v>
      </c>
      <c r="E171" s="2" t="s">
        <v>1331</v>
      </c>
      <c r="F171" s="2">
        <v>3</v>
      </c>
      <c r="G171" s="10">
        <v>1919</v>
      </c>
      <c r="H171" s="7">
        <v>643.34</v>
      </c>
      <c r="I171" s="11">
        <f t="shared" si="2"/>
        <v>2.7937293729372939E-2</v>
      </c>
    </row>
    <row r="172" spans="1:9" x14ac:dyDescent="0.25">
      <c r="A172" s="2" t="s">
        <v>1639</v>
      </c>
      <c r="B172" s="2" t="s">
        <v>1640</v>
      </c>
      <c r="C172" s="2" t="s">
        <v>1322</v>
      </c>
      <c r="D172" s="2" t="s">
        <v>1369</v>
      </c>
      <c r="E172" s="2" t="s">
        <v>1319</v>
      </c>
      <c r="F172" s="2">
        <v>25</v>
      </c>
      <c r="G172" s="10">
        <v>3259</v>
      </c>
      <c r="H172" s="7">
        <v>2692.06</v>
      </c>
      <c r="I172" s="11">
        <f t="shared" si="2"/>
        <v>6.8836555180525727E-2</v>
      </c>
    </row>
    <row r="173" spans="1:9" x14ac:dyDescent="0.25">
      <c r="A173" s="2" t="s">
        <v>1641</v>
      </c>
      <c r="B173" s="2" t="s">
        <v>1409</v>
      </c>
      <c r="C173" s="2" t="s">
        <v>1353</v>
      </c>
      <c r="D173" s="2" t="s">
        <v>1339</v>
      </c>
      <c r="E173" s="2" t="s">
        <v>1331</v>
      </c>
      <c r="F173" s="2">
        <v>19</v>
      </c>
      <c r="G173" s="10">
        <v>2779</v>
      </c>
      <c r="H173" s="7">
        <v>2125.9899999999998</v>
      </c>
      <c r="I173" s="11">
        <f t="shared" si="2"/>
        <v>6.3751649274319297E-2</v>
      </c>
    </row>
    <row r="174" spans="1:9" x14ac:dyDescent="0.25">
      <c r="A174" s="2" t="s">
        <v>1642</v>
      </c>
      <c r="B174" s="2" t="s">
        <v>1643</v>
      </c>
      <c r="C174" s="2" t="s">
        <v>1326</v>
      </c>
      <c r="D174" s="2" t="s">
        <v>1342</v>
      </c>
      <c r="E174" s="2" t="s">
        <v>1331</v>
      </c>
      <c r="F174" s="2">
        <v>12</v>
      </c>
      <c r="G174" s="10">
        <v>3150</v>
      </c>
      <c r="H174" s="7">
        <v>1037.28</v>
      </c>
      <c r="I174" s="11">
        <f t="shared" si="2"/>
        <v>2.7441269841269839E-2</v>
      </c>
    </row>
    <row r="175" spans="1:9" x14ac:dyDescent="0.25">
      <c r="A175" s="2" t="s">
        <v>1644</v>
      </c>
      <c r="B175" s="2" t="s">
        <v>1411</v>
      </c>
      <c r="C175" s="2" t="s">
        <v>1322</v>
      </c>
      <c r="D175" s="2" t="s">
        <v>1350</v>
      </c>
      <c r="E175" s="2" t="s">
        <v>1331</v>
      </c>
      <c r="F175" s="2">
        <v>22</v>
      </c>
      <c r="G175" s="10">
        <v>2722</v>
      </c>
      <c r="H175" s="7">
        <v>3732.8</v>
      </c>
      <c r="I175" s="11">
        <f t="shared" si="2"/>
        <v>0.11427871662992897</v>
      </c>
    </row>
    <row r="176" spans="1:9" x14ac:dyDescent="0.25">
      <c r="A176" s="2" t="s">
        <v>1645</v>
      </c>
      <c r="B176" s="2" t="s">
        <v>1529</v>
      </c>
      <c r="C176" s="2" t="s">
        <v>1322</v>
      </c>
      <c r="D176" s="2" t="s">
        <v>1323</v>
      </c>
      <c r="E176" s="2" t="s">
        <v>1331</v>
      </c>
      <c r="F176" s="2">
        <v>8</v>
      </c>
      <c r="G176" s="10">
        <v>2409</v>
      </c>
      <c r="H176" s="7">
        <v>1962.73</v>
      </c>
      <c r="I176" s="11">
        <f t="shared" si="2"/>
        <v>6.7895738203957376E-2</v>
      </c>
    </row>
    <row r="177" spans="1:9" x14ac:dyDescent="0.25">
      <c r="A177" s="2" t="s">
        <v>1646</v>
      </c>
      <c r="B177" s="2" t="s">
        <v>1475</v>
      </c>
      <c r="C177" s="2" t="s">
        <v>1353</v>
      </c>
      <c r="D177" s="2" t="s">
        <v>1336</v>
      </c>
      <c r="E177" s="2" t="s">
        <v>1331</v>
      </c>
      <c r="F177" s="2">
        <v>0</v>
      </c>
      <c r="G177" s="10">
        <v>2559</v>
      </c>
      <c r="H177" s="7">
        <v>680.55</v>
      </c>
      <c r="I177" s="11">
        <f t="shared" si="2"/>
        <v>2.2161977334896443E-2</v>
      </c>
    </row>
    <row r="178" spans="1:9" x14ac:dyDescent="0.25">
      <c r="A178" s="2" t="s">
        <v>1647</v>
      </c>
      <c r="B178" s="2" t="s">
        <v>1648</v>
      </c>
      <c r="C178" s="2" t="s">
        <v>1317</v>
      </c>
      <c r="D178" s="2" t="s">
        <v>1336</v>
      </c>
      <c r="E178" s="2" t="s">
        <v>1331</v>
      </c>
      <c r="F178" s="2">
        <v>19</v>
      </c>
      <c r="G178" s="10">
        <v>2892</v>
      </c>
      <c r="H178" s="7">
        <v>2499.4299999999998</v>
      </c>
      <c r="I178" s="11">
        <f t="shared" si="2"/>
        <v>7.2021380820654679E-2</v>
      </c>
    </row>
    <row r="179" spans="1:9" x14ac:dyDescent="0.25">
      <c r="A179" s="2" t="s">
        <v>1649</v>
      </c>
      <c r="B179" s="2" t="s">
        <v>1650</v>
      </c>
      <c r="C179" s="2" t="s">
        <v>1353</v>
      </c>
      <c r="D179" s="2" t="s">
        <v>1339</v>
      </c>
      <c r="E179" s="2" t="s">
        <v>1331</v>
      </c>
      <c r="F179" s="2">
        <v>15</v>
      </c>
      <c r="G179" s="10">
        <v>2105</v>
      </c>
      <c r="H179" s="7">
        <v>2916.42</v>
      </c>
      <c r="I179" s="11">
        <f t="shared" si="2"/>
        <v>0.1154560570071259</v>
      </c>
    </row>
    <row r="180" spans="1:9" x14ac:dyDescent="0.25">
      <c r="A180" s="2" t="s">
        <v>1651</v>
      </c>
      <c r="B180" s="2" t="s">
        <v>1586</v>
      </c>
      <c r="C180" s="2" t="s">
        <v>1317</v>
      </c>
      <c r="D180" s="2" t="s">
        <v>1318</v>
      </c>
      <c r="E180" s="2" t="s">
        <v>1319</v>
      </c>
      <c r="F180" s="2">
        <v>16</v>
      </c>
      <c r="G180" s="10">
        <v>7333</v>
      </c>
      <c r="H180" s="7">
        <v>2123.0700000000002</v>
      </c>
      <c r="I180" s="11">
        <f t="shared" si="2"/>
        <v>2.4126892131460523E-2</v>
      </c>
    </row>
    <row r="181" spans="1:9" x14ac:dyDescent="0.25">
      <c r="A181" s="2" t="s">
        <v>1652</v>
      </c>
      <c r="B181" s="2" t="s">
        <v>1415</v>
      </c>
      <c r="C181" s="2" t="s">
        <v>1330</v>
      </c>
      <c r="D181" s="2" t="s">
        <v>1369</v>
      </c>
      <c r="E181" s="2" t="s">
        <v>1331</v>
      </c>
      <c r="F181" s="2">
        <v>17</v>
      </c>
      <c r="G181" s="10">
        <v>2856</v>
      </c>
      <c r="H181" s="7">
        <v>1434.18</v>
      </c>
      <c r="I181" s="11">
        <f t="shared" si="2"/>
        <v>4.1846988795518208E-2</v>
      </c>
    </row>
    <row r="182" spans="1:9" x14ac:dyDescent="0.25">
      <c r="A182" s="2" t="s">
        <v>1653</v>
      </c>
      <c r="B182" s="2" t="s">
        <v>1447</v>
      </c>
      <c r="C182" s="2" t="s">
        <v>1317</v>
      </c>
      <c r="D182" s="2" t="s">
        <v>1345</v>
      </c>
      <c r="E182" s="2" t="s">
        <v>1331</v>
      </c>
      <c r="F182" s="2">
        <v>7</v>
      </c>
      <c r="G182" s="10">
        <v>2333</v>
      </c>
      <c r="H182" s="7">
        <v>1180.21</v>
      </c>
      <c r="I182" s="11">
        <f t="shared" si="2"/>
        <v>4.2156379482783259E-2</v>
      </c>
    </row>
    <row r="183" spans="1:9" x14ac:dyDescent="0.25">
      <c r="A183" s="2" t="s">
        <v>1654</v>
      </c>
      <c r="B183" s="2" t="s">
        <v>1655</v>
      </c>
      <c r="C183" s="2" t="s">
        <v>1317</v>
      </c>
      <c r="D183" s="2" t="s">
        <v>1369</v>
      </c>
      <c r="E183" s="2" t="s">
        <v>1319</v>
      </c>
      <c r="F183" s="2">
        <v>10</v>
      </c>
      <c r="G183" s="10">
        <v>6341</v>
      </c>
      <c r="H183" s="7">
        <v>9102.14</v>
      </c>
      <c r="I183" s="11">
        <f t="shared" si="2"/>
        <v>0.1196201966041108</v>
      </c>
    </row>
    <row r="184" spans="1:9" x14ac:dyDescent="0.25">
      <c r="A184" s="2" t="s">
        <v>1656</v>
      </c>
      <c r="B184" s="2" t="s">
        <v>1657</v>
      </c>
      <c r="C184" s="2" t="s">
        <v>1317</v>
      </c>
      <c r="D184" s="2" t="s">
        <v>1350</v>
      </c>
      <c r="E184" s="2" t="s">
        <v>1319</v>
      </c>
      <c r="F184" s="2">
        <v>4</v>
      </c>
      <c r="G184" s="10"/>
      <c r="H184" s="7">
        <v>2755.27</v>
      </c>
      <c r="I184" s="11" t="str">
        <f t="shared" si="2"/>
        <v>N/A</v>
      </c>
    </row>
    <row r="185" spans="1:9" x14ac:dyDescent="0.25">
      <c r="A185" s="2" t="s">
        <v>1658</v>
      </c>
      <c r="B185" s="2" t="s">
        <v>1659</v>
      </c>
      <c r="C185" s="2" t="s">
        <v>1330</v>
      </c>
      <c r="D185" s="2" t="s">
        <v>1345</v>
      </c>
      <c r="E185" s="2" t="s">
        <v>1331</v>
      </c>
      <c r="F185" s="2">
        <v>2</v>
      </c>
      <c r="G185" s="10">
        <v>2602</v>
      </c>
      <c r="H185" s="7">
        <v>2154.81</v>
      </c>
      <c r="I185" s="11">
        <f t="shared" si="2"/>
        <v>6.9011337432744041E-2</v>
      </c>
    </row>
    <row r="186" spans="1:9" x14ac:dyDescent="0.25">
      <c r="A186" s="2" t="s">
        <v>1660</v>
      </c>
      <c r="B186" s="2" t="s">
        <v>1661</v>
      </c>
      <c r="C186" s="2" t="s">
        <v>1330</v>
      </c>
      <c r="D186" s="2" t="s">
        <v>1336</v>
      </c>
      <c r="E186" s="2" t="s">
        <v>1319</v>
      </c>
      <c r="F186" s="2">
        <v>8</v>
      </c>
      <c r="G186" s="10">
        <v>4147</v>
      </c>
      <c r="H186" s="7">
        <v>2877.7</v>
      </c>
      <c r="I186" s="11">
        <f t="shared" si="2"/>
        <v>5.7826943171770756E-2</v>
      </c>
    </row>
    <row r="187" spans="1:9" x14ac:dyDescent="0.25">
      <c r="A187" s="2" t="s">
        <v>1662</v>
      </c>
      <c r="B187" s="2" t="s">
        <v>1584</v>
      </c>
      <c r="C187" s="2" t="s">
        <v>1317</v>
      </c>
      <c r="D187" s="2" t="s">
        <v>1345</v>
      </c>
      <c r="E187" s="2" t="s">
        <v>1331</v>
      </c>
      <c r="F187" s="2">
        <v>6</v>
      </c>
      <c r="G187" s="10">
        <v>2137</v>
      </c>
      <c r="H187" s="7">
        <v>2422.56</v>
      </c>
      <c r="I187" s="11">
        <f t="shared" si="2"/>
        <v>9.4468881609733268E-2</v>
      </c>
    </row>
    <row r="188" spans="1:9" x14ac:dyDescent="0.25">
      <c r="A188" s="2" t="s">
        <v>1663</v>
      </c>
      <c r="B188" s="2" t="s">
        <v>1525</v>
      </c>
      <c r="C188" s="2" t="s">
        <v>1357</v>
      </c>
      <c r="D188" s="2" t="s">
        <v>1345</v>
      </c>
      <c r="E188" s="2" t="s">
        <v>1331</v>
      </c>
      <c r="F188" s="2">
        <v>9</v>
      </c>
      <c r="G188" s="10">
        <v>2026</v>
      </c>
      <c r="H188" s="7">
        <v>2351.16</v>
      </c>
      <c r="I188" s="11">
        <f t="shared" si="2"/>
        <v>9.6707798617966426E-2</v>
      </c>
    </row>
    <row r="189" spans="1:9" x14ac:dyDescent="0.25">
      <c r="A189" s="2" t="s">
        <v>1664</v>
      </c>
      <c r="B189" s="2" t="s">
        <v>1487</v>
      </c>
      <c r="C189" s="2" t="s">
        <v>1326</v>
      </c>
      <c r="D189" s="2" t="s">
        <v>1339</v>
      </c>
      <c r="E189" s="2" t="s">
        <v>1331</v>
      </c>
      <c r="F189" s="2">
        <v>25</v>
      </c>
      <c r="G189" s="10">
        <v>2158</v>
      </c>
      <c r="H189" s="7">
        <v>2267.65</v>
      </c>
      <c r="I189" s="11">
        <f t="shared" si="2"/>
        <v>8.7567578004324992E-2</v>
      </c>
    </row>
    <row r="190" spans="1:9" x14ac:dyDescent="0.25">
      <c r="A190" s="2" t="s">
        <v>1665</v>
      </c>
      <c r="B190" s="2" t="s">
        <v>1666</v>
      </c>
      <c r="C190" s="2" t="s">
        <v>1322</v>
      </c>
      <c r="D190" s="2" t="s">
        <v>1369</v>
      </c>
      <c r="E190" s="2" t="s">
        <v>1331</v>
      </c>
      <c r="F190" s="2">
        <v>17</v>
      </c>
      <c r="G190" s="10">
        <v>2843</v>
      </c>
      <c r="H190" s="7">
        <v>2083.48</v>
      </c>
      <c r="I190" s="11">
        <f t="shared" si="2"/>
        <v>6.1070465470746862E-2</v>
      </c>
    </row>
    <row r="191" spans="1:9" x14ac:dyDescent="0.25">
      <c r="A191" s="2" t="s">
        <v>1667</v>
      </c>
      <c r="B191" s="2" t="s">
        <v>1668</v>
      </c>
      <c r="C191" s="2" t="s">
        <v>1317</v>
      </c>
      <c r="D191" s="2" t="s">
        <v>1336</v>
      </c>
      <c r="E191" s="2" t="s">
        <v>1331</v>
      </c>
      <c r="F191" s="2">
        <v>19</v>
      </c>
      <c r="G191" s="10">
        <v>2480</v>
      </c>
      <c r="H191" s="7">
        <v>1159.54</v>
      </c>
      <c r="I191" s="11">
        <f t="shared" si="2"/>
        <v>3.8963037634408601E-2</v>
      </c>
    </row>
    <row r="192" spans="1:9" x14ac:dyDescent="0.25">
      <c r="A192" s="2" t="s">
        <v>1669</v>
      </c>
      <c r="B192" s="2" t="s">
        <v>1540</v>
      </c>
      <c r="C192" s="2" t="s">
        <v>1326</v>
      </c>
      <c r="D192" s="2" t="s">
        <v>1339</v>
      </c>
      <c r="E192" s="2" t="s">
        <v>1331</v>
      </c>
      <c r="F192" s="2">
        <v>22</v>
      </c>
      <c r="G192" s="10">
        <v>2152</v>
      </c>
      <c r="H192" s="7">
        <v>1434.49</v>
      </c>
      <c r="I192" s="11">
        <f t="shared" si="2"/>
        <v>5.5548714374225525E-2</v>
      </c>
    </row>
    <row r="193" spans="1:9" x14ac:dyDescent="0.25">
      <c r="A193" s="2" t="s">
        <v>1670</v>
      </c>
      <c r="B193" s="2" t="s">
        <v>1671</v>
      </c>
      <c r="C193" s="2" t="s">
        <v>1353</v>
      </c>
      <c r="D193" s="2" t="s">
        <v>1339</v>
      </c>
      <c r="E193" s="2" t="s">
        <v>1319</v>
      </c>
      <c r="F193" s="2">
        <v>12</v>
      </c>
      <c r="G193" s="10">
        <v>3681</v>
      </c>
      <c r="H193" s="7">
        <v>6517.52</v>
      </c>
      <c r="I193" s="11">
        <f t="shared" si="2"/>
        <v>0.14754867336774427</v>
      </c>
    </row>
    <row r="194" spans="1:9" x14ac:dyDescent="0.25">
      <c r="A194" s="2" t="s">
        <v>1672</v>
      </c>
      <c r="B194" s="2" t="s">
        <v>1673</v>
      </c>
      <c r="C194" s="2" t="s">
        <v>1330</v>
      </c>
      <c r="D194" s="2" t="s">
        <v>1369</v>
      </c>
      <c r="E194" s="2" t="s">
        <v>1331</v>
      </c>
      <c r="F194" s="2">
        <v>25</v>
      </c>
      <c r="G194" s="10">
        <v>2360</v>
      </c>
      <c r="H194" s="7">
        <v>3145.02</v>
      </c>
      <c r="I194" s="11">
        <f t="shared" si="2"/>
        <v>0.11105296610169492</v>
      </c>
    </row>
    <row r="195" spans="1:9" x14ac:dyDescent="0.25">
      <c r="A195" s="2" t="s">
        <v>1674</v>
      </c>
      <c r="B195" s="2" t="s">
        <v>1675</v>
      </c>
      <c r="C195" s="2" t="s">
        <v>1317</v>
      </c>
      <c r="D195" s="2" t="s">
        <v>1336</v>
      </c>
      <c r="E195" s="2" t="s">
        <v>1331</v>
      </c>
      <c r="F195" s="2">
        <v>21</v>
      </c>
      <c r="G195" s="10">
        <v>2226</v>
      </c>
      <c r="H195" s="7">
        <v>3975.77</v>
      </c>
      <c r="I195" s="11">
        <f t="shared" si="2"/>
        <v>0.14883834980533095</v>
      </c>
    </row>
    <row r="196" spans="1:9" x14ac:dyDescent="0.25">
      <c r="A196" s="2" t="s">
        <v>1676</v>
      </c>
      <c r="B196" s="2" t="s">
        <v>1677</v>
      </c>
      <c r="C196" s="2" t="s">
        <v>1353</v>
      </c>
      <c r="D196" s="2" t="s">
        <v>1318</v>
      </c>
      <c r="E196" s="2" t="s">
        <v>1331</v>
      </c>
      <c r="F196" s="2">
        <v>11</v>
      </c>
      <c r="G196" s="10">
        <v>2701</v>
      </c>
      <c r="H196" s="7">
        <v>2296.0100000000002</v>
      </c>
      <c r="I196" s="11">
        <f t="shared" si="2"/>
        <v>7.0838269776625953E-2</v>
      </c>
    </row>
    <row r="197" spans="1:9" x14ac:dyDescent="0.25">
      <c r="A197" s="2" t="s">
        <v>1678</v>
      </c>
      <c r="B197" s="2" t="s">
        <v>1584</v>
      </c>
      <c r="C197" s="2" t="s">
        <v>1317</v>
      </c>
      <c r="D197" s="2" t="s">
        <v>1350</v>
      </c>
      <c r="E197" s="2" t="s">
        <v>1331</v>
      </c>
      <c r="F197" s="2">
        <v>22</v>
      </c>
      <c r="G197" s="10">
        <v>3022</v>
      </c>
      <c r="H197" s="7">
        <v>2581.65</v>
      </c>
      <c r="I197" s="11">
        <f t="shared" ref="I197:I254" si="3">IFERROR(H197/(G197*12),"N/A")</f>
        <v>7.1190436796823298E-2</v>
      </c>
    </row>
    <row r="198" spans="1:9" x14ac:dyDescent="0.25">
      <c r="A198" s="2" t="s">
        <v>1679</v>
      </c>
      <c r="B198" s="2" t="s">
        <v>1599</v>
      </c>
      <c r="C198" s="2" t="s">
        <v>1330</v>
      </c>
      <c r="D198" s="2" t="s">
        <v>1354</v>
      </c>
      <c r="E198" s="2" t="s">
        <v>1331</v>
      </c>
      <c r="F198" s="2">
        <v>22</v>
      </c>
      <c r="G198" s="10">
        <v>2522</v>
      </c>
      <c r="H198" s="7">
        <v>2405.36</v>
      </c>
      <c r="I198" s="11">
        <f t="shared" si="3"/>
        <v>7.9479249273063712E-2</v>
      </c>
    </row>
    <row r="199" spans="1:9" x14ac:dyDescent="0.25">
      <c r="A199" s="2" t="s">
        <v>1680</v>
      </c>
      <c r="B199" s="2" t="s">
        <v>1681</v>
      </c>
      <c r="C199" s="2" t="s">
        <v>1353</v>
      </c>
      <c r="D199" s="2" t="s">
        <v>1336</v>
      </c>
      <c r="E199" s="2" t="s">
        <v>1331</v>
      </c>
      <c r="F199" s="2">
        <v>9</v>
      </c>
      <c r="G199" s="10">
        <v>2196</v>
      </c>
      <c r="H199" s="7">
        <v>1245.6500000000001</v>
      </c>
      <c r="I199" s="11">
        <f t="shared" si="3"/>
        <v>4.7269656952034007E-2</v>
      </c>
    </row>
    <row r="200" spans="1:9" x14ac:dyDescent="0.25">
      <c r="A200" s="2" t="s">
        <v>1682</v>
      </c>
      <c r="B200" s="2" t="s">
        <v>1352</v>
      </c>
      <c r="C200" s="2" t="s">
        <v>1317</v>
      </c>
      <c r="D200" s="2" t="s">
        <v>1327</v>
      </c>
      <c r="E200" s="2" t="s">
        <v>1331</v>
      </c>
      <c r="F200" s="2">
        <v>3</v>
      </c>
      <c r="G200" s="10">
        <v>2202</v>
      </c>
      <c r="H200" s="7">
        <v>1821.99</v>
      </c>
      <c r="I200" s="11">
        <f t="shared" si="3"/>
        <v>6.8952089009990919E-2</v>
      </c>
    </row>
    <row r="201" spans="1:9" x14ac:dyDescent="0.25">
      <c r="A201" s="2" t="s">
        <v>1683</v>
      </c>
      <c r="B201" s="2" t="s">
        <v>1684</v>
      </c>
      <c r="C201" s="2" t="s">
        <v>1322</v>
      </c>
      <c r="D201" s="2" t="s">
        <v>1336</v>
      </c>
      <c r="E201" s="2" t="s">
        <v>1331</v>
      </c>
      <c r="F201" s="2">
        <v>15</v>
      </c>
      <c r="G201" s="10">
        <v>2267</v>
      </c>
      <c r="H201" s="7">
        <v>3886.31</v>
      </c>
      <c r="I201" s="11">
        <f t="shared" si="3"/>
        <v>0.1428580355830025</v>
      </c>
    </row>
    <row r="202" spans="1:9" x14ac:dyDescent="0.25">
      <c r="A202" s="2" t="s">
        <v>1685</v>
      </c>
      <c r="B202" s="2" t="s">
        <v>1686</v>
      </c>
      <c r="C202" s="2" t="s">
        <v>1357</v>
      </c>
      <c r="D202" s="2" t="s">
        <v>1342</v>
      </c>
      <c r="E202" s="2" t="s">
        <v>1331</v>
      </c>
      <c r="F202" s="2">
        <v>4</v>
      </c>
      <c r="G202" s="10">
        <v>3184</v>
      </c>
      <c r="H202" s="7">
        <v>4353.1000000000004</v>
      </c>
      <c r="I202" s="11">
        <f t="shared" si="3"/>
        <v>0.11393163735343384</v>
      </c>
    </row>
    <row r="203" spans="1:9" x14ac:dyDescent="0.25">
      <c r="A203" s="2" t="s">
        <v>1687</v>
      </c>
      <c r="B203" s="2" t="s">
        <v>1688</v>
      </c>
      <c r="C203" s="2" t="s">
        <v>16</v>
      </c>
      <c r="D203" s="2" t="s">
        <v>1369</v>
      </c>
      <c r="E203" s="2" t="s">
        <v>1331</v>
      </c>
      <c r="F203" s="2">
        <v>9</v>
      </c>
      <c r="G203" s="10">
        <v>3120</v>
      </c>
      <c r="H203" s="7">
        <v>5394.81</v>
      </c>
      <c r="I203" s="11">
        <f t="shared" si="3"/>
        <v>0.14409214743589743</v>
      </c>
    </row>
    <row r="204" spans="1:9" x14ac:dyDescent="0.25">
      <c r="A204" s="2" t="s">
        <v>1689</v>
      </c>
      <c r="B204" s="2" t="s">
        <v>1542</v>
      </c>
      <c r="C204" s="2" t="s">
        <v>1330</v>
      </c>
      <c r="D204" s="2" t="s">
        <v>1327</v>
      </c>
      <c r="E204" s="2" t="s">
        <v>1331</v>
      </c>
      <c r="F204" s="2">
        <v>12</v>
      </c>
      <c r="G204" s="10">
        <v>2463</v>
      </c>
      <c r="H204" s="7">
        <v>3020.72</v>
      </c>
      <c r="I204" s="11">
        <f t="shared" si="3"/>
        <v>0.10220327513871971</v>
      </c>
    </row>
    <row r="205" spans="1:9" x14ac:dyDescent="0.25">
      <c r="A205" s="2" t="s">
        <v>1690</v>
      </c>
      <c r="B205" s="2" t="s">
        <v>1341</v>
      </c>
      <c r="C205" s="2" t="s">
        <v>1322</v>
      </c>
      <c r="D205" s="2" t="s">
        <v>1327</v>
      </c>
      <c r="E205" s="2" t="s">
        <v>1319</v>
      </c>
      <c r="F205" s="2">
        <v>3</v>
      </c>
      <c r="G205" s="10">
        <v>7207</v>
      </c>
      <c r="H205" s="7">
        <v>8940.99</v>
      </c>
      <c r="I205" s="11">
        <f t="shared" si="3"/>
        <v>0.1033831691411128</v>
      </c>
    </row>
    <row r="206" spans="1:9" x14ac:dyDescent="0.25">
      <c r="A206" s="2" t="s">
        <v>1691</v>
      </c>
      <c r="B206" s="2" t="s">
        <v>1692</v>
      </c>
      <c r="C206" s="2" t="s">
        <v>1357</v>
      </c>
      <c r="D206" s="2" t="s">
        <v>1354</v>
      </c>
      <c r="E206" s="2" t="s">
        <v>1331</v>
      </c>
      <c r="F206" s="2">
        <v>18</v>
      </c>
      <c r="G206" s="10">
        <v>2882</v>
      </c>
      <c r="H206" s="7">
        <v>1922.32</v>
      </c>
      <c r="I206" s="11">
        <f t="shared" si="3"/>
        <v>5.5584085126069854E-2</v>
      </c>
    </row>
    <row r="207" spans="1:9" x14ac:dyDescent="0.25">
      <c r="A207" s="2" t="s">
        <v>1693</v>
      </c>
      <c r="B207" s="2" t="s">
        <v>1694</v>
      </c>
      <c r="C207" s="2" t="s">
        <v>1353</v>
      </c>
      <c r="D207" s="2" t="s">
        <v>1336</v>
      </c>
      <c r="E207" s="2" t="s">
        <v>1331</v>
      </c>
      <c r="F207" s="2">
        <v>20</v>
      </c>
      <c r="G207" s="10">
        <v>2788</v>
      </c>
      <c r="H207" s="7">
        <v>1966.79</v>
      </c>
      <c r="I207" s="11">
        <f t="shared" si="3"/>
        <v>5.8787362505977998E-2</v>
      </c>
    </row>
    <row r="208" spans="1:9" x14ac:dyDescent="0.25">
      <c r="A208" s="2" t="s">
        <v>1695</v>
      </c>
      <c r="B208" s="2" t="s">
        <v>1696</v>
      </c>
      <c r="C208" s="2" t="s">
        <v>1322</v>
      </c>
      <c r="D208" s="2" t="s">
        <v>1323</v>
      </c>
      <c r="E208" s="2" t="s">
        <v>1331</v>
      </c>
      <c r="F208" s="2">
        <v>25</v>
      </c>
      <c r="G208" s="10">
        <v>3000</v>
      </c>
      <c r="H208" s="7">
        <v>1585.28</v>
      </c>
      <c r="I208" s="11">
        <f t="shared" si="3"/>
        <v>4.4035555555555557E-2</v>
      </c>
    </row>
    <row r="209" spans="1:9" x14ac:dyDescent="0.25">
      <c r="A209" s="2" t="s">
        <v>1697</v>
      </c>
      <c r="B209" s="2" t="s">
        <v>1462</v>
      </c>
      <c r="C209" s="2" t="s">
        <v>1330</v>
      </c>
      <c r="D209" s="2" t="s">
        <v>1323</v>
      </c>
      <c r="E209" s="2" t="s">
        <v>1331</v>
      </c>
      <c r="F209" s="2">
        <v>25</v>
      </c>
      <c r="G209" s="10">
        <v>2985</v>
      </c>
      <c r="H209" s="7">
        <v>2991.44</v>
      </c>
      <c r="I209" s="11">
        <f t="shared" si="3"/>
        <v>8.3513121161362364E-2</v>
      </c>
    </row>
    <row r="210" spans="1:9" x14ac:dyDescent="0.25">
      <c r="A210" s="2" t="s">
        <v>1698</v>
      </c>
      <c r="B210" s="2" t="s">
        <v>1699</v>
      </c>
      <c r="C210" s="2" t="s">
        <v>1317</v>
      </c>
      <c r="D210" s="2" t="s">
        <v>1354</v>
      </c>
      <c r="E210" s="2" t="s">
        <v>1331</v>
      </c>
      <c r="F210" s="2">
        <v>20</v>
      </c>
      <c r="G210" s="10">
        <v>2154</v>
      </c>
      <c r="H210" s="7">
        <v>3048.93</v>
      </c>
      <c r="I210" s="11">
        <f t="shared" si="3"/>
        <v>0.11795612813370474</v>
      </c>
    </row>
    <row r="211" spans="1:9" x14ac:dyDescent="0.25">
      <c r="A211" s="2" t="s">
        <v>1700</v>
      </c>
      <c r="B211" s="2" t="s">
        <v>1701</v>
      </c>
      <c r="C211" s="2" t="s">
        <v>1330</v>
      </c>
      <c r="D211" s="2" t="s">
        <v>1327</v>
      </c>
      <c r="E211" s="2" t="s">
        <v>1331</v>
      </c>
      <c r="F211" s="2">
        <v>5</v>
      </c>
      <c r="G211" s="10">
        <v>1910</v>
      </c>
      <c r="H211" s="7">
        <v>2111.25</v>
      </c>
      <c r="I211" s="11">
        <f t="shared" si="3"/>
        <v>9.211387434554974E-2</v>
      </c>
    </row>
    <row r="212" spans="1:9" x14ac:dyDescent="0.25">
      <c r="A212" s="2" t="s">
        <v>1702</v>
      </c>
      <c r="B212" s="2" t="s">
        <v>1703</v>
      </c>
      <c r="C212" s="2" t="s">
        <v>16</v>
      </c>
      <c r="D212" s="2" t="s">
        <v>1342</v>
      </c>
      <c r="E212" s="2" t="s">
        <v>1331</v>
      </c>
      <c r="F212" s="2">
        <v>20</v>
      </c>
      <c r="G212" s="10">
        <v>2230</v>
      </c>
      <c r="H212" s="7">
        <v>840.71</v>
      </c>
      <c r="I212" s="11">
        <f t="shared" si="3"/>
        <v>3.1416666666666669E-2</v>
      </c>
    </row>
    <row r="213" spans="1:9" x14ac:dyDescent="0.25">
      <c r="A213" s="2" t="s">
        <v>1704</v>
      </c>
      <c r="B213" s="2" t="s">
        <v>1470</v>
      </c>
      <c r="C213" s="2" t="s">
        <v>1322</v>
      </c>
      <c r="D213" s="2" t="s">
        <v>1318</v>
      </c>
      <c r="E213" s="2" t="s">
        <v>1331</v>
      </c>
      <c r="F213" s="2">
        <v>11</v>
      </c>
      <c r="G213" s="10">
        <v>3014</v>
      </c>
      <c r="H213" s="7">
        <v>1530.21</v>
      </c>
      <c r="I213" s="11">
        <f t="shared" si="3"/>
        <v>4.2308394160583941E-2</v>
      </c>
    </row>
    <row r="214" spans="1:9" x14ac:dyDescent="0.25">
      <c r="A214" s="2" t="s">
        <v>1705</v>
      </c>
      <c r="B214" s="2" t="s">
        <v>1706</v>
      </c>
      <c r="C214" s="2" t="s">
        <v>1322</v>
      </c>
      <c r="D214" s="2" t="s">
        <v>1350</v>
      </c>
      <c r="E214" s="2" t="s">
        <v>1331</v>
      </c>
      <c r="F214" s="2">
        <v>16</v>
      </c>
      <c r="G214" s="10">
        <v>2500</v>
      </c>
      <c r="H214" s="7">
        <v>3170.71</v>
      </c>
      <c r="I214" s="11">
        <f t="shared" si="3"/>
        <v>0.10569033333333333</v>
      </c>
    </row>
    <row r="215" spans="1:9" x14ac:dyDescent="0.25">
      <c r="A215" s="2" t="s">
        <v>1707</v>
      </c>
      <c r="B215" s="2" t="s">
        <v>1708</v>
      </c>
      <c r="C215" s="2" t="s">
        <v>1353</v>
      </c>
      <c r="D215" s="2" t="s">
        <v>1342</v>
      </c>
      <c r="E215" s="2" t="s">
        <v>1331</v>
      </c>
      <c r="F215" s="2">
        <v>16</v>
      </c>
      <c r="G215" s="10">
        <v>2621</v>
      </c>
      <c r="H215" s="7">
        <v>3107.53</v>
      </c>
      <c r="I215" s="11">
        <f t="shared" si="3"/>
        <v>9.8802301920386623E-2</v>
      </c>
    </row>
    <row r="216" spans="1:9" x14ac:dyDescent="0.25">
      <c r="A216" s="2" t="s">
        <v>1709</v>
      </c>
      <c r="B216" s="2" t="s">
        <v>1710</v>
      </c>
      <c r="C216" s="2" t="s">
        <v>1317</v>
      </c>
      <c r="D216" s="2" t="s">
        <v>1354</v>
      </c>
      <c r="E216" s="2" t="s">
        <v>1331</v>
      </c>
      <c r="F216" s="2">
        <v>7</v>
      </c>
      <c r="G216" s="10">
        <v>1975</v>
      </c>
      <c r="H216" s="7">
        <v>1053.45</v>
      </c>
      <c r="I216" s="11">
        <f t="shared" si="3"/>
        <v>4.4449367088607597E-2</v>
      </c>
    </row>
    <row r="217" spans="1:9" x14ac:dyDescent="0.25">
      <c r="A217" s="2" t="s">
        <v>1711</v>
      </c>
      <c r="B217" s="2" t="s">
        <v>1483</v>
      </c>
      <c r="C217" s="2" t="s">
        <v>1357</v>
      </c>
      <c r="D217" s="2" t="s">
        <v>1342</v>
      </c>
      <c r="E217" s="2" t="s">
        <v>1331</v>
      </c>
      <c r="F217" s="2">
        <v>18</v>
      </c>
      <c r="G217" s="10">
        <v>2635</v>
      </c>
      <c r="H217" s="7">
        <v>1772.66</v>
      </c>
      <c r="I217" s="11">
        <f t="shared" si="3"/>
        <v>5.6061353573687543E-2</v>
      </c>
    </row>
    <row r="218" spans="1:9" x14ac:dyDescent="0.25">
      <c r="A218" s="2" t="s">
        <v>1712</v>
      </c>
      <c r="B218" s="2" t="s">
        <v>1713</v>
      </c>
      <c r="C218" s="2" t="s">
        <v>1357</v>
      </c>
      <c r="D218" s="2" t="s">
        <v>1345</v>
      </c>
      <c r="E218" s="2" t="s">
        <v>1319</v>
      </c>
      <c r="F218" s="2">
        <v>12</v>
      </c>
      <c r="G218" s="10">
        <v>4537</v>
      </c>
      <c r="H218" s="7">
        <v>3920.39</v>
      </c>
      <c r="I218" s="11">
        <f t="shared" si="3"/>
        <v>7.200775108368232E-2</v>
      </c>
    </row>
    <row r="219" spans="1:9" x14ac:dyDescent="0.25">
      <c r="A219" s="2" t="s">
        <v>1714</v>
      </c>
      <c r="B219" s="2" t="s">
        <v>1715</v>
      </c>
      <c r="C219" s="2" t="s">
        <v>1317</v>
      </c>
      <c r="D219" s="2" t="s">
        <v>1336</v>
      </c>
      <c r="E219" s="2" t="s">
        <v>1319</v>
      </c>
      <c r="F219" s="2">
        <v>6</v>
      </c>
      <c r="G219" s="10">
        <v>3778</v>
      </c>
      <c r="H219" s="7">
        <v>4617.1899999999996</v>
      </c>
      <c r="I219" s="11">
        <f t="shared" si="3"/>
        <v>0.10184378860067055</v>
      </c>
    </row>
    <row r="220" spans="1:9" x14ac:dyDescent="0.25">
      <c r="A220" s="2" t="s">
        <v>1716</v>
      </c>
      <c r="B220" s="2" t="s">
        <v>1584</v>
      </c>
      <c r="C220" s="2" t="s">
        <v>1357</v>
      </c>
      <c r="D220" s="2" t="s">
        <v>1345</v>
      </c>
      <c r="E220" s="2" t="s">
        <v>1331</v>
      </c>
      <c r="F220" s="2">
        <v>16</v>
      </c>
      <c r="G220" s="10">
        <v>3138</v>
      </c>
      <c r="H220" s="7">
        <v>1556.16</v>
      </c>
      <c r="I220" s="11">
        <f t="shared" si="3"/>
        <v>4.1325685149776928E-2</v>
      </c>
    </row>
    <row r="221" spans="1:9" x14ac:dyDescent="0.25">
      <c r="A221" s="2" t="s">
        <v>1717</v>
      </c>
      <c r="B221" s="2" t="s">
        <v>1377</v>
      </c>
      <c r="C221" s="2" t="s">
        <v>1353</v>
      </c>
      <c r="D221" s="2" t="s">
        <v>1342</v>
      </c>
      <c r="E221" s="2" t="s">
        <v>1319</v>
      </c>
      <c r="F221" s="2">
        <v>19</v>
      </c>
      <c r="G221" s="10">
        <v>5227</v>
      </c>
      <c r="H221" s="7">
        <v>1886.62</v>
      </c>
      <c r="I221" s="11">
        <f t="shared" si="3"/>
        <v>3.0078120017856001E-2</v>
      </c>
    </row>
    <row r="222" spans="1:9" x14ac:dyDescent="0.25">
      <c r="A222" s="2" t="s">
        <v>1718</v>
      </c>
      <c r="B222" s="2" t="s">
        <v>1643</v>
      </c>
      <c r="C222" s="2" t="s">
        <v>1317</v>
      </c>
      <c r="D222" s="2" t="s">
        <v>1318</v>
      </c>
      <c r="E222" s="2" t="s">
        <v>1331</v>
      </c>
      <c r="F222" s="2">
        <v>2</v>
      </c>
      <c r="G222" s="10">
        <v>2574</v>
      </c>
      <c r="H222" s="7">
        <v>3188.35</v>
      </c>
      <c r="I222" s="11">
        <f t="shared" si="3"/>
        <v>0.10322293447293447</v>
      </c>
    </row>
    <row r="223" spans="1:9" x14ac:dyDescent="0.25">
      <c r="A223" s="2" t="s">
        <v>1719</v>
      </c>
      <c r="B223" s="2" t="s">
        <v>1720</v>
      </c>
      <c r="C223" s="2" t="s">
        <v>16</v>
      </c>
      <c r="D223" s="2" t="s">
        <v>1345</v>
      </c>
      <c r="E223" s="2" t="s">
        <v>1331</v>
      </c>
      <c r="F223" s="2">
        <v>7</v>
      </c>
      <c r="G223" s="10">
        <v>2460</v>
      </c>
      <c r="H223" s="7">
        <v>628.25</v>
      </c>
      <c r="I223" s="11">
        <f t="shared" si="3"/>
        <v>2.1282181571815717E-2</v>
      </c>
    </row>
    <row r="224" spans="1:9" x14ac:dyDescent="0.25">
      <c r="A224" s="2" t="s">
        <v>1721</v>
      </c>
      <c r="B224" s="2" t="s">
        <v>1614</v>
      </c>
      <c r="C224" s="2" t="s">
        <v>1322</v>
      </c>
      <c r="D224" s="2" t="s">
        <v>1369</v>
      </c>
      <c r="E224" s="2" t="s">
        <v>1331</v>
      </c>
      <c r="F224" s="2">
        <v>3</v>
      </c>
      <c r="G224" s="10">
        <v>2259</v>
      </c>
      <c r="H224" s="7">
        <v>2397.48</v>
      </c>
      <c r="I224" s="11">
        <f t="shared" si="3"/>
        <v>8.844178840194776E-2</v>
      </c>
    </row>
    <row r="225" spans="1:9" x14ac:dyDescent="0.25">
      <c r="A225" s="2" t="s">
        <v>1722</v>
      </c>
      <c r="B225" s="2" t="s">
        <v>1723</v>
      </c>
      <c r="C225" s="2" t="s">
        <v>1322</v>
      </c>
      <c r="D225" s="2" t="s">
        <v>1350</v>
      </c>
      <c r="E225" s="2" t="s">
        <v>1331</v>
      </c>
      <c r="F225" s="2">
        <v>22</v>
      </c>
      <c r="G225" s="10">
        <v>3071</v>
      </c>
      <c r="H225" s="7">
        <v>4882.96</v>
      </c>
      <c r="I225" s="11">
        <f t="shared" si="3"/>
        <v>0.1325018994898513</v>
      </c>
    </row>
    <row r="226" spans="1:9" x14ac:dyDescent="0.25">
      <c r="A226" s="2" t="s">
        <v>1724</v>
      </c>
      <c r="B226" s="2" t="s">
        <v>1562</v>
      </c>
      <c r="C226" s="2" t="s">
        <v>1322</v>
      </c>
      <c r="D226" s="2" t="s">
        <v>1336</v>
      </c>
      <c r="E226" s="2" t="s">
        <v>1331</v>
      </c>
      <c r="F226" s="2">
        <v>5</v>
      </c>
      <c r="G226" s="10">
        <v>2551</v>
      </c>
      <c r="H226" s="7">
        <v>4378.93</v>
      </c>
      <c r="I226" s="11">
        <f t="shared" si="3"/>
        <v>0.14304619103619495</v>
      </c>
    </row>
    <row r="227" spans="1:9" x14ac:dyDescent="0.25">
      <c r="A227" s="2" t="s">
        <v>1725</v>
      </c>
      <c r="B227" s="2" t="s">
        <v>1726</v>
      </c>
      <c r="C227" s="2" t="s">
        <v>1330</v>
      </c>
      <c r="D227" s="2" t="s">
        <v>1350</v>
      </c>
      <c r="E227" s="2" t="s">
        <v>1331</v>
      </c>
      <c r="F227" s="2">
        <v>25</v>
      </c>
      <c r="G227" s="10">
        <v>2988</v>
      </c>
      <c r="H227" s="7">
        <v>3288.62</v>
      </c>
      <c r="I227" s="11">
        <f t="shared" si="3"/>
        <v>9.1717425256581886E-2</v>
      </c>
    </row>
    <row r="228" spans="1:9" x14ac:dyDescent="0.25">
      <c r="A228" s="2" t="s">
        <v>1727</v>
      </c>
      <c r="B228" s="2" t="s">
        <v>1460</v>
      </c>
      <c r="C228" s="2" t="s">
        <v>16</v>
      </c>
      <c r="D228" s="2" t="s">
        <v>1345</v>
      </c>
      <c r="E228" s="2" t="s">
        <v>1319</v>
      </c>
      <c r="F228" s="2">
        <v>21</v>
      </c>
      <c r="G228" s="10">
        <v>7407</v>
      </c>
      <c r="H228" s="7">
        <v>10018.91</v>
      </c>
      <c r="I228" s="11">
        <f t="shared" si="3"/>
        <v>0.11271893704153728</v>
      </c>
    </row>
    <row r="229" spans="1:9" x14ac:dyDescent="0.25">
      <c r="A229" s="2" t="s">
        <v>1728</v>
      </c>
      <c r="B229" s="2" t="s">
        <v>1593</v>
      </c>
      <c r="C229" s="2" t="s">
        <v>1357</v>
      </c>
      <c r="D229" s="2" t="s">
        <v>1345</v>
      </c>
      <c r="E229" s="2" t="s">
        <v>1331</v>
      </c>
      <c r="F229" s="2">
        <v>1</v>
      </c>
      <c r="G229" s="10">
        <v>2658</v>
      </c>
      <c r="H229" s="7">
        <v>3571.56</v>
      </c>
      <c r="I229" s="11">
        <f t="shared" si="3"/>
        <v>0.11197516930022573</v>
      </c>
    </row>
    <row r="230" spans="1:9" x14ac:dyDescent="0.25">
      <c r="A230" s="2" t="s">
        <v>1729</v>
      </c>
      <c r="B230" s="2" t="s">
        <v>1677</v>
      </c>
      <c r="C230" s="2" t="s">
        <v>1317</v>
      </c>
      <c r="D230" s="2" t="s">
        <v>1318</v>
      </c>
      <c r="E230" s="2" t="s">
        <v>1331</v>
      </c>
      <c r="F230" s="2">
        <v>14</v>
      </c>
      <c r="G230" s="10">
        <v>2624</v>
      </c>
      <c r="H230" s="7">
        <v>3898.24</v>
      </c>
      <c r="I230" s="11">
        <f t="shared" si="3"/>
        <v>0.12380081300813008</v>
      </c>
    </row>
    <row r="231" spans="1:9" x14ac:dyDescent="0.25">
      <c r="A231" s="2" t="s">
        <v>1730</v>
      </c>
      <c r="B231" s="2" t="s">
        <v>1500</v>
      </c>
      <c r="C231" s="2" t="s">
        <v>1353</v>
      </c>
      <c r="D231" s="2" t="s">
        <v>1345</v>
      </c>
      <c r="E231" s="2" t="s">
        <v>1331</v>
      </c>
      <c r="F231" s="2">
        <v>22</v>
      </c>
      <c r="G231" s="10">
        <v>2368</v>
      </c>
      <c r="H231" s="7">
        <v>1695.71</v>
      </c>
      <c r="I231" s="11">
        <f t="shared" si="3"/>
        <v>5.9674479166666669E-2</v>
      </c>
    </row>
    <row r="232" spans="1:9" x14ac:dyDescent="0.25">
      <c r="A232" s="2" t="s">
        <v>1731</v>
      </c>
      <c r="B232" s="2" t="s">
        <v>1732</v>
      </c>
      <c r="C232" s="2" t="s">
        <v>1330</v>
      </c>
      <c r="D232" s="2" t="s">
        <v>1354</v>
      </c>
      <c r="E232" s="2" t="s">
        <v>1319</v>
      </c>
      <c r="F232" s="2">
        <v>2</v>
      </c>
      <c r="G232" s="10">
        <v>3851</v>
      </c>
      <c r="H232" s="7">
        <v>1384.98</v>
      </c>
      <c r="I232" s="11">
        <f t="shared" si="3"/>
        <v>2.9970137626590496E-2</v>
      </c>
    </row>
    <row r="233" spans="1:9" x14ac:dyDescent="0.25">
      <c r="A233" s="2" t="s">
        <v>1733</v>
      </c>
      <c r="B233" s="2" t="s">
        <v>28</v>
      </c>
      <c r="C233" s="2" t="s">
        <v>1357</v>
      </c>
      <c r="D233" s="2" t="s">
        <v>1345</v>
      </c>
      <c r="E233" s="2" t="s">
        <v>1319</v>
      </c>
      <c r="F233" s="2">
        <v>23</v>
      </c>
      <c r="G233" s="10">
        <v>5541</v>
      </c>
      <c r="H233" s="7">
        <v>6119.97</v>
      </c>
      <c r="I233" s="11">
        <f t="shared" si="3"/>
        <v>9.2040696625157917E-2</v>
      </c>
    </row>
    <row r="234" spans="1:9" x14ac:dyDescent="0.25">
      <c r="A234" s="2" t="s">
        <v>1734</v>
      </c>
      <c r="B234" s="2" t="s">
        <v>1735</v>
      </c>
      <c r="C234" s="2" t="s">
        <v>1317</v>
      </c>
      <c r="D234" s="2" t="s">
        <v>1342</v>
      </c>
      <c r="E234" s="2" t="s">
        <v>1331</v>
      </c>
      <c r="F234" s="2">
        <v>23</v>
      </c>
      <c r="G234" s="10">
        <v>2179</v>
      </c>
      <c r="H234" s="7">
        <v>2153.4299999999998</v>
      </c>
      <c r="I234" s="11">
        <f t="shared" si="3"/>
        <v>8.2355438274437809E-2</v>
      </c>
    </row>
    <row r="235" spans="1:9" x14ac:dyDescent="0.25">
      <c r="A235" s="2" t="s">
        <v>1736</v>
      </c>
      <c r="B235" s="2" t="s">
        <v>1359</v>
      </c>
      <c r="C235" s="2" t="s">
        <v>1353</v>
      </c>
      <c r="D235" s="2" t="s">
        <v>1339</v>
      </c>
      <c r="E235" s="2" t="s">
        <v>1319</v>
      </c>
      <c r="F235" s="2">
        <v>6</v>
      </c>
      <c r="G235" s="10"/>
      <c r="H235" s="7">
        <v>4412.9799999999996</v>
      </c>
      <c r="I235" s="11" t="str">
        <f t="shared" si="3"/>
        <v>N/A</v>
      </c>
    </row>
    <row r="236" spans="1:9" x14ac:dyDescent="0.25">
      <c r="A236" s="2" t="s">
        <v>1737</v>
      </c>
      <c r="B236" s="2" t="s">
        <v>1738</v>
      </c>
      <c r="C236" s="2" t="s">
        <v>1317</v>
      </c>
      <c r="D236" s="2" t="s">
        <v>1323</v>
      </c>
      <c r="E236" s="2" t="s">
        <v>1331</v>
      </c>
      <c r="F236" s="2">
        <v>16</v>
      </c>
      <c r="G236" s="10">
        <v>3147</v>
      </c>
      <c r="H236" s="7">
        <v>963.22</v>
      </c>
      <c r="I236" s="11">
        <f t="shared" si="3"/>
        <v>2.5506302298485332E-2</v>
      </c>
    </row>
    <row r="237" spans="1:9" x14ac:dyDescent="0.25">
      <c r="A237" s="2" t="s">
        <v>1739</v>
      </c>
      <c r="B237" s="2" t="s">
        <v>1740</v>
      </c>
      <c r="C237" s="2" t="s">
        <v>16</v>
      </c>
      <c r="D237" s="2" t="s">
        <v>1369</v>
      </c>
      <c r="E237" s="2" t="s">
        <v>1319</v>
      </c>
      <c r="F237" s="2">
        <v>11</v>
      </c>
      <c r="G237" s="10">
        <v>4292</v>
      </c>
      <c r="H237" s="7">
        <v>4469.46</v>
      </c>
      <c r="I237" s="11">
        <f t="shared" si="3"/>
        <v>8.6778890959925442E-2</v>
      </c>
    </row>
    <row r="238" spans="1:9" x14ac:dyDescent="0.25">
      <c r="A238" s="2" t="s">
        <v>1741</v>
      </c>
      <c r="B238" s="2" t="s">
        <v>1742</v>
      </c>
      <c r="C238" s="2" t="s">
        <v>1353</v>
      </c>
      <c r="D238" s="2" t="s">
        <v>1342</v>
      </c>
      <c r="E238" s="2" t="s">
        <v>1319</v>
      </c>
      <c r="F238" s="2">
        <v>3</v>
      </c>
      <c r="G238" s="10">
        <v>5968</v>
      </c>
      <c r="H238" s="7">
        <v>9942.15</v>
      </c>
      <c r="I238" s="11">
        <f t="shared" si="3"/>
        <v>0.13882582104557639</v>
      </c>
    </row>
    <row r="239" spans="1:9" x14ac:dyDescent="0.25">
      <c r="A239" s="2" t="s">
        <v>1743</v>
      </c>
      <c r="B239" s="2" t="s">
        <v>1744</v>
      </c>
      <c r="C239" s="2" t="s">
        <v>1326</v>
      </c>
      <c r="D239" s="2" t="s">
        <v>1339</v>
      </c>
      <c r="E239" s="2" t="s">
        <v>1319</v>
      </c>
      <c r="F239" s="2">
        <v>9</v>
      </c>
      <c r="G239" s="10">
        <v>5368</v>
      </c>
      <c r="H239" s="7">
        <v>3072.55</v>
      </c>
      <c r="I239" s="11">
        <f t="shared" si="3"/>
        <v>4.7698553154495782E-2</v>
      </c>
    </row>
    <row r="240" spans="1:9" x14ac:dyDescent="0.25">
      <c r="A240" s="2" t="s">
        <v>1745</v>
      </c>
      <c r="B240" s="2" t="s">
        <v>1746</v>
      </c>
      <c r="C240" s="2" t="s">
        <v>1326</v>
      </c>
      <c r="D240" s="2" t="s">
        <v>1350</v>
      </c>
      <c r="E240" s="2" t="s">
        <v>1331</v>
      </c>
      <c r="F240" s="2">
        <v>20</v>
      </c>
      <c r="G240" s="10"/>
      <c r="H240" s="7">
        <v>4515.6400000000003</v>
      </c>
      <c r="I240" s="11" t="str">
        <f t="shared" si="3"/>
        <v>N/A</v>
      </c>
    </row>
    <row r="241" spans="1:9" x14ac:dyDescent="0.25">
      <c r="A241" s="2" t="s">
        <v>1747</v>
      </c>
      <c r="B241" s="2" t="s">
        <v>1437</v>
      </c>
      <c r="C241" s="2" t="s">
        <v>1330</v>
      </c>
      <c r="D241" s="2" t="s">
        <v>1336</v>
      </c>
      <c r="E241" s="2" t="s">
        <v>1331</v>
      </c>
      <c r="F241" s="2">
        <v>11</v>
      </c>
      <c r="G241" s="10">
        <v>1912</v>
      </c>
      <c r="H241" s="7">
        <v>2294.83</v>
      </c>
      <c r="I241" s="11">
        <f t="shared" si="3"/>
        <v>0.10001874128312413</v>
      </c>
    </row>
    <row r="242" spans="1:9" x14ac:dyDescent="0.25">
      <c r="A242" s="2" t="s">
        <v>1748</v>
      </c>
      <c r="B242" s="2" t="s">
        <v>1417</v>
      </c>
      <c r="C242" s="2" t="s">
        <v>1322</v>
      </c>
      <c r="D242" s="2" t="s">
        <v>1345</v>
      </c>
      <c r="E242" s="2" t="s">
        <v>1319</v>
      </c>
      <c r="F242" s="2">
        <v>23</v>
      </c>
      <c r="G242" s="10">
        <v>4725</v>
      </c>
      <c r="H242" s="7">
        <v>4097.6400000000003</v>
      </c>
      <c r="I242" s="11">
        <f t="shared" si="3"/>
        <v>7.226878306878308E-2</v>
      </c>
    </row>
    <row r="243" spans="1:9" x14ac:dyDescent="0.25">
      <c r="A243" s="2" t="s">
        <v>1749</v>
      </c>
      <c r="B243" s="2" t="s">
        <v>1750</v>
      </c>
      <c r="C243" s="2" t="s">
        <v>1353</v>
      </c>
      <c r="D243" s="2" t="s">
        <v>1369</v>
      </c>
      <c r="E243" s="2" t="s">
        <v>1319</v>
      </c>
      <c r="F243" s="2">
        <v>16</v>
      </c>
      <c r="G243" s="10">
        <v>7413</v>
      </c>
      <c r="H243" s="7">
        <v>12169.74</v>
      </c>
      <c r="I243" s="11">
        <f t="shared" si="3"/>
        <v>0.13680628625387831</v>
      </c>
    </row>
    <row r="244" spans="1:9" x14ac:dyDescent="0.25">
      <c r="A244" s="2" t="s">
        <v>1751</v>
      </c>
      <c r="B244" s="2" t="s">
        <v>1485</v>
      </c>
      <c r="C244" s="2" t="s">
        <v>1322</v>
      </c>
      <c r="D244" s="2" t="s">
        <v>1318</v>
      </c>
      <c r="E244" s="2" t="s">
        <v>1319</v>
      </c>
      <c r="F244" s="2">
        <v>21</v>
      </c>
      <c r="G244" s="10">
        <v>5249</v>
      </c>
      <c r="H244" s="7">
        <v>3111.13</v>
      </c>
      <c r="I244" s="11">
        <f t="shared" si="3"/>
        <v>4.9392423953768971E-2</v>
      </c>
    </row>
    <row r="245" spans="1:9" x14ac:dyDescent="0.25">
      <c r="A245" s="2" t="s">
        <v>1752</v>
      </c>
      <c r="B245" s="2" t="s">
        <v>1443</v>
      </c>
      <c r="C245" s="2" t="s">
        <v>1326</v>
      </c>
      <c r="D245" s="2" t="s">
        <v>1369</v>
      </c>
      <c r="E245" s="2" t="s">
        <v>1331</v>
      </c>
      <c r="F245" s="2">
        <v>5</v>
      </c>
      <c r="G245" s="10">
        <v>2998</v>
      </c>
      <c r="H245" s="7">
        <v>4515.01</v>
      </c>
      <c r="I245" s="11">
        <f t="shared" si="3"/>
        <v>0.1255006115187903</v>
      </c>
    </row>
    <row r="246" spans="1:9" x14ac:dyDescent="0.25">
      <c r="A246" s="2" t="s">
        <v>1753</v>
      </c>
      <c r="B246" s="2" t="s">
        <v>1699</v>
      </c>
      <c r="C246" s="2" t="s">
        <v>16</v>
      </c>
      <c r="D246" s="2" t="s">
        <v>1339</v>
      </c>
      <c r="E246" s="2" t="s">
        <v>1319</v>
      </c>
      <c r="F246" s="2">
        <v>23</v>
      </c>
      <c r="G246" s="10">
        <v>6755</v>
      </c>
      <c r="H246" s="7">
        <v>1682.43</v>
      </c>
      <c r="I246" s="11">
        <f t="shared" si="3"/>
        <v>2.0755366395262768E-2</v>
      </c>
    </row>
    <row r="247" spans="1:9" x14ac:dyDescent="0.25">
      <c r="A247" s="2" t="s">
        <v>1754</v>
      </c>
      <c r="B247" s="2" t="s">
        <v>1673</v>
      </c>
      <c r="C247" s="2" t="s">
        <v>1326</v>
      </c>
      <c r="D247" s="2" t="s">
        <v>1339</v>
      </c>
      <c r="E247" s="2" t="s">
        <v>1319</v>
      </c>
      <c r="F247" s="2">
        <v>12</v>
      </c>
      <c r="G247" s="10">
        <v>6649</v>
      </c>
      <c r="H247" s="7">
        <v>9312.07</v>
      </c>
      <c r="I247" s="11">
        <f t="shared" si="3"/>
        <v>0.11671015691582694</v>
      </c>
    </row>
    <row r="248" spans="1:9" x14ac:dyDescent="0.25">
      <c r="A248" s="2" t="s">
        <v>1755</v>
      </c>
      <c r="B248" s="2" t="s">
        <v>1756</v>
      </c>
      <c r="C248" s="2" t="s">
        <v>1353</v>
      </c>
      <c r="D248" s="2" t="s">
        <v>1354</v>
      </c>
      <c r="E248" s="2" t="s">
        <v>1331</v>
      </c>
      <c r="F248" s="2">
        <v>8</v>
      </c>
      <c r="G248" s="10">
        <v>2143</v>
      </c>
      <c r="H248" s="7">
        <v>1922.08</v>
      </c>
      <c r="I248" s="11">
        <f t="shared" si="3"/>
        <v>7.4742572717374389E-2</v>
      </c>
    </row>
    <row r="249" spans="1:9" x14ac:dyDescent="0.25">
      <c r="A249" s="2" t="s">
        <v>1757</v>
      </c>
      <c r="B249" s="2" t="s">
        <v>1758</v>
      </c>
      <c r="C249" s="2" t="s">
        <v>1326</v>
      </c>
      <c r="D249" s="2" t="s">
        <v>1342</v>
      </c>
      <c r="E249" s="2" t="s">
        <v>1331</v>
      </c>
      <c r="F249" s="2">
        <v>24</v>
      </c>
      <c r="G249" s="10">
        <v>2718</v>
      </c>
      <c r="H249" s="7">
        <v>2780.24</v>
      </c>
      <c r="I249" s="11">
        <f t="shared" si="3"/>
        <v>8.524159921510914E-2</v>
      </c>
    </row>
    <row r="250" spans="1:9" x14ac:dyDescent="0.25">
      <c r="A250" s="2" t="s">
        <v>1759</v>
      </c>
      <c r="B250" s="2" t="s">
        <v>1470</v>
      </c>
      <c r="C250" s="2" t="s">
        <v>1322</v>
      </c>
      <c r="D250" s="2" t="s">
        <v>1327</v>
      </c>
      <c r="E250" s="2" t="s">
        <v>1331</v>
      </c>
      <c r="F250" s="2">
        <v>4</v>
      </c>
      <c r="G250" s="10">
        <v>2218</v>
      </c>
      <c r="H250" s="7">
        <v>1723</v>
      </c>
      <c r="I250" s="11">
        <f t="shared" si="3"/>
        <v>6.473549744514577E-2</v>
      </c>
    </row>
    <row r="251" spans="1:9" x14ac:dyDescent="0.25">
      <c r="A251" s="2" t="s">
        <v>1760</v>
      </c>
      <c r="B251" s="2" t="s">
        <v>1761</v>
      </c>
      <c r="C251" s="2" t="s">
        <v>1317</v>
      </c>
      <c r="D251" s="2" t="s">
        <v>1318</v>
      </c>
      <c r="E251" s="2" t="s">
        <v>1331</v>
      </c>
      <c r="F251" s="2">
        <v>13</v>
      </c>
      <c r="G251" s="10">
        <v>3122</v>
      </c>
      <c r="H251" s="7">
        <v>4340.8100000000004</v>
      </c>
      <c r="I251" s="11">
        <f t="shared" si="3"/>
        <v>0.11586616485159087</v>
      </c>
    </row>
    <row r="252" spans="1:9" x14ac:dyDescent="0.25">
      <c r="A252" s="2" t="s">
        <v>1762</v>
      </c>
      <c r="B252" s="2" t="s">
        <v>1321</v>
      </c>
      <c r="C252" s="2" t="s">
        <v>1326</v>
      </c>
      <c r="D252" s="2" t="s">
        <v>1354</v>
      </c>
      <c r="E252" s="2" t="s">
        <v>1331</v>
      </c>
      <c r="F252" s="2">
        <v>24</v>
      </c>
      <c r="G252" s="10">
        <v>2778</v>
      </c>
      <c r="H252" s="7">
        <v>1740.38</v>
      </c>
      <c r="I252" s="11">
        <f t="shared" si="3"/>
        <v>5.2207223422126234E-2</v>
      </c>
    </row>
    <row r="253" spans="1:9" x14ac:dyDescent="0.25">
      <c r="A253" s="2" t="s">
        <v>1763</v>
      </c>
      <c r="B253" s="2" t="s">
        <v>1764</v>
      </c>
      <c r="C253" s="2" t="s">
        <v>16</v>
      </c>
      <c r="D253" s="2" t="s">
        <v>1339</v>
      </c>
      <c r="E253" s="2" t="s">
        <v>1319</v>
      </c>
      <c r="F253" s="2">
        <v>3</v>
      </c>
      <c r="G253" s="10">
        <v>5358</v>
      </c>
      <c r="H253" s="7">
        <v>9596.4</v>
      </c>
      <c r="I253" s="11">
        <f t="shared" si="3"/>
        <v>0.14925345278088839</v>
      </c>
    </row>
    <row r="254" spans="1:9" x14ac:dyDescent="0.25">
      <c r="A254" s="2" t="s">
        <v>1765</v>
      </c>
      <c r="B254" s="2" t="s">
        <v>1766</v>
      </c>
      <c r="C254" s="2" t="s">
        <v>1353</v>
      </c>
      <c r="D254" s="2" t="s">
        <v>1354</v>
      </c>
      <c r="E254" s="2" t="s">
        <v>1331</v>
      </c>
      <c r="F254" s="2">
        <v>25</v>
      </c>
      <c r="G254" s="10">
        <v>2111</v>
      </c>
      <c r="H254" s="7">
        <v>2815.62</v>
      </c>
      <c r="I254" s="11">
        <f t="shared" si="3"/>
        <v>0.11114874467077214</v>
      </c>
    </row>
    <row r="256" spans="1:9" x14ac:dyDescent="0.25">
      <c r="A256" s="23" t="s">
        <v>1767</v>
      </c>
      <c r="B256" s="23"/>
      <c r="C256" s="23"/>
      <c r="D256" s="23"/>
      <c r="E256" s="23"/>
      <c r="F256" s="23"/>
      <c r="G256" s="23"/>
      <c r="H256" s="23"/>
      <c r="I256" s="23"/>
    </row>
    <row r="257" spans="1:12" x14ac:dyDescent="0.25">
      <c r="A257" s="24" t="s">
        <v>1768</v>
      </c>
      <c r="B257" s="24"/>
      <c r="C257" s="24"/>
      <c r="D257" s="24"/>
      <c r="E257" s="24"/>
      <c r="F257" s="24"/>
      <c r="G257" s="12">
        <f>COUNTIFS($E$5:$E$254,"Cadre",$C$5:$C$254,"Commercial",$D$5:$D$254,"Paris")</f>
        <v>3</v>
      </c>
    </row>
    <row r="258" spans="1:12" x14ac:dyDescent="0.25">
      <c r="A258" s="24" t="s">
        <v>1769</v>
      </c>
      <c r="B258" s="24"/>
      <c r="C258" s="24"/>
      <c r="D258" s="24"/>
      <c r="E258" s="24"/>
      <c r="F258" s="24"/>
      <c r="G258" s="20">
        <f>DSUM($A$4:$I$254,$G$4,$K$262:$L$263)</f>
        <v>93110</v>
      </c>
    </row>
    <row r="259" spans="1:12" x14ac:dyDescent="0.25">
      <c r="A259" s="24" t="s">
        <v>1770</v>
      </c>
      <c r="B259" s="24"/>
      <c r="C259" s="24"/>
      <c r="D259" s="24"/>
      <c r="E259" s="24"/>
      <c r="F259" s="24"/>
      <c r="G259" s="20">
        <f>DAVERAGE($A$4:$I$254,$G$4,$K$266:$K$267)</f>
        <v>5297.166666666667</v>
      </c>
    </row>
    <row r="261" spans="1:12" x14ac:dyDescent="0.25">
      <c r="K261" s="23" t="s">
        <v>1771</v>
      </c>
      <c r="L261" s="23"/>
    </row>
    <row r="262" spans="1:12" x14ac:dyDescent="0.25">
      <c r="K262" s="2" t="s">
        <v>1309</v>
      </c>
      <c r="L262" s="2" t="s">
        <v>1311</v>
      </c>
    </row>
    <row r="263" spans="1:12" x14ac:dyDescent="0.25">
      <c r="K263" s="2" t="s">
        <v>16</v>
      </c>
      <c r="L263" s="2" t="s">
        <v>1772</v>
      </c>
    </row>
    <row r="265" spans="1:12" x14ac:dyDescent="0.25">
      <c r="K265" s="3" t="s">
        <v>1773</v>
      </c>
    </row>
    <row r="266" spans="1:12" x14ac:dyDescent="0.25">
      <c r="K266" s="2" t="s">
        <v>360</v>
      </c>
    </row>
    <row r="267" spans="1:12" x14ac:dyDescent="0.25">
      <c r="K267" s="2" t="s">
        <v>1319</v>
      </c>
    </row>
    <row r="269" spans="1:12" x14ac:dyDescent="0.25">
      <c r="A269" s="23" t="s">
        <v>1774</v>
      </c>
      <c r="B269" s="23"/>
      <c r="C269" s="23"/>
      <c r="D269" s="23"/>
      <c r="E269" s="23"/>
      <c r="F269" s="23"/>
      <c r="G269" s="23"/>
      <c r="H269" s="23"/>
    </row>
    <row r="270" spans="1:12" x14ac:dyDescent="0.25">
      <c r="C270" s="2" t="s">
        <v>1309</v>
      </c>
      <c r="E270" s="2" t="s">
        <v>360</v>
      </c>
      <c r="G270" s="2" t="s">
        <v>1312</v>
      </c>
    </row>
    <row r="271" spans="1:12" x14ac:dyDescent="0.25">
      <c r="C271" s="2" t="s">
        <v>16</v>
      </c>
      <c r="E271" s="2" t="s">
        <v>1319</v>
      </c>
      <c r="G271" s="2" t="s">
        <v>1775</v>
      </c>
    </row>
    <row r="273" spans="1:8" x14ac:dyDescent="0.25">
      <c r="A273" s="23" t="s">
        <v>1776</v>
      </c>
      <c r="B273" s="23"/>
      <c r="C273" s="23"/>
      <c r="D273" s="23"/>
      <c r="E273" s="23"/>
      <c r="F273" s="23"/>
      <c r="G273" s="23"/>
      <c r="H273" s="23"/>
    </row>
    <row r="274" spans="1:8" ht="27.75" customHeight="1" x14ac:dyDescent="0.25">
      <c r="A274" s="5" t="s">
        <v>1307</v>
      </c>
      <c r="B274" s="5" t="s">
        <v>1308</v>
      </c>
      <c r="C274" s="5" t="s">
        <v>1309</v>
      </c>
      <c r="D274" s="5" t="s">
        <v>1310</v>
      </c>
      <c r="E274" s="5" t="s">
        <v>360</v>
      </c>
      <c r="F274" s="5" t="s">
        <v>1311</v>
      </c>
      <c r="G274" s="5" t="s">
        <v>1312</v>
      </c>
      <c r="H274" s="5" t="s">
        <v>1313</v>
      </c>
    </row>
    <row r="275" spans="1:8" x14ac:dyDescent="0.25">
      <c r="A275" s="2" t="s">
        <v>1362</v>
      </c>
      <c r="B275" s="2" t="s">
        <v>28</v>
      </c>
      <c r="C275" s="2" t="s">
        <v>16</v>
      </c>
      <c r="D275" s="2" t="s">
        <v>1354</v>
      </c>
      <c r="E275" s="2" t="s">
        <v>1319</v>
      </c>
      <c r="F275" s="2">
        <v>9</v>
      </c>
      <c r="G275" s="10">
        <v>6267</v>
      </c>
      <c r="H275" s="7">
        <v>4468.91</v>
      </c>
    </row>
    <row r="276" spans="1:8" x14ac:dyDescent="0.25">
      <c r="A276" s="2" t="s">
        <v>1420</v>
      </c>
      <c r="B276" s="2" t="s">
        <v>1421</v>
      </c>
      <c r="C276" s="2" t="s">
        <v>16</v>
      </c>
      <c r="D276" s="2" t="s">
        <v>1369</v>
      </c>
      <c r="E276" s="2" t="s">
        <v>1319</v>
      </c>
      <c r="F276" s="2">
        <v>19</v>
      </c>
      <c r="G276" s="10">
        <v>5683</v>
      </c>
      <c r="H276" s="7">
        <v>8530.9</v>
      </c>
    </row>
    <row r="277" spans="1:8" x14ac:dyDescent="0.25">
      <c r="A277" s="2" t="s">
        <v>1476</v>
      </c>
      <c r="B277" s="2" t="s">
        <v>1477</v>
      </c>
      <c r="C277" s="2" t="s">
        <v>16</v>
      </c>
      <c r="D277" s="2" t="s">
        <v>1323</v>
      </c>
      <c r="E277" s="2" t="s">
        <v>1319</v>
      </c>
      <c r="F277" s="2">
        <v>5</v>
      </c>
      <c r="G277" s="10">
        <v>4993</v>
      </c>
      <c r="H277" s="7">
        <v>8094.63</v>
      </c>
    </row>
    <row r="278" spans="1:8" x14ac:dyDescent="0.25">
      <c r="A278" s="2" t="s">
        <v>1478</v>
      </c>
      <c r="B278" s="2" t="s">
        <v>1479</v>
      </c>
      <c r="C278" s="2" t="s">
        <v>16</v>
      </c>
      <c r="D278" s="2" t="s">
        <v>1354</v>
      </c>
      <c r="E278" s="2" t="s">
        <v>1319</v>
      </c>
      <c r="F278" s="2">
        <v>0</v>
      </c>
      <c r="G278" s="10">
        <v>4642</v>
      </c>
      <c r="H278" s="7">
        <v>7217.82</v>
      </c>
    </row>
    <row r="279" spans="1:8" x14ac:dyDescent="0.25">
      <c r="A279" s="2" t="s">
        <v>1524</v>
      </c>
      <c r="B279" s="2" t="s">
        <v>1525</v>
      </c>
      <c r="C279" s="2" t="s">
        <v>16</v>
      </c>
      <c r="D279" s="2" t="s">
        <v>1342</v>
      </c>
      <c r="E279" s="2" t="s">
        <v>1319</v>
      </c>
      <c r="F279" s="2">
        <v>10</v>
      </c>
      <c r="G279" s="10">
        <v>6402</v>
      </c>
      <c r="H279" s="7">
        <v>11325.58</v>
      </c>
    </row>
    <row r="280" spans="1:8" x14ac:dyDescent="0.25">
      <c r="A280" s="2" t="s">
        <v>1528</v>
      </c>
      <c r="B280" s="2" t="s">
        <v>1529</v>
      </c>
      <c r="C280" s="2" t="s">
        <v>16</v>
      </c>
      <c r="D280" s="2" t="s">
        <v>1327</v>
      </c>
      <c r="E280" s="2" t="s">
        <v>1319</v>
      </c>
      <c r="F280" s="2">
        <v>17</v>
      </c>
      <c r="G280" s="10">
        <v>4655</v>
      </c>
      <c r="H280" s="7">
        <v>1350.01</v>
      </c>
    </row>
    <row r="281" spans="1:8" x14ac:dyDescent="0.25">
      <c r="A281" s="2" t="s">
        <v>1530</v>
      </c>
      <c r="B281" s="2" t="s">
        <v>1531</v>
      </c>
      <c r="C281" s="2" t="s">
        <v>16</v>
      </c>
      <c r="D281" s="2" t="s">
        <v>1342</v>
      </c>
      <c r="E281" s="2" t="s">
        <v>1319</v>
      </c>
      <c r="F281" s="2">
        <v>12</v>
      </c>
      <c r="G281" s="10">
        <v>5525</v>
      </c>
      <c r="H281" s="7">
        <v>3100.59</v>
      </c>
    </row>
    <row r="282" spans="1:8" x14ac:dyDescent="0.25">
      <c r="A282" s="2" t="s">
        <v>1577</v>
      </c>
      <c r="B282" s="2" t="s">
        <v>1578</v>
      </c>
      <c r="C282" s="2" t="s">
        <v>16</v>
      </c>
      <c r="D282" s="2" t="s">
        <v>1339</v>
      </c>
      <c r="E282" s="2" t="s">
        <v>1319</v>
      </c>
      <c r="F282" s="2">
        <v>20</v>
      </c>
      <c r="G282" s="10">
        <v>5790</v>
      </c>
      <c r="H282" s="7">
        <v>1497.82</v>
      </c>
    </row>
    <row r="283" spans="1:8" x14ac:dyDescent="0.25">
      <c r="A283" s="2" t="s">
        <v>1727</v>
      </c>
      <c r="B283" s="2" t="s">
        <v>1460</v>
      </c>
      <c r="C283" s="2" t="s">
        <v>16</v>
      </c>
      <c r="D283" s="2" t="s">
        <v>1345</v>
      </c>
      <c r="E283" s="2" t="s">
        <v>1319</v>
      </c>
      <c r="F283" s="2">
        <v>21</v>
      </c>
      <c r="G283" s="10">
        <v>7407</v>
      </c>
      <c r="H283" s="7">
        <v>10018.91</v>
      </c>
    </row>
    <row r="284" spans="1:8" x14ac:dyDescent="0.25">
      <c r="A284" s="2" t="s">
        <v>1739</v>
      </c>
      <c r="B284" s="2" t="s">
        <v>1740</v>
      </c>
      <c r="C284" s="2" t="s">
        <v>16</v>
      </c>
      <c r="D284" s="2" t="s">
        <v>1369</v>
      </c>
      <c r="E284" s="2" t="s">
        <v>1319</v>
      </c>
      <c r="F284" s="2">
        <v>11</v>
      </c>
      <c r="G284" s="10">
        <v>4292</v>
      </c>
      <c r="H284" s="7">
        <v>4469.46</v>
      </c>
    </row>
    <row r="285" spans="1:8" x14ac:dyDescent="0.25">
      <c r="A285" s="2" t="s">
        <v>1753</v>
      </c>
      <c r="B285" s="2" t="s">
        <v>1699</v>
      </c>
      <c r="C285" s="2" t="s">
        <v>16</v>
      </c>
      <c r="D285" s="2" t="s">
        <v>1339</v>
      </c>
      <c r="E285" s="2" t="s">
        <v>1319</v>
      </c>
      <c r="F285" s="2">
        <v>23</v>
      </c>
      <c r="G285" s="10">
        <v>6755</v>
      </c>
      <c r="H285" s="7">
        <v>1682.43</v>
      </c>
    </row>
    <row r="286" spans="1:8" x14ac:dyDescent="0.25">
      <c r="A286" s="2" t="s">
        <v>1763</v>
      </c>
      <c r="B286" s="2" t="s">
        <v>1764</v>
      </c>
      <c r="C286" s="2" t="s">
        <v>16</v>
      </c>
      <c r="D286" s="2" t="s">
        <v>1339</v>
      </c>
      <c r="E286" s="2" t="s">
        <v>1319</v>
      </c>
      <c r="F286" s="2">
        <v>3</v>
      </c>
      <c r="G286" s="10">
        <v>5358</v>
      </c>
      <c r="H286" s="7">
        <v>9596.4</v>
      </c>
    </row>
  </sheetData>
  <sheetProtection algorithmName="SHA-512" hashValue="LrscqiTukSwlS0OcJpr64O+jkJ+4L4m59j+OMeJIwqANQv2OsV+gqNSxtMpBuIWimSdHKTSgnCJi6v902Dq0jQ==" saltValue="sBniUD8sFKjNn7pKO+4xSg==" spinCount="100000" sheet="1" objects="1" scenarios="1"/>
  <mergeCells count="8">
    <mergeCell ref="K261:L261"/>
    <mergeCell ref="A269:H269"/>
    <mergeCell ref="A273:H273"/>
    <mergeCell ref="A1:I1"/>
    <mergeCell ref="A256:I256"/>
    <mergeCell ref="A257:F257"/>
    <mergeCell ref="A258:F258"/>
    <mergeCell ref="A259:F25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C59AD-B0C8-4ADB-A598-B7C2B971254F}">
  <dimension ref="A1:G9"/>
  <sheetViews>
    <sheetView workbookViewId="0"/>
  </sheetViews>
  <sheetFormatPr baseColWidth="10" defaultRowHeight="15" x14ac:dyDescent="0.25"/>
  <cols>
    <col min="1" max="1" width="48" bestFit="1" customWidth="1"/>
    <col min="2" max="2" width="23.85546875" bestFit="1" customWidth="1"/>
    <col min="3" max="6" width="15.42578125" bestFit="1" customWidth="1"/>
    <col min="7" max="7" width="16.5703125" bestFit="1" customWidth="1"/>
  </cols>
  <sheetData>
    <row r="1" spans="1:7" x14ac:dyDescent="0.25">
      <c r="A1" s="19" t="s">
        <v>2583</v>
      </c>
    </row>
    <row r="3" spans="1:7" x14ac:dyDescent="0.25">
      <c r="A3" s="15" t="s">
        <v>2582</v>
      </c>
      <c r="B3" s="15" t="s">
        <v>2576</v>
      </c>
    </row>
    <row r="4" spans="1:7" x14ac:dyDescent="0.25">
      <c r="A4" s="15" t="s">
        <v>2574</v>
      </c>
      <c r="B4" t="s">
        <v>56</v>
      </c>
      <c r="C4" t="s">
        <v>31</v>
      </c>
      <c r="D4" t="s">
        <v>16</v>
      </c>
      <c r="E4" t="s">
        <v>50</v>
      </c>
      <c r="F4" t="s">
        <v>21</v>
      </c>
      <c r="G4" t="s">
        <v>2575</v>
      </c>
    </row>
    <row r="5" spans="1:7" x14ac:dyDescent="0.25">
      <c r="A5" s="16" t="s">
        <v>1318</v>
      </c>
      <c r="B5" s="17">
        <v>711953.95</v>
      </c>
      <c r="C5" s="17">
        <v>703484.47</v>
      </c>
      <c r="D5" s="17">
        <v>862889.79999999993</v>
      </c>
      <c r="E5" s="17">
        <v>600633.92999999993</v>
      </c>
      <c r="F5" s="17">
        <v>821181.19000000006</v>
      </c>
      <c r="G5" s="17">
        <v>3700143.3399999994</v>
      </c>
    </row>
    <row r="6" spans="1:7" x14ac:dyDescent="0.25">
      <c r="A6" s="16" t="s">
        <v>1354</v>
      </c>
      <c r="B6" s="17">
        <v>773263.23</v>
      </c>
      <c r="C6" s="17">
        <v>842266.11</v>
      </c>
      <c r="D6" s="17">
        <v>564962.19999999995</v>
      </c>
      <c r="E6" s="17">
        <v>708579.34</v>
      </c>
      <c r="F6" s="17">
        <v>352539.33999999997</v>
      </c>
      <c r="G6" s="17">
        <v>3241610.2199999997</v>
      </c>
    </row>
    <row r="7" spans="1:7" x14ac:dyDescent="0.25">
      <c r="A7" s="16" t="s">
        <v>1336</v>
      </c>
      <c r="B7" s="17">
        <v>581725.86999999988</v>
      </c>
      <c r="C7" s="17">
        <v>722252.56</v>
      </c>
      <c r="D7" s="17">
        <v>804533.94000000006</v>
      </c>
      <c r="E7" s="17">
        <v>454823.29999999993</v>
      </c>
      <c r="F7" s="17">
        <v>541209.83999999985</v>
      </c>
      <c r="G7" s="17">
        <v>3104545.51</v>
      </c>
    </row>
    <row r="8" spans="1:7" x14ac:dyDescent="0.25">
      <c r="A8" s="16" t="s">
        <v>1327</v>
      </c>
      <c r="B8" s="17">
        <v>465776.66000000003</v>
      </c>
      <c r="C8" s="17">
        <v>513146.08000000007</v>
      </c>
      <c r="D8" s="17">
        <v>960395.7000000003</v>
      </c>
      <c r="E8" s="17">
        <v>517405.91000000003</v>
      </c>
      <c r="F8" s="17">
        <v>381489.68999999994</v>
      </c>
      <c r="G8" s="17">
        <v>2838214.0400000005</v>
      </c>
    </row>
    <row r="9" spans="1:7" x14ac:dyDescent="0.25">
      <c r="A9" s="16" t="s">
        <v>2575</v>
      </c>
      <c r="B9" s="17">
        <v>2532719.71</v>
      </c>
      <c r="C9" s="17">
        <v>2781149.22</v>
      </c>
      <c r="D9" s="17">
        <v>3192781.64</v>
      </c>
      <c r="E9" s="17">
        <v>2281442.48</v>
      </c>
      <c r="F9" s="17">
        <v>2096420.0599999998</v>
      </c>
      <c r="G9" s="17">
        <v>12884513.109999999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I359"/>
  <sheetViews>
    <sheetView zoomScaleNormal="100" workbookViewId="0">
      <pane ySplit="4" topLeftCell="A5" activePane="bottomLeft" state="frozen"/>
      <selection pane="bottomLeft" sqref="A1:I1"/>
    </sheetView>
  </sheetViews>
  <sheetFormatPr baseColWidth="10" defaultColWidth="8.7109375" defaultRowHeight="15" x14ac:dyDescent="0.25"/>
  <cols>
    <col min="1" max="1" width="95.5703125" bestFit="1" customWidth="1"/>
    <col min="2" max="2" width="19.42578125" bestFit="1" customWidth="1"/>
    <col min="3" max="3" width="14.42578125" bestFit="1" customWidth="1"/>
    <col min="4" max="4" width="13.140625" bestFit="1" customWidth="1"/>
    <col min="5" max="5" width="16.140625" bestFit="1" customWidth="1"/>
    <col min="6" max="6" width="10.28515625" bestFit="1" customWidth="1"/>
    <col min="7" max="7" width="16.85546875" bestFit="1" customWidth="1"/>
    <col min="8" max="8" width="16.7109375" bestFit="1" customWidth="1"/>
    <col min="9" max="9" width="20.28515625" bestFit="1" customWidth="1"/>
  </cols>
  <sheetData>
    <row r="1" spans="1:9" ht="25.5" customHeight="1" x14ac:dyDescent="0.25">
      <c r="A1" s="21" t="s">
        <v>1777</v>
      </c>
      <c r="B1" s="21"/>
      <c r="C1" s="21"/>
      <c r="D1" s="21"/>
      <c r="E1" s="21"/>
      <c r="F1" s="21"/>
      <c r="G1" s="21"/>
      <c r="H1" s="21"/>
      <c r="I1" s="21"/>
    </row>
    <row r="2" spans="1:9" x14ac:dyDescent="0.25">
      <c r="A2" s="4" t="s">
        <v>1778</v>
      </c>
    </row>
    <row r="4" spans="1:9" ht="27.75" customHeight="1" x14ac:dyDescent="0.25">
      <c r="A4" s="5" t="s">
        <v>1779</v>
      </c>
      <c r="B4" s="5" t="s">
        <v>1780</v>
      </c>
      <c r="C4" s="5" t="s">
        <v>7</v>
      </c>
      <c r="D4" s="5" t="s">
        <v>1781</v>
      </c>
      <c r="E4" s="5" t="s">
        <v>1782</v>
      </c>
      <c r="F4" s="5" t="s">
        <v>1783</v>
      </c>
      <c r="G4" s="5" t="s">
        <v>9</v>
      </c>
      <c r="H4" s="5" t="s">
        <v>1784</v>
      </c>
      <c r="I4" s="5" t="s">
        <v>1785</v>
      </c>
    </row>
    <row r="5" spans="1:9" x14ac:dyDescent="0.25">
      <c r="A5" s="2" t="s">
        <v>1837</v>
      </c>
      <c r="B5" s="2" t="s">
        <v>15</v>
      </c>
      <c r="C5" s="2" t="s">
        <v>16</v>
      </c>
      <c r="D5" s="2" t="s">
        <v>1318</v>
      </c>
      <c r="E5" s="2">
        <v>295</v>
      </c>
      <c r="F5" s="2">
        <v>59</v>
      </c>
      <c r="G5" s="7">
        <v>479.87</v>
      </c>
      <c r="H5" s="7">
        <f t="shared" ref="H5:H68" si="0">E5*G5</f>
        <v>141561.65</v>
      </c>
      <c r="I5" s="13">
        <f t="shared" ref="I5:I68" si="1">IFERROR(E5/F5,"Seuil non defini")</f>
        <v>5</v>
      </c>
    </row>
    <row r="6" spans="1:9" hidden="1" x14ac:dyDescent="0.25">
      <c r="A6" s="2" t="s">
        <v>2083</v>
      </c>
      <c r="B6" s="2" t="s">
        <v>30</v>
      </c>
      <c r="C6" s="2" t="s">
        <v>31</v>
      </c>
      <c r="D6" s="2" t="s">
        <v>1318</v>
      </c>
      <c r="E6" s="2">
        <v>277</v>
      </c>
      <c r="F6" s="2">
        <v>49</v>
      </c>
      <c r="G6" s="7">
        <v>468.74</v>
      </c>
      <c r="H6" s="7">
        <f t="shared" si="0"/>
        <v>129840.98</v>
      </c>
      <c r="I6" s="13">
        <f t="shared" si="1"/>
        <v>5.6530612244897958</v>
      </c>
    </row>
    <row r="7" spans="1:9" hidden="1" x14ac:dyDescent="0.25">
      <c r="A7" s="2" t="s">
        <v>1879</v>
      </c>
      <c r="B7" s="2" t="s">
        <v>74</v>
      </c>
      <c r="C7" s="2" t="s">
        <v>56</v>
      </c>
      <c r="D7" s="2" t="s">
        <v>1318</v>
      </c>
      <c r="E7" s="2">
        <v>262</v>
      </c>
      <c r="F7" s="2">
        <v>84</v>
      </c>
      <c r="G7" s="7">
        <v>476.12</v>
      </c>
      <c r="H7" s="7">
        <f t="shared" si="0"/>
        <v>124743.44</v>
      </c>
      <c r="I7" s="13">
        <f t="shared" si="1"/>
        <v>3.1190476190476191</v>
      </c>
    </row>
    <row r="8" spans="1:9" hidden="1" x14ac:dyDescent="0.25">
      <c r="A8" s="2" t="s">
        <v>1933</v>
      </c>
      <c r="B8" s="2" t="s">
        <v>102</v>
      </c>
      <c r="C8" s="2" t="s">
        <v>31</v>
      </c>
      <c r="D8" s="2" t="s">
        <v>1318</v>
      </c>
      <c r="E8" s="2">
        <v>246</v>
      </c>
      <c r="F8" s="2">
        <v>30</v>
      </c>
      <c r="G8" s="7">
        <v>476.71</v>
      </c>
      <c r="H8" s="7">
        <f t="shared" si="0"/>
        <v>117270.65999999999</v>
      </c>
      <c r="I8" s="13">
        <f t="shared" si="1"/>
        <v>8.1999999999999993</v>
      </c>
    </row>
    <row r="9" spans="1:9" x14ac:dyDescent="0.25">
      <c r="A9" s="2" t="s">
        <v>1876</v>
      </c>
      <c r="B9" s="2" t="s">
        <v>26</v>
      </c>
      <c r="C9" s="2" t="s">
        <v>16</v>
      </c>
      <c r="D9" s="2" t="s">
        <v>1318</v>
      </c>
      <c r="E9" s="2">
        <v>235</v>
      </c>
      <c r="F9" s="2">
        <v>38</v>
      </c>
      <c r="G9" s="7">
        <v>493.1</v>
      </c>
      <c r="H9" s="7">
        <f t="shared" si="0"/>
        <v>115878.5</v>
      </c>
      <c r="I9" s="13">
        <f t="shared" si="1"/>
        <v>6.1842105263157894</v>
      </c>
    </row>
    <row r="10" spans="1:9" hidden="1" x14ac:dyDescent="0.25">
      <c r="A10" s="2" t="s">
        <v>1939</v>
      </c>
      <c r="B10" s="2" t="s">
        <v>30</v>
      </c>
      <c r="C10" s="2" t="s">
        <v>31</v>
      </c>
      <c r="D10" s="2" t="s">
        <v>1318</v>
      </c>
      <c r="E10" s="2">
        <v>230</v>
      </c>
      <c r="F10" s="2">
        <v>26</v>
      </c>
      <c r="G10" s="7">
        <v>444.95</v>
      </c>
      <c r="H10" s="7">
        <f t="shared" si="0"/>
        <v>102338.5</v>
      </c>
      <c r="I10" s="13">
        <f t="shared" si="1"/>
        <v>8.8461538461538467</v>
      </c>
    </row>
    <row r="11" spans="1:9" hidden="1" x14ac:dyDescent="0.25">
      <c r="A11" s="2" t="s">
        <v>1963</v>
      </c>
      <c r="B11" s="2" t="s">
        <v>43</v>
      </c>
      <c r="C11" s="2" t="s">
        <v>21</v>
      </c>
      <c r="D11" s="2" t="s">
        <v>1318</v>
      </c>
      <c r="E11" s="2">
        <v>295</v>
      </c>
      <c r="F11" s="2">
        <v>66</v>
      </c>
      <c r="G11" s="7">
        <v>331.31</v>
      </c>
      <c r="H11" s="7">
        <f t="shared" si="0"/>
        <v>97736.45</v>
      </c>
      <c r="I11" s="13">
        <f t="shared" si="1"/>
        <v>4.4696969696969697</v>
      </c>
    </row>
    <row r="12" spans="1:9" hidden="1" x14ac:dyDescent="0.25">
      <c r="A12" s="2" t="s">
        <v>2024</v>
      </c>
      <c r="B12" s="2" t="s">
        <v>67</v>
      </c>
      <c r="C12" s="2" t="s">
        <v>21</v>
      </c>
      <c r="D12" s="2" t="s">
        <v>1318</v>
      </c>
      <c r="E12" s="2">
        <v>200</v>
      </c>
      <c r="F12" s="2">
        <v>12</v>
      </c>
      <c r="G12" s="7">
        <v>463.17</v>
      </c>
      <c r="H12" s="7">
        <f t="shared" si="0"/>
        <v>92634</v>
      </c>
      <c r="I12" s="13">
        <f t="shared" si="1"/>
        <v>16.666666666666668</v>
      </c>
    </row>
    <row r="13" spans="1:9" hidden="1" x14ac:dyDescent="0.25">
      <c r="A13" s="2" t="s">
        <v>2008</v>
      </c>
      <c r="B13" s="2" t="s">
        <v>112</v>
      </c>
      <c r="C13" s="2" t="s">
        <v>56</v>
      </c>
      <c r="D13" s="2" t="s">
        <v>1318</v>
      </c>
      <c r="E13" s="2">
        <v>204</v>
      </c>
      <c r="F13" s="2">
        <v>17</v>
      </c>
      <c r="G13" s="7">
        <v>446.73</v>
      </c>
      <c r="H13" s="7">
        <f t="shared" si="0"/>
        <v>91132.92</v>
      </c>
      <c r="I13" s="13">
        <f t="shared" si="1"/>
        <v>12</v>
      </c>
    </row>
    <row r="14" spans="1:9" hidden="1" x14ac:dyDescent="0.25">
      <c r="A14" s="2" t="s">
        <v>1811</v>
      </c>
      <c r="B14" s="2" t="s">
        <v>36</v>
      </c>
      <c r="C14" s="2" t="s">
        <v>21</v>
      </c>
      <c r="D14" s="2" t="s">
        <v>1318</v>
      </c>
      <c r="E14" s="2">
        <v>166</v>
      </c>
      <c r="F14" s="2">
        <v>15</v>
      </c>
      <c r="G14" s="7">
        <v>473.32</v>
      </c>
      <c r="H14" s="7">
        <f t="shared" si="0"/>
        <v>78571.12</v>
      </c>
      <c r="I14" s="13">
        <f t="shared" si="1"/>
        <v>11.066666666666666</v>
      </c>
    </row>
    <row r="15" spans="1:9" hidden="1" x14ac:dyDescent="0.25">
      <c r="A15" s="2" t="s">
        <v>2086</v>
      </c>
      <c r="B15" s="2" t="s">
        <v>67</v>
      </c>
      <c r="C15" s="2" t="s">
        <v>21</v>
      </c>
      <c r="D15" s="2" t="s">
        <v>1318</v>
      </c>
      <c r="E15" s="2">
        <v>217</v>
      </c>
      <c r="F15" s="2">
        <v>78</v>
      </c>
      <c r="G15" s="7">
        <v>360.17</v>
      </c>
      <c r="H15" s="7">
        <f t="shared" si="0"/>
        <v>78156.89</v>
      </c>
      <c r="I15" s="13">
        <f t="shared" si="1"/>
        <v>2.7820512820512819</v>
      </c>
    </row>
    <row r="16" spans="1:9" hidden="1" x14ac:dyDescent="0.25">
      <c r="A16" s="2" t="s">
        <v>2103</v>
      </c>
      <c r="B16" s="2" t="s">
        <v>36</v>
      </c>
      <c r="C16" s="2" t="s">
        <v>21</v>
      </c>
      <c r="D16" s="2" t="s">
        <v>1318</v>
      </c>
      <c r="E16" s="2">
        <v>171</v>
      </c>
      <c r="F16" s="2">
        <v>57</v>
      </c>
      <c r="G16" s="7">
        <v>448.9</v>
      </c>
      <c r="H16" s="7">
        <f t="shared" si="0"/>
        <v>76761.899999999994</v>
      </c>
      <c r="I16" s="13">
        <f t="shared" si="1"/>
        <v>3</v>
      </c>
    </row>
    <row r="17" spans="1:9" hidden="1" x14ac:dyDescent="0.25">
      <c r="A17" s="2" t="s">
        <v>1799</v>
      </c>
      <c r="B17" s="2" t="s">
        <v>123</v>
      </c>
      <c r="C17" s="2" t="s">
        <v>50</v>
      </c>
      <c r="D17" s="2" t="s">
        <v>1318</v>
      </c>
      <c r="E17" s="2">
        <v>214</v>
      </c>
      <c r="F17" s="2">
        <v>75</v>
      </c>
      <c r="G17" s="7">
        <v>356.38</v>
      </c>
      <c r="H17" s="7">
        <f t="shared" si="0"/>
        <v>76265.319999999992</v>
      </c>
      <c r="I17" s="13">
        <f t="shared" si="1"/>
        <v>2.8533333333333335</v>
      </c>
    </row>
    <row r="18" spans="1:9" hidden="1" x14ac:dyDescent="0.25">
      <c r="A18" s="2" t="s">
        <v>2049</v>
      </c>
      <c r="B18" s="2" t="s">
        <v>123</v>
      </c>
      <c r="C18" s="2" t="s">
        <v>50</v>
      </c>
      <c r="D18" s="2" t="s">
        <v>1318</v>
      </c>
      <c r="E18" s="2">
        <v>292</v>
      </c>
      <c r="F18" s="2">
        <v>65</v>
      </c>
      <c r="G18" s="7">
        <v>251.42</v>
      </c>
      <c r="H18" s="7">
        <f t="shared" si="0"/>
        <v>73414.64</v>
      </c>
      <c r="I18" s="13">
        <f t="shared" si="1"/>
        <v>4.4923076923076923</v>
      </c>
    </row>
    <row r="19" spans="1:9" hidden="1" x14ac:dyDescent="0.25">
      <c r="A19" s="2" t="s">
        <v>1794</v>
      </c>
      <c r="B19" s="2" t="s">
        <v>102</v>
      </c>
      <c r="C19" s="2" t="s">
        <v>31</v>
      </c>
      <c r="D19" s="2" t="s">
        <v>1318</v>
      </c>
      <c r="E19" s="2">
        <v>185</v>
      </c>
      <c r="F19" s="2">
        <v>100</v>
      </c>
      <c r="G19" s="7">
        <v>389.85</v>
      </c>
      <c r="H19" s="7">
        <f t="shared" si="0"/>
        <v>72122.25</v>
      </c>
      <c r="I19" s="13">
        <f t="shared" si="1"/>
        <v>1.85</v>
      </c>
    </row>
    <row r="20" spans="1:9" x14ac:dyDescent="0.25">
      <c r="A20" s="2" t="s">
        <v>2072</v>
      </c>
      <c r="B20" s="2" t="s">
        <v>61</v>
      </c>
      <c r="C20" s="2" t="s">
        <v>16</v>
      </c>
      <c r="D20" s="2" t="s">
        <v>1318</v>
      </c>
      <c r="E20" s="2">
        <v>278</v>
      </c>
      <c r="F20" s="2">
        <v>31</v>
      </c>
      <c r="G20" s="7">
        <v>248.47</v>
      </c>
      <c r="H20" s="7">
        <f t="shared" si="0"/>
        <v>69074.66</v>
      </c>
      <c r="I20" s="13">
        <f t="shared" si="1"/>
        <v>8.9677419354838701</v>
      </c>
    </row>
    <row r="21" spans="1:9" hidden="1" x14ac:dyDescent="0.25">
      <c r="A21" s="2" t="s">
        <v>1937</v>
      </c>
      <c r="B21" s="2" t="s">
        <v>112</v>
      </c>
      <c r="C21" s="2" t="s">
        <v>56</v>
      </c>
      <c r="D21" s="2" t="s">
        <v>1318</v>
      </c>
      <c r="E21" s="2">
        <v>228</v>
      </c>
      <c r="F21" s="2">
        <v>59</v>
      </c>
      <c r="G21" s="7">
        <v>298.97000000000003</v>
      </c>
      <c r="H21" s="7">
        <f t="shared" si="0"/>
        <v>68165.16</v>
      </c>
      <c r="I21" s="13">
        <f t="shared" si="1"/>
        <v>3.8644067796610169</v>
      </c>
    </row>
    <row r="22" spans="1:9" x14ac:dyDescent="0.25">
      <c r="A22" s="2" t="s">
        <v>1883</v>
      </c>
      <c r="B22" s="2" t="s">
        <v>26</v>
      </c>
      <c r="C22" s="2" t="s">
        <v>16</v>
      </c>
      <c r="D22" s="2" t="s">
        <v>1318</v>
      </c>
      <c r="E22" s="2">
        <v>198</v>
      </c>
      <c r="F22" s="2">
        <v>64</v>
      </c>
      <c r="G22" s="7">
        <v>335.24</v>
      </c>
      <c r="H22" s="7">
        <f t="shared" si="0"/>
        <v>66377.52</v>
      </c>
      <c r="I22" s="13">
        <f t="shared" si="1"/>
        <v>3.09375</v>
      </c>
    </row>
    <row r="23" spans="1:9" hidden="1" x14ac:dyDescent="0.25">
      <c r="A23" s="2" t="s">
        <v>1806</v>
      </c>
      <c r="B23" s="2" t="s">
        <v>20</v>
      </c>
      <c r="C23" s="2" t="s">
        <v>21</v>
      </c>
      <c r="D23" s="2" t="s">
        <v>1318</v>
      </c>
      <c r="E23" s="2">
        <v>262</v>
      </c>
      <c r="F23" s="2">
        <v>63</v>
      </c>
      <c r="G23" s="7">
        <v>252.9</v>
      </c>
      <c r="H23" s="7">
        <f t="shared" si="0"/>
        <v>66259.8</v>
      </c>
      <c r="I23" s="13">
        <f t="shared" si="1"/>
        <v>4.1587301587301591</v>
      </c>
    </row>
    <row r="24" spans="1:9" hidden="1" x14ac:dyDescent="0.25">
      <c r="A24" s="2" t="s">
        <v>1973</v>
      </c>
      <c r="B24" s="2" t="s">
        <v>30</v>
      </c>
      <c r="C24" s="2" t="s">
        <v>31</v>
      </c>
      <c r="D24" s="2" t="s">
        <v>1318</v>
      </c>
      <c r="E24" s="2">
        <v>243</v>
      </c>
      <c r="F24" s="2">
        <v>89</v>
      </c>
      <c r="G24" s="7">
        <v>266.38</v>
      </c>
      <c r="H24" s="7">
        <f t="shared" si="0"/>
        <v>64730.34</v>
      </c>
      <c r="I24" s="13">
        <f t="shared" si="1"/>
        <v>2.7303370786516852</v>
      </c>
    </row>
    <row r="25" spans="1:9" hidden="1" x14ac:dyDescent="0.25">
      <c r="A25" s="2" t="s">
        <v>1922</v>
      </c>
      <c r="B25" s="2" t="s">
        <v>123</v>
      </c>
      <c r="C25" s="2" t="s">
        <v>50</v>
      </c>
      <c r="D25" s="2" t="s">
        <v>1318</v>
      </c>
      <c r="E25" s="2">
        <v>193</v>
      </c>
      <c r="F25" s="2">
        <v>38</v>
      </c>
      <c r="G25" s="7">
        <v>330.31</v>
      </c>
      <c r="H25" s="7">
        <f t="shared" si="0"/>
        <v>63749.83</v>
      </c>
      <c r="I25" s="13">
        <f t="shared" si="1"/>
        <v>5.0789473684210522</v>
      </c>
    </row>
    <row r="26" spans="1:9" hidden="1" x14ac:dyDescent="0.25">
      <c r="A26" s="2" t="s">
        <v>1999</v>
      </c>
      <c r="B26" s="2" t="s">
        <v>20</v>
      </c>
      <c r="C26" s="2" t="s">
        <v>21</v>
      </c>
      <c r="D26" s="2" t="s">
        <v>1318</v>
      </c>
      <c r="E26" s="2">
        <v>221</v>
      </c>
      <c r="F26" s="2">
        <v>63</v>
      </c>
      <c r="G26" s="7">
        <v>284.2</v>
      </c>
      <c r="H26" s="7">
        <f t="shared" si="0"/>
        <v>62808.2</v>
      </c>
      <c r="I26" s="13">
        <f t="shared" si="1"/>
        <v>3.5079365079365079</v>
      </c>
    </row>
    <row r="27" spans="1:9" hidden="1" x14ac:dyDescent="0.25">
      <c r="A27" s="2" t="s">
        <v>1940</v>
      </c>
      <c r="B27" s="2" t="s">
        <v>67</v>
      </c>
      <c r="C27" s="2" t="s">
        <v>21</v>
      </c>
      <c r="D27" s="2" t="s">
        <v>1318</v>
      </c>
      <c r="E27" s="2">
        <v>150</v>
      </c>
      <c r="F27" s="2">
        <v>82</v>
      </c>
      <c r="G27" s="7">
        <v>413.69</v>
      </c>
      <c r="H27" s="7">
        <f t="shared" si="0"/>
        <v>62053.5</v>
      </c>
      <c r="I27" s="13">
        <f t="shared" si="1"/>
        <v>1.8292682926829269</v>
      </c>
    </row>
    <row r="28" spans="1:9" hidden="1" x14ac:dyDescent="0.25">
      <c r="A28" s="2" t="s">
        <v>2073</v>
      </c>
      <c r="B28" s="2" t="s">
        <v>52</v>
      </c>
      <c r="C28" s="2" t="s">
        <v>50</v>
      </c>
      <c r="D28" s="2" t="s">
        <v>1318</v>
      </c>
      <c r="E28" s="2">
        <v>154</v>
      </c>
      <c r="F28" s="2">
        <v>51</v>
      </c>
      <c r="G28" s="7">
        <v>390.54</v>
      </c>
      <c r="H28" s="7">
        <f t="shared" si="0"/>
        <v>60143.16</v>
      </c>
      <c r="I28" s="13">
        <f t="shared" si="1"/>
        <v>3.0196078431372548</v>
      </c>
    </row>
    <row r="29" spans="1:9" hidden="1" x14ac:dyDescent="0.25">
      <c r="A29" s="2" t="s">
        <v>2109</v>
      </c>
      <c r="B29" s="2" t="s">
        <v>67</v>
      </c>
      <c r="C29" s="2" t="s">
        <v>21</v>
      </c>
      <c r="D29" s="2" t="s">
        <v>1318</v>
      </c>
      <c r="E29" s="2">
        <v>268</v>
      </c>
      <c r="F29" s="2">
        <v>71</v>
      </c>
      <c r="G29" s="7">
        <v>221.63</v>
      </c>
      <c r="H29" s="7">
        <f t="shared" si="0"/>
        <v>59396.84</v>
      </c>
      <c r="I29" s="13">
        <f t="shared" si="1"/>
        <v>3.7746478873239435</v>
      </c>
    </row>
    <row r="30" spans="1:9" x14ac:dyDescent="0.25">
      <c r="A30" s="2" t="s">
        <v>1897</v>
      </c>
      <c r="B30" s="2" t="s">
        <v>26</v>
      </c>
      <c r="C30" s="2" t="s">
        <v>16</v>
      </c>
      <c r="D30" s="2" t="s">
        <v>1318</v>
      </c>
      <c r="E30" s="2">
        <v>234</v>
      </c>
      <c r="F30" s="2">
        <v>23</v>
      </c>
      <c r="G30" s="7">
        <v>250.72</v>
      </c>
      <c r="H30" s="7">
        <f t="shared" si="0"/>
        <v>58668.480000000003</v>
      </c>
      <c r="I30" s="13">
        <f t="shared" si="1"/>
        <v>10.173913043478262</v>
      </c>
    </row>
    <row r="31" spans="1:9" hidden="1" x14ac:dyDescent="0.25">
      <c r="A31" s="2" t="s">
        <v>1804</v>
      </c>
      <c r="B31" s="2" t="s">
        <v>112</v>
      </c>
      <c r="C31" s="2" t="s">
        <v>56</v>
      </c>
      <c r="D31" s="2" t="s">
        <v>1318</v>
      </c>
      <c r="E31" s="2">
        <v>287</v>
      </c>
      <c r="F31" s="2">
        <v>54</v>
      </c>
      <c r="G31" s="7">
        <v>201.62</v>
      </c>
      <c r="H31" s="7">
        <f t="shared" si="0"/>
        <v>57864.94</v>
      </c>
      <c r="I31" s="13">
        <f t="shared" si="1"/>
        <v>5.3148148148148149</v>
      </c>
    </row>
    <row r="32" spans="1:9" hidden="1" x14ac:dyDescent="0.25">
      <c r="A32" s="2" t="s">
        <v>2088</v>
      </c>
      <c r="B32" s="2" t="s">
        <v>96</v>
      </c>
      <c r="C32" s="2" t="s">
        <v>50</v>
      </c>
      <c r="D32" s="2" t="s">
        <v>1318</v>
      </c>
      <c r="E32" s="2">
        <v>143</v>
      </c>
      <c r="F32" s="2">
        <v>0</v>
      </c>
      <c r="G32" s="7">
        <v>400.2</v>
      </c>
      <c r="H32" s="7">
        <f t="shared" si="0"/>
        <v>57228.6</v>
      </c>
      <c r="I32" s="13" t="str">
        <f t="shared" si="1"/>
        <v>Seuil non defini</v>
      </c>
    </row>
    <row r="33" spans="1:9" hidden="1" x14ac:dyDescent="0.25">
      <c r="A33" s="2" t="s">
        <v>1954</v>
      </c>
      <c r="B33" s="2" t="s">
        <v>102</v>
      </c>
      <c r="C33" s="2" t="s">
        <v>31</v>
      </c>
      <c r="D33" s="2" t="s">
        <v>1318</v>
      </c>
      <c r="E33" s="2">
        <v>204</v>
      </c>
      <c r="F33" s="2">
        <v>15</v>
      </c>
      <c r="G33" s="7">
        <v>279.11</v>
      </c>
      <c r="H33" s="7">
        <f t="shared" si="0"/>
        <v>56938.44</v>
      </c>
      <c r="I33" s="13">
        <f t="shared" si="1"/>
        <v>13.6</v>
      </c>
    </row>
    <row r="34" spans="1:9" hidden="1" x14ac:dyDescent="0.25">
      <c r="A34" s="2" t="s">
        <v>1921</v>
      </c>
      <c r="B34" s="2" t="s">
        <v>40</v>
      </c>
      <c r="C34" s="2" t="s">
        <v>31</v>
      </c>
      <c r="D34" s="2" t="s">
        <v>1318</v>
      </c>
      <c r="E34" s="2">
        <v>122</v>
      </c>
      <c r="F34" s="2">
        <v>88</v>
      </c>
      <c r="G34" s="7">
        <v>449.16</v>
      </c>
      <c r="H34" s="7">
        <f t="shared" si="0"/>
        <v>54797.520000000004</v>
      </c>
      <c r="I34" s="13">
        <f t="shared" si="1"/>
        <v>1.3863636363636365</v>
      </c>
    </row>
    <row r="35" spans="1:9" x14ac:dyDescent="0.25">
      <c r="A35" s="2" t="s">
        <v>2015</v>
      </c>
      <c r="B35" s="2" t="s">
        <v>26</v>
      </c>
      <c r="C35" s="2" t="s">
        <v>16</v>
      </c>
      <c r="D35" s="2" t="s">
        <v>1318</v>
      </c>
      <c r="E35" s="2">
        <v>154</v>
      </c>
      <c r="F35" s="2">
        <v>36</v>
      </c>
      <c r="G35" s="7">
        <v>291</v>
      </c>
      <c r="H35" s="7">
        <f t="shared" si="0"/>
        <v>44814</v>
      </c>
      <c r="I35" s="13">
        <f t="shared" si="1"/>
        <v>4.2777777777777777</v>
      </c>
    </row>
    <row r="36" spans="1:9" x14ac:dyDescent="0.25">
      <c r="A36" s="2" t="s">
        <v>2099</v>
      </c>
      <c r="B36" s="2" t="s">
        <v>61</v>
      </c>
      <c r="C36" s="2" t="s">
        <v>16</v>
      </c>
      <c r="D36" s="2" t="s">
        <v>1318</v>
      </c>
      <c r="E36" s="2">
        <v>131</v>
      </c>
      <c r="F36" s="2">
        <v>7</v>
      </c>
      <c r="G36" s="7">
        <v>339.84</v>
      </c>
      <c r="H36" s="7">
        <f t="shared" si="0"/>
        <v>44519.039999999994</v>
      </c>
      <c r="I36" s="13">
        <f t="shared" si="1"/>
        <v>18.714285714285715</v>
      </c>
    </row>
    <row r="37" spans="1:9" hidden="1" x14ac:dyDescent="0.25">
      <c r="A37" s="2" t="s">
        <v>1816</v>
      </c>
      <c r="B37" s="2" t="s">
        <v>52</v>
      </c>
      <c r="C37" s="2" t="s">
        <v>50</v>
      </c>
      <c r="D37" s="2" t="s">
        <v>1318</v>
      </c>
      <c r="E37" s="2">
        <v>118</v>
      </c>
      <c r="F37" s="2">
        <v>98</v>
      </c>
      <c r="G37" s="7">
        <v>363.69</v>
      </c>
      <c r="H37" s="7">
        <f t="shared" si="0"/>
        <v>42915.42</v>
      </c>
      <c r="I37" s="13">
        <f t="shared" si="1"/>
        <v>1.2040816326530612</v>
      </c>
    </row>
    <row r="38" spans="1:9" hidden="1" x14ac:dyDescent="0.25">
      <c r="A38" s="2" t="s">
        <v>2094</v>
      </c>
      <c r="B38" s="2" t="s">
        <v>55</v>
      </c>
      <c r="C38" s="2" t="s">
        <v>56</v>
      </c>
      <c r="D38" s="2" t="s">
        <v>1318</v>
      </c>
      <c r="E38" s="2">
        <v>296</v>
      </c>
      <c r="F38" s="2">
        <v>15</v>
      </c>
      <c r="G38" s="7">
        <v>139.66999999999999</v>
      </c>
      <c r="H38" s="7">
        <f t="shared" si="0"/>
        <v>41342.32</v>
      </c>
      <c r="I38" s="13">
        <f t="shared" si="1"/>
        <v>19.733333333333334</v>
      </c>
    </row>
    <row r="39" spans="1:9" hidden="1" x14ac:dyDescent="0.25">
      <c r="A39" s="2" t="s">
        <v>1859</v>
      </c>
      <c r="B39" s="2" t="s">
        <v>96</v>
      </c>
      <c r="C39" s="2" t="s">
        <v>50</v>
      </c>
      <c r="D39" s="2" t="s">
        <v>1318</v>
      </c>
      <c r="E39" s="2">
        <v>190</v>
      </c>
      <c r="F39" s="2">
        <v>87</v>
      </c>
      <c r="G39" s="7">
        <v>213.26</v>
      </c>
      <c r="H39" s="7">
        <f t="shared" si="0"/>
        <v>40519.4</v>
      </c>
      <c r="I39" s="13">
        <f t="shared" si="1"/>
        <v>2.1839080459770117</v>
      </c>
    </row>
    <row r="40" spans="1:9" hidden="1" x14ac:dyDescent="0.25">
      <c r="A40" s="2" t="s">
        <v>2025</v>
      </c>
      <c r="B40" s="2" t="s">
        <v>112</v>
      </c>
      <c r="C40" s="2" t="s">
        <v>56</v>
      </c>
      <c r="D40" s="2" t="s">
        <v>1318</v>
      </c>
      <c r="E40" s="2">
        <v>94</v>
      </c>
      <c r="F40" s="2">
        <v>35</v>
      </c>
      <c r="G40" s="7">
        <v>421.18</v>
      </c>
      <c r="H40" s="7">
        <f t="shared" si="0"/>
        <v>39590.92</v>
      </c>
      <c r="I40" s="13">
        <f t="shared" si="1"/>
        <v>2.6857142857142855</v>
      </c>
    </row>
    <row r="41" spans="1:9" hidden="1" x14ac:dyDescent="0.25">
      <c r="A41" s="2" t="s">
        <v>1870</v>
      </c>
      <c r="B41" s="2" t="s">
        <v>49</v>
      </c>
      <c r="C41" s="2" t="s">
        <v>50</v>
      </c>
      <c r="D41" s="2" t="s">
        <v>1318</v>
      </c>
      <c r="E41" s="2">
        <v>229</v>
      </c>
      <c r="F41" s="2">
        <v>21</v>
      </c>
      <c r="G41" s="7">
        <v>170.83</v>
      </c>
      <c r="H41" s="7">
        <f t="shared" si="0"/>
        <v>39120.07</v>
      </c>
      <c r="I41" s="13">
        <f t="shared" si="1"/>
        <v>10.904761904761905</v>
      </c>
    </row>
    <row r="42" spans="1:9" x14ac:dyDescent="0.25">
      <c r="A42" s="2" t="s">
        <v>1865</v>
      </c>
      <c r="B42" s="2" t="s">
        <v>61</v>
      </c>
      <c r="C42" s="2" t="s">
        <v>16</v>
      </c>
      <c r="D42" s="2" t="s">
        <v>1318</v>
      </c>
      <c r="E42" s="2">
        <v>144</v>
      </c>
      <c r="F42" s="2">
        <v>55</v>
      </c>
      <c r="G42" s="7">
        <v>251.11</v>
      </c>
      <c r="H42" s="7">
        <f t="shared" si="0"/>
        <v>36159.840000000004</v>
      </c>
      <c r="I42" s="13">
        <f t="shared" si="1"/>
        <v>2.6181818181818182</v>
      </c>
    </row>
    <row r="43" spans="1:9" hidden="1" x14ac:dyDescent="0.25">
      <c r="A43" s="2" t="s">
        <v>2018</v>
      </c>
      <c r="B43" s="2" t="s">
        <v>30</v>
      </c>
      <c r="C43" s="2" t="s">
        <v>31</v>
      </c>
      <c r="D43" s="2" t="s">
        <v>1318</v>
      </c>
      <c r="E43" s="2">
        <v>148</v>
      </c>
      <c r="F43" s="2">
        <v>77</v>
      </c>
      <c r="G43" s="7">
        <v>241.77</v>
      </c>
      <c r="H43" s="7">
        <f t="shared" si="0"/>
        <v>35781.96</v>
      </c>
      <c r="I43" s="13">
        <f t="shared" si="1"/>
        <v>1.9220779220779221</v>
      </c>
    </row>
    <row r="44" spans="1:9" x14ac:dyDescent="0.25">
      <c r="A44" s="2" t="s">
        <v>2095</v>
      </c>
      <c r="B44" s="2" t="s">
        <v>33</v>
      </c>
      <c r="C44" s="2" t="s">
        <v>16</v>
      </c>
      <c r="D44" s="2" t="s">
        <v>1318</v>
      </c>
      <c r="E44" s="2">
        <v>92</v>
      </c>
      <c r="F44" s="2">
        <v>38</v>
      </c>
      <c r="G44" s="7">
        <v>383.46</v>
      </c>
      <c r="H44" s="7">
        <f t="shared" si="0"/>
        <v>35278.32</v>
      </c>
      <c r="I44" s="13">
        <f t="shared" si="1"/>
        <v>2.4210526315789473</v>
      </c>
    </row>
    <row r="45" spans="1:9" hidden="1" x14ac:dyDescent="0.25">
      <c r="A45" s="2" t="s">
        <v>2037</v>
      </c>
      <c r="B45" s="2" t="s">
        <v>112</v>
      </c>
      <c r="C45" s="2" t="s">
        <v>56</v>
      </c>
      <c r="D45" s="2" t="s">
        <v>1318</v>
      </c>
      <c r="E45" s="2">
        <v>92</v>
      </c>
      <c r="F45" s="2">
        <v>78</v>
      </c>
      <c r="G45" s="7">
        <v>354.83</v>
      </c>
      <c r="H45" s="7">
        <f t="shared" si="0"/>
        <v>32644.359999999997</v>
      </c>
      <c r="I45" s="13">
        <f t="shared" si="1"/>
        <v>1.1794871794871795</v>
      </c>
    </row>
    <row r="46" spans="1:9" hidden="1" x14ac:dyDescent="0.25">
      <c r="A46" s="2" t="s">
        <v>1980</v>
      </c>
      <c r="B46" s="2" t="s">
        <v>36</v>
      </c>
      <c r="C46" s="2" t="s">
        <v>21</v>
      </c>
      <c r="D46" s="2" t="s">
        <v>1318</v>
      </c>
      <c r="E46" s="2">
        <v>122</v>
      </c>
      <c r="F46" s="2">
        <v>13</v>
      </c>
      <c r="G46" s="7">
        <v>267</v>
      </c>
      <c r="H46" s="7">
        <f t="shared" si="0"/>
        <v>32574</v>
      </c>
      <c r="I46" s="13">
        <f t="shared" si="1"/>
        <v>9.384615384615385</v>
      </c>
    </row>
    <row r="47" spans="1:9" x14ac:dyDescent="0.25">
      <c r="A47" s="2" t="s">
        <v>2128</v>
      </c>
      <c r="B47" s="2" t="s">
        <v>26</v>
      </c>
      <c r="C47" s="2" t="s">
        <v>16</v>
      </c>
      <c r="D47" s="2" t="s">
        <v>1318</v>
      </c>
      <c r="E47" s="2">
        <v>220</v>
      </c>
      <c r="F47" s="2">
        <v>71</v>
      </c>
      <c r="G47" s="7">
        <v>140.57</v>
      </c>
      <c r="H47" s="7">
        <f t="shared" si="0"/>
        <v>30925.399999999998</v>
      </c>
      <c r="I47" s="13">
        <f t="shared" si="1"/>
        <v>3.0985915492957745</v>
      </c>
    </row>
    <row r="48" spans="1:9" hidden="1" x14ac:dyDescent="0.25">
      <c r="A48" s="2" t="s">
        <v>1977</v>
      </c>
      <c r="B48" s="2" t="s">
        <v>77</v>
      </c>
      <c r="C48" s="2" t="s">
        <v>56</v>
      </c>
      <c r="D48" s="2" t="s">
        <v>1318</v>
      </c>
      <c r="E48" s="2">
        <v>150</v>
      </c>
      <c r="F48" s="2">
        <v>29</v>
      </c>
      <c r="G48" s="7">
        <v>202.54</v>
      </c>
      <c r="H48" s="7">
        <f t="shared" si="0"/>
        <v>30381</v>
      </c>
      <c r="I48" s="13">
        <f t="shared" si="1"/>
        <v>5.1724137931034484</v>
      </c>
    </row>
    <row r="49" spans="1:9" hidden="1" x14ac:dyDescent="0.25">
      <c r="A49" s="2" t="s">
        <v>1826</v>
      </c>
      <c r="B49" s="2" t="s">
        <v>102</v>
      </c>
      <c r="C49" s="2" t="s">
        <v>31</v>
      </c>
      <c r="D49" s="2" t="s">
        <v>1318</v>
      </c>
      <c r="E49" s="2">
        <v>245</v>
      </c>
      <c r="F49" s="2">
        <v>24</v>
      </c>
      <c r="G49" s="7">
        <v>123.42</v>
      </c>
      <c r="H49" s="7">
        <f t="shared" si="0"/>
        <v>30237.9</v>
      </c>
      <c r="I49" s="13">
        <f t="shared" si="1"/>
        <v>10.208333333333334</v>
      </c>
    </row>
    <row r="50" spans="1:9" hidden="1" x14ac:dyDescent="0.25">
      <c r="A50" s="2" t="s">
        <v>2044</v>
      </c>
      <c r="B50" s="2" t="s">
        <v>77</v>
      </c>
      <c r="C50" s="2" t="s">
        <v>56</v>
      </c>
      <c r="D50" s="2" t="s">
        <v>1318</v>
      </c>
      <c r="E50" s="2">
        <v>293</v>
      </c>
      <c r="F50" s="2">
        <v>76</v>
      </c>
      <c r="G50" s="7">
        <v>101.47</v>
      </c>
      <c r="H50" s="7">
        <f t="shared" si="0"/>
        <v>29730.71</v>
      </c>
      <c r="I50" s="13">
        <f t="shared" si="1"/>
        <v>3.8552631578947367</v>
      </c>
    </row>
    <row r="51" spans="1:9" x14ac:dyDescent="0.25">
      <c r="A51" s="2" t="s">
        <v>2066</v>
      </c>
      <c r="B51" s="2" t="s">
        <v>33</v>
      </c>
      <c r="C51" s="2" t="s">
        <v>16</v>
      </c>
      <c r="D51" s="2" t="s">
        <v>1318</v>
      </c>
      <c r="E51" s="2">
        <v>60</v>
      </c>
      <c r="F51" s="2">
        <v>83</v>
      </c>
      <c r="G51" s="7">
        <v>491.3</v>
      </c>
      <c r="H51" s="7">
        <f t="shared" si="0"/>
        <v>29478</v>
      </c>
      <c r="I51" s="13">
        <f t="shared" si="1"/>
        <v>0.72289156626506024</v>
      </c>
    </row>
    <row r="52" spans="1:9" x14ac:dyDescent="0.25">
      <c r="A52" s="2" t="s">
        <v>2053</v>
      </c>
      <c r="B52" s="2" t="s">
        <v>26</v>
      </c>
      <c r="C52" s="2" t="s">
        <v>16</v>
      </c>
      <c r="D52" s="2" t="s">
        <v>1318</v>
      </c>
      <c r="E52" s="2">
        <v>148</v>
      </c>
      <c r="F52" s="2">
        <v>37</v>
      </c>
      <c r="G52" s="7">
        <v>196.43</v>
      </c>
      <c r="H52" s="7">
        <f t="shared" si="0"/>
        <v>29071.64</v>
      </c>
      <c r="I52" s="13">
        <f t="shared" si="1"/>
        <v>4</v>
      </c>
    </row>
    <row r="53" spans="1:9" x14ac:dyDescent="0.25">
      <c r="A53" s="2" t="s">
        <v>1896</v>
      </c>
      <c r="B53" s="2" t="s">
        <v>65</v>
      </c>
      <c r="C53" s="2" t="s">
        <v>16</v>
      </c>
      <c r="D53" s="2" t="s">
        <v>1318</v>
      </c>
      <c r="E53" s="2">
        <v>74</v>
      </c>
      <c r="F53" s="2">
        <v>46</v>
      </c>
      <c r="G53" s="7">
        <v>332.7</v>
      </c>
      <c r="H53" s="7">
        <f t="shared" si="0"/>
        <v>24619.8</v>
      </c>
      <c r="I53" s="13">
        <f t="shared" si="1"/>
        <v>1.6086956521739131</v>
      </c>
    </row>
    <row r="54" spans="1:9" hidden="1" x14ac:dyDescent="0.25">
      <c r="A54" s="2" t="s">
        <v>1997</v>
      </c>
      <c r="B54" s="2" t="s">
        <v>43</v>
      </c>
      <c r="C54" s="2" t="s">
        <v>21</v>
      </c>
      <c r="D54" s="2" t="s">
        <v>1318</v>
      </c>
      <c r="E54" s="2">
        <v>135</v>
      </c>
      <c r="F54" s="2">
        <v>91</v>
      </c>
      <c r="G54" s="7">
        <v>175.72</v>
      </c>
      <c r="H54" s="7">
        <f t="shared" si="0"/>
        <v>23722.2</v>
      </c>
      <c r="I54" s="13">
        <f t="shared" si="1"/>
        <v>1.4835164835164836</v>
      </c>
    </row>
    <row r="55" spans="1:9" hidden="1" x14ac:dyDescent="0.25">
      <c r="A55" s="2" t="s">
        <v>1792</v>
      </c>
      <c r="B55" s="2" t="s">
        <v>77</v>
      </c>
      <c r="C55" s="2" t="s">
        <v>56</v>
      </c>
      <c r="D55" s="2" t="s">
        <v>1318</v>
      </c>
      <c r="E55" s="2">
        <v>129</v>
      </c>
      <c r="F55" s="2">
        <v>67</v>
      </c>
      <c r="G55" s="7">
        <v>183.06</v>
      </c>
      <c r="H55" s="7">
        <f t="shared" si="0"/>
        <v>23614.74</v>
      </c>
      <c r="I55" s="13">
        <f t="shared" si="1"/>
        <v>1.9253731343283582</v>
      </c>
    </row>
    <row r="56" spans="1:9" hidden="1" x14ac:dyDescent="0.25">
      <c r="A56" s="2" t="s">
        <v>1797</v>
      </c>
      <c r="B56" s="2" t="s">
        <v>52</v>
      </c>
      <c r="C56" s="2" t="s">
        <v>50</v>
      </c>
      <c r="D56" s="2" t="s">
        <v>1318</v>
      </c>
      <c r="E56" s="2">
        <v>50</v>
      </c>
      <c r="F56" s="2">
        <v>14</v>
      </c>
      <c r="G56" s="7">
        <v>471.03</v>
      </c>
      <c r="H56" s="7">
        <f t="shared" si="0"/>
        <v>23551.5</v>
      </c>
      <c r="I56" s="13">
        <f t="shared" si="1"/>
        <v>3.5714285714285716</v>
      </c>
    </row>
    <row r="57" spans="1:9" hidden="1" x14ac:dyDescent="0.25">
      <c r="A57" s="2" t="s">
        <v>1988</v>
      </c>
      <c r="B57" s="2" t="s">
        <v>52</v>
      </c>
      <c r="C57" s="2" t="s">
        <v>50</v>
      </c>
      <c r="D57" s="2" t="s">
        <v>1318</v>
      </c>
      <c r="E57" s="2">
        <v>56</v>
      </c>
      <c r="F57" s="2">
        <v>10</v>
      </c>
      <c r="G57" s="7">
        <v>409.83</v>
      </c>
      <c r="H57" s="7">
        <f t="shared" si="0"/>
        <v>22950.48</v>
      </c>
      <c r="I57" s="13">
        <f t="shared" si="1"/>
        <v>5.6</v>
      </c>
    </row>
    <row r="58" spans="1:9" hidden="1" x14ac:dyDescent="0.25">
      <c r="A58" s="2" t="s">
        <v>2124</v>
      </c>
      <c r="B58" s="2" t="s">
        <v>20</v>
      </c>
      <c r="C58" s="2" t="s">
        <v>21</v>
      </c>
      <c r="D58" s="2" t="s">
        <v>1318</v>
      </c>
      <c r="E58" s="2">
        <v>77</v>
      </c>
      <c r="F58" s="2">
        <v>5</v>
      </c>
      <c r="G58" s="7">
        <v>297.58999999999997</v>
      </c>
      <c r="H58" s="7">
        <f t="shared" si="0"/>
        <v>22914.429999999997</v>
      </c>
      <c r="I58" s="13">
        <f t="shared" si="1"/>
        <v>15.4</v>
      </c>
    </row>
    <row r="59" spans="1:9" hidden="1" x14ac:dyDescent="0.25">
      <c r="A59" s="2" t="s">
        <v>1866</v>
      </c>
      <c r="B59" s="2" t="s">
        <v>74</v>
      </c>
      <c r="C59" s="2" t="s">
        <v>56</v>
      </c>
      <c r="D59" s="2" t="s">
        <v>1318</v>
      </c>
      <c r="E59" s="2">
        <v>66</v>
      </c>
      <c r="F59" s="2">
        <v>94</v>
      </c>
      <c r="G59" s="7">
        <v>337.99</v>
      </c>
      <c r="H59" s="7">
        <f t="shared" si="0"/>
        <v>22307.34</v>
      </c>
      <c r="I59" s="13">
        <f t="shared" si="1"/>
        <v>0.7021276595744681</v>
      </c>
    </row>
    <row r="60" spans="1:9" hidden="1" x14ac:dyDescent="0.25">
      <c r="A60" s="2" t="s">
        <v>2110</v>
      </c>
      <c r="B60" s="2" t="s">
        <v>49</v>
      </c>
      <c r="C60" s="2" t="s">
        <v>50</v>
      </c>
      <c r="D60" s="2" t="s">
        <v>1318</v>
      </c>
      <c r="E60" s="2">
        <v>124</v>
      </c>
      <c r="F60" s="2">
        <v>0</v>
      </c>
      <c r="G60" s="7">
        <v>165.68</v>
      </c>
      <c r="H60" s="7">
        <f t="shared" si="0"/>
        <v>20544.32</v>
      </c>
      <c r="I60" s="13" t="str">
        <f t="shared" si="1"/>
        <v>Seuil non defini</v>
      </c>
    </row>
    <row r="61" spans="1:9" hidden="1" x14ac:dyDescent="0.25">
      <c r="A61" s="2" t="s">
        <v>1874</v>
      </c>
      <c r="B61" s="2" t="s">
        <v>55</v>
      </c>
      <c r="C61" s="2" t="s">
        <v>56</v>
      </c>
      <c r="D61" s="2" t="s">
        <v>1318</v>
      </c>
      <c r="E61" s="2">
        <v>232</v>
      </c>
      <c r="F61" s="2">
        <v>45</v>
      </c>
      <c r="G61" s="7">
        <v>86.52</v>
      </c>
      <c r="H61" s="7">
        <f t="shared" si="0"/>
        <v>20072.64</v>
      </c>
      <c r="I61" s="13">
        <f t="shared" si="1"/>
        <v>5.1555555555555559</v>
      </c>
    </row>
    <row r="62" spans="1:9" hidden="1" x14ac:dyDescent="0.25">
      <c r="A62" s="2" t="s">
        <v>1938</v>
      </c>
      <c r="B62" s="2" t="s">
        <v>30</v>
      </c>
      <c r="C62" s="2" t="s">
        <v>31</v>
      </c>
      <c r="D62" s="2" t="s">
        <v>1318</v>
      </c>
      <c r="E62" s="2">
        <v>196</v>
      </c>
      <c r="F62" s="2">
        <v>59</v>
      </c>
      <c r="G62" s="7">
        <v>101.46</v>
      </c>
      <c r="H62" s="7">
        <f t="shared" si="0"/>
        <v>19886.16</v>
      </c>
      <c r="I62" s="13">
        <f t="shared" si="1"/>
        <v>3.3220338983050848</v>
      </c>
    </row>
    <row r="63" spans="1:9" hidden="1" x14ac:dyDescent="0.25">
      <c r="A63" s="2" t="s">
        <v>1833</v>
      </c>
      <c r="B63" s="2" t="s">
        <v>74</v>
      </c>
      <c r="C63" s="2" t="s">
        <v>56</v>
      </c>
      <c r="D63" s="2" t="s">
        <v>1318</v>
      </c>
      <c r="E63" s="2">
        <v>92</v>
      </c>
      <c r="F63" s="2">
        <v>91</v>
      </c>
      <c r="G63" s="7">
        <v>213.77</v>
      </c>
      <c r="H63" s="7">
        <f t="shared" si="0"/>
        <v>19666.84</v>
      </c>
      <c r="I63" s="13">
        <f t="shared" si="1"/>
        <v>1.0109890109890109</v>
      </c>
    </row>
    <row r="64" spans="1:9" hidden="1" x14ac:dyDescent="0.25">
      <c r="A64" s="2" t="s">
        <v>2009</v>
      </c>
      <c r="B64" s="2" t="s">
        <v>36</v>
      </c>
      <c r="C64" s="2" t="s">
        <v>21</v>
      </c>
      <c r="D64" s="2" t="s">
        <v>1318</v>
      </c>
      <c r="E64" s="2">
        <v>88</v>
      </c>
      <c r="F64" s="2">
        <v>77</v>
      </c>
      <c r="G64" s="7">
        <v>219.04</v>
      </c>
      <c r="H64" s="7">
        <f t="shared" si="0"/>
        <v>19275.52</v>
      </c>
      <c r="I64" s="13">
        <f t="shared" si="1"/>
        <v>1.1428571428571428</v>
      </c>
    </row>
    <row r="65" spans="1:9" x14ac:dyDescent="0.25">
      <c r="A65" s="2" t="s">
        <v>2090</v>
      </c>
      <c r="B65" s="2" t="s">
        <v>65</v>
      </c>
      <c r="C65" s="2" t="s">
        <v>16</v>
      </c>
      <c r="D65" s="2" t="s">
        <v>1318</v>
      </c>
      <c r="E65" s="2">
        <v>140</v>
      </c>
      <c r="F65" s="2">
        <v>51</v>
      </c>
      <c r="G65" s="7">
        <v>135.84</v>
      </c>
      <c r="H65" s="7">
        <f t="shared" si="0"/>
        <v>19017.600000000002</v>
      </c>
      <c r="I65" s="13">
        <f t="shared" si="1"/>
        <v>2.7450980392156863</v>
      </c>
    </row>
    <row r="66" spans="1:9" hidden="1" x14ac:dyDescent="0.25">
      <c r="A66" s="2" t="s">
        <v>2091</v>
      </c>
      <c r="B66" s="2" t="s">
        <v>20</v>
      </c>
      <c r="C66" s="2" t="s">
        <v>21</v>
      </c>
      <c r="D66" s="2" t="s">
        <v>1318</v>
      </c>
      <c r="E66" s="2">
        <v>63</v>
      </c>
      <c r="F66" s="2">
        <v>44</v>
      </c>
      <c r="G66" s="7">
        <v>285.08</v>
      </c>
      <c r="H66" s="7">
        <f t="shared" si="0"/>
        <v>17960.039999999997</v>
      </c>
      <c r="I66" s="13">
        <f t="shared" si="1"/>
        <v>1.4318181818181819</v>
      </c>
    </row>
    <row r="67" spans="1:9" x14ac:dyDescent="0.25">
      <c r="A67" s="2" t="s">
        <v>1953</v>
      </c>
      <c r="B67" s="2" t="s">
        <v>33</v>
      </c>
      <c r="C67" s="2" t="s">
        <v>16</v>
      </c>
      <c r="D67" s="2" t="s">
        <v>1318</v>
      </c>
      <c r="E67" s="2">
        <v>48</v>
      </c>
      <c r="F67" s="2">
        <v>58</v>
      </c>
      <c r="G67" s="7">
        <v>362.18</v>
      </c>
      <c r="H67" s="7">
        <f t="shared" si="0"/>
        <v>17384.64</v>
      </c>
      <c r="I67" s="13">
        <f t="shared" si="1"/>
        <v>0.82758620689655171</v>
      </c>
    </row>
    <row r="68" spans="1:9" hidden="1" x14ac:dyDescent="0.25">
      <c r="A68" s="2" t="s">
        <v>1851</v>
      </c>
      <c r="B68" s="2" t="s">
        <v>123</v>
      </c>
      <c r="C68" s="2" t="s">
        <v>50</v>
      </c>
      <c r="D68" s="2" t="s">
        <v>1318</v>
      </c>
      <c r="E68" s="2">
        <v>240</v>
      </c>
      <c r="F68" s="2">
        <v>100</v>
      </c>
      <c r="G68" s="7">
        <v>71.78</v>
      </c>
      <c r="H68" s="7">
        <f t="shared" si="0"/>
        <v>17227.2</v>
      </c>
      <c r="I68" s="13">
        <f t="shared" si="1"/>
        <v>2.4</v>
      </c>
    </row>
    <row r="69" spans="1:9" hidden="1" x14ac:dyDescent="0.25">
      <c r="A69" s="2" t="s">
        <v>2130</v>
      </c>
      <c r="B69" s="2" t="s">
        <v>112</v>
      </c>
      <c r="C69" s="2" t="s">
        <v>56</v>
      </c>
      <c r="D69" s="2" t="s">
        <v>1318</v>
      </c>
      <c r="E69" s="2">
        <v>114</v>
      </c>
      <c r="F69" s="2">
        <v>26</v>
      </c>
      <c r="G69" s="7">
        <v>145.66</v>
      </c>
      <c r="H69" s="7">
        <f t="shared" ref="H69:H132" si="2">E69*G69</f>
        <v>16605.239999999998</v>
      </c>
      <c r="I69" s="13">
        <f t="shared" ref="I69:I132" si="3">IFERROR(E69/F69,"Seuil non defini")</f>
        <v>4.384615384615385</v>
      </c>
    </row>
    <row r="70" spans="1:9" x14ac:dyDescent="0.25">
      <c r="A70" s="2" t="s">
        <v>1829</v>
      </c>
      <c r="B70" s="2" t="s">
        <v>26</v>
      </c>
      <c r="C70" s="2" t="s">
        <v>16</v>
      </c>
      <c r="D70" s="2" t="s">
        <v>1318</v>
      </c>
      <c r="E70" s="2">
        <v>218</v>
      </c>
      <c r="F70" s="2">
        <v>54</v>
      </c>
      <c r="G70" s="7">
        <v>75.39</v>
      </c>
      <c r="H70" s="7">
        <f t="shared" si="2"/>
        <v>16435.02</v>
      </c>
      <c r="I70" s="13">
        <f t="shared" si="3"/>
        <v>4.0370370370370372</v>
      </c>
    </row>
    <row r="71" spans="1:9" x14ac:dyDescent="0.25">
      <c r="A71" s="2" t="s">
        <v>1911</v>
      </c>
      <c r="B71" s="2" t="s">
        <v>61</v>
      </c>
      <c r="C71" s="2" t="s">
        <v>16</v>
      </c>
      <c r="D71" s="2" t="s">
        <v>1318</v>
      </c>
      <c r="E71" s="2">
        <v>114</v>
      </c>
      <c r="F71" s="2">
        <v>69</v>
      </c>
      <c r="G71" s="7">
        <v>143.24</v>
      </c>
      <c r="H71" s="7">
        <f t="shared" si="2"/>
        <v>16329.36</v>
      </c>
      <c r="I71" s="13">
        <f t="shared" si="3"/>
        <v>1.6521739130434783</v>
      </c>
    </row>
    <row r="72" spans="1:9" hidden="1" x14ac:dyDescent="0.25">
      <c r="A72" s="2" t="s">
        <v>1958</v>
      </c>
      <c r="B72" s="2" t="s">
        <v>123</v>
      </c>
      <c r="C72" s="2" t="s">
        <v>50</v>
      </c>
      <c r="D72" s="2" t="s">
        <v>1318</v>
      </c>
      <c r="E72" s="2">
        <v>45</v>
      </c>
      <c r="F72" s="2">
        <v>29</v>
      </c>
      <c r="G72" s="7">
        <v>362.61</v>
      </c>
      <c r="H72" s="7">
        <f t="shared" si="2"/>
        <v>16317.45</v>
      </c>
      <c r="I72" s="13">
        <f t="shared" si="3"/>
        <v>1.5517241379310345</v>
      </c>
    </row>
    <row r="73" spans="1:9" hidden="1" x14ac:dyDescent="0.25">
      <c r="A73" s="2" t="s">
        <v>2102</v>
      </c>
      <c r="B73" s="2" t="s">
        <v>55</v>
      </c>
      <c r="C73" s="2" t="s">
        <v>56</v>
      </c>
      <c r="D73" s="2" t="s">
        <v>1318</v>
      </c>
      <c r="E73" s="2">
        <v>218</v>
      </c>
      <c r="F73" s="2">
        <v>41</v>
      </c>
      <c r="G73" s="7">
        <v>73.25</v>
      </c>
      <c r="H73" s="7">
        <f t="shared" si="2"/>
        <v>15968.5</v>
      </c>
      <c r="I73" s="13">
        <f t="shared" si="3"/>
        <v>5.3170731707317076</v>
      </c>
    </row>
    <row r="74" spans="1:9" x14ac:dyDescent="0.25">
      <c r="A74" s="2" t="s">
        <v>2051</v>
      </c>
      <c r="B74" s="2" t="s">
        <v>65</v>
      </c>
      <c r="C74" s="2" t="s">
        <v>16</v>
      </c>
      <c r="D74" s="2" t="s">
        <v>1318</v>
      </c>
      <c r="E74" s="2">
        <v>40</v>
      </c>
      <c r="F74" s="2">
        <v>21</v>
      </c>
      <c r="G74" s="7">
        <v>391.63</v>
      </c>
      <c r="H74" s="7">
        <f t="shared" si="2"/>
        <v>15665.2</v>
      </c>
      <c r="I74" s="13">
        <f t="shared" si="3"/>
        <v>1.9047619047619047</v>
      </c>
    </row>
    <row r="75" spans="1:9" hidden="1" x14ac:dyDescent="0.25">
      <c r="A75" s="2" t="s">
        <v>1877</v>
      </c>
      <c r="B75" s="2" t="s">
        <v>77</v>
      </c>
      <c r="C75" s="2" t="s">
        <v>56</v>
      </c>
      <c r="D75" s="2" t="s">
        <v>1318</v>
      </c>
      <c r="E75" s="2">
        <v>63</v>
      </c>
      <c r="F75" s="2">
        <v>77</v>
      </c>
      <c r="G75" s="7">
        <v>245.15</v>
      </c>
      <c r="H75" s="7">
        <f t="shared" si="2"/>
        <v>15444.45</v>
      </c>
      <c r="I75" s="13">
        <f t="shared" si="3"/>
        <v>0.81818181818181823</v>
      </c>
    </row>
    <row r="76" spans="1:9" hidden="1" x14ac:dyDescent="0.25">
      <c r="A76" s="2" t="s">
        <v>1964</v>
      </c>
      <c r="B76" s="2" t="s">
        <v>69</v>
      </c>
      <c r="C76" s="2" t="s">
        <v>31</v>
      </c>
      <c r="D76" s="2" t="s">
        <v>1318</v>
      </c>
      <c r="E76" s="2">
        <v>115</v>
      </c>
      <c r="F76" s="2">
        <v>16</v>
      </c>
      <c r="G76" s="7">
        <v>133.38</v>
      </c>
      <c r="H76" s="7">
        <f t="shared" si="2"/>
        <v>15338.699999999999</v>
      </c>
      <c r="I76" s="13">
        <f t="shared" si="3"/>
        <v>7.1875</v>
      </c>
    </row>
    <row r="77" spans="1:9" hidden="1" x14ac:dyDescent="0.25">
      <c r="A77" s="2" t="s">
        <v>1982</v>
      </c>
      <c r="B77" s="2" t="s">
        <v>77</v>
      </c>
      <c r="C77" s="2" t="s">
        <v>56</v>
      </c>
      <c r="D77" s="2" t="s">
        <v>1318</v>
      </c>
      <c r="E77" s="2">
        <v>87</v>
      </c>
      <c r="F77" s="2">
        <v>31</v>
      </c>
      <c r="G77" s="7">
        <v>175.12</v>
      </c>
      <c r="H77" s="7">
        <f t="shared" si="2"/>
        <v>15235.44</v>
      </c>
      <c r="I77" s="13">
        <f t="shared" si="3"/>
        <v>2.806451612903226</v>
      </c>
    </row>
    <row r="78" spans="1:9" hidden="1" x14ac:dyDescent="0.25">
      <c r="A78" s="2" t="s">
        <v>2125</v>
      </c>
      <c r="B78" s="2" t="s">
        <v>112</v>
      </c>
      <c r="C78" s="2" t="s">
        <v>56</v>
      </c>
      <c r="D78" s="2" t="s">
        <v>1318</v>
      </c>
      <c r="E78" s="2">
        <v>164</v>
      </c>
      <c r="F78" s="2">
        <v>61</v>
      </c>
      <c r="G78" s="7">
        <v>90.01</v>
      </c>
      <c r="H78" s="7">
        <f t="shared" si="2"/>
        <v>14761.640000000001</v>
      </c>
      <c r="I78" s="13">
        <f t="shared" si="3"/>
        <v>2.6885245901639343</v>
      </c>
    </row>
    <row r="79" spans="1:9" hidden="1" x14ac:dyDescent="0.25">
      <c r="A79" s="2" t="s">
        <v>1998</v>
      </c>
      <c r="B79" s="2" t="s">
        <v>112</v>
      </c>
      <c r="C79" s="2" t="s">
        <v>56</v>
      </c>
      <c r="D79" s="2" t="s">
        <v>1318</v>
      </c>
      <c r="E79" s="2">
        <v>141</v>
      </c>
      <c r="F79" s="2">
        <v>44</v>
      </c>
      <c r="G79" s="7">
        <v>96.91</v>
      </c>
      <c r="H79" s="7">
        <f t="shared" si="2"/>
        <v>13664.31</v>
      </c>
      <c r="I79" s="13">
        <f t="shared" si="3"/>
        <v>3.2045454545454546</v>
      </c>
    </row>
    <row r="80" spans="1:9" hidden="1" x14ac:dyDescent="0.25">
      <c r="A80" s="2" t="s">
        <v>1942</v>
      </c>
      <c r="B80" s="2" t="s">
        <v>49</v>
      </c>
      <c r="C80" s="2" t="s">
        <v>50</v>
      </c>
      <c r="D80" s="2" t="s">
        <v>1318</v>
      </c>
      <c r="E80" s="2">
        <v>125</v>
      </c>
      <c r="F80" s="2">
        <v>14</v>
      </c>
      <c r="G80" s="7">
        <v>109.16</v>
      </c>
      <c r="H80" s="7">
        <f t="shared" si="2"/>
        <v>13645</v>
      </c>
      <c r="I80" s="13">
        <f t="shared" si="3"/>
        <v>8.9285714285714288</v>
      </c>
    </row>
    <row r="81" spans="1:9" hidden="1" x14ac:dyDescent="0.25">
      <c r="A81" s="2" t="s">
        <v>1904</v>
      </c>
      <c r="B81" s="2" t="s">
        <v>36</v>
      </c>
      <c r="C81" s="2" t="s">
        <v>21</v>
      </c>
      <c r="D81" s="2" t="s">
        <v>1318</v>
      </c>
      <c r="E81" s="2">
        <v>58</v>
      </c>
      <c r="F81" s="2">
        <v>27</v>
      </c>
      <c r="G81" s="7">
        <v>230.49</v>
      </c>
      <c r="H81" s="7">
        <f t="shared" si="2"/>
        <v>13368.42</v>
      </c>
      <c r="I81" s="13">
        <f t="shared" si="3"/>
        <v>2.1481481481481484</v>
      </c>
    </row>
    <row r="82" spans="1:9" x14ac:dyDescent="0.25">
      <c r="A82" s="2" t="s">
        <v>1860</v>
      </c>
      <c r="B82" s="2" t="s">
        <v>15</v>
      </c>
      <c r="C82" s="2" t="s">
        <v>16</v>
      </c>
      <c r="D82" s="2" t="s">
        <v>1318</v>
      </c>
      <c r="E82" s="2">
        <v>39</v>
      </c>
      <c r="F82" s="2">
        <v>51</v>
      </c>
      <c r="G82" s="7">
        <v>302.39</v>
      </c>
      <c r="H82" s="7">
        <f t="shared" si="2"/>
        <v>11793.21</v>
      </c>
      <c r="I82" s="13">
        <f t="shared" si="3"/>
        <v>0.76470588235294112</v>
      </c>
    </row>
    <row r="83" spans="1:9" hidden="1" x14ac:dyDescent="0.25">
      <c r="A83" s="2" t="s">
        <v>2085</v>
      </c>
      <c r="B83" s="2" t="s">
        <v>55</v>
      </c>
      <c r="C83" s="2" t="s">
        <v>56</v>
      </c>
      <c r="D83" s="2" t="s">
        <v>1318</v>
      </c>
      <c r="E83" s="2">
        <v>55</v>
      </c>
      <c r="F83" s="2">
        <v>75</v>
      </c>
      <c r="G83" s="7">
        <v>195.28</v>
      </c>
      <c r="H83" s="7">
        <f t="shared" si="2"/>
        <v>10740.4</v>
      </c>
      <c r="I83" s="13">
        <f t="shared" si="3"/>
        <v>0.73333333333333328</v>
      </c>
    </row>
    <row r="84" spans="1:9" hidden="1" x14ac:dyDescent="0.25">
      <c r="A84" s="2" t="s">
        <v>1981</v>
      </c>
      <c r="B84" s="2" t="s">
        <v>52</v>
      </c>
      <c r="C84" s="2" t="s">
        <v>50</v>
      </c>
      <c r="D84" s="2" t="s">
        <v>1318</v>
      </c>
      <c r="E84" s="2">
        <v>200</v>
      </c>
      <c r="F84" s="2">
        <v>55</v>
      </c>
      <c r="G84" s="7">
        <v>52.45</v>
      </c>
      <c r="H84" s="7">
        <f t="shared" si="2"/>
        <v>10490</v>
      </c>
      <c r="I84" s="13">
        <f t="shared" si="3"/>
        <v>3.6363636363636362</v>
      </c>
    </row>
    <row r="85" spans="1:9" x14ac:dyDescent="0.25">
      <c r="A85" s="2" t="s">
        <v>1789</v>
      </c>
      <c r="B85" s="2" t="s">
        <v>61</v>
      </c>
      <c r="C85" s="2" t="s">
        <v>16</v>
      </c>
      <c r="D85" s="2" t="s">
        <v>1318</v>
      </c>
      <c r="E85" s="2">
        <v>56</v>
      </c>
      <c r="F85" s="2">
        <v>39</v>
      </c>
      <c r="G85" s="7">
        <v>183.06</v>
      </c>
      <c r="H85" s="7">
        <f t="shared" si="2"/>
        <v>10251.36</v>
      </c>
      <c r="I85" s="13">
        <f t="shared" si="3"/>
        <v>1.4358974358974359</v>
      </c>
    </row>
    <row r="86" spans="1:9" x14ac:dyDescent="0.25">
      <c r="A86" s="2" t="s">
        <v>2129</v>
      </c>
      <c r="B86" s="2" t="s">
        <v>61</v>
      </c>
      <c r="C86" s="2" t="s">
        <v>16</v>
      </c>
      <c r="D86" s="2" t="s">
        <v>1318</v>
      </c>
      <c r="E86" s="2">
        <v>145</v>
      </c>
      <c r="F86" s="2">
        <v>26</v>
      </c>
      <c r="G86" s="7">
        <v>61.04</v>
      </c>
      <c r="H86" s="7">
        <f t="shared" si="2"/>
        <v>8850.7999999999993</v>
      </c>
      <c r="I86" s="13">
        <f t="shared" si="3"/>
        <v>5.5769230769230766</v>
      </c>
    </row>
    <row r="87" spans="1:9" hidden="1" x14ac:dyDescent="0.25">
      <c r="A87" s="2" t="s">
        <v>1935</v>
      </c>
      <c r="B87" s="2" t="s">
        <v>67</v>
      </c>
      <c r="C87" s="2" t="s">
        <v>21</v>
      </c>
      <c r="D87" s="2" t="s">
        <v>1318</v>
      </c>
      <c r="E87" s="2">
        <v>98</v>
      </c>
      <c r="F87" s="2">
        <v>37</v>
      </c>
      <c r="G87" s="7">
        <v>88.13</v>
      </c>
      <c r="H87" s="7">
        <f t="shared" si="2"/>
        <v>8636.74</v>
      </c>
      <c r="I87" s="13">
        <f t="shared" si="3"/>
        <v>2.6486486486486487</v>
      </c>
    </row>
    <row r="88" spans="1:9" x14ac:dyDescent="0.25">
      <c r="A88" s="2" t="s">
        <v>2052</v>
      </c>
      <c r="B88" s="2" t="s">
        <v>15</v>
      </c>
      <c r="C88" s="2" t="s">
        <v>16</v>
      </c>
      <c r="D88" s="2" t="s">
        <v>1318</v>
      </c>
      <c r="E88" s="2">
        <v>255</v>
      </c>
      <c r="F88" s="2">
        <v>34</v>
      </c>
      <c r="G88" s="7">
        <v>27.64</v>
      </c>
      <c r="H88" s="7">
        <f t="shared" si="2"/>
        <v>7048.2</v>
      </c>
      <c r="I88" s="13">
        <f t="shared" si="3"/>
        <v>7.5</v>
      </c>
    </row>
    <row r="89" spans="1:9" hidden="1" x14ac:dyDescent="0.25">
      <c r="A89" s="2" t="s">
        <v>1948</v>
      </c>
      <c r="B89" s="2" t="s">
        <v>96</v>
      </c>
      <c r="C89" s="2" t="s">
        <v>50</v>
      </c>
      <c r="D89" s="2" t="s">
        <v>1318</v>
      </c>
      <c r="E89" s="2">
        <v>252</v>
      </c>
      <c r="F89" s="2">
        <v>68</v>
      </c>
      <c r="G89" s="7">
        <v>25.3</v>
      </c>
      <c r="H89" s="7">
        <f t="shared" si="2"/>
        <v>6375.6</v>
      </c>
      <c r="I89" s="13">
        <f t="shared" si="3"/>
        <v>3.7058823529411766</v>
      </c>
    </row>
    <row r="90" spans="1:9" hidden="1" x14ac:dyDescent="0.25">
      <c r="A90" s="2" t="s">
        <v>2105</v>
      </c>
      <c r="B90" s="2" t="s">
        <v>96</v>
      </c>
      <c r="C90" s="2" t="s">
        <v>50</v>
      </c>
      <c r="D90" s="2" t="s">
        <v>1318</v>
      </c>
      <c r="E90" s="2">
        <v>54</v>
      </c>
      <c r="F90" s="2">
        <v>82</v>
      </c>
      <c r="G90" s="7">
        <v>107.32</v>
      </c>
      <c r="H90" s="7">
        <f t="shared" si="2"/>
        <v>5795.28</v>
      </c>
      <c r="I90" s="13">
        <f t="shared" si="3"/>
        <v>0.65853658536585369</v>
      </c>
    </row>
    <row r="91" spans="1:9" hidden="1" x14ac:dyDescent="0.25">
      <c r="A91" s="2" t="s">
        <v>1831</v>
      </c>
      <c r="B91" s="2" t="s">
        <v>96</v>
      </c>
      <c r="C91" s="2" t="s">
        <v>50</v>
      </c>
      <c r="D91" s="2" t="s">
        <v>1318</v>
      </c>
      <c r="E91" s="2">
        <v>144</v>
      </c>
      <c r="F91" s="2">
        <v>50</v>
      </c>
      <c r="G91" s="7">
        <v>39.99</v>
      </c>
      <c r="H91" s="7">
        <f t="shared" si="2"/>
        <v>5758.56</v>
      </c>
      <c r="I91" s="13">
        <f t="shared" si="3"/>
        <v>2.88</v>
      </c>
    </row>
    <row r="92" spans="1:9" hidden="1" x14ac:dyDescent="0.25">
      <c r="A92" s="2" t="s">
        <v>1949</v>
      </c>
      <c r="B92" s="2" t="s">
        <v>55</v>
      </c>
      <c r="C92" s="2" t="s">
        <v>56</v>
      </c>
      <c r="D92" s="2" t="s">
        <v>1318</v>
      </c>
      <c r="E92" s="2">
        <v>63</v>
      </c>
      <c r="F92" s="2">
        <v>62</v>
      </c>
      <c r="G92" s="7">
        <v>87.23</v>
      </c>
      <c r="H92" s="7">
        <f t="shared" si="2"/>
        <v>5495.4900000000007</v>
      </c>
      <c r="I92" s="13">
        <f t="shared" si="3"/>
        <v>1.0161290322580645</v>
      </c>
    </row>
    <row r="93" spans="1:9" x14ac:dyDescent="0.25">
      <c r="A93" s="2" t="s">
        <v>1913</v>
      </c>
      <c r="B93" s="2" t="s">
        <v>15</v>
      </c>
      <c r="C93" s="2" t="s">
        <v>16</v>
      </c>
      <c r="D93" s="2" t="s">
        <v>1318</v>
      </c>
      <c r="E93" s="2">
        <v>13</v>
      </c>
      <c r="F93" s="2">
        <v>24</v>
      </c>
      <c r="G93" s="7">
        <v>395.67</v>
      </c>
      <c r="H93" s="7">
        <f t="shared" si="2"/>
        <v>5143.71</v>
      </c>
      <c r="I93" s="13">
        <f t="shared" si="3"/>
        <v>0.54166666666666663</v>
      </c>
    </row>
    <row r="94" spans="1:9" x14ac:dyDescent="0.25">
      <c r="A94" s="2" t="s">
        <v>1924</v>
      </c>
      <c r="B94" s="2" t="s">
        <v>33</v>
      </c>
      <c r="C94" s="2" t="s">
        <v>16</v>
      </c>
      <c r="D94" s="2" t="s">
        <v>1318</v>
      </c>
      <c r="E94" s="2">
        <v>62</v>
      </c>
      <c r="F94" s="2">
        <v>18</v>
      </c>
      <c r="G94" s="7">
        <v>72.63</v>
      </c>
      <c r="H94" s="7">
        <f t="shared" si="2"/>
        <v>4503.0599999999995</v>
      </c>
      <c r="I94" s="13">
        <f t="shared" si="3"/>
        <v>3.4444444444444446</v>
      </c>
    </row>
    <row r="95" spans="1:9" x14ac:dyDescent="0.25">
      <c r="A95" s="2" t="s">
        <v>2101</v>
      </c>
      <c r="B95" s="2" t="s">
        <v>65</v>
      </c>
      <c r="C95" s="2" t="s">
        <v>16</v>
      </c>
      <c r="D95" s="2" t="s">
        <v>1318</v>
      </c>
      <c r="E95" s="2">
        <v>39</v>
      </c>
      <c r="F95" s="2">
        <v>35</v>
      </c>
      <c r="G95" s="7">
        <v>103.61</v>
      </c>
      <c r="H95" s="7">
        <f t="shared" si="2"/>
        <v>4040.79</v>
      </c>
      <c r="I95" s="13">
        <f t="shared" si="3"/>
        <v>1.1142857142857143</v>
      </c>
    </row>
    <row r="96" spans="1:9" hidden="1" x14ac:dyDescent="0.25">
      <c r="A96" s="2" t="s">
        <v>1989</v>
      </c>
      <c r="B96" s="2" t="s">
        <v>123</v>
      </c>
      <c r="C96" s="2" t="s">
        <v>50</v>
      </c>
      <c r="D96" s="2" t="s">
        <v>1318</v>
      </c>
      <c r="E96" s="2">
        <v>75</v>
      </c>
      <c r="F96" s="2">
        <v>17</v>
      </c>
      <c r="G96" s="7">
        <v>51.8</v>
      </c>
      <c r="H96" s="7">
        <f t="shared" si="2"/>
        <v>3885</v>
      </c>
      <c r="I96" s="13">
        <f t="shared" si="3"/>
        <v>4.4117647058823533</v>
      </c>
    </row>
    <row r="97" spans="1:9" hidden="1" x14ac:dyDescent="0.25">
      <c r="A97" s="2" t="s">
        <v>1864</v>
      </c>
      <c r="B97" s="2" t="s">
        <v>67</v>
      </c>
      <c r="C97" s="2" t="s">
        <v>21</v>
      </c>
      <c r="D97" s="2" t="s">
        <v>1318</v>
      </c>
      <c r="E97" s="2">
        <v>23</v>
      </c>
      <c r="F97" s="2">
        <v>11</v>
      </c>
      <c r="G97" s="7">
        <v>158.66</v>
      </c>
      <c r="H97" s="7">
        <f t="shared" si="2"/>
        <v>3649.18</v>
      </c>
      <c r="I97" s="13">
        <f t="shared" si="3"/>
        <v>2.0909090909090908</v>
      </c>
    </row>
    <row r="98" spans="1:9" hidden="1" x14ac:dyDescent="0.25">
      <c r="A98" s="2" t="s">
        <v>2104</v>
      </c>
      <c r="B98" s="2" t="s">
        <v>74</v>
      </c>
      <c r="C98" s="2" t="s">
        <v>56</v>
      </c>
      <c r="D98" s="2" t="s">
        <v>1318</v>
      </c>
      <c r="E98" s="2">
        <v>15</v>
      </c>
      <c r="F98" s="2">
        <v>25</v>
      </c>
      <c r="G98" s="7">
        <v>185.41</v>
      </c>
      <c r="H98" s="7">
        <f t="shared" si="2"/>
        <v>2781.15</v>
      </c>
      <c r="I98" s="13">
        <f t="shared" si="3"/>
        <v>0.6</v>
      </c>
    </row>
    <row r="99" spans="1:9" hidden="1" x14ac:dyDescent="0.25">
      <c r="A99" s="2" t="s">
        <v>2056</v>
      </c>
      <c r="B99" s="2" t="s">
        <v>67</v>
      </c>
      <c r="C99" s="2" t="s">
        <v>21</v>
      </c>
      <c r="D99" s="2" t="s">
        <v>1318</v>
      </c>
      <c r="E99" s="2">
        <v>134</v>
      </c>
      <c r="F99" s="2">
        <v>88</v>
      </c>
      <c r="G99" s="7">
        <v>16.93</v>
      </c>
      <c r="H99" s="7">
        <f t="shared" si="2"/>
        <v>2268.62</v>
      </c>
      <c r="I99" s="13">
        <f t="shared" si="3"/>
        <v>1.5227272727272727</v>
      </c>
    </row>
    <row r="100" spans="1:9" hidden="1" x14ac:dyDescent="0.25">
      <c r="A100" s="2" t="s">
        <v>1844</v>
      </c>
      <c r="B100" s="2" t="s">
        <v>69</v>
      </c>
      <c r="C100" s="2" t="s">
        <v>31</v>
      </c>
      <c r="D100" s="2" t="s">
        <v>1318</v>
      </c>
      <c r="E100" s="2">
        <v>68</v>
      </c>
      <c r="F100" s="2">
        <v>19</v>
      </c>
      <c r="G100" s="7">
        <v>31.67</v>
      </c>
      <c r="H100" s="7">
        <f t="shared" si="2"/>
        <v>2153.56</v>
      </c>
      <c r="I100" s="13">
        <f t="shared" si="3"/>
        <v>3.5789473684210527</v>
      </c>
    </row>
    <row r="101" spans="1:9" hidden="1" x14ac:dyDescent="0.25">
      <c r="A101" s="2" t="s">
        <v>1991</v>
      </c>
      <c r="B101" s="2" t="s">
        <v>102</v>
      </c>
      <c r="C101" s="2" t="s">
        <v>31</v>
      </c>
      <c r="D101" s="2" t="s">
        <v>1318</v>
      </c>
      <c r="E101" s="2">
        <v>234</v>
      </c>
      <c r="F101" s="2">
        <v>0</v>
      </c>
      <c r="G101" s="7">
        <v>8.75</v>
      </c>
      <c r="H101" s="7">
        <f t="shared" si="2"/>
        <v>2047.5</v>
      </c>
      <c r="I101" s="13" t="str">
        <f t="shared" si="3"/>
        <v>Seuil non defini</v>
      </c>
    </row>
    <row r="102" spans="1:9" hidden="1" x14ac:dyDescent="0.25">
      <c r="A102" s="2" t="s">
        <v>1901</v>
      </c>
      <c r="B102" s="2" t="s">
        <v>20</v>
      </c>
      <c r="C102" s="2" t="s">
        <v>21</v>
      </c>
      <c r="D102" s="2" t="s">
        <v>1318</v>
      </c>
      <c r="E102" s="2">
        <v>189</v>
      </c>
      <c r="F102" s="2">
        <v>51</v>
      </c>
      <c r="G102" s="7">
        <v>10.06</v>
      </c>
      <c r="H102" s="7">
        <f t="shared" si="2"/>
        <v>1901.3400000000001</v>
      </c>
      <c r="I102" s="13">
        <f t="shared" si="3"/>
        <v>3.7058823529411766</v>
      </c>
    </row>
    <row r="103" spans="1:9" hidden="1" x14ac:dyDescent="0.25">
      <c r="A103" s="2" t="s">
        <v>1810</v>
      </c>
      <c r="B103" s="2" t="s">
        <v>123</v>
      </c>
      <c r="C103" s="2" t="s">
        <v>50</v>
      </c>
      <c r="D103" s="2" t="s">
        <v>1318</v>
      </c>
      <c r="E103" s="2">
        <v>273</v>
      </c>
      <c r="F103" s="2">
        <v>19</v>
      </c>
      <c r="G103" s="7">
        <v>2.7</v>
      </c>
      <c r="H103" s="7">
        <f t="shared" si="2"/>
        <v>737.1</v>
      </c>
      <c r="I103" s="13">
        <f t="shared" si="3"/>
        <v>14.368421052631579</v>
      </c>
    </row>
    <row r="104" spans="1:9" hidden="1" x14ac:dyDescent="0.25">
      <c r="A104" s="2" t="s">
        <v>1827</v>
      </c>
      <c r="B104" s="2" t="s">
        <v>20</v>
      </c>
      <c r="C104" s="2" t="s">
        <v>21</v>
      </c>
      <c r="D104" s="2" t="s">
        <v>1318</v>
      </c>
      <c r="E104" s="2">
        <v>10</v>
      </c>
      <c r="F104" s="2">
        <v>10</v>
      </c>
      <c r="G104" s="7">
        <v>53.2</v>
      </c>
      <c r="H104" s="7">
        <f t="shared" si="2"/>
        <v>532</v>
      </c>
      <c r="I104" s="13">
        <f t="shared" si="3"/>
        <v>1</v>
      </c>
    </row>
    <row r="105" spans="1:9" hidden="1" x14ac:dyDescent="0.25">
      <c r="A105" s="2" t="s">
        <v>2020</v>
      </c>
      <c r="B105" s="2" t="s">
        <v>123</v>
      </c>
      <c r="C105" s="2" t="s">
        <v>50</v>
      </c>
      <c r="D105" s="2" t="s">
        <v>1354</v>
      </c>
      <c r="E105" s="2">
        <v>287</v>
      </c>
      <c r="F105" s="2">
        <v>99</v>
      </c>
      <c r="G105" s="7">
        <v>483.7</v>
      </c>
      <c r="H105" s="7">
        <f t="shared" si="2"/>
        <v>138821.9</v>
      </c>
      <c r="I105" s="13">
        <f t="shared" si="3"/>
        <v>2.8989898989898988</v>
      </c>
    </row>
    <row r="106" spans="1:9" hidden="1" x14ac:dyDescent="0.25">
      <c r="A106" s="2" t="s">
        <v>1818</v>
      </c>
      <c r="B106" s="2" t="s">
        <v>123</v>
      </c>
      <c r="C106" s="2" t="s">
        <v>50</v>
      </c>
      <c r="D106" s="2" t="s">
        <v>1354</v>
      </c>
      <c r="E106" s="2">
        <v>291</v>
      </c>
      <c r="F106" s="2">
        <v>67</v>
      </c>
      <c r="G106" s="7">
        <v>471.79</v>
      </c>
      <c r="H106" s="7">
        <f t="shared" si="2"/>
        <v>137290.89000000001</v>
      </c>
      <c r="I106" s="13">
        <f t="shared" si="3"/>
        <v>4.3432835820895521</v>
      </c>
    </row>
    <row r="107" spans="1:9" hidden="1" x14ac:dyDescent="0.25">
      <c r="A107" s="2" t="s">
        <v>1803</v>
      </c>
      <c r="B107" s="2" t="s">
        <v>112</v>
      </c>
      <c r="C107" s="2" t="s">
        <v>56</v>
      </c>
      <c r="D107" s="2" t="s">
        <v>1354</v>
      </c>
      <c r="E107" s="2">
        <v>272</v>
      </c>
      <c r="F107" s="2">
        <v>70</v>
      </c>
      <c r="G107" s="7">
        <v>485.83</v>
      </c>
      <c r="H107" s="7">
        <f t="shared" si="2"/>
        <v>132145.76</v>
      </c>
      <c r="I107" s="13">
        <f t="shared" si="3"/>
        <v>3.8857142857142857</v>
      </c>
    </row>
    <row r="108" spans="1:9" hidden="1" x14ac:dyDescent="0.25">
      <c r="A108" s="2" t="s">
        <v>2087</v>
      </c>
      <c r="B108" s="2" t="s">
        <v>52</v>
      </c>
      <c r="C108" s="2" t="s">
        <v>50</v>
      </c>
      <c r="D108" s="2" t="s">
        <v>1354</v>
      </c>
      <c r="E108" s="2">
        <v>239</v>
      </c>
      <c r="F108" s="2">
        <v>100</v>
      </c>
      <c r="G108" s="7">
        <v>496.32</v>
      </c>
      <c r="H108" s="7">
        <f t="shared" si="2"/>
        <v>118620.48</v>
      </c>
      <c r="I108" s="13">
        <f t="shared" si="3"/>
        <v>2.39</v>
      </c>
    </row>
    <row r="109" spans="1:9" hidden="1" x14ac:dyDescent="0.25">
      <c r="A109" s="2" t="s">
        <v>1802</v>
      </c>
      <c r="B109" s="2" t="s">
        <v>30</v>
      </c>
      <c r="C109" s="2" t="s">
        <v>31</v>
      </c>
      <c r="D109" s="2" t="s">
        <v>1354</v>
      </c>
      <c r="E109" s="2">
        <v>289</v>
      </c>
      <c r="F109" s="2">
        <v>12</v>
      </c>
      <c r="G109" s="7">
        <v>397.61</v>
      </c>
      <c r="H109" s="7">
        <f t="shared" si="2"/>
        <v>114909.29000000001</v>
      </c>
      <c r="I109" s="13">
        <f t="shared" si="3"/>
        <v>24.083333333333332</v>
      </c>
    </row>
    <row r="110" spans="1:9" hidden="1" x14ac:dyDescent="0.25">
      <c r="A110" s="2" t="s">
        <v>1825</v>
      </c>
      <c r="B110" s="2" t="s">
        <v>123</v>
      </c>
      <c r="C110" s="2" t="s">
        <v>50</v>
      </c>
      <c r="D110" s="2" t="s">
        <v>1354</v>
      </c>
      <c r="E110" s="2">
        <v>245</v>
      </c>
      <c r="F110" s="2">
        <v>77</v>
      </c>
      <c r="G110" s="7">
        <v>446.41</v>
      </c>
      <c r="H110" s="7">
        <f t="shared" si="2"/>
        <v>109370.45000000001</v>
      </c>
      <c r="I110" s="13">
        <f t="shared" si="3"/>
        <v>3.1818181818181817</v>
      </c>
    </row>
    <row r="111" spans="1:9" hidden="1" x14ac:dyDescent="0.25">
      <c r="A111" s="2" t="s">
        <v>2035</v>
      </c>
      <c r="B111" s="2" t="s">
        <v>102</v>
      </c>
      <c r="C111" s="2" t="s">
        <v>31</v>
      </c>
      <c r="D111" s="2" t="s">
        <v>1354</v>
      </c>
      <c r="E111" s="2">
        <v>235</v>
      </c>
      <c r="F111" s="2">
        <v>96</v>
      </c>
      <c r="G111" s="7">
        <v>429.61</v>
      </c>
      <c r="H111" s="7">
        <f t="shared" si="2"/>
        <v>100958.35</v>
      </c>
      <c r="I111" s="13">
        <f t="shared" si="3"/>
        <v>2.4479166666666665</v>
      </c>
    </row>
    <row r="112" spans="1:9" hidden="1" x14ac:dyDescent="0.25">
      <c r="A112" s="2" t="s">
        <v>1878</v>
      </c>
      <c r="B112" s="2" t="s">
        <v>69</v>
      </c>
      <c r="C112" s="2" t="s">
        <v>31</v>
      </c>
      <c r="D112" s="2" t="s">
        <v>1354</v>
      </c>
      <c r="E112" s="2">
        <v>209</v>
      </c>
      <c r="F112" s="2">
        <v>84</v>
      </c>
      <c r="G112" s="7">
        <v>458.74</v>
      </c>
      <c r="H112" s="7">
        <f t="shared" si="2"/>
        <v>95876.66</v>
      </c>
      <c r="I112" s="13">
        <f t="shared" si="3"/>
        <v>2.4880952380952381</v>
      </c>
    </row>
    <row r="113" spans="1:9" hidden="1" x14ac:dyDescent="0.25">
      <c r="A113" s="2" t="s">
        <v>1944</v>
      </c>
      <c r="B113" s="2" t="s">
        <v>40</v>
      </c>
      <c r="C113" s="2" t="s">
        <v>31</v>
      </c>
      <c r="D113" s="2" t="s">
        <v>1354</v>
      </c>
      <c r="E113" s="2">
        <v>238</v>
      </c>
      <c r="F113" s="2">
        <v>77</v>
      </c>
      <c r="G113" s="7">
        <v>398.03</v>
      </c>
      <c r="H113" s="7">
        <f t="shared" si="2"/>
        <v>94731.14</v>
      </c>
      <c r="I113" s="13">
        <f t="shared" si="3"/>
        <v>3.0909090909090908</v>
      </c>
    </row>
    <row r="114" spans="1:9" x14ac:dyDescent="0.25">
      <c r="A114" s="2" t="s">
        <v>1965</v>
      </c>
      <c r="B114" s="2" t="s">
        <v>61</v>
      </c>
      <c r="C114" s="2" t="s">
        <v>16</v>
      </c>
      <c r="D114" s="2" t="s">
        <v>1354</v>
      </c>
      <c r="E114" s="2">
        <v>285</v>
      </c>
      <c r="F114" s="2">
        <v>36</v>
      </c>
      <c r="G114" s="7">
        <v>330.42</v>
      </c>
      <c r="H114" s="7">
        <f t="shared" si="2"/>
        <v>94169.700000000012</v>
      </c>
      <c r="I114" s="13">
        <f t="shared" si="3"/>
        <v>7.916666666666667</v>
      </c>
    </row>
    <row r="115" spans="1:9" x14ac:dyDescent="0.25">
      <c r="A115" s="2" t="s">
        <v>2040</v>
      </c>
      <c r="B115" s="2" t="s">
        <v>33</v>
      </c>
      <c r="C115" s="2" t="s">
        <v>16</v>
      </c>
      <c r="D115" s="2" t="s">
        <v>1354</v>
      </c>
      <c r="E115" s="2">
        <v>243</v>
      </c>
      <c r="F115" s="2">
        <v>46</v>
      </c>
      <c r="G115" s="7">
        <v>380.43</v>
      </c>
      <c r="H115" s="7">
        <f t="shared" si="2"/>
        <v>92444.49</v>
      </c>
      <c r="I115" s="13">
        <f t="shared" si="3"/>
        <v>5.2826086956521738</v>
      </c>
    </row>
    <row r="116" spans="1:9" hidden="1" x14ac:dyDescent="0.25">
      <c r="A116" s="2" t="s">
        <v>1947</v>
      </c>
      <c r="B116" s="2" t="s">
        <v>67</v>
      </c>
      <c r="C116" s="2" t="s">
        <v>21</v>
      </c>
      <c r="D116" s="2" t="s">
        <v>1354</v>
      </c>
      <c r="E116" s="2">
        <v>222</v>
      </c>
      <c r="F116" s="2">
        <v>45</v>
      </c>
      <c r="G116" s="7">
        <v>407.07</v>
      </c>
      <c r="H116" s="7">
        <f t="shared" si="2"/>
        <v>90369.54</v>
      </c>
      <c r="I116" s="13">
        <f t="shared" si="3"/>
        <v>4.9333333333333336</v>
      </c>
    </row>
    <row r="117" spans="1:9" x14ac:dyDescent="0.25">
      <c r="A117" s="2" t="s">
        <v>1993</v>
      </c>
      <c r="B117" s="2" t="s">
        <v>61</v>
      </c>
      <c r="C117" s="2" t="s">
        <v>16</v>
      </c>
      <c r="D117" s="2" t="s">
        <v>1354</v>
      </c>
      <c r="E117" s="2">
        <v>265</v>
      </c>
      <c r="F117" s="2">
        <v>98</v>
      </c>
      <c r="G117" s="7">
        <v>320.62</v>
      </c>
      <c r="H117" s="7">
        <f t="shared" si="2"/>
        <v>84964.3</v>
      </c>
      <c r="I117" s="13">
        <f t="shared" si="3"/>
        <v>2.704081632653061</v>
      </c>
    </row>
    <row r="118" spans="1:9" hidden="1" x14ac:dyDescent="0.25">
      <c r="A118" s="2" t="s">
        <v>2001</v>
      </c>
      <c r="B118" s="2" t="s">
        <v>77</v>
      </c>
      <c r="C118" s="2" t="s">
        <v>56</v>
      </c>
      <c r="D118" s="2" t="s">
        <v>1354</v>
      </c>
      <c r="E118" s="2">
        <v>267</v>
      </c>
      <c r="F118" s="2">
        <v>42</v>
      </c>
      <c r="G118" s="7">
        <v>312.64999999999998</v>
      </c>
      <c r="H118" s="7">
        <f t="shared" si="2"/>
        <v>83477.549999999988</v>
      </c>
      <c r="I118" s="13">
        <f t="shared" si="3"/>
        <v>6.3571428571428568</v>
      </c>
    </row>
    <row r="119" spans="1:9" hidden="1" x14ac:dyDescent="0.25">
      <c r="A119" s="2" t="s">
        <v>2067</v>
      </c>
      <c r="B119" s="2" t="s">
        <v>40</v>
      </c>
      <c r="C119" s="2" t="s">
        <v>31</v>
      </c>
      <c r="D119" s="2" t="s">
        <v>1354</v>
      </c>
      <c r="E119" s="2">
        <v>175</v>
      </c>
      <c r="F119" s="2">
        <v>60</v>
      </c>
      <c r="G119" s="7">
        <v>459.2</v>
      </c>
      <c r="H119" s="7">
        <f t="shared" si="2"/>
        <v>80360</v>
      </c>
      <c r="I119" s="13">
        <f t="shared" si="3"/>
        <v>2.9166666666666665</v>
      </c>
    </row>
    <row r="120" spans="1:9" hidden="1" x14ac:dyDescent="0.25">
      <c r="A120" s="2" t="s">
        <v>2111</v>
      </c>
      <c r="B120" s="2" t="s">
        <v>52</v>
      </c>
      <c r="C120" s="2" t="s">
        <v>50</v>
      </c>
      <c r="D120" s="2" t="s">
        <v>1354</v>
      </c>
      <c r="E120" s="2">
        <v>161</v>
      </c>
      <c r="F120" s="2">
        <v>100</v>
      </c>
      <c r="G120" s="7">
        <v>486.25</v>
      </c>
      <c r="H120" s="7">
        <f t="shared" si="2"/>
        <v>78286.25</v>
      </c>
      <c r="I120" s="13">
        <f t="shared" si="3"/>
        <v>1.61</v>
      </c>
    </row>
    <row r="121" spans="1:9" hidden="1" x14ac:dyDescent="0.25">
      <c r="A121" s="2" t="s">
        <v>2127</v>
      </c>
      <c r="B121" s="2" t="s">
        <v>102</v>
      </c>
      <c r="C121" s="2" t="s">
        <v>31</v>
      </c>
      <c r="D121" s="2" t="s">
        <v>1354</v>
      </c>
      <c r="E121" s="2">
        <v>196</v>
      </c>
      <c r="F121" s="2">
        <v>45</v>
      </c>
      <c r="G121" s="7">
        <v>379.14</v>
      </c>
      <c r="H121" s="7">
        <f t="shared" si="2"/>
        <v>74311.44</v>
      </c>
      <c r="I121" s="13">
        <f t="shared" si="3"/>
        <v>4.3555555555555552</v>
      </c>
    </row>
    <row r="122" spans="1:9" hidden="1" x14ac:dyDescent="0.25">
      <c r="A122" s="2" t="s">
        <v>1995</v>
      </c>
      <c r="B122" s="2" t="s">
        <v>67</v>
      </c>
      <c r="C122" s="2" t="s">
        <v>21</v>
      </c>
      <c r="D122" s="2" t="s">
        <v>1354</v>
      </c>
      <c r="E122" s="2">
        <v>184</v>
      </c>
      <c r="F122" s="2">
        <v>31</v>
      </c>
      <c r="G122" s="7">
        <v>372.69</v>
      </c>
      <c r="H122" s="7">
        <f t="shared" si="2"/>
        <v>68574.960000000006</v>
      </c>
      <c r="I122" s="13">
        <f t="shared" si="3"/>
        <v>5.935483870967742</v>
      </c>
    </row>
    <row r="123" spans="1:9" hidden="1" x14ac:dyDescent="0.25">
      <c r="A123" s="2" t="s">
        <v>1841</v>
      </c>
      <c r="B123" s="2" t="s">
        <v>112</v>
      </c>
      <c r="C123" s="2" t="s">
        <v>56</v>
      </c>
      <c r="D123" s="2" t="s">
        <v>1354</v>
      </c>
      <c r="E123" s="2">
        <v>275</v>
      </c>
      <c r="F123" s="2">
        <v>73</v>
      </c>
      <c r="G123" s="7">
        <v>247.32</v>
      </c>
      <c r="H123" s="7">
        <f t="shared" si="2"/>
        <v>68013</v>
      </c>
      <c r="I123" s="13">
        <f t="shared" si="3"/>
        <v>3.7671232876712328</v>
      </c>
    </row>
    <row r="124" spans="1:9" hidden="1" x14ac:dyDescent="0.25">
      <c r="A124" s="2" t="s">
        <v>1842</v>
      </c>
      <c r="B124" s="2" t="s">
        <v>55</v>
      </c>
      <c r="C124" s="2" t="s">
        <v>56</v>
      </c>
      <c r="D124" s="2" t="s">
        <v>1354</v>
      </c>
      <c r="E124" s="2">
        <v>297</v>
      </c>
      <c r="F124" s="2">
        <v>96</v>
      </c>
      <c r="G124" s="7">
        <v>212.08</v>
      </c>
      <c r="H124" s="7">
        <f t="shared" si="2"/>
        <v>62987.76</v>
      </c>
      <c r="I124" s="13">
        <f t="shared" si="3"/>
        <v>3.09375</v>
      </c>
    </row>
    <row r="125" spans="1:9" hidden="1" x14ac:dyDescent="0.25">
      <c r="A125" s="2" t="s">
        <v>1945</v>
      </c>
      <c r="B125" s="2" t="s">
        <v>20</v>
      </c>
      <c r="C125" s="2" t="s">
        <v>21</v>
      </c>
      <c r="D125" s="2" t="s">
        <v>1354</v>
      </c>
      <c r="E125" s="2">
        <v>197</v>
      </c>
      <c r="F125" s="2">
        <v>41</v>
      </c>
      <c r="G125" s="7">
        <v>301.7</v>
      </c>
      <c r="H125" s="7">
        <f t="shared" si="2"/>
        <v>59434.899999999994</v>
      </c>
      <c r="I125" s="13">
        <f t="shared" si="3"/>
        <v>4.8048780487804876</v>
      </c>
    </row>
    <row r="126" spans="1:9" hidden="1" x14ac:dyDescent="0.25">
      <c r="A126" s="2" t="s">
        <v>2093</v>
      </c>
      <c r="B126" s="2" t="s">
        <v>55</v>
      </c>
      <c r="C126" s="2" t="s">
        <v>56</v>
      </c>
      <c r="D126" s="2" t="s">
        <v>1354</v>
      </c>
      <c r="E126" s="2">
        <v>183</v>
      </c>
      <c r="F126" s="2">
        <v>66</v>
      </c>
      <c r="G126" s="7">
        <v>319.60000000000002</v>
      </c>
      <c r="H126" s="7">
        <f t="shared" si="2"/>
        <v>58486.8</v>
      </c>
      <c r="I126" s="13">
        <f t="shared" si="3"/>
        <v>2.7727272727272729</v>
      </c>
    </row>
    <row r="127" spans="1:9" x14ac:dyDescent="0.25">
      <c r="A127" s="2" t="s">
        <v>1972</v>
      </c>
      <c r="B127" s="2" t="s">
        <v>15</v>
      </c>
      <c r="C127" s="2" t="s">
        <v>16</v>
      </c>
      <c r="D127" s="2" t="s">
        <v>1354</v>
      </c>
      <c r="E127" s="2">
        <v>123</v>
      </c>
      <c r="F127" s="2">
        <v>7</v>
      </c>
      <c r="G127" s="7">
        <v>447.26</v>
      </c>
      <c r="H127" s="7">
        <f t="shared" si="2"/>
        <v>55012.979999999996</v>
      </c>
      <c r="I127" s="13">
        <f t="shared" si="3"/>
        <v>17.571428571428573</v>
      </c>
    </row>
    <row r="128" spans="1:9" x14ac:dyDescent="0.25">
      <c r="A128" s="2" t="s">
        <v>1787</v>
      </c>
      <c r="B128" s="2" t="s">
        <v>15</v>
      </c>
      <c r="C128" s="2" t="s">
        <v>16</v>
      </c>
      <c r="D128" s="2" t="s">
        <v>1354</v>
      </c>
      <c r="E128" s="2">
        <v>194</v>
      </c>
      <c r="F128" s="2">
        <v>57</v>
      </c>
      <c r="G128" s="7">
        <v>263.44</v>
      </c>
      <c r="H128" s="7">
        <f t="shared" si="2"/>
        <v>51107.360000000001</v>
      </c>
      <c r="I128" s="13">
        <f t="shared" si="3"/>
        <v>3.4035087719298245</v>
      </c>
    </row>
    <row r="129" spans="1:9" hidden="1" x14ac:dyDescent="0.25">
      <c r="A129" s="2" t="s">
        <v>1974</v>
      </c>
      <c r="B129" s="2" t="s">
        <v>30</v>
      </c>
      <c r="C129" s="2" t="s">
        <v>31</v>
      </c>
      <c r="D129" s="2" t="s">
        <v>1354</v>
      </c>
      <c r="E129" s="2">
        <v>281</v>
      </c>
      <c r="F129" s="2">
        <v>15</v>
      </c>
      <c r="G129" s="7">
        <v>178.5</v>
      </c>
      <c r="H129" s="7">
        <f t="shared" si="2"/>
        <v>50158.5</v>
      </c>
      <c r="I129" s="13">
        <f t="shared" si="3"/>
        <v>18.733333333333334</v>
      </c>
    </row>
    <row r="130" spans="1:9" x14ac:dyDescent="0.25">
      <c r="A130" s="2" t="s">
        <v>1869</v>
      </c>
      <c r="B130" s="2" t="s">
        <v>15</v>
      </c>
      <c r="C130" s="2" t="s">
        <v>16</v>
      </c>
      <c r="D130" s="2" t="s">
        <v>1354</v>
      </c>
      <c r="E130" s="2">
        <v>118</v>
      </c>
      <c r="F130" s="2">
        <v>32</v>
      </c>
      <c r="G130" s="7">
        <v>404.12</v>
      </c>
      <c r="H130" s="7">
        <f t="shared" si="2"/>
        <v>47686.16</v>
      </c>
      <c r="I130" s="13">
        <f t="shared" si="3"/>
        <v>3.6875</v>
      </c>
    </row>
    <row r="131" spans="1:9" hidden="1" x14ac:dyDescent="0.25">
      <c r="A131" s="2" t="s">
        <v>2065</v>
      </c>
      <c r="B131" s="2" t="s">
        <v>77</v>
      </c>
      <c r="C131" s="2" t="s">
        <v>56</v>
      </c>
      <c r="D131" s="2" t="s">
        <v>1354</v>
      </c>
      <c r="E131" s="2">
        <v>220</v>
      </c>
      <c r="F131" s="2">
        <v>94</v>
      </c>
      <c r="G131" s="7">
        <v>214.56</v>
      </c>
      <c r="H131" s="7">
        <f t="shared" si="2"/>
        <v>47203.199999999997</v>
      </c>
      <c r="I131" s="13">
        <f t="shared" si="3"/>
        <v>2.3404255319148937</v>
      </c>
    </row>
    <row r="132" spans="1:9" hidden="1" x14ac:dyDescent="0.25">
      <c r="A132" s="2" t="s">
        <v>1936</v>
      </c>
      <c r="B132" s="2" t="s">
        <v>55</v>
      </c>
      <c r="C132" s="2" t="s">
        <v>56</v>
      </c>
      <c r="D132" s="2" t="s">
        <v>1354</v>
      </c>
      <c r="E132" s="2">
        <v>298</v>
      </c>
      <c r="F132" s="2">
        <v>80</v>
      </c>
      <c r="G132" s="7">
        <v>157.16999999999999</v>
      </c>
      <c r="H132" s="7">
        <f t="shared" si="2"/>
        <v>46836.659999999996</v>
      </c>
      <c r="I132" s="13">
        <f t="shared" si="3"/>
        <v>3.7250000000000001</v>
      </c>
    </row>
    <row r="133" spans="1:9" hidden="1" x14ac:dyDescent="0.25">
      <c r="A133" s="2" t="s">
        <v>2113</v>
      </c>
      <c r="B133" s="2" t="s">
        <v>69</v>
      </c>
      <c r="C133" s="2" t="s">
        <v>31</v>
      </c>
      <c r="D133" s="2" t="s">
        <v>1354</v>
      </c>
      <c r="E133" s="2">
        <v>117</v>
      </c>
      <c r="F133" s="2">
        <v>62</v>
      </c>
      <c r="G133" s="7">
        <v>393.58</v>
      </c>
      <c r="H133" s="7">
        <f t="shared" ref="H133:H196" si="4">E133*G133</f>
        <v>46048.86</v>
      </c>
      <c r="I133" s="13">
        <f t="shared" ref="I133:I196" si="5">IFERROR(E133/F133,"Seuil non defini")</f>
        <v>1.8870967741935485</v>
      </c>
    </row>
    <row r="134" spans="1:9" hidden="1" x14ac:dyDescent="0.25">
      <c r="A134" s="2" t="s">
        <v>1855</v>
      </c>
      <c r="B134" s="2" t="s">
        <v>74</v>
      </c>
      <c r="C134" s="2" t="s">
        <v>56</v>
      </c>
      <c r="D134" s="2" t="s">
        <v>1354</v>
      </c>
      <c r="E134" s="2">
        <v>292</v>
      </c>
      <c r="F134" s="2">
        <v>69</v>
      </c>
      <c r="G134" s="7">
        <v>154.4</v>
      </c>
      <c r="H134" s="7">
        <f t="shared" si="4"/>
        <v>45084.800000000003</v>
      </c>
      <c r="I134" s="13">
        <f t="shared" si="5"/>
        <v>4.2318840579710146</v>
      </c>
    </row>
    <row r="135" spans="1:9" hidden="1" x14ac:dyDescent="0.25">
      <c r="A135" s="2" t="s">
        <v>2076</v>
      </c>
      <c r="B135" s="2" t="s">
        <v>30</v>
      </c>
      <c r="C135" s="2" t="s">
        <v>31</v>
      </c>
      <c r="D135" s="2" t="s">
        <v>1354</v>
      </c>
      <c r="E135" s="2">
        <v>104</v>
      </c>
      <c r="F135" s="2">
        <v>22</v>
      </c>
      <c r="G135" s="7">
        <v>421.03</v>
      </c>
      <c r="H135" s="7">
        <f t="shared" si="4"/>
        <v>43787.119999999995</v>
      </c>
      <c r="I135" s="13">
        <f t="shared" si="5"/>
        <v>4.7272727272727275</v>
      </c>
    </row>
    <row r="136" spans="1:9" hidden="1" x14ac:dyDescent="0.25">
      <c r="A136" s="2" t="s">
        <v>2081</v>
      </c>
      <c r="B136" s="2" t="s">
        <v>55</v>
      </c>
      <c r="C136" s="2" t="s">
        <v>56</v>
      </c>
      <c r="D136" s="2" t="s">
        <v>1354</v>
      </c>
      <c r="E136" s="2">
        <v>195</v>
      </c>
      <c r="F136" s="2">
        <v>54</v>
      </c>
      <c r="G136" s="7">
        <v>223.12</v>
      </c>
      <c r="H136" s="7">
        <f t="shared" si="4"/>
        <v>43508.4</v>
      </c>
      <c r="I136" s="13">
        <f t="shared" si="5"/>
        <v>3.6111111111111112</v>
      </c>
    </row>
    <row r="137" spans="1:9" x14ac:dyDescent="0.25">
      <c r="A137" s="2" t="s">
        <v>2054</v>
      </c>
      <c r="B137" s="2" t="s">
        <v>26</v>
      </c>
      <c r="C137" s="2" t="s">
        <v>16</v>
      </c>
      <c r="D137" s="2" t="s">
        <v>1354</v>
      </c>
      <c r="E137" s="2">
        <v>147</v>
      </c>
      <c r="F137" s="2">
        <v>14</v>
      </c>
      <c r="G137" s="7">
        <v>268.14</v>
      </c>
      <c r="H137" s="7">
        <f t="shared" si="4"/>
        <v>39416.579999999994</v>
      </c>
      <c r="I137" s="13">
        <f t="shared" si="5"/>
        <v>10.5</v>
      </c>
    </row>
    <row r="138" spans="1:9" hidden="1" x14ac:dyDescent="0.25">
      <c r="A138" s="2" t="s">
        <v>2097</v>
      </c>
      <c r="B138" s="2" t="s">
        <v>20</v>
      </c>
      <c r="C138" s="2" t="s">
        <v>21</v>
      </c>
      <c r="D138" s="2" t="s">
        <v>1354</v>
      </c>
      <c r="E138" s="2">
        <v>119</v>
      </c>
      <c r="F138" s="2">
        <v>19</v>
      </c>
      <c r="G138" s="7">
        <v>327.99</v>
      </c>
      <c r="H138" s="7">
        <f t="shared" si="4"/>
        <v>39030.81</v>
      </c>
      <c r="I138" s="13">
        <f t="shared" si="5"/>
        <v>6.2631578947368425</v>
      </c>
    </row>
    <row r="139" spans="1:9" hidden="1" x14ac:dyDescent="0.25">
      <c r="A139" s="2" t="s">
        <v>1856</v>
      </c>
      <c r="B139" s="2" t="s">
        <v>77</v>
      </c>
      <c r="C139" s="2" t="s">
        <v>56</v>
      </c>
      <c r="D139" s="2" t="s">
        <v>1354</v>
      </c>
      <c r="E139" s="2">
        <v>139</v>
      </c>
      <c r="F139" s="2">
        <v>16</v>
      </c>
      <c r="G139" s="7">
        <v>261.70999999999998</v>
      </c>
      <c r="H139" s="7">
        <f t="shared" si="4"/>
        <v>36377.689999999995</v>
      </c>
      <c r="I139" s="13">
        <f t="shared" si="5"/>
        <v>8.6875</v>
      </c>
    </row>
    <row r="140" spans="1:9" hidden="1" x14ac:dyDescent="0.25">
      <c r="A140" s="2" t="s">
        <v>1968</v>
      </c>
      <c r="B140" s="2" t="s">
        <v>36</v>
      </c>
      <c r="C140" s="2" t="s">
        <v>21</v>
      </c>
      <c r="D140" s="2" t="s">
        <v>1354</v>
      </c>
      <c r="E140" s="2">
        <v>159</v>
      </c>
      <c r="F140" s="2">
        <v>95</v>
      </c>
      <c r="G140" s="7">
        <v>228.1</v>
      </c>
      <c r="H140" s="7">
        <f t="shared" si="4"/>
        <v>36267.9</v>
      </c>
      <c r="I140" s="13">
        <f t="shared" si="5"/>
        <v>1.6736842105263159</v>
      </c>
    </row>
    <row r="141" spans="1:9" hidden="1" x14ac:dyDescent="0.25">
      <c r="A141" s="2" t="s">
        <v>1900</v>
      </c>
      <c r="B141" s="2" t="s">
        <v>77</v>
      </c>
      <c r="C141" s="2" t="s">
        <v>56</v>
      </c>
      <c r="D141" s="2" t="s">
        <v>1354</v>
      </c>
      <c r="E141" s="2">
        <v>193</v>
      </c>
      <c r="F141" s="2">
        <v>32</v>
      </c>
      <c r="G141" s="7">
        <v>175.35</v>
      </c>
      <c r="H141" s="7">
        <f t="shared" si="4"/>
        <v>33842.549999999996</v>
      </c>
      <c r="I141" s="13">
        <f t="shared" si="5"/>
        <v>6.03125</v>
      </c>
    </row>
    <row r="142" spans="1:9" hidden="1" x14ac:dyDescent="0.25">
      <c r="A142" s="2" t="s">
        <v>2027</v>
      </c>
      <c r="B142" s="2" t="s">
        <v>123</v>
      </c>
      <c r="C142" s="2" t="s">
        <v>50</v>
      </c>
      <c r="D142" s="2" t="s">
        <v>1354</v>
      </c>
      <c r="E142" s="2">
        <v>123</v>
      </c>
      <c r="F142" s="2">
        <v>26</v>
      </c>
      <c r="G142" s="7">
        <v>256.73</v>
      </c>
      <c r="H142" s="7">
        <f t="shared" si="4"/>
        <v>31577.79</v>
      </c>
      <c r="I142" s="13">
        <f t="shared" si="5"/>
        <v>4.7307692307692308</v>
      </c>
    </row>
    <row r="143" spans="1:9" x14ac:dyDescent="0.25">
      <c r="A143" s="2" t="s">
        <v>2005</v>
      </c>
      <c r="B143" s="2" t="s">
        <v>61</v>
      </c>
      <c r="C143" s="2" t="s">
        <v>16</v>
      </c>
      <c r="D143" s="2" t="s">
        <v>1354</v>
      </c>
      <c r="E143" s="2">
        <v>70</v>
      </c>
      <c r="F143" s="2">
        <v>49</v>
      </c>
      <c r="G143" s="7">
        <v>439.6</v>
      </c>
      <c r="H143" s="7">
        <f t="shared" si="4"/>
        <v>30772</v>
      </c>
      <c r="I143" s="13">
        <f t="shared" si="5"/>
        <v>1.4285714285714286</v>
      </c>
    </row>
    <row r="144" spans="1:9" hidden="1" x14ac:dyDescent="0.25">
      <c r="A144" s="2" t="s">
        <v>1984</v>
      </c>
      <c r="B144" s="2" t="s">
        <v>40</v>
      </c>
      <c r="C144" s="2" t="s">
        <v>31</v>
      </c>
      <c r="D144" s="2" t="s">
        <v>1354</v>
      </c>
      <c r="E144" s="2">
        <v>87</v>
      </c>
      <c r="F144" s="2">
        <v>45</v>
      </c>
      <c r="G144" s="7">
        <v>341.36</v>
      </c>
      <c r="H144" s="7">
        <f t="shared" si="4"/>
        <v>29698.32</v>
      </c>
      <c r="I144" s="13">
        <f t="shared" si="5"/>
        <v>1.9333333333333333</v>
      </c>
    </row>
    <row r="145" spans="1:9" x14ac:dyDescent="0.25">
      <c r="A145" s="2" t="s">
        <v>1966</v>
      </c>
      <c r="B145" s="2" t="s">
        <v>15</v>
      </c>
      <c r="C145" s="2" t="s">
        <v>16</v>
      </c>
      <c r="D145" s="2" t="s">
        <v>1354</v>
      </c>
      <c r="E145" s="2">
        <v>253</v>
      </c>
      <c r="F145" s="2">
        <v>12</v>
      </c>
      <c r="G145" s="7">
        <v>107.81</v>
      </c>
      <c r="H145" s="7">
        <f t="shared" si="4"/>
        <v>27275.93</v>
      </c>
      <c r="I145" s="13">
        <f t="shared" si="5"/>
        <v>21.083333333333332</v>
      </c>
    </row>
    <row r="146" spans="1:9" hidden="1" x14ac:dyDescent="0.25">
      <c r="A146" s="2" t="s">
        <v>1814</v>
      </c>
      <c r="B146" s="2" t="s">
        <v>20</v>
      </c>
      <c r="C146" s="2" t="s">
        <v>21</v>
      </c>
      <c r="D146" s="2" t="s">
        <v>1354</v>
      </c>
      <c r="E146" s="2">
        <v>195</v>
      </c>
      <c r="F146" s="2">
        <v>88</v>
      </c>
      <c r="G146" s="7">
        <v>130.16</v>
      </c>
      <c r="H146" s="7">
        <f t="shared" si="4"/>
        <v>25381.200000000001</v>
      </c>
      <c r="I146" s="13">
        <f t="shared" si="5"/>
        <v>2.2159090909090908</v>
      </c>
    </row>
    <row r="147" spans="1:9" x14ac:dyDescent="0.25">
      <c r="A147" s="2" t="s">
        <v>1889</v>
      </c>
      <c r="B147" s="2" t="s">
        <v>61</v>
      </c>
      <c r="C147" s="2" t="s">
        <v>16</v>
      </c>
      <c r="D147" s="2" t="s">
        <v>1354</v>
      </c>
      <c r="E147" s="2">
        <v>220</v>
      </c>
      <c r="F147" s="2">
        <v>65</v>
      </c>
      <c r="G147" s="7">
        <v>108.28</v>
      </c>
      <c r="H147" s="7">
        <f t="shared" si="4"/>
        <v>23821.599999999999</v>
      </c>
      <c r="I147" s="13">
        <f t="shared" si="5"/>
        <v>3.3846153846153846</v>
      </c>
    </row>
    <row r="148" spans="1:9" hidden="1" x14ac:dyDescent="0.25">
      <c r="A148" s="2" t="s">
        <v>2034</v>
      </c>
      <c r="B148" s="2" t="s">
        <v>69</v>
      </c>
      <c r="C148" s="2" t="s">
        <v>31</v>
      </c>
      <c r="D148" s="2" t="s">
        <v>1354</v>
      </c>
      <c r="E148" s="2">
        <v>262</v>
      </c>
      <c r="F148" s="2">
        <v>13</v>
      </c>
      <c r="G148" s="7">
        <v>88.9</v>
      </c>
      <c r="H148" s="7">
        <f t="shared" si="4"/>
        <v>23291.800000000003</v>
      </c>
      <c r="I148" s="13">
        <f t="shared" si="5"/>
        <v>20.153846153846153</v>
      </c>
    </row>
    <row r="149" spans="1:9" hidden="1" x14ac:dyDescent="0.25">
      <c r="A149" s="2" t="s">
        <v>2120</v>
      </c>
      <c r="B149" s="2" t="s">
        <v>74</v>
      </c>
      <c r="C149" s="2" t="s">
        <v>56</v>
      </c>
      <c r="D149" s="2" t="s">
        <v>1354</v>
      </c>
      <c r="E149" s="2">
        <v>65</v>
      </c>
      <c r="F149" s="2">
        <v>56</v>
      </c>
      <c r="G149" s="7">
        <v>349.07</v>
      </c>
      <c r="H149" s="7">
        <f t="shared" si="4"/>
        <v>22689.55</v>
      </c>
      <c r="I149" s="13">
        <f t="shared" si="5"/>
        <v>1.1607142857142858</v>
      </c>
    </row>
    <row r="150" spans="1:9" hidden="1" x14ac:dyDescent="0.25">
      <c r="A150" s="2" t="s">
        <v>2077</v>
      </c>
      <c r="B150" s="2" t="s">
        <v>40</v>
      </c>
      <c r="C150" s="2" t="s">
        <v>31</v>
      </c>
      <c r="D150" s="2" t="s">
        <v>1354</v>
      </c>
      <c r="E150" s="2">
        <v>62</v>
      </c>
      <c r="F150" s="2">
        <v>52</v>
      </c>
      <c r="G150" s="7">
        <v>363.01</v>
      </c>
      <c r="H150" s="7">
        <f t="shared" si="4"/>
        <v>22506.62</v>
      </c>
      <c r="I150" s="13">
        <f t="shared" si="5"/>
        <v>1.1923076923076923</v>
      </c>
    </row>
    <row r="151" spans="1:9" hidden="1" x14ac:dyDescent="0.25">
      <c r="A151" s="2" t="s">
        <v>2096</v>
      </c>
      <c r="B151" s="2" t="s">
        <v>69</v>
      </c>
      <c r="C151" s="2" t="s">
        <v>31</v>
      </c>
      <c r="D151" s="2" t="s">
        <v>1354</v>
      </c>
      <c r="E151" s="2">
        <v>65</v>
      </c>
      <c r="F151" s="2">
        <v>34</v>
      </c>
      <c r="G151" s="7">
        <v>315.91000000000003</v>
      </c>
      <c r="H151" s="7">
        <f t="shared" si="4"/>
        <v>20534.150000000001</v>
      </c>
      <c r="I151" s="13">
        <f t="shared" si="5"/>
        <v>1.911764705882353</v>
      </c>
    </row>
    <row r="152" spans="1:9" hidden="1" x14ac:dyDescent="0.25">
      <c r="A152" s="2" t="s">
        <v>2107</v>
      </c>
      <c r="B152" s="2" t="s">
        <v>52</v>
      </c>
      <c r="C152" s="2" t="s">
        <v>50</v>
      </c>
      <c r="D152" s="2" t="s">
        <v>1354</v>
      </c>
      <c r="E152" s="2">
        <v>40</v>
      </c>
      <c r="F152" s="2">
        <v>14</v>
      </c>
      <c r="G152" s="7">
        <v>479.4</v>
      </c>
      <c r="H152" s="7">
        <f t="shared" si="4"/>
        <v>19176</v>
      </c>
      <c r="I152" s="13">
        <f t="shared" si="5"/>
        <v>2.8571428571428572</v>
      </c>
    </row>
    <row r="153" spans="1:9" hidden="1" x14ac:dyDescent="0.25">
      <c r="A153" s="2" t="s">
        <v>1994</v>
      </c>
      <c r="B153" s="2" t="s">
        <v>77</v>
      </c>
      <c r="C153" s="2" t="s">
        <v>56</v>
      </c>
      <c r="D153" s="2" t="s">
        <v>1354</v>
      </c>
      <c r="E153" s="2">
        <v>72</v>
      </c>
      <c r="F153" s="2">
        <v>50</v>
      </c>
      <c r="G153" s="7">
        <v>249.92</v>
      </c>
      <c r="H153" s="7">
        <f t="shared" si="4"/>
        <v>17994.239999999998</v>
      </c>
      <c r="I153" s="13">
        <f t="shared" si="5"/>
        <v>1.44</v>
      </c>
    </row>
    <row r="154" spans="1:9" hidden="1" x14ac:dyDescent="0.25">
      <c r="A154" s="2" t="s">
        <v>2123</v>
      </c>
      <c r="B154" s="2" t="s">
        <v>74</v>
      </c>
      <c r="C154" s="2" t="s">
        <v>56</v>
      </c>
      <c r="D154" s="2" t="s">
        <v>1354</v>
      </c>
      <c r="E154" s="2">
        <v>244</v>
      </c>
      <c r="F154" s="2">
        <v>94</v>
      </c>
      <c r="G154" s="7">
        <v>69.03</v>
      </c>
      <c r="H154" s="7">
        <f t="shared" si="4"/>
        <v>16843.32</v>
      </c>
      <c r="I154" s="13">
        <f t="shared" si="5"/>
        <v>2.5957446808510638</v>
      </c>
    </row>
    <row r="155" spans="1:9" hidden="1" x14ac:dyDescent="0.25">
      <c r="A155" s="2" t="s">
        <v>1835</v>
      </c>
      <c r="B155" s="2" t="s">
        <v>102</v>
      </c>
      <c r="C155" s="2" t="s">
        <v>31</v>
      </c>
      <c r="D155" s="2" t="s">
        <v>1354</v>
      </c>
      <c r="E155" s="2">
        <v>39</v>
      </c>
      <c r="F155" s="2">
        <v>5</v>
      </c>
      <c r="G155" s="7">
        <v>431.13</v>
      </c>
      <c r="H155" s="7">
        <f t="shared" si="4"/>
        <v>16814.07</v>
      </c>
      <c r="I155" s="13">
        <f t="shared" si="5"/>
        <v>7.8</v>
      </c>
    </row>
    <row r="156" spans="1:9" hidden="1" x14ac:dyDescent="0.25">
      <c r="A156" s="2" t="s">
        <v>1925</v>
      </c>
      <c r="B156" s="2" t="s">
        <v>96</v>
      </c>
      <c r="C156" s="2" t="s">
        <v>50</v>
      </c>
      <c r="D156" s="2" t="s">
        <v>1354</v>
      </c>
      <c r="E156" s="2">
        <v>39</v>
      </c>
      <c r="F156" s="2">
        <v>68</v>
      </c>
      <c r="G156" s="7">
        <v>422.62</v>
      </c>
      <c r="H156" s="7">
        <f t="shared" si="4"/>
        <v>16482.18</v>
      </c>
      <c r="I156" s="13">
        <f t="shared" si="5"/>
        <v>0.57352941176470584</v>
      </c>
    </row>
    <row r="157" spans="1:9" hidden="1" x14ac:dyDescent="0.25">
      <c r="A157" s="2" t="s">
        <v>1961</v>
      </c>
      <c r="B157" s="2" t="s">
        <v>40</v>
      </c>
      <c r="C157" s="2" t="s">
        <v>31</v>
      </c>
      <c r="D157" s="2" t="s">
        <v>1354</v>
      </c>
      <c r="E157" s="2">
        <v>70</v>
      </c>
      <c r="F157" s="2">
        <v>79</v>
      </c>
      <c r="G157" s="7">
        <v>231.43</v>
      </c>
      <c r="H157" s="7">
        <f t="shared" si="4"/>
        <v>16200.1</v>
      </c>
      <c r="I157" s="13">
        <f t="shared" si="5"/>
        <v>0.88607594936708856</v>
      </c>
    </row>
    <row r="158" spans="1:9" hidden="1" x14ac:dyDescent="0.25">
      <c r="A158" s="2" t="s">
        <v>1884</v>
      </c>
      <c r="B158" s="2" t="s">
        <v>112</v>
      </c>
      <c r="C158" s="2" t="s">
        <v>56</v>
      </c>
      <c r="D158" s="2" t="s">
        <v>1354</v>
      </c>
      <c r="E158" s="2">
        <v>273</v>
      </c>
      <c r="F158" s="2">
        <v>64</v>
      </c>
      <c r="G158" s="7">
        <v>56.34</v>
      </c>
      <c r="H158" s="7">
        <f t="shared" si="4"/>
        <v>15380.820000000002</v>
      </c>
      <c r="I158" s="13">
        <f t="shared" si="5"/>
        <v>4.265625</v>
      </c>
    </row>
    <row r="159" spans="1:9" hidden="1" x14ac:dyDescent="0.25">
      <c r="A159" s="2" t="s">
        <v>1862</v>
      </c>
      <c r="B159" s="2" t="s">
        <v>96</v>
      </c>
      <c r="C159" s="2" t="s">
        <v>50</v>
      </c>
      <c r="D159" s="2" t="s">
        <v>1354</v>
      </c>
      <c r="E159" s="2">
        <v>158</v>
      </c>
      <c r="F159" s="2">
        <v>0</v>
      </c>
      <c r="G159" s="7">
        <v>95.5</v>
      </c>
      <c r="H159" s="7">
        <f t="shared" si="4"/>
        <v>15089</v>
      </c>
      <c r="I159" s="13" t="str">
        <f t="shared" si="5"/>
        <v>Seuil non defini</v>
      </c>
    </row>
    <row r="160" spans="1:9" hidden="1" x14ac:dyDescent="0.25">
      <c r="A160" s="2" t="s">
        <v>2045</v>
      </c>
      <c r="B160" s="2" t="s">
        <v>112</v>
      </c>
      <c r="C160" s="2" t="s">
        <v>56</v>
      </c>
      <c r="D160" s="2" t="s">
        <v>1354</v>
      </c>
      <c r="E160" s="2">
        <v>146</v>
      </c>
      <c r="F160" s="2">
        <v>33</v>
      </c>
      <c r="G160" s="7">
        <v>102.19</v>
      </c>
      <c r="H160" s="7">
        <f t="shared" si="4"/>
        <v>14919.74</v>
      </c>
      <c r="I160" s="13">
        <f t="shared" si="5"/>
        <v>4.4242424242424239</v>
      </c>
    </row>
    <row r="161" spans="1:9" hidden="1" x14ac:dyDescent="0.25">
      <c r="A161" s="2" t="s">
        <v>1916</v>
      </c>
      <c r="B161" s="2" t="s">
        <v>52</v>
      </c>
      <c r="C161" s="2" t="s">
        <v>50</v>
      </c>
      <c r="D161" s="2" t="s">
        <v>1354</v>
      </c>
      <c r="E161" s="2">
        <v>162</v>
      </c>
      <c r="F161" s="2">
        <v>71</v>
      </c>
      <c r="G161" s="7">
        <v>80.900000000000006</v>
      </c>
      <c r="H161" s="7">
        <f t="shared" si="4"/>
        <v>13105.800000000001</v>
      </c>
      <c r="I161" s="13">
        <f t="shared" si="5"/>
        <v>2.2816901408450705</v>
      </c>
    </row>
    <row r="162" spans="1:9" x14ac:dyDescent="0.25">
      <c r="A162" s="2" t="s">
        <v>1832</v>
      </c>
      <c r="B162" s="2" t="s">
        <v>61</v>
      </c>
      <c r="C162" s="2" t="s">
        <v>16</v>
      </c>
      <c r="D162" s="2" t="s">
        <v>1354</v>
      </c>
      <c r="E162" s="2">
        <v>43</v>
      </c>
      <c r="F162" s="2">
        <v>10</v>
      </c>
      <c r="G162" s="7">
        <v>303.04000000000002</v>
      </c>
      <c r="H162" s="7">
        <f t="shared" si="4"/>
        <v>13030.720000000001</v>
      </c>
      <c r="I162" s="13">
        <f t="shared" si="5"/>
        <v>4.3</v>
      </c>
    </row>
    <row r="163" spans="1:9" hidden="1" x14ac:dyDescent="0.25">
      <c r="A163" s="2" t="s">
        <v>1801</v>
      </c>
      <c r="B163" s="2" t="s">
        <v>20</v>
      </c>
      <c r="C163" s="2" t="s">
        <v>21</v>
      </c>
      <c r="D163" s="2" t="s">
        <v>1354</v>
      </c>
      <c r="E163" s="2">
        <v>85</v>
      </c>
      <c r="F163" s="2">
        <v>81</v>
      </c>
      <c r="G163" s="7">
        <v>138.53</v>
      </c>
      <c r="H163" s="7">
        <f t="shared" si="4"/>
        <v>11775.05</v>
      </c>
      <c r="I163" s="13">
        <f t="shared" si="5"/>
        <v>1.0493827160493827</v>
      </c>
    </row>
    <row r="164" spans="1:9" hidden="1" x14ac:dyDescent="0.25">
      <c r="A164" s="2" t="s">
        <v>2135</v>
      </c>
      <c r="B164" s="2" t="s">
        <v>112</v>
      </c>
      <c r="C164" s="2" t="s">
        <v>56</v>
      </c>
      <c r="D164" s="2" t="s">
        <v>1354</v>
      </c>
      <c r="E164" s="2">
        <v>252</v>
      </c>
      <c r="F164" s="2">
        <v>38</v>
      </c>
      <c r="G164" s="7">
        <v>45.26</v>
      </c>
      <c r="H164" s="7">
        <f t="shared" si="4"/>
        <v>11405.519999999999</v>
      </c>
      <c r="I164" s="13">
        <f t="shared" si="5"/>
        <v>6.6315789473684212</v>
      </c>
    </row>
    <row r="165" spans="1:9" hidden="1" x14ac:dyDescent="0.25">
      <c r="A165" s="2" t="s">
        <v>1796</v>
      </c>
      <c r="B165" s="2" t="s">
        <v>96</v>
      </c>
      <c r="C165" s="2" t="s">
        <v>50</v>
      </c>
      <c r="D165" s="2" t="s">
        <v>1354</v>
      </c>
      <c r="E165" s="2">
        <v>21</v>
      </c>
      <c r="F165" s="2">
        <v>80</v>
      </c>
      <c r="G165" s="7">
        <v>484.23</v>
      </c>
      <c r="H165" s="7">
        <f t="shared" si="4"/>
        <v>10168.83</v>
      </c>
      <c r="I165" s="13">
        <f t="shared" si="5"/>
        <v>0.26250000000000001</v>
      </c>
    </row>
    <row r="166" spans="1:9" hidden="1" x14ac:dyDescent="0.25">
      <c r="A166" s="2" t="s">
        <v>1956</v>
      </c>
      <c r="B166" s="2" t="s">
        <v>55</v>
      </c>
      <c r="C166" s="2" t="s">
        <v>56</v>
      </c>
      <c r="D166" s="2" t="s">
        <v>1354</v>
      </c>
      <c r="E166" s="2">
        <v>191</v>
      </c>
      <c r="F166" s="2">
        <v>84</v>
      </c>
      <c r="G166" s="7">
        <v>53.17</v>
      </c>
      <c r="H166" s="7">
        <f t="shared" si="4"/>
        <v>10155.470000000001</v>
      </c>
      <c r="I166" s="13">
        <f t="shared" si="5"/>
        <v>2.2738095238095237</v>
      </c>
    </row>
    <row r="167" spans="1:9" hidden="1" x14ac:dyDescent="0.25">
      <c r="A167" s="2" t="s">
        <v>2007</v>
      </c>
      <c r="B167" s="2" t="s">
        <v>40</v>
      </c>
      <c r="C167" s="2" t="s">
        <v>31</v>
      </c>
      <c r="D167" s="2" t="s">
        <v>1354</v>
      </c>
      <c r="E167" s="2">
        <v>16</v>
      </c>
      <c r="F167" s="2">
        <v>65</v>
      </c>
      <c r="G167" s="7">
        <v>466.6</v>
      </c>
      <c r="H167" s="7">
        <f t="shared" si="4"/>
        <v>7465.6</v>
      </c>
      <c r="I167" s="13">
        <f t="shared" si="5"/>
        <v>0.24615384615384617</v>
      </c>
    </row>
    <row r="168" spans="1:9" hidden="1" x14ac:dyDescent="0.25">
      <c r="A168" s="2" t="s">
        <v>2010</v>
      </c>
      <c r="B168" s="2" t="s">
        <v>43</v>
      </c>
      <c r="C168" s="2" t="s">
        <v>21</v>
      </c>
      <c r="D168" s="2" t="s">
        <v>1354</v>
      </c>
      <c r="E168" s="2">
        <v>102</v>
      </c>
      <c r="F168" s="2">
        <v>37</v>
      </c>
      <c r="G168" s="7">
        <v>69.569999999999993</v>
      </c>
      <c r="H168" s="7">
        <f t="shared" si="4"/>
        <v>7096.1399999999994</v>
      </c>
      <c r="I168" s="13">
        <f t="shared" si="5"/>
        <v>2.7567567567567566</v>
      </c>
    </row>
    <row r="169" spans="1:9" hidden="1" x14ac:dyDescent="0.25">
      <c r="A169" s="2" t="s">
        <v>2098</v>
      </c>
      <c r="B169" s="2" t="s">
        <v>67</v>
      </c>
      <c r="C169" s="2" t="s">
        <v>21</v>
      </c>
      <c r="D169" s="2" t="s">
        <v>1354</v>
      </c>
      <c r="E169" s="2">
        <v>296</v>
      </c>
      <c r="F169" s="2">
        <v>45</v>
      </c>
      <c r="G169" s="7">
        <v>22.89</v>
      </c>
      <c r="H169" s="7">
        <f t="shared" si="4"/>
        <v>6775.4400000000005</v>
      </c>
      <c r="I169" s="13">
        <f t="shared" si="5"/>
        <v>6.5777777777777775</v>
      </c>
    </row>
    <row r="170" spans="1:9" hidden="1" x14ac:dyDescent="0.25">
      <c r="A170" s="2" t="s">
        <v>1931</v>
      </c>
      <c r="B170" s="2" t="s">
        <v>43</v>
      </c>
      <c r="C170" s="2" t="s">
        <v>21</v>
      </c>
      <c r="D170" s="2" t="s">
        <v>1354</v>
      </c>
      <c r="E170" s="2">
        <v>110</v>
      </c>
      <c r="F170" s="2">
        <v>51</v>
      </c>
      <c r="G170" s="7">
        <v>59.16</v>
      </c>
      <c r="H170" s="7">
        <f t="shared" si="4"/>
        <v>6507.5999999999995</v>
      </c>
      <c r="I170" s="13">
        <f t="shared" si="5"/>
        <v>2.1568627450980391</v>
      </c>
    </row>
    <row r="171" spans="1:9" hidden="1" x14ac:dyDescent="0.25">
      <c r="A171" s="2" t="s">
        <v>2132</v>
      </c>
      <c r="B171" s="2" t="s">
        <v>123</v>
      </c>
      <c r="C171" s="2" t="s">
        <v>50</v>
      </c>
      <c r="D171" s="2" t="s">
        <v>1354</v>
      </c>
      <c r="E171" s="2">
        <v>14</v>
      </c>
      <c r="F171" s="2">
        <v>81</v>
      </c>
      <c r="G171" s="7">
        <v>451.47</v>
      </c>
      <c r="H171" s="7">
        <f t="shared" si="4"/>
        <v>6320.58</v>
      </c>
      <c r="I171" s="13">
        <f t="shared" si="5"/>
        <v>0.1728395061728395</v>
      </c>
    </row>
    <row r="172" spans="1:9" hidden="1" x14ac:dyDescent="0.25">
      <c r="A172" s="2" t="s">
        <v>1899</v>
      </c>
      <c r="B172" s="2" t="s">
        <v>52</v>
      </c>
      <c r="C172" s="2" t="s">
        <v>50</v>
      </c>
      <c r="D172" s="2" t="s">
        <v>1354</v>
      </c>
      <c r="E172" s="2">
        <v>296</v>
      </c>
      <c r="F172" s="2">
        <v>17</v>
      </c>
      <c r="G172" s="7">
        <v>20.170000000000002</v>
      </c>
      <c r="H172" s="7">
        <f t="shared" si="4"/>
        <v>5970.3200000000006</v>
      </c>
      <c r="I172" s="13">
        <f t="shared" si="5"/>
        <v>17.411764705882351</v>
      </c>
    </row>
    <row r="173" spans="1:9" hidden="1" x14ac:dyDescent="0.25">
      <c r="A173" s="2" t="s">
        <v>1967</v>
      </c>
      <c r="B173" s="2" t="s">
        <v>112</v>
      </c>
      <c r="C173" s="2" t="s">
        <v>56</v>
      </c>
      <c r="D173" s="2" t="s">
        <v>1354</v>
      </c>
      <c r="E173" s="2">
        <v>96</v>
      </c>
      <c r="F173" s="2">
        <v>67</v>
      </c>
      <c r="G173" s="7">
        <v>54.06</v>
      </c>
      <c r="H173" s="7">
        <f t="shared" si="4"/>
        <v>5189.76</v>
      </c>
      <c r="I173" s="13">
        <f t="shared" si="5"/>
        <v>1.4328358208955223</v>
      </c>
    </row>
    <row r="174" spans="1:9" hidden="1" x14ac:dyDescent="0.25">
      <c r="A174" s="2" t="s">
        <v>1817</v>
      </c>
      <c r="B174" s="2" t="s">
        <v>52</v>
      </c>
      <c r="C174" s="2" t="s">
        <v>50</v>
      </c>
      <c r="D174" s="2" t="s">
        <v>1354</v>
      </c>
      <c r="E174" s="2">
        <v>47</v>
      </c>
      <c r="F174" s="2">
        <v>68</v>
      </c>
      <c r="G174" s="7">
        <v>92.39</v>
      </c>
      <c r="H174" s="7">
        <f t="shared" si="4"/>
        <v>4342.33</v>
      </c>
      <c r="I174" s="13">
        <f t="shared" si="5"/>
        <v>0.69117647058823528</v>
      </c>
    </row>
    <row r="175" spans="1:9" hidden="1" x14ac:dyDescent="0.25">
      <c r="A175" s="2" t="s">
        <v>2070</v>
      </c>
      <c r="B175" s="2" t="s">
        <v>49</v>
      </c>
      <c r="C175" s="2" t="s">
        <v>50</v>
      </c>
      <c r="D175" s="2" t="s">
        <v>1354</v>
      </c>
      <c r="E175" s="2">
        <v>22</v>
      </c>
      <c r="F175" s="2">
        <v>45</v>
      </c>
      <c r="G175" s="7">
        <v>176.13</v>
      </c>
      <c r="H175" s="7">
        <f t="shared" si="4"/>
        <v>3874.8599999999997</v>
      </c>
      <c r="I175" s="13">
        <f t="shared" si="5"/>
        <v>0.48888888888888887</v>
      </c>
    </row>
    <row r="176" spans="1:9" x14ac:dyDescent="0.25">
      <c r="A176" s="2" t="s">
        <v>1932</v>
      </c>
      <c r="B176" s="2" t="s">
        <v>61</v>
      </c>
      <c r="C176" s="2" t="s">
        <v>16</v>
      </c>
      <c r="D176" s="2" t="s">
        <v>1354</v>
      </c>
      <c r="E176" s="2">
        <v>70</v>
      </c>
      <c r="F176" s="2">
        <v>33</v>
      </c>
      <c r="G176" s="7">
        <v>43.55</v>
      </c>
      <c r="H176" s="7">
        <f t="shared" si="4"/>
        <v>3048.5</v>
      </c>
      <c r="I176" s="13">
        <f t="shared" si="5"/>
        <v>2.1212121212121211</v>
      </c>
    </row>
    <row r="177" spans="1:9" hidden="1" x14ac:dyDescent="0.25">
      <c r="A177" s="2" t="s">
        <v>1895</v>
      </c>
      <c r="B177" s="2" t="s">
        <v>69</v>
      </c>
      <c r="C177" s="2" t="s">
        <v>31</v>
      </c>
      <c r="D177" s="2" t="s">
        <v>1354</v>
      </c>
      <c r="E177" s="2">
        <v>5</v>
      </c>
      <c r="F177" s="2">
        <v>76</v>
      </c>
      <c r="G177" s="7">
        <v>391.97</v>
      </c>
      <c r="H177" s="7">
        <f t="shared" si="4"/>
        <v>1959.8500000000001</v>
      </c>
      <c r="I177" s="13">
        <f t="shared" si="5"/>
        <v>6.5789473684210523E-2</v>
      </c>
    </row>
    <row r="178" spans="1:9" hidden="1" x14ac:dyDescent="0.25">
      <c r="A178" s="2" t="s">
        <v>2000</v>
      </c>
      <c r="B178" s="2" t="s">
        <v>30</v>
      </c>
      <c r="C178" s="2" t="s">
        <v>31</v>
      </c>
      <c r="D178" s="2" t="s">
        <v>1354</v>
      </c>
      <c r="E178" s="2">
        <v>4</v>
      </c>
      <c r="F178" s="2">
        <v>68</v>
      </c>
      <c r="G178" s="7">
        <v>463.76</v>
      </c>
      <c r="H178" s="7">
        <f t="shared" si="4"/>
        <v>1855.04</v>
      </c>
      <c r="I178" s="13">
        <f t="shared" si="5"/>
        <v>5.8823529411764705E-2</v>
      </c>
    </row>
    <row r="179" spans="1:9" x14ac:dyDescent="0.25">
      <c r="A179" s="2" t="s">
        <v>1793</v>
      </c>
      <c r="B179" s="2" t="s">
        <v>15</v>
      </c>
      <c r="C179" s="2" t="s">
        <v>16</v>
      </c>
      <c r="D179" s="2" t="s">
        <v>1354</v>
      </c>
      <c r="E179" s="2">
        <v>6</v>
      </c>
      <c r="F179" s="2">
        <v>92</v>
      </c>
      <c r="G179" s="7">
        <v>276.77999999999997</v>
      </c>
      <c r="H179" s="7">
        <f t="shared" si="4"/>
        <v>1660.6799999999998</v>
      </c>
      <c r="I179" s="13">
        <f t="shared" si="5"/>
        <v>6.5217391304347824E-2</v>
      </c>
    </row>
    <row r="180" spans="1:9" hidden="1" x14ac:dyDescent="0.25">
      <c r="A180" s="2" t="s">
        <v>1820</v>
      </c>
      <c r="B180" s="2" t="s">
        <v>43</v>
      </c>
      <c r="C180" s="2" t="s">
        <v>21</v>
      </c>
      <c r="D180" s="2" t="s">
        <v>1354</v>
      </c>
      <c r="E180" s="2">
        <v>35</v>
      </c>
      <c r="F180" s="2">
        <v>23</v>
      </c>
      <c r="G180" s="7">
        <v>37.880000000000003</v>
      </c>
      <c r="H180" s="7">
        <f t="shared" si="4"/>
        <v>1325.8000000000002</v>
      </c>
      <c r="I180" s="13">
        <f t="shared" si="5"/>
        <v>1.5217391304347827</v>
      </c>
    </row>
    <row r="181" spans="1:9" hidden="1" x14ac:dyDescent="0.25">
      <c r="A181" s="2" t="s">
        <v>1786</v>
      </c>
      <c r="B181" s="2" t="s">
        <v>40</v>
      </c>
      <c r="C181" s="2" t="s">
        <v>31</v>
      </c>
      <c r="D181" s="2" t="s">
        <v>1354</v>
      </c>
      <c r="E181" s="2">
        <v>74</v>
      </c>
      <c r="F181" s="2">
        <v>59</v>
      </c>
      <c r="G181" s="7">
        <v>10.8</v>
      </c>
      <c r="H181" s="7">
        <f t="shared" si="4"/>
        <v>799.2</v>
      </c>
      <c r="I181" s="13">
        <f t="shared" si="5"/>
        <v>1.2542372881355932</v>
      </c>
    </row>
    <row r="182" spans="1:9" hidden="1" x14ac:dyDescent="0.25">
      <c r="A182" s="2" t="s">
        <v>2033</v>
      </c>
      <c r="B182" s="2" t="s">
        <v>74</v>
      </c>
      <c r="C182" s="2" t="s">
        <v>56</v>
      </c>
      <c r="D182" s="2" t="s">
        <v>1354</v>
      </c>
      <c r="E182" s="2">
        <v>4</v>
      </c>
      <c r="F182" s="2">
        <v>25</v>
      </c>
      <c r="G182" s="7">
        <v>180.16</v>
      </c>
      <c r="H182" s="7">
        <f t="shared" si="4"/>
        <v>720.64</v>
      </c>
      <c r="I182" s="13">
        <f t="shared" si="5"/>
        <v>0.16</v>
      </c>
    </row>
    <row r="183" spans="1:9" x14ac:dyDescent="0.25">
      <c r="A183" s="2" t="s">
        <v>1828</v>
      </c>
      <c r="B183" s="2" t="s">
        <v>65</v>
      </c>
      <c r="C183" s="2" t="s">
        <v>16</v>
      </c>
      <c r="D183" s="2" t="s">
        <v>1354</v>
      </c>
      <c r="E183" s="2">
        <v>212</v>
      </c>
      <c r="F183" s="2">
        <v>23</v>
      </c>
      <c r="G183" s="7">
        <v>2.6</v>
      </c>
      <c r="H183" s="7">
        <f t="shared" si="4"/>
        <v>551.20000000000005</v>
      </c>
      <c r="I183" s="13">
        <f t="shared" si="5"/>
        <v>9.2173913043478262</v>
      </c>
    </row>
    <row r="184" spans="1:9" hidden="1" x14ac:dyDescent="0.25">
      <c r="A184" s="2" t="s">
        <v>1805</v>
      </c>
      <c r="B184" s="2" t="s">
        <v>123</v>
      </c>
      <c r="C184" s="2" t="s">
        <v>50</v>
      </c>
      <c r="D184" s="2" t="s">
        <v>1354</v>
      </c>
      <c r="E184" s="2">
        <v>1</v>
      </c>
      <c r="F184" s="2">
        <v>0</v>
      </c>
      <c r="G184" s="7">
        <v>81.680000000000007</v>
      </c>
      <c r="H184" s="7">
        <f t="shared" si="4"/>
        <v>81.680000000000007</v>
      </c>
      <c r="I184" s="13" t="str">
        <f t="shared" si="5"/>
        <v>Seuil non defini</v>
      </c>
    </row>
    <row r="185" spans="1:9" hidden="1" x14ac:dyDescent="0.25">
      <c r="A185" s="2" t="s">
        <v>1902</v>
      </c>
      <c r="B185" s="2" t="s">
        <v>20</v>
      </c>
      <c r="C185" s="2" t="s">
        <v>21</v>
      </c>
      <c r="D185" s="2" t="s">
        <v>1336</v>
      </c>
      <c r="E185" s="2">
        <v>255</v>
      </c>
      <c r="F185" s="2">
        <v>88</v>
      </c>
      <c r="G185" s="7">
        <v>499.53</v>
      </c>
      <c r="H185" s="7">
        <f t="shared" si="4"/>
        <v>127380.15</v>
      </c>
      <c r="I185" s="13">
        <f t="shared" si="5"/>
        <v>2.8977272727272729</v>
      </c>
    </row>
    <row r="186" spans="1:9" hidden="1" x14ac:dyDescent="0.25">
      <c r="A186" s="2" t="s">
        <v>1992</v>
      </c>
      <c r="B186" s="2" t="s">
        <v>102</v>
      </c>
      <c r="C186" s="2" t="s">
        <v>31</v>
      </c>
      <c r="D186" s="2" t="s">
        <v>1336</v>
      </c>
      <c r="E186" s="2">
        <v>265</v>
      </c>
      <c r="F186" s="2">
        <v>89</v>
      </c>
      <c r="G186" s="7">
        <v>428.76</v>
      </c>
      <c r="H186" s="7">
        <f t="shared" si="4"/>
        <v>113621.4</v>
      </c>
      <c r="I186" s="13">
        <f t="shared" si="5"/>
        <v>2.9775280898876404</v>
      </c>
    </row>
    <row r="187" spans="1:9" hidden="1" x14ac:dyDescent="0.25">
      <c r="A187" s="2" t="s">
        <v>1985</v>
      </c>
      <c r="B187" s="2" t="s">
        <v>49</v>
      </c>
      <c r="C187" s="2" t="s">
        <v>50</v>
      </c>
      <c r="D187" s="2" t="s">
        <v>1336</v>
      </c>
      <c r="E187" s="2">
        <v>233</v>
      </c>
      <c r="F187" s="2">
        <v>23</v>
      </c>
      <c r="G187" s="7">
        <v>481.2</v>
      </c>
      <c r="H187" s="7">
        <f t="shared" si="4"/>
        <v>112119.59999999999</v>
      </c>
      <c r="I187" s="13">
        <f t="shared" si="5"/>
        <v>10.130434782608695</v>
      </c>
    </row>
    <row r="188" spans="1:9" hidden="1" x14ac:dyDescent="0.25">
      <c r="A188" s="2" t="s">
        <v>1894</v>
      </c>
      <c r="B188" s="2" t="s">
        <v>112</v>
      </c>
      <c r="C188" s="2" t="s">
        <v>56</v>
      </c>
      <c r="D188" s="2" t="s">
        <v>1336</v>
      </c>
      <c r="E188" s="2">
        <v>274</v>
      </c>
      <c r="F188" s="2">
        <v>93</v>
      </c>
      <c r="G188" s="7">
        <v>392.36</v>
      </c>
      <c r="H188" s="7">
        <f t="shared" si="4"/>
        <v>107506.64</v>
      </c>
      <c r="I188" s="13">
        <f t="shared" si="5"/>
        <v>2.946236559139785</v>
      </c>
    </row>
    <row r="189" spans="1:9" hidden="1" x14ac:dyDescent="0.25">
      <c r="A189" s="2" t="s">
        <v>2114</v>
      </c>
      <c r="B189" s="2" t="s">
        <v>43</v>
      </c>
      <c r="C189" s="2" t="s">
        <v>21</v>
      </c>
      <c r="D189" s="2" t="s">
        <v>1336</v>
      </c>
      <c r="E189" s="2">
        <v>275</v>
      </c>
      <c r="F189" s="2">
        <v>36</v>
      </c>
      <c r="G189" s="7">
        <v>388.67</v>
      </c>
      <c r="H189" s="7">
        <f t="shared" si="4"/>
        <v>106884.25</v>
      </c>
      <c r="I189" s="13">
        <f t="shared" si="5"/>
        <v>7.6388888888888893</v>
      </c>
    </row>
    <row r="190" spans="1:9" x14ac:dyDescent="0.25">
      <c r="A190" s="2" t="s">
        <v>2116</v>
      </c>
      <c r="B190" s="2" t="s">
        <v>33</v>
      </c>
      <c r="C190" s="2" t="s">
        <v>16</v>
      </c>
      <c r="D190" s="2" t="s">
        <v>1336</v>
      </c>
      <c r="E190" s="2">
        <v>215</v>
      </c>
      <c r="F190" s="2">
        <v>69</v>
      </c>
      <c r="G190" s="7">
        <v>491.66</v>
      </c>
      <c r="H190" s="7">
        <f t="shared" si="4"/>
        <v>105706.90000000001</v>
      </c>
      <c r="I190" s="13">
        <f t="shared" si="5"/>
        <v>3.1159420289855073</v>
      </c>
    </row>
    <row r="191" spans="1:9" x14ac:dyDescent="0.25">
      <c r="A191" s="2" t="s">
        <v>2075</v>
      </c>
      <c r="B191" s="2" t="s">
        <v>61</v>
      </c>
      <c r="C191" s="2" t="s">
        <v>16</v>
      </c>
      <c r="D191" s="2" t="s">
        <v>1336</v>
      </c>
      <c r="E191" s="2">
        <v>210</v>
      </c>
      <c r="F191" s="2">
        <v>95</v>
      </c>
      <c r="G191" s="7">
        <v>475.38</v>
      </c>
      <c r="H191" s="7">
        <f t="shared" si="4"/>
        <v>99829.8</v>
      </c>
      <c r="I191" s="13">
        <f t="shared" si="5"/>
        <v>2.2105263157894739</v>
      </c>
    </row>
    <row r="192" spans="1:9" hidden="1" x14ac:dyDescent="0.25">
      <c r="A192" s="2" t="s">
        <v>1934</v>
      </c>
      <c r="B192" s="2" t="s">
        <v>36</v>
      </c>
      <c r="C192" s="2" t="s">
        <v>21</v>
      </c>
      <c r="D192" s="2" t="s">
        <v>1336</v>
      </c>
      <c r="E192" s="2">
        <v>239</v>
      </c>
      <c r="F192" s="2">
        <v>100</v>
      </c>
      <c r="G192" s="7">
        <v>404.89</v>
      </c>
      <c r="H192" s="7">
        <f t="shared" si="4"/>
        <v>96768.709999999992</v>
      </c>
      <c r="I192" s="13">
        <f t="shared" si="5"/>
        <v>2.39</v>
      </c>
    </row>
    <row r="193" spans="1:9" x14ac:dyDescent="0.25">
      <c r="A193" s="2" t="s">
        <v>1927</v>
      </c>
      <c r="B193" s="2" t="s">
        <v>26</v>
      </c>
      <c r="C193" s="2" t="s">
        <v>16</v>
      </c>
      <c r="D193" s="2" t="s">
        <v>1336</v>
      </c>
      <c r="E193" s="2">
        <v>214</v>
      </c>
      <c r="F193" s="2">
        <v>53</v>
      </c>
      <c r="G193" s="7">
        <v>445.08</v>
      </c>
      <c r="H193" s="7">
        <f t="shared" si="4"/>
        <v>95247.12</v>
      </c>
      <c r="I193" s="13">
        <f t="shared" si="5"/>
        <v>4.0377358490566042</v>
      </c>
    </row>
    <row r="194" spans="1:9" hidden="1" x14ac:dyDescent="0.25">
      <c r="A194" s="2" t="s">
        <v>2036</v>
      </c>
      <c r="B194" s="2" t="s">
        <v>102</v>
      </c>
      <c r="C194" s="2" t="s">
        <v>31</v>
      </c>
      <c r="D194" s="2" t="s">
        <v>1336</v>
      </c>
      <c r="E194" s="2">
        <v>201</v>
      </c>
      <c r="F194" s="2">
        <v>13</v>
      </c>
      <c r="G194" s="7">
        <v>458.25</v>
      </c>
      <c r="H194" s="7">
        <f t="shared" si="4"/>
        <v>92108.25</v>
      </c>
      <c r="I194" s="13">
        <f t="shared" si="5"/>
        <v>15.461538461538462</v>
      </c>
    </row>
    <row r="195" spans="1:9" hidden="1" x14ac:dyDescent="0.25">
      <c r="A195" s="2" t="s">
        <v>1886</v>
      </c>
      <c r="B195" s="2" t="s">
        <v>102</v>
      </c>
      <c r="C195" s="2" t="s">
        <v>31</v>
      </c>
      <c r="D195" s="2" t="s">
        <v>1336</v>
      </c>
      <c r="E195" s="2">
        <v>248</v>
      </c>
      <c r="F195" s="2">
        <v>32</v>
      </c>
      <c r="G195" s="7">
        <v>351.74</v>
      </c>
      <c r="H195" s="7">
        <f t="shared" si="4"/>
        <v>87231.52</v>
      </c>
      <c r="I195" s="13">
        <f t="shared" si="5"/>
        <v>7.75</v>
      </c>
    </row>
    <row r="196" spans="1:9" hidden="1" x14ac:dyDescent="0.25">
      <c r="A196" s="2" t="s">
        <v>2038</v>
      </c>
      <c r="B196" s="2" t="s">
        <v>49</v>
      </c>
      <c r="C196" s="2" t="s">
        <v>50</v>
      </c>
      <c r="D196" s="2" t="s">
        <v>1336</v>
      </c>
      <c r="E196" s="2">
        <v>297</v>
      </c>
      <c r="F196" s="2">
        <v>49</v>
      </c>
      <c r="G196" s="7">
        <v>293.08</v>
      </c>
      <c r="H196" s="7">
        <f t="shared" si="4"/>
        <v>87044.76</v>
      </c>
      <c r="I196" s="13">
        <f t="shared" si="5"/>
        <v>6.0612244897959187</v>
      </c>
    </row>
    <row r="197" spans="1:9" x14ac:dyDescent="0.25">
      <c r="A197" s="2" t="s">
        <v>2062</v>
      </c>
      <c r="B197" s="2" t="s">
        <v>33</v>
      </c>
      <c r="C197" s="2" t="s">
        <v>16</v>
      </c>
      <c r="D197" s="2" t="s">
        <v>1336</v>
      </c>
      <c r="E197" s="2">
        <v>259</v>
      </c>
      <c r="F197" s="2">
        <v>33</v>
      </c>
      <c r="G197" s="7">
        <v>325.87</v>
      </c>
      <c r="H197" s="7">
        <f t="shared" ref="H197:H260" si="6">E197*G197</f>
        <v>84400.33</v>
      </c>
      <c r="I197" s="13">
        <f t="shared" ref="I197:I260" si="7">IFERROR(E197/F197,"Seuil non defini")</f>
        <v>7.8484848484848486</v>
      </c>
    </row>
    <row r="198" spans="1:9" x14ac:dyDescent="0.25">
      <c r="A198" s="2" t="s">
        <v>2122</v>
      </c>
      <c r="B198" s="2" t="s">
        <v>15</v>
      </c>
      <c r="C198" s="2" t="s">
        <v>16</v>
      </c>
      <c r="D198" s="2" t="s">
        <v>1336</v>
      </c>
      <c r="E198" s="2">
        <v>181</v>
      </c>
      <c r="F198" s="2">
        <v>62</v>
      </c>
      <c r="G198" s="7">
        <v>455.52</v>
      </c>
      <c r="H198" s="7">
        <f t="shared" si="6"/>
        <v>82449.119999999995</v>
      </c>
      <c r="I198" s="13">
        <f t="shared" si="7"/>
        <v>2.9193548387096775</v>
      </c>
    </row>
    <row r="199" spans="1:9" x14ac:dyDescent="0.25">
      <c r="A199" s="2" t="s">
        <v>1917</v>
      </c>
      <c r="B199" s="2" t="s">
        <v>26</v>
      </c>
      <c r="C199" s="2" t="s">
        <v>16</v>
      </c>
      <c r="D199" s="2" t="s">
        <v>1336</v>
      </c>
      <c r="E199" s="2">
        <v>258</v>
      </c>
      <c r="F199" s="2">
        <v>20</v>
      </c>
      <c r="G199" s="7">
        <v>316.45999999999998</v>
      </c>
      <c r="H199" s="7">
        <f t="shared" si="6"/>
        <v>81646.679999999993</v>
      </c>
      <c r="I199" s="13">
        <f t="shared" si="7"/>
        <v>12.9</v>
      </c>
    </row>
    <row r="200" spans="1:9" hidden="1" x14ac:dyDescent="0.25">
      <c r="A200" s="2" t="s">
        <v>1903</v>
      </c>
      <c r="B200" s="2" t="s">
        <v>74</v>
      </c>
      <c r="C200" s="2" t="s">
        <v>56</v>
      </c>
      <c r="D200" s="2" t="s">
        <v>1336</v>
      </c>
      <c r="E200" s="2">
        <v>180</v>
      </c>
      <c r="F200" s="2">
        <v>0</v>
      </c>
      <c r="G200" s="7">
        <v>414.44</v>
      </c>
      <c r="H200" s="7">
        <f t="shared" si="6"/>
        <v>74599.199999999997</v>
      </c>
      <c r="I200" s="13" t="str">
        <f t="shared" si="7"/>
        <v>Seuil non defini</v>
      </c>
    </row>
    <row r="201" spans="1:9" hidden="1" x14ac:dyDescent="0.25">
      <c r="A201" s="2" t="s">
        <v>1910</v>
      </c>
      <c r="B201" s="2" t="s">
        <v>69</v>
      </c>
      <c r="C201" s="2" t="s">
        <v>31</v>
      </c>
      <c r="D201" s="2" t="s">
        <v>1336</v>
      </c>
      <c r="E201" s="2">
        <v>211</v>
      </c>
      <c r="F201" s="2">
        <v>87</v>
      </c>
      <c r="G201" s="7">
        <v>352.51</v>
      </c>
      <c r="H201" s="7">
        <f t="shared" si="6"/>
        <v>74379.61</v>
      </c>
      <c r="I201" s="13">
        <f t="shared" si="7"/>
        <v>2.4252873563218391</v>
      </c>
    </row>
    <row r="202" spans="1:9" hidden="1" x14ac:dyDescent="0.25">
      <c r="A202" s="2" t="s">
        <v>1955</v>
      </c>
      <c r="B202" s="2" t="s">
        <v>55</v>
      </c>
      <c r="C202" s="2" t="s">
        <v>56</v>
      </c>
      <c r="D202" s="2" t="s">
        <v>1336</v>
      </c>
      <c r="E202" s="2">
        <v>201</v>
      </c>
      <c r="F202" s="2">
        <v>43</v>
      </c>
      <c r="G202" s="7">
        <v>348.84</v>
      </c>
      <c r="H202" s="7">
        <f t="shared" si="6"/>
        <v>70116.84</v>
      </c>
      <c r="I202" s="13">
        <f t="shared" si="7"/>
        <v>4.6744186046511631</v>
      </c>
    </row>
    <row r="203" spans="1:9" hidden="1" x14ac:dyDescent="0.25">
      <c r="A203" s="2" t="s">
        <v>1819</v>
      </c>
      <c r="B203" s="2" t="s">
        <v>30</v>
      </c>
      <c r="C203" s="2" t="s">
        <v>31</v>
      </c>
      <c r="D203" s="2" t="s">
        <v>1336</v>
      </c>
      <c r="E203" s="2">
        <v>158</v>
      </c>
      <c r="F203" s="2">
        <v>25</v>
      </c>
      <c r="G203" s="7">
        <v>442.86</v>
      </c>
      <c r="H203" s="7">
        <f t="shared" si="6"/>
        <v>69971.88</v>
      </c>
      <c r="I203" s="13">
        <f t="shared" si="7"/>
        <v>6.32</v>
      </c>
    </row>
    <row r="204" spans="1:9" x14ac:dyDescent="0.25">
      <c r="A204" s="2" t="s">
        <v>1887</v>
      </c>
      <c r="B204" s="2" t="s">
        <v>61</v>
      </c>
      <c r="C204" s="2" t="s">
        <v>16</v>
      </c>
      <c r="D204" s="2" t="s">
        <v>1336</v>
      </c>
      <c r="E204" s="2">
        <v>232</v>
      </c>
      <c r="F204" s="2">
        <v>9</v>
      </c>
      <c r="G204" s="7">
        <v>273.45</v>
      </c>
      <c r="H204" s="7">
        <f t="shared" si="6"/>
        <v>63440.399999999994</v>
      </c>
      <c r="I204" s="13">
        <f t="shared" si="7"/>
        <v>25.777777777777779</v>
      </c>
    </row>
    <row r="205" spans="1:9" hidden="1" x14ac:dyDescent="0.25">
      <c r="A205" s="2" t="s">
        <v>1839</v>
      </c>
      <c r="B205" s="2" t="s">
        <v>102</v>
      </c>
      <c r="C205" s="2" t="s">
        <v>31</v>
      </c>
      <c r="D205" s="2" t="s">
        <v>1336</v>
      </c>
      <c r="E205" s="2">
        <v>253</v>
      </c>
      <c r="F205" s="2">
        <v>59</v>
      </c>
      <c r="G205" s="7">
        <v>241.68</v>
      </c>
      <c r="H205" s="7">
        <f t="shared" si="6"/>
        <v>61145.04</v>
      </c>
      <c r="I205" s="13">
        <f t="shared" si="7"/>
        <v>4.2881355932203391</v>
      </c>
    </row>
    <row r="206" spans="1:9" hidden="1" x14ac:dyDescent="0.25">
      <c r="A206" s="2" t="s">
        <v>2048</v>
      </c>
      <c r="B206" s="2" t="s">
        <v>20</v>
      </c>
      <c r="C206" s="2" t="s">
        <v>21</v>
      </c>
      <c r="D206" s="2" t="s">
        <v>1336</v>
      </c>
      <c r="E206" s="2">
        <v>174</v>
      </c>
      <c r="F206" s="2">
        <v>28</v>
      </c>
      <c r="G206" s="7">
        <v>341.82</v>
      </c>
      <c r="H206" s="7">
        <f t="shared" si="6"/>
        <v>59476.68</v>
      </c>
      <c r="I206" s="13">
        <f t="shared" si="7"/>
        <v>6.2142857142857144</v>
      </c>
    </row>
    <row r="207" spans="1:9" hidden="1" x14ac:dyDescent="0.25">
      <c r="A207" s="2" t="s">
        <v>1912</v>
      </c>
      <c r="B207" s="2" t="s">
        <v>69</v>
      </c>
      <c r="C207" s="2" t="s">
        <v>31</v>
      </c>
      <c r="D207" s="2" t="s">
        <v>1336</v>
      </c>
      <c r="E207" s="2">
        <v>123</v>
      </c>
      <c r="F207" s="2">
        <v>5</v>
      </c>
      <c r="G207" s="7">
        <v>450.29</v>
      </c>
      <c r="H207" s="7">
        <f t="shared" si="6"/>
        <v>55385.670000000006</v>
      </c>
      <c r="I207" s="13">
        <f t="shared" si="7"/>
        <v>24.6</v>
      </c>
    </row>
    <row r="208" spans="1:9" hidden="1" x14ac:dyDescent="0.25">
      <c r="A208" s="2" t="s">
        <v>1905</v>
      </c>
      <c r="B208" s="2" t="s">
        <v>123</v>
      </c>
      <c r="C208" s="2" t="s">
        <v>50</v>
      </c>
      <c r="D208" s="2" t="s">
        <v>1336</v>
      </c>
      <c r="E208" s="2">
        <v>277</v>
      </c>
      <c r="F208" s="2">
        <v>60</v>
      </c>
      <c r="G208" s="7">
        <v>192.02</v>
      </c>
      <c r="H208" s="7">
        <f t="shared" si="6"/>
        <v>53189.54</v>
      </c>
      <c r="I208" s="13">
        <f t="shared" si="7"/>
        <v>4.6166666666666663</v>
      </c>
    </row>
    <row r="209" spans="1:9" hidden="1" x14ac:dyDescent="0.25">
      <c r="A209" s="2" t="s">
        <v>1987</v>
      </c>
      <c r="B209" s="2" t="s">
        <v>96</v>
      </c>
      <c r="C209" s="2" t="s">
        <v>50</v>
      </c>
      <c r="D209" s="2" t="s">
        <v>1336</v>
      </c>
      <c r="E209" s="2">
        <v>180</v>
      </c>
      <c r="F209" s="2">
        <v>65</v>
      </c>
      <c r="G209" s="7">
        <v>292.41000000000003</v>
      </c>
      <c r="H209" s="7">
        <f t="shared" si="6"/>
        <v>52633.8</v>
      </c>
      <c r="I209" s="13">
        <f t="shared" si="7"/>
        <v>2.7692307692307692</v>
      </c>
    </row>
    <row r="210" spans="1:9" hidden="1" x14ac:dyDescent="0.25">
      <c r="A210" s="2" t="s">
        <v>1926</v>
      </c>
      <c r="B210" s="2" t="s">
        <v>55</v>
      </c>
      <c r="C210" s="2" t="s">
        <v>56</v>
      </c>
      <c r="D210" s="2" t="s">
        <v>1336</v>
      </c>
      <c r="E210" s="2">
        <v>251</v>
      </c>
      <c r="F210" s="2">
        <v>7</v>
      </c>
      <c r="G210" s="7">
        <v>208.05</v>
      </c>
      <c r="H210" s="7">
        <f t="shared" si="6"/>
        <v>52220.55</v>
      </c>
      <c r="I210" s="13">
        <f t="shared" si="7"/>
        <v>35.857142857142854</v>
      </c>
    </row>
    <row r="211" spans="1:9" hidden="1" x14ac:dyDescent="0.25">
      <c r="A211" s="2" t="s">
        <v>1858</v>
      </c>
      <c r="B211" s="2" t="s">
        <v>112</v>
      </c>
      <c r="C211" s="2" t="s">
        <v>56</v>
      </c>
      <c r="D211" s="2" t="s">
        <v>1336</v>
      </c>
      <c r="E211" s="2">
        <v>160</v>
      </c>
      <c r="F211" s="2">
        <v>88</v>
      </c>
      <c r="G211" s="7">
        <v>321.66000000000003</v>
      </c>
      <c r="H211" s="7">
        <f t="shared" si="6"/>
        <v>51465.600000000006</v>
      </c>
      <c r="I211" s="13">
        <f t="shared" si="7"/>
        <v>1.8181818181818181</v>
      </c>
    </row>
    <row r="212" spans="1:9" hidden="1" x14ac:dyDescent="0.25">
      <c r="A212" s="2" t="s">
        <v>2013</v>
      </c>
      <c r="B212" s="2" t="s">
        <v>102</v>
      </c>
      <c r="C212" s="2" t="s">
        <v>31</v>
      </c>
      <c r="D212" s="2" t="s">
        <v>1336</v>
      </c>
      <c r="E212" s="2">
        <v>239</v>
      </c>
      <c r="F212" s="2">
        <v>50</v>
      </c>
      <c r="G212" s="7">
        <v>214.98</v>
      </c>
      <c r="H212" s="7">
        <f t="shared" si="6"/>
        <v>51380.22</v>
      </c>
      <c r="I212" s="13">
        <f t="shared" si="7"/>
        <v>4.78</v>
      </c>
    </row>
    <row r="213" spans="1:9" hidden="1" x14ac:dyDescent="0.25">
      <c r="A213" s="2" t="s">
        <v>2028</v>
      </c>
      <c r="B213" s="2" t="s">
        <v>112</v>
      </c>
      <c r="C213" s="2" t="s">
        <v>56</v>
      </c>
      <c r="D213" s="2" t="s">
        <v>1336</v>
      </c>
      <c r="E213" s="2">
        <v>148</v>
      </c>
      <c r="F213" s="2">
        <v>42</v>
      </c>
      <c r="G213" s="7">
        <v>334.43</v>
      </c>
      <c r="H213" s="7">
        <f t="shared" si="6"/>
        <v>49495.64</v>
      </c>
      <c r="I213" s="13">
        <f t="shared" si="7"/>
        <v>3.5238095238095237</v>
      </c>
    </row>
    <row r="214" spans="1:9" x14ac:dyDescent="0.25">
      <c r="A214" s="2" t="s">
        <v>1898</v>
      </c>
      <c r="B214" s="2" t="s">
        <v>33</v>
      </c>
      <c r="C214" s="2" t="s">
        <v>16</v>
      </c>
      <c r="D214" s="2" t="s">
        <v>1336</v>
      </c>
      <c r="E214" s="2">
        <v>134</v>
      </c>
      <c r="F214" s="2">
        <v>71</v>
      </c>
      <c r="G214" s="7">
        <v>361.7</v>
      </c>
      <c r="H214" s="7">
        <f t="shared" si="6"/>
        <v>48467.799999999996</v>
      </c>
      <c r="I214" s="13">
        <f t="shared" si="7"/>
        <v>1.8873239436619718</v>
      </c>
    </row>
    <row r="215" spans="1:9" hidden="1" x14ac:dyDescent="0.25">
      <c r="A215" s="2" t="s">
        <v>1996</v>
      </c>
      <c r="B215" s="2" t="s">
        <v>55</v>
      </c>
      <c r="C215" s="2" t="s">
        <v>56</v>
      </c>
      <c r="D215" s="2" t="s">
        <v>1336</v>
      </c>
      <c r="E215" s="2">
        <v>140</v>
      </c>
      <c r="F215" s="2">
        <v>85</v>
      </c>
      <c r="G215" s="7">
        <v>340.04</v>
      </c>
      <c r="H215" s="7">
        <f t="shared" si="6"/>
        <v>47605.600000000006</v>
      </c>
      <c r="I215" s="13">
        <f t="shared" si="7"/>
        <v>1.6470588235294117</v>
      </c>
    </row>
    <row r="216" spans="1:9" x14ac:dyDescent="0.25">
      <c r="A216" s="2" t="s">
        <v>2089</v>
      </c>
      <c r="B216" s="2" t="s">
        <v>26</v>
      </c>
      <c r="C216" s="2" t="s">
        <v>16</v>
      </c>
      <c r="D216" s="2" t="s">
        <v>1336</v>
      </c>
      <c r="E216" s="2">
        <v>277</v>
      </c>
      <c r="F216" s="2">
        <v>42</v>
      </c>
      <c r="G216" s="7">
        <v>170.09</v>
      </c>
      <c r="H216" s="7">
        <f t="shared" si="6"/>
        <v>47114.93</v>
      </c>
      <c r="I216" s="13">
        <f t="shared" si="7"/>
        <v>6.5952380952380949</v>
      </c>
    </row>
    <row r="217" spans="1:9" hidden="1" x14ac:dyDescent="0.25">
      <c r="A217" s="2" t="s">
        <v>1914</v>
      </c>
      <c r="B217" s="2" t="s">
        <v>40</v>
      </c>
      <c r="C217" s="2" t="s">
        <v>31</v>
      </c>
      <c r="D217" s="2" t="s">
        <v>1336</v>
      </c>
      <c r="E217" s="2">
        <v>292</v>
      </c>
      <c r="F217" s="2">
        <v>60</v>
      </c>
      <c r="G217" s="7">
        <v>122.43</v>
      </c>
      <c r="H217" s="7">
        <f t="shared" si="6"/>
        <v>35749.560000000005</v>
      </c>
      <c r="I217" s="13">
        <f t="shared" si="7"/>
        <v>4.8666666666666663</v>
      </c>
    </row>
    <row r="218" spans="1:9" x14ac:dyDescent="0.25">
      <c r="A218" s="2" t="s">
        <v>1957</v>
      </c>
      <c r="B218" s="2" t="s">
        <v>15</v>
      </c>
      <c r="C218" s="2" t="s">
        <v>16</v>
      </c>
      <c r="D218" s="2" t="s">
        <v>1336</v>
      </c>
      <c r="E218" s="2">
        <v>71</v>
      </c>
      <c r="F218" s="2">
        <v>18</v>
      </c>
      <c r="G218" s="7">
        <v>496.78</v>
      </c>
      <c r="H218" s="7">
        <f t="shared" si="6"/>
        <v>35271.379999999997</v>
      </c>
      <c r="I218" s="13">
        <f t="shared" si="7"/>
        <v>3.9444444444444446</v>
      </c>
    </row>
    <row r="219" spans="1:9" hidden="1" x14ac:dyDescent="0.25">
      <c r="A219" s="2" t="s">
        <v>1840</v>
      </c>
      <c r="B219" s="2" t="s">
        <v>36</v>
      </c>
      <c r="C219" s="2" t="s">
        <v>21</v>
      </c>
      <c r="D219" s="2" t="s">
        <v>1336</v>
      </c>
      <c r="E219" s="2">
        <v>70</v>
      </c>
      <c r="F219" s="2">
        <v>88</v>
      </c>
      <c r="G219" s="7">
        <v>460.96</v>
      </c>
      <c r="H219" s="7">
        <f t="shared" si="6"/>
        <v>32267.199999999997</v>
      </c>
      <c r="I219" s="13">
        <f t="shared" si="7"/>
        <v>0.79545454545454541</v>
      </c>
    </row>
    <row r="220" spans="1:9" hidden="1" x14ac:dyDescent="0.25">
      <c r="A220" s="2" t="s">
        <v>1969</v>
      </c>
      <c r="B220" s="2" t="s">
        <v>20</v>
      </c>
      <c r="C220" s="2" t="s">
        <v>21</v>
      </c>
      <c r="D220" s="2" t="s">
        <v>1336</v>
      </c>
      <c r="E220" s="2">
        <v>66</v>
      </c>
      <c r="F220" s="2">
        <v>33</v>
      </c>
      <c r="G220" s="7">
        <v>458.52</v>
      </c>
      <c r="H220" s="7">
        <f t="shared" si="6"/>
        <v>30262.32</v>
      </c>
      <c r="I220" s="13">
        <f t="shared" si="7"/>
        <v>2</v>
      </c>
    </row>
    <row r="221" spans="1:9" hidden="1" x14ac:dyDescent="0.25">
      <c r="A221" s="2" t="s">
        <v>1882</v>
      </c>
      <c r="B221" s="2" t="s">
        <v>96</v>
      </c>
      <c r="C221" s="2" t="s">
        <v>50</v>
      </c>
      <c r="D221" s="2" t="s">
        <v>1336</v>
      </c>
      <c r="E221" s="2">
        <v>148</v>
      </c>
      <c r="F221" s="2">
        <v>0</v>
      </c>
      <c r="G221" s="7">
        <v>189.16</v>
      </c>
      <c r="H221" s="7">
        <f t="shared" si="6"/>
        <v>27995.68</v>
      </c>
      <c r="I221" s="13" t="str">
        <f t="shared" si="7"/>
        <v>Seuil non defini</v>
      </c>
    </row>
    <row r="222" spans="1:9" x14ac:dyDescent="0.25">
      <c r="A222" s="2" t="s">
        <v>2126</v>
      </c>
      <c r="B222" s="2" t="s">
        <v>26</v>
      </c>
      <c r="C222" s="2" t="s">
        <v>16</v>
      </c>
      <c r="D222" s="2" t="s">
        <v>1336</v>
      </c>
      <c r="E222" s="2">
        <v>152</v>
      </c>
      <c r="F222" s="2">
        <v>68</v>
      </c>
      <c r="G222" s="7">
        <v>171.88</v>
      </c>
      <c r="H222" s="7">
        <f t="shared" si="6"/>
        <v>26125.759999999998</v>
      </c>
      <c r="I222" s="13">
        <f t="shared" si="7"/>
        <v>2.2352941176470589</v>
      </c>
    </row>
    <row r="223" spans="1:9" hidden="1" x14ac:dyDescent="0.25">
      <c r="A223" s="2" t="s">
        <v>1834</v>
      </c>
      <c r="B223" s="2" t="s">
        <v>36</v>
      </c>
      <c r="C223" s="2" t="s">
        <v>21</v>
      </c>
      <c r="D223" s="2" t="s">
        <v>1336</v>
      </c>
      <c r="E223" s="2">
        <v>178</v>
      </c>
      <c r="F223" s="2">
        <v>18</v>
      </c>
      <c r="G223" s="7">
        <v>137</v>
      </c>
      <c r="H223" s="7">
        <f t="shared" si="6"/>
        <v>24386</v>
      </c>
      <c r="I223" s="13">
        <f t="shared" si="7"/>
        <v>9.8888888888888893</v>
      </c>
    </row>
    <row r="224" spans="1:9" hidden="1" x14ac:dyDescent="0.25">
      <c r="A224" s="2" t="s">
        <v>1941</v>
      </c>
      <c r="B224" s="2" t="s">
        <v>55</v>
      </c>
      <c r="C224" s="2" t="s">
        <v>56</v>
      </c>
      <c r="D224" s="2" t="s">
        <v>1336</v>
      </c>
      <c r="E224" s="2">
        <v>58</v>
      </c>
      <c r="F224" s="2">
        <v>28</v>
      </c>
      <c r="G224" s="7">
        <v>404.9</v>
      </c>
      <c r="H224" s="7">
        <f t="shared" si="6"/>
        <v>23484.199999999997</v>
      </c>
      <c r="I224" s="13">
        <f t="shared" si="7"/>
        <v>2.0714285714285716</v>
      </c>
    </row>
    <row r="225" spans="1:9" hidden="1" x14ac:dyDescent="0.25">
      <c r="A225" s="2" t="s">
        <v>1990</v>
      </c>
      <c r="B225" s="2" t="s">
        <v>112</v>
      </c>
      <c r="C225" s="2" t="s">
        <v>56</v>
      </c>
      <c r="D225" s="2" t="s">
        <v>1336</v>
      </c>
      <c r="E225" s="2">
        <v>179</v>
      </c>
      <c r="F225" s="2">
        <v>74</v>
      </c>
      <c r="G225" s="7">
        <v>130.16</v>
      </c>
      <c r="H225" s="7">
        <f t="shared" si="6"/>
        <v>23298.639999999999</v>
      </c>
      <c r="I225" s="13">
        <f t="shared" si="7"/>
        <v>2.4189189189189189</v>
      </c>
    </row>
    <row r="226" spans="1:9" hidden="1" x14ac:dyDescent="0.25">
      <c r="A226" s="2" t="s">
        <v>2118</v>
      </c>
      <c r="B226" s="2" t="s">
        <v>69</v>
      </c>
      <c r="C226" s="2" t="s">
        <v>31</v>
      </c>
      <c r="D226" s="2" t="s">
        <v>1336</v>
      </c>
      <c r="E226" s="2">
        <v>51</v>
      </c>
      <c r="F226" s="2">
        <v>21</v>
      </c>
      <c r="G226" s="7">
        <v>434.99</v>
      </c>
      <c r="H226" s="7">
        <f t="shared" si="6"/>
        <v>22184.49</v>
      </c>
      <c r="I226" s="13">
        <f t="shared" si="7"/>
        <v>2.4285714285714284</v>
      </c>
    </row>
    <row r="227" spans="1:9" x14ac:dyDescent="0.25">
      <c r="A227" s="2" t="s">
        <v>1960</v>
      </c>
      <c r="B227" s="2" t="s">
        <v>15</v>
      </c>
      <c r="C227" s="2" t="s">
        <v>16</v>
      </c>
      <c r="D227" s="2" t="s">
        <v>1336</v>
      </c>
      <c r="E227" s="2">
        <v>155</v>
      </c>
      <c r="F227" s="2">
        <v>14</v>
      </c>
      <c r="G227" s="7">
        <v>133.34</v>
      </c>
      <c r="H227" s="7">
        <f t="shared" si="6"/>
        <v>20667.7</v>
      </c>
      <c r="I227" s="13">
        <f t="shared" si="7"/>
        <v>11.071428571428571</v>
      </c>
    </row>
    <row r="228" spans="1:9" hidden="1" x14ac:dyDescent="0.25">
      <c r="A228" s="2" t="s">
        <v>2117</v>
      </c>
      <c r="B228" s="2" t="s">
        <v>123</v>
      </c>
      <c r="C228" s="2" t="s">
        <v>50</v>
      </c>
      <c r="D228" s="2" t="s">
        <v>1336</v>
      </c>
      <c r="E228" s="2">
        <v>232</v>
      </c>
      <c r="F228" s="2">
        <v>6</v>
      </c>
      <c r="G228" s="7">
        <v>85.05</v>
      </c>
      <c r="H228" s="7">
        <f t="shared" si="6"/>
        <v>19731.599999999999</v>
      </c>
      <c r="I228" s="13">
        <f t="shared" si="7"/>
        <v>38.666666666666664</v>
      </c>
    </row>
    <row r="229" spans="1:9" hidden="1" x14ac:dyDescent="0.25">
      <c r="A229" s="2" t="s">
        <v>1815</v>
      </c>
      <c r="B229" s="2" t="s">
        <v>77</v>
      </c>
      <c r="C229" s="2" t="s">
        <v>56</v>
      </c>
      <c r="D229" s="2" t="s">
        <v>1336</v>
      </c>
      <c r="E229" s="2">
        <v>166</v>
      </c>
      <c r="F229" s="2">
        <v>39</v>
      </c>
      <c r="G229" s="7">
        <v>103.55</v>
      </c>
      <c r="H229" s="7">
        <f t="shared" si="6"/>
        <v>17189.3</v>
      </c>
      <c r="I229" s="13">
        <f t="shared" si="7"/>
        <v>4.2564102564102564</v>
      </c>
    </row>
    <row r="230" spans="1:9" hidden="1" x14ac:dyDescent="0.25">
      <c r="A230" s="2" t="s">
        <v>1836</v>
      </c>
      <c r="B230" s="2" t="s">
        <v>49</v>
      </c>
      <c r="C230" s="2" t="s">
        <v>50</v>
      </c>
      <c r="D230" s="2" t="s">
        <v>1336</v>
      </c>
      <c r="E230" s="2">
        <v>75</v>
      </c>
      <c r="F230" s="2">
        <v>54</v>
      </c>
      <c r="G230" s="7">
        <v>224.45</v>
      </c>
      <c r="H230" s="7">
        <f t="shared" si="6"/>
        <v>16833.75</v>
      </c>
      <c r="I230" s="13">
        <f t="shared" si="7"/>
        <v>1.3888888888888888</v>
      </c>
    </row>
    <row r="231" spans="1:9" hidden="1" x14ac:dyDescent="0.25">
      <c r="A231" s="2" t="s">
        <v>1908</v>
      </c>
      <c r="B231" s="2" t="s">
        <v>55</v>
      </c>
      <c r="C231" s="2" t="s">
        <v>56</v>
      </c>
      <c r="D231" s="2" t="s">
        <v>1336</v>
      </c>
      <c r="E231" s="2">
        <v>148</v>
      </c>
      <c r="F231" s="2">
        <v>58</v>
      </c>
      <c r="G231" s="7">
        <v>107.51</v>
      </c>
      <c r="H231" s="7">
        <f t="shared" si="6"/>
        <v>15911.480000000001</v>
      </c>
      <c r="I231" s="13">
        <f t="shared" si="7"/>
        <v>2.5517241379310347</v>
      </c>
    </row>
    <row r="232" spans="1:9" hidden="1" x14ac:dyDescent="0.25">
      <c r="A232" s="2" t="s">
        <v>1951</v>
      </c>
      <c r="B232" s="2" t="s">
        <v>20</v>
      </c>
      <c r="C232" s="2" t="s">
        <v>21</v>
      </c>
      <c r="D232" s="2" t="s">
        <v>1336</v>
      </c>
      <c r="E232" s="2">
        <v>236</v>
      </c>
      <c r="F232" s="2">
        <v>41</v>
      </c>
      <c r="G232" s="7">
        <v>67.27</v>
      </c>
      <c r="H232" s="7">
        <f t="shared" si="6"/>
        <v>15875.72</v>
      </c>
      <c r="I232" s="13">
        <f t="shared" si="7"/>
        <v>5.7560975609756095</v>
      </c>
    </row>
    <row r="233" spans="1:9" hidden="1" x14ac:dyDescent="0.25">
      <c r="A233" s="2" t="s">
        <v>1848</v>
      </c>
      <c r="B233" s="2" t="s">
        <v>30</v>
      </c>
      <c r="C233" s="2" t="s">
        <v>31</v>
      </c>
      <c r="D233" s="2" t="s">
        <v>1336</v>
      </c>
      <c r="E233" s="2">
        <v>54</v>
      </c>
      <c r="F233" s="2">
        <v>89</v>
      </c>
      <c r="G233" s="7">
        <v>291.64</v>
      </c>
      <c r="H233" s="7">
        <f t="shared" si="6"/>
        <v>15748.56</v>
      </c>
      <c r="I233" s="13">
        <f t="shared" si="7"/>
        <v>0.6067415730337079</v>
      </c>
    </row>
    <row r="234" spans="1:9" hidden="1" x14ac:dyDescent="0.25">
      <c r="A234" s="2" t="s">
        <v>1971</v>
      </c>
      <c r="B234" s="2" t="s">
        <v>49</v>
      </c>
      <c r="C234" s="2" t="s">
        <v>50</v>
      </c>
      <c r="D234" s="2" t="s">
        <v>1336</v>
      </c>
      <c r="E234" s="2">
        <v>295</v>
      </c>
      <c r="F234" s="2">
        <v>87</v>
      </c>
      <c r="G234" s="7">
        <v>52.83</v>
      </c>
      <c r="H234" s="7">
        <f t="shared" si="6"/>
        <v>15584.85</v>
      </c>
      <c r="I234" s="13">
        <f t="shared" si="7"/>
        <v>3.3908045977011496</v>
      </c>
    </row>
    <row r="235" spans="1:9" hidden="1" x14ac:dyDescent="0.25">
      <c r="A235" s="2" t="s">
        <v>1893</v>
      </c>
      <c r="B235" s="2" t="s">
        <v>74</v>
      </c>
      <c r="C235" s="2" t="s">
        <v>56</v>
      </c>
      <c r="D235" s="2" t="s">
        <v>1336</v>
      </c>
      <c r="E235" s="2">
        <v>152</v>
      </c>
      <c r="F235" s="2">
        <v>26</v>
      </c>
      <c r="G235" s="7">
        <v>100.91</v>
      </c>
      <c r="H235" s="7">
        <f t="shared" si="6"/>
        <v>15338.32</v>
      </c>
      <c r="I235" s="13">
        <f t="shared" si="7"/>
        <v>5.8461538461538458</v>
      </c>
    </row>
    <row r="236" spans="1:9" hidden="1" x14ac:dyDescent="0.25">
      <c r="A236" s="2" t="s">
        <v>1838</v>
      </c>
      <c r="B236" s="2" t="s">
        <v>96</v>
      </c>
      <c r="C236" s="2" t="s">
        <v>50</v>
      </c>
      <c r="D236" s="2" t="s">
        <v>1336</v>
      </c>
      <c r="E236" s="2">
        <v>165</v>
      </c>
      <c r="F236" s="2">
        <v>21</v>
      </c>
      <c r="G236" s="7">
        <v>92.57</v>
      </c>
      <c r="H236" s="7">
        <f t="shared" si="6"/>
        <v>15274.05</v>
      </c>
      <c r="I236" s="13">
        <f t="shared" si="7"/>
        <v>7.8571428571428568</v>
      </c>
    </row>
    <row r="237" spans="1:9" hidden="1" x14ac:dyDescent="0.25">
      <c r="A237" s="2" t="s">
        <v>2047</v>
      </c>
      <c r="B237" s="2" t="s">
        <v>96</v>
      </c>
      <c r="C237" s="2" t="s">
        <v>50</v>
      </c>
      <c r="D237" s="2" t="s">
        <v>1336</v>
      </c>
      <c r="E237" s="2">
        <v>71</v>
      </c>
      <c r="F237" s="2">
        <v>5</v>
      </c>
      <c r="G237" s="7">
        <v>181.06</v>
      </c>
      <c r="H237" s="7">
        <f t="shared" si="6"/>
        <v>12855.26</v>
      </c>
      <c r="I237" s="13">
        <f t="shared" si="7"/>
        <v>14.2</v>
      </c>
    </row>
    <row r="238" spans="1:9" hidden="1" x14ac:dyDescent="0.25">
      <c r="A238" s="2" t="s">
        <v>2080</v>
      </c>
      <c r="B238" s="2" t="s">
        <v>30</v>
      </c>
      <c r="C238" s="2" t="s">
        <v>31</v>
      </c>
      <c r="D238" s="2" t="s">
        <v>1336</v>
      </c>
      <c r="E238" s="2">
        <v>30</v>
      </c>
      <c r="F238" s="2">
        <v>40</v>
      </c>
      <c r="G238" s="7">
        <v>427.58</v>
      </c>
      <c r="H238" s="7">
        <f t="shared" si="6"/>
        <v>12827.4</v>
      </c>
      <c r="I238" s="13">
        <f t="shared" si="7"/>
        <v>0.75</v>
      </c>
    </row>
    <row r="239" spans="1:9" hidden="1" x14ac:dyDescent="0.25">
      <c r="A239" s="2" t="s">
        <v>2011</v>
      </c>
      <c r="B239" s="2" t="s">
        <v>102</v>
      </c>
      <c r="C239" s="2" t="s">
        <v>31</v>
      </c>
      <c r="D239" s="2" t="s">
        <v>1336</v>
      </c>
      <c r="E239" s="2">
        <v>43</v>
      </c>
      <c r="F239" s="2">
        <v>43</v>
      </c>
      <c r="G239" s="7">
        <v>284.2</v>
      </c>
      <c r="H239" s="7">
        <f t="shared" si="6"/>
        <v>12220.6</v>
      </c>
      <c r="I239" s="13">
        <f t="shared" si="7"/>
        <v>1</v>
      </c>
    </row>
    <row r="240" spans="1:9" hidden="1" x14ac:dyDescent="0.25">
      <c r="A240" s="2" t="s">
        <v>1868</v>
      </c>
      <c r="B240" s="2" t="s">
        <v>55</v>
      </c>
      <c r="C240" s="2" t="s">
        <v>56</v>
      </c>
      <c r="D240" s="2" t="s">
        <v>1336</v>
      </c>
      <c r="E240" s="2">
        <v>148</v>
      </c>
      <c r="F240" s="2">
        <v>25</v>
      </c>
      <c r="G240" s="7">
        <v>77.47</v>
      </c>
      <c r="H240" s="7">
        <f t="shared" si="6"/>
        <v>11465.56</v>
      </c>
      <c r="I240" s="13">
        <f t="shared" si="7"/>
        <v>5.92</v>
      </c>
    </row>
    <row r="241" spans="1:9" hidden="1" x14ac:dyDescent="0.25">
      <c r="A241" s="2" t="s">
        <v>1845</v>
      </c>
      <c r="B241" s="2" t="s">
        <v>40</v>
      </c>
      <c r="C241" s="2" t="s">
        <v>31</v>
      </c>
      <c r="D241" s="2" t="s">
        <v>1336</v>
      </c>
      <c r="E241" s="2">
        <v>150</v>
      </c>
      <c r="F241" s="2">
        <v>63</v>
      </c>
      <c r="G241" s="7">
        <v>73.78</v>
      </c>
      <c r="H241" s="7">
        <f t="shared" si="6"/>
        <v>11067</v>
      </c>
      <c r="I241" s="13">
        <f t="shared" si="7"/>
        <v>2.3809523809523809</v>
      </c>
    </row>
    <row r="242" spans="1:9" hidden="1" x14ac:dyDescent="0.25">
      <c r="A242" s="2" t="s">
        <v>1872</v>
      </c>
      <c r="B242" s="2" t="s">
        <v>123</v>
      </c>
      <c r="C242" s="2" t="s">
        <v>50</v>
      </c>
      <c r="D242" s="2" t="s">
        <v>1336</v>
      </c>
      <c r="E242" s="2">
        <v>38</v>
      </c>
      <c r="F242" s="2">
        <v>24</v>
      </c>
      <c r="G242" s="7">
        <v>284.32</v>
      </c>
      <c r="H242" s="7">
        <f t="shared" si="6"/>
        <v>10804.16</v>
      </c>
      <c r="I242" s="13">
        <f t="shared" si="7"/>
        <v>1.5833333333333333</v>
      </c>
    </row>
    <row r="243" spans="1:9" hidden="1" x14ac:dyDescent="0.25">
      <c r="A243" s="2" t="s">
        <v>2032</v>
      </c>
      <c r="B243" s="2" t="s">
        <v>67</v>
      </c>
      <c r="C243" s="2" t="s">
        <v>21</v>
      </c>
      <c r="D243" s="2" t="s">
        <v>1336</v>
      </c>
      <c r="E243" s="2">
        <v>21</v>
      </c>
      <c r="F243" s="2">
        <v>50</v>
      </c>
      <c r="G243" s="7">
        <v>481.47</v>
      </c>
      <c r="H243" s="7">
        <f t="shared" si="6"/>
        <v>10110.870000000001</v>
      </c>
      <c r="I243" s="13">
        <f t="shared" si="7"/>
        <v>0.42</v>
      </c>
    </row>
    <row r="244" spans="1:9" hidden="1" x14ac:dyDescent="0.25">
      <c r="A244" s="2" t="s">
        <v>2012</v>
      </c>
      <c r="B244" s="2" t="s">
        <v>43</v>
      </c>
      <c r="C244" s="2" t="s">
        <v>21</v>
      </c>
      <c r="D244" s="2" t="s">
        <v>1336</v>
      </c>
      <c r="E244" s="2">
        <v>192</v>
      </c>
      <c r="F244" s="2">
        <v>60</v>
      </c>
      <c r="G244" s="7">
        <v>49.83</v>
      </c>
      <c r="H244" s="7">
        <f t="shared" si="6"/>
        <v>9567.36</v>
      </c>
      <c r="I244" s="13">
        <f t="shared" si="7"/>
        <v>3.2</v>
      </c>
    </row>
    <row r="245" spans="1:9" x14ac:dyDescent="0.25">
      <c r="A245" s="2" t="s">
        <v>2119</v>
      </c>
      <c r="B245" s="2" t="s">
        <v>26</v>
      </c>
      <c r="C245" s="2" t="s">
        <v>16</v>
      </c>
      <c r="D245" s="2" t="s">
        <v>1336</v>
      </c>
      <c r="E245" s="2">
        <v>37</v>
      </c>
      <c r="F245" s="2">
        <v>21</v>
      </c>
      <c r="G245" s="7">
        <v>258.42</v>
      </c>
      <c r="H245" s="7">
        <f t="shared" si="6"/>
        <v>9561.5400000000009</v>
      </c>
      <c r="I245" s="13">
        <f t="shared" si="7"/>
        <v>1.7619047619047619</v>
      </c>
    </row>
    <row r="246" spans="1:9" hidden="1" x14ac:dyDescent="0.25">
      <c r="A246" s="2" t="s">
        <v>1871</v>
      </c>
      <c r="B246" s="2" t="s">
        <v>67</v>
      </c>
      <c r="C246" s="2" t="s">
        <v>21</v>
      </c>
      <c r="D246" s="2" t="s">
        <v>1336</v>
      </c>
      <c r="E246" s="2">
        <v>20</v>
      </c>
      <c r="F246" s="2">
        <v>96</v>
      </c>
      <c r="G246" s="7">
        <v>387.54</v>
      </c>
      <c r="H246" s="7">
        <f t="shared" si="6"/>
        <v>7750.8</v>
      </c>
      <c r="I246" s="13">
        <f t="shared" si="7"/>
        <v>0.20833333333333334</v>
      </c>
    </row>
    <row r="247" spans="1:9" hidden="1" x14ac:dyDescent="0.25">
      <c r="A247" s="2" t="s">
        <v>1970</v>
      </c>
      <c r="B247" s="2" t="s">
        <v>77</v>
      </c>
      <c r="C247" s="2" t="s">
        <v>56</v>
      </c>
      <c r="D247" s="2" t="s">
        <v>1336</v>
      </c>
      <c r="E247" s="2">
        <v>204</v>
      </c>
      <c r="F247" s="2">
        <v>29</v>
      </c>
      <c r="G247" s="7">
        <v>36.18</v>
      </c>
      <c r="H247" s="7">
        <f t="shared" si="6"/>
        <v>7380.72</v>
      </c>
      <c r="I247" s="13">
        <f t="shared" si="7"/>
        <v>7.0344827586206895</v>
      </c>
    </row>
    <row r="248" spans="1:9" hidden="1" x14ac:dyDescent="0.25">
      <c r="A248" s="2" t="s">
        <v>2050</v>
      </c>
      <c r="B248" s="2" t="s">
        <v>43</v>
      </c>
      <c r="C248" s="2" t="s">
        <v>21</v>
      </c>
      <c r="D248" s="2" t="s">
        <v>1336</v>
      </c>
      <c r="E248" s="2">
        <v>34</v>
      </c>
      <c r="F248" s="2">
        <v>61</v>
      </c>
      <c r="G248" s="7">
        <v>214.9</v>
      </c>
      <c r="H248" s="7">
        <f t="shared" si="6"/>
        <v>7306.6</v>
      </c>
      <c r="I248" s="13">
        <f t="shared" si="7"/>
        <v>0.55737704918032782</v>
      </c>
    </row>
    <row r="249" spans="1:9" hidden="1" x14ac:dyDescent="0.25">
      <c r="A249" s="2" t="s">
        <v>1788</v>
      </c>
      <c r="B249" s="2" t="s">
        <v>49</v>
      </c>
      <c r="C249" s="2" t="s">
        <v>50</v>
      </c>
      <c r="D249" s="2" t="s">
        <v>1336</v>
      </c>
      <c r="E249" s="2">
        <v>218</v>
      </c>
      <c r="F249" s="2">
        <v>66</v>
      </c>
      <c r="G249" s="7">
        <v>32.549999999999997</v>
      </c>
      <c r="H249" s="7">
        <f t="shared" si="6"/>
        <v>7095.9</v>
      </c>
      <c r="I249" s="13">
        <f t="shared" si="7"/>
        <v>3.3030303030303032</v>
      </c>
    </row>
    <row r="250" spans="1:9" hidden="1" x14ac:dyDescent="0.25">
      <c r="A250" s="2" t="s">
        <v>2100</v>
      </c>
      <c r="B250" s="2" t="s">
        <v>20</v>
      </c>
      <c r="C250" s="2" t="s">
        <v>21</v>
      </c>
      <c r="D250" s="2" t="s">
        <v>1336</v>
      </c>
      <c r="E250" s="2">
        <v>120</v>
      </c>
      <c r="F250" s="2">
        <v>49</v>
      </c>
      <c r="G250" s="7">
        <v>56.36</v>
      </c>
      <c r="H250" s="7">
        <f t="shared" si="6"/>
        <v>6763.2</v>
      </c>
      <c r="I250" s="13">
        <f t="shared" si="7"/>
        <v>2.4489795918367347</v>
      </c>
    </row>
    <row r="251" spans="1:9" hidden="1" x14ac:dyDescent="0.25">
      <c r="A251" s="2" t="s">
        <v>1891</v>
      </c>
      <c r="B251" s="2" t="s">
        <v>96</v>
      </c>
      <c r="C251" s="2" t="s">
        <v>50</v>
      </c>
      <c r="D251" s="2" t="s">
        <v>1336</v>
      </c>
      <c r="E251" s="2">
        <v>140</v>
      </c>
      <c r="F251" s="2">
        <v>56</v>
      </c>
      <c r="G251" s="7">
        <v>42.69</v>
      </c>
      <c r="H251" s="7">
        <f t="shared" si="6"/>
        <v>5976.5999999999995</v>
      </c>
      <c r="I251" s="13">
        <f t="shared" si="7"/>
        <v>2.5</v>
      </c>
    </row>
    <row r="252" spans="1:9" hidden="1" x14ac:dyDescent="0.25">
      <c r="A252" s="2" t="s">
        <v>1915</v>
      </c>
      <c r="B252" s="2" t="s">
        <v>52</v>
      </c>
      <c r="C252" s="2" t="s">
        <v>50</v>
      </c>
      <c r="D252" s="2" t="s">
        <v>1336</v>
      </c>
      <c r="E252" s="2">
        <v>26</v>
      </c>
      <c r="F252" s="2">
        <v>78</v>
      </c>
      <c r="G252" s="7">
        <v>215.69</v>
      </c>
      <c r="H252" s="7">
        <f t="shared" si="6"/>
        <v>5607.94</v>
      </c>
      <c r="I252" s="13">
        <f t="shared" si="7"/>
        <v>0.33333333333333331</v>
      </c>
    </row>
    <row r="253" spans="1:9" hidden="1" x14ac:dyDescent="0.25">
      <c r="A253" s="2" t="s">
        <v>2084</v>
      </c>
      <c r="B253" s="2" t="s">
        <v>40</v>
      </c>
      <c r="C253" s="2" t="s">
        <v>31</v>
      </c>
      <c r="D253" s="2" t="s">
        <v>1336</v>
      </c>
      <c r="E253" s="2">
        <v>14</v>
      </c>
      <c r="F253" s="2">
        <v>48</v>
      </c>
      <c r="G253" s="7">
        <v>363.44</v>
      </c>
      <c r="H253" s="7">
        <f t="shared" si="6"/>
        <v>5088.16</v>
      </c>
      <c r="I253" s="13">
        <f t="shared" si="7"/>
        <v>0.29166666666666669</v>
      </c>
    </row>
    <row r="254" spans="1:9" hidden="1" x14ac:dyDescent="0.25">
      <c r="A254" s="2" t="s">
        <v>1976</v>
      </c>
      <c r="B254" s="2" t="s">
        <v>74</v>
      </c>
      <c r="C254" s="2" t="s">
        <v>56</v>
      </c>
      <c r="D254" s="2" t="s">
        <v>1336</v>
      </c>
      <c r="E254" s="2">
        <v>189</v>
      </c>
      <c r="F254" s="2">
        <v>17</v>
      </c>
      <c r="G254" s="7">
        <v>26.47</v>
      </c>
      <c r="H254" s="7">
        <f t="shared" si="6"/>
        <v>5002.83</v>
      </c>
      <c r="I254" s="13">
        <f t="shared" si="7"/>
        <v>11.117647058823529</v>
      </c>
    </row>
    <row r="255" spans="1:9" hidden="1" x14ac:dyDescent="0.25">
      <c r="A255" s="2" t="s">
        <v>1847</v>
      </c>
      <c r="B255" s="2" t="s">
        <v>52</v>
      </c>
      <c r="C255" s="2" t="s">
        <v>50</v>
      </c>
      <c r="D255" s="2" t="s">
        <v>1336</v>
      </c>
      <c r="E255" s="2">
        <v>13</v>
      </c>
      <c r="F255" s="2">
        <v>0</v>
      </c>
      <c r="G255" s="7">
        <v>348.67</v>
      </c>
      <c r="H255" s="7">
        <f t="shared" si="6"/>
        <v>4532.71</v>
      </c>
      <c r="I255" s="13" t="str">
        <f t="shared" si="7"/>
        <v>Seuil non defini</v>
      </c>
    </row>
    <row r="256" spans="1:9" hidden="1" x14ac:dyDescent="0.25">
      <c r="A256" s="2" t="s">
        <v>1920</v>
      </c>
      <c r="B256" s="2" t="s">
        <v>67</v>
      </c>
      <c r="C256" s="2" t="s">
        <v>21</v>
      </c>
      <c r="D256" s="2" t="s">
        <v>1336</v>
      </c>
      <c r="E256" s="2">
        <v>12</v>
      </c>
      <c r="F256" s="2">
        <v>100</v>
      </c>
      <c r="G256" s="7">
        <v>367.62</v>
      </c>
      <c r="H256" s="7">
        <f t="shared" si="6"/>
        <v>4411.4400000000005</v>
      </c>
      <c r="I256" s="13">
        <f t="shared" si="7"/>
        <v>0.12</v>
      </c>
    </row>
    <row r="257" spans="1:9" hidden="1" x14ac:dyDescent="0.25">
      <c r="A257" s="2" t="s">
        <v>1867</v>
      </c>
      <c r="B257" s="2" t="s">
        <v>55</v>
      </c>
      <c r="C257" s="2" t="s">
        <v>56</v>
      </c>
      <c r="D257" s="2" t="s">
        <v>1336</v>
      </c>
      <c r="E257" s="2">
        <v>257</v>
      </c>
      <c r="F257" s="2">
        <v>24</v>
      </c>
      <c r="G257" s="7">
        <v>13.8</v>
      </c>
      <c r="H257" s="7">
        <f t="shared" si="6"/>
        <v>3546.6000000000004</v>
      </c>
      <c r="I257" s="13">
        <f t="shared" si="7"/>
        <v>10.708333333333334</v>
      </c>
    </row>
    <row r="258" spans="1:9" hidden="1" x14ac:dyDescent="0.25">
      <c r="A258" s="2" t="s">
        <v>2030</v>
      </c>
      <c r="B258" s="2" t="s">
        <v>112</v>
      </c>
      <c r="C258" s="2" t="s">
        <v>56</v>
      </c>
      <c r="D258" s="2" t="s">
        <v>1336</v>
      </c>
      <c r="E258" s="2">
        <v>217</v>
      </c>
      <c r="F258" s="2">
        <v>23</v>
      </c>
      <c r="G258" s="7">
        <v>15.93</v>
      </c>
      <c r="H258" s="7">
        <f t="shared" si="6"/>
        <v>3456.81</v>
      </c>
      <c r="I258" s="13">
        <f t="shared" si="7"/>
        <v>9.4347826086956523</v>
      </c>
    </row>
    <row r="259" spans="1:9" hidden="1" x14ac:dyDescent="0.25">
      <c r="A259" s="2" t="s">
        <v>1888</v>
      </c>
      <c r="B259" s="2" t="s">
        <v>123</v>
      </c>
      <c r="C259" s="2" t="s">
        <v>50</v>
      </c>
      <c r="D259" s="2" t="s">
        <v>1336</v>
      </c>
      <c r="E259" s="2">
        <v>163</v>
      </c>
      <c r="F259" s="2">
        <v>77</v>
      </c>
      <c r="G259" s="7">
        <v>17.600000000000001</v>
      </c>
      <c r="H259" s="7">
        <f t="shared" si="6"/>
        <v>2868.8</v>
      </c>
      <c r="I259" s="13">
        <f t="shared" si="7"/>
        <v>2.116883116883117</v>
      </c>
    </row>
    <row r="260" spans="1:9" hidden="1" x14ac:dyDescent="0.25">
      <c r="A260" s="2" t="s">
        <v>1850</v>
      </c>
      <c r="B260" s="2" t="s">
        <v>96</v>
      </c>
      <c r="C260" s="2" t="s">
        <v>50</v>
      </c>
      <c r="D260" s="2" t="s">
        <v>1336</v>
      </c>
      <c r="E260" s="2">
        <v>6</v>
      </c>
      <c r="F260" s="2">
        <v>77</v>
      </c>
      <c r="G260" s="7">
        <v>415.87</v>
      </c>
      <c r="H260" s="7">
        <f t="shared" si="6"/>
        <v>2495.2200000000003</v>
      </c>
      <c r="I260" s="13">
        <f t="shared" si="7"/>
        <v>7.792207792207792E-2</v>
      </c>
    </row>
    <row r="261" spans="1:9" hidden="1" x14ac:dyDescent="0.25">
      <c r="A261" s="2" t="s">
        <v>2043</v>
      </c>
      <c r="B261" s="2" t="s">
        <v>74</v>
      </c>
      <c r="C261" s="2" t="s">
        <v>56</v>
      </c>
      <c r="D261" s="2" t="s">
        <v>1336</v>
      </c>
      <c r="E261" s="2">
        <v>15</v>
      </c>
      <c r="F261" s="2">
        <v>27</v>
      </c>
      <c r="G261" s="7">
        <v>161.94</v>
      </c>
      <c r="H261" s="7">
        <f t="shared" ref="H261:H324" si="8">E261*G261</f>
        <v>2429.1</v>
      </c>
      <c r="I261" s="13">
        <f t="shared" ref="I261:I324" si="9">IFERROR(E261/F261,"Seuil non defini")</f>
        <v>0.55555555555555558</v>
      </c>
    </row>
    <row r="262" spans="1:9" x14ac:dyDescent="0.25">
      <c r="A262" s="2" t="s">
        <v>2079</v>
      </c>
      <c r="B262" s="2" t="s">
        <v>33</v>
      </c>
      <c r="C262" s="2" t="s">
        <v>16</v>
      </c>
      <c r="D262" s="2" t="s">
        <v>1336</v>
      </c>
      <c r="E262" s="2">
        <v>17</v>
      </c>
      <c r="F262" s="2">
        <v>39</v>
      </c>
      <c r="G262" s="7">
        <v>140.43</v>
      </c>
      <c r="H262" s="7">
        <f t="shared" si="8"/>
        <v>2387.31</v>
      </c>
      <c r="I262" s="13">
        <f t="shared" si="9"/>
        <v>0.4358974358974359</v>
      </c>
    </row>
    <row r="263" spans="1:9" hidden="1" x14ac:dyDescent="0.25">
      <c r="A263" s="2" t="s">
        <v>2064</v>
      </c>
      <c r="B263" s="2" t="s">
        <v>52</v>
      </c>
      <c r="C263" s="2" t="s">
        <v>50</v>
      </c>
      <c r="D263" s="2" t="s">
        <v>1336</v>
      </c>
      <c r="E263" s="2">
        <v>9</v>
      </c>
      <c r="F263" s="2">
        <v>75</v>
      </c>
      <c r="G263" s="7">
        <v>242.12</v>
      </c>
      <c r="H263" s="7">
        <f t="shared" si="8"/>
        <v>2179.08</v>
      </c>
      <c r="I263" s="13">
        <f t="shared" si="9"/>
        <v>0.12</v>
      </c>
    </row>
    <row r="264" spans="1:9" hidden="1" x14ac:dyDescent="0.25">
      <c r="A264" s="2" t="s">
        <v>1800</v>
      </c>
      <c r="B264" s="2" t="s">
        <v>69</v>
      </c>
      <c r="C264" s="2" t="s">
        <v>31</v>
      </c>
      <c r="D264" s="2" t="s">
        <v>1336</v>
      </c>
      <c r="E264" s="2">
        <v>60</v>
      </c>
      <c r="F264" s="2">
        <v>60</v>
      </c>
      <c r="G264" s="7">
        <v>35.72</v>
      </c>
      <c r="H264" s="7">
        <f t="shared" si="8"/>
        <v>2143.1999999999998</v>
      </c>
      <c r="I264" s="13">
        <f t="shared" si="9"/>
        <v>1</v>
      </c>
    </row>
    <row r="265" spans="1:9" hidden="1" x14ac:dyDescent="0.25">
      <c r="A265" s="2" t="s">
        <v>1854</v>
      </c>
      <c r="B265" s="2" t="s">
        <v>43</v>
      </c>
      <c r="C265" s="2" t="s">
        <v>21</v>
      </c>
      <c r="D265" s="2" t="s">
        <v>1336</v>
      </c>
      <c r="E265" s="2">
        <v>257</v>
      </c>
      <c r="F265" s="2">
        <v>25</v>
      </c>
      <c r="G265" s="7">
        <v>7.41</v>
      </c>
      <c r="H265" s="7">
        <f t="shared" si="8"/>
        <v>1904.3700000000001</v>
      </c>
      <c r="I265" s="13">
        <f t="shared" si="9"/>
        <v>10.28</v>
      </c>
    </row>
    <row r="266" spans="1:9" x14ac:dyDescent="0.25">
      <c r="A266" s="2" t="s">
        <v>2133</v>
      </c>
      <c r="B266" s="2" t="s">
        <v>33</v>
      </c>
      <c r="C266" s="2" t="s">
        <v>16</v>
      </c>
      <c r="D266" s="2" t="s">
        <v>1336</v>
      </c>
      <c r="E266" s="2">
        <v>13</v>
      </c>
      <c r="F266" s="2">
        <v>52</v>
      </c>
      <c r="G266" s="7">
        <v>103.16</v>
      </c>
      <c r="H266" s="7">
        <f t="shared" si="8"/>
        <v>1341.08</v>
      </c>
      <c r="I266" s="13">
        <f t="shared" si="9"/>
        <v>0.25</v>
      </c>
    </row>
    <row r="267" spans="1:9" x14ac:dyDescent="0.25">
      <c r="A267" s="2" t="s">
        <v>2069</v>
      </c>
      <c r="B267" s="2" t="s">
        <v>26</v>
      </c>
      <c r="C267" s="2" t="s">
        <v>16</v>
      </c>
      <c r="D267" s="2" t="s">
        <v>1336</v>
      </c>
      <c r="E267" s="2">
        <v>29</v>
      </c>
      <c r="F267" s="2">
        <v>14</v>
      </c>
      <c r="G267" s="7">
        <v>30.21</v>
      </c>
      <c r="H267" s="7">
        <f t="shared" si="8"/>
        <v>876.09</v>
      </c>
      <c r="I267" s="13">
        <f t="shared" si="9"/>
        <v>2.0714285714285716</v>
      </c>
    </row>
    <row r="268" spans="1:9" hidden="1" x14ac:dyDescent="0.25">
      <c r="A268" s="2" t="s">
        <v>2014</v>
      </c>
      <c r="B268" s="2" t="s">
        <v>112</v>
      </c>
      <c r="C268" s="2" t="s">
        <v>56</v>
      </c>
      <c r="D268" s="2" t="s">
        <v>1336</v>
      </c>
      <c r="E268" s="2">
        <v>14</v>
      </c>
      <c r="F268" s="2">
        <v>76</v>
      </c>
      <c r="G268" s="7">
        <v>15.16</v>
      </c>
      <c r="H268" s="7">
        <f t="shared" si="8"/>
        <v>212.24</v>
      </c>
      <c r="I268" s="13">
        <f t="shared" si="9"/>
        <v>0.18421052631578946</v>
      </c>
    </row>
    <row r="269" spans="1:9" hidden="1" x14ac:dyDescent="0.25">
      <c r="A269" s="2" t="s">
        <v>1983</v>
      </c>
      <c r="B269" s="2" t="s">
        <v>36</v>
      </c>
      <c r="C269" s="2" t="s">
        <v>21</v>
      </c>
      <c r="D269" s="2" t="s">
        <v>1336</v>
      </c>
      <c r="E269" s="2">
        <v>1</v>
      </c>
      <c r="F269" s="2">
        <v>17</v>
      </c>
      <c r="G269" s="7">
        <v>94.17</v>
      </c>
      <c r="H269" s="7">
        <f t="shared" si="8"/>
        <v>94.17</v>
      </c>
      <c r="I269" s="13">
        <f t="shared" si="9"/>
        <v>5.8823529411764705E-2</v>
      </c>
    </row>
    <row r="270" spans="1:9" x14ac:dyDescent="0.25">
      <c r="A270" s="2" t="s">
        <v>1824</v>
      </c>
      <c r="B270" s="2" t="s">
        <v>15</v>
      </c>
      <c r="C270" s="2" t="s">
        <v>16</v>
      </c>
      <c r="D270" s="2" t="s">
        <v>1327</v>
      </c>
      <c r="E270" s="2">
        <v>277</v>
      </c>
      <c r="F270" s="2">
        <v>99</v>
      </c>
      <c r="G270" s="7">
        <v>409.49</v>
      </c>
      <c r="H270" s="7">
        <f t="shared" si="8"/>
        <v>113428.73</v>
      </c>
      <c r="I270" s="13">
        <f t="shared" si="9"/>
        <v>2.797979797979798</v>
      </c>
    </row>
    <row r="271" spans="1:9" hidden="1" x14ac:dyDescent="0.25">
      <c r="A271" s="2" t="s">
        <v>2134</v>
      </c>
      <c r="B271" s="2" t="s">
        <v>77</v>
      </c>
      <c r="C271" s="2" t="s">
        <v>56</v>
      </c>
      <c r="D271" s="2" t="s">
        <v>1327</v>
      </c>
      <c r="E271" s="2">
        <v>232</v>
      </c>
      <c r="F271" s="2">
        <v>42</v>
      </c>
      <c r="G271" s="7">
        <v>459.16</v>
      </c>
      <c r="H271" s="7">
        <f t="shared" si="8"/>
        <v>106525.12000000001</v>
      </c>
      <c r="I271" s="13">
        <f t="shared" si="9"/>
        <v>5.5238095238095237</v>
      </c>
    </row>
    <row r="272" spans="1:9" hidden="1" x14ac:dyDescent="0.25">
      <c r="A272" s="2" t="s">
        <v>2108</v>
      </c>
      <c r="B272" s="2" t="s">
        <v>67</v>
      </c>
      <c r="C272" s="2" t="s">
        <v>21</v>
      </c>
      <c r="D272" s="2" t="s">
        <v>1327</v>
      </c>
      <c r="E272" s="2">
        <v>275</v>
      </c>
      <c r="F272" s="2">
        <v>0</v>
      </c>
      <c r="G272" s="7">
        <v>367.06</v>
      </c>
      <c r="H272" s="7">
        <f t="shared" si="8"/>
        <v>100941.5</v>
      </c>
      <c r="I272" s="13" t="str">
        <f t="shared" si="9"/>
        <v>Seuil non defini</v>
      </c>
    </row>
    <row r="273" spans="1:9" hidden="1" x14ac:dyDescent="0.25">
      <c r="A273" s="2" t="s">
        <v>1962</v>
      </c>
      <c r="B273" s="2" t="s">
        <v>40</v>
      </c>
      <c r="C273" s="2" t="s">
        <v>31</v>
      </c>
      <c r="D273" s="2" t="s">
        <v>1327</v>
      </c>
      <c r="E273" s="2">
        <v>299</v>
      </c>
      <c r="F273" s="2">
        <v>57</v>
      </c>
      <c r="G273" s="7">
        <v>319.18</v>
      </c>
      <c r="H273" s="7">
        <f t="shared" si="8"/>
        <v>95434.82</v>
      </c>
      <c r="I273" s="13">
        <f t="shared" si="9"/>
        <v>5.2456140350877192</v>
      </c>
    </row>
    <row r="274" spans="1:9" x14ac:dyDescent="0.25">
      <c r="A274" s="2" t="s">
        <v>2041</v>
      </c>
      <c r="B274" s="2" t="s">
        <v>26</v>
      </c>
      <c r="C274" s="2" t="s">
        <v>16</v>
      </c>
      <c r="D274" s="2" t="s">
        <v>1327</v>
      </c>
      <c r="E274" s="2">
        <v>196</v>
      </c>
      <c r="F274" s="2">
        <v>58</v>
      </c>
      <c r="G274" s="7">
        <v>461.34</v>
      </c>
      <c r="H274" s="7">
        <f t="shared" si="8"/>
        <v>90422.64</v>
      </c>
      <c r="I274" s="13">
        <f t="shared" si="9"/>
        <v>3.3793103448275863</v>
      </c>
    </row>
    <row r="275" spans="1:9" x14ac:dyDescent="0.25">
      <c r="A275" s="2" t="s">
        <v>1929</v>
      </c>
      <c r="B275" s="2" t="s">
        <v>61</v>
      </c>
      <c r="C275" s="2" t="s">
        <v>16</v>
      </c>
      <c r="D275" s="2" t="s">
        <v>1327</v>
      </c>
      <c r="E275" s="2">
        <v>177</v>
      </c>
      <c r="F275" s="2">
        <v>66</v>
      </c>
      <c r="G275" s="7">
        <v>497.47</v>
      </c>
      <c r="H275" s="7">
        <f t="shared" si="8"/>
        <v>88052.19</v>
      </c>
      <c r="I275" s="13">
        <f t="shared" si="9"/>
        <v>2.6818181818181817</v>
      </c>
    </row>
    <row r="276" spans="1:9" x14ac:dyDescent="0.25">
      <c r="A276" s="2" t="s">
        <v>2078</v>
      </c>
      <c r="B276" s="2" t="s">
        <v>26</v>
      </c>
      <c r="C276" s="2" t="s">
        <v>16</v>
      </c>
      <c r="D276" s="2" t="s">
        <v>1327</v>
      </c>
      <c r="E276" s="2">
        <v>225</v>
      </c>
      <c r="F276" s="2">
        <v>88</v>
      </c>
      <c r="G276" s="7">
        <v>382.57</v>
      </c>
      <c r="H276" s="7">
        <f t="shared" si="8"/>
        <v>86078.25</v>
      </c>
      <c r="I276" s="13">
        <f t="shared" si="9"/>
        <v>2.5568181818181817</v>
      </c>
    </row>
    <row r="277" spans="1:9" hidden="1" x14ac:dyDescent="0.25">
      <c r="A277" s="2" t="s">
        <v>2060</v>
      </c>
      <c r="B277" s="2" t="s">
        <v>30</v>
      </c>
      <c r="C277" s="2" t="s">
        <v>31</v>
      </c>
      <c r="D277" s="2" t="s">
        <v>1327</v>
      </c>
      <c r="E277" s="2">
        <v>213</v>
      </c>
      <c r="F277" s="2">
        <v>81</v>
      </c>
      <c r="G277" s="7">
        <v>370.17</v>
      </c>
      <c r="H277" s="7">
        <f t="shared" si="8"/>
        <v>78846.210000000006</v>
      </c>
      <c r="I277" s="13">
        <f t="shared" si="9"/>
        <v>2.6296296296296298</v>
      </c>
    </row>
    <row r="278" spans="1:9" x14ac:dyDescent="0.25">
      <c r="A278" s="2" t="s">
        <v>2019</v>
      </c>
      <c r="B278" s="2" t="s">
        <v>15</v>
      </c>
      <c r="C278" s="2" t="s">
        <v>16</v>
      </c>
      <c r="D278" s="2" t="s">
        <v>1327</v>
      </c>
      <c r="E278" s="2">
        <v>299</v>
      </c>
      <c r="F278" s="2">
        <v>91</v>
      </c>
      <c r="G278" s="7">
        <v>256.39</v>
      </c>
      <c r="H278" s="7">
        <f t="shared" si="8"/>
        <v>76660.61</v>
      </c>
      <c r="I278" s="13">
        <f t="shared" si="9"/>
        <v>3.2857142857142856</v>
      </c>
    </row>
    <row r="279" spans="1:9" hidden="1" x14ac:dyDescent="0.25">
      <c r="A279" s="2" t="s">
        <v>1812</v>
      </c>
      <c r="B279" s="2" t="s">
        <v>52</v>
      </c>
      <c r="C279" s="2" t="s">
        <v>50</v>
      </c>
      <c r="D279" s="2" t="s">
        <v>1327</v>
      </c>
      <c r="E279" s="2">
        <v>150</v>
      </c>
      <c r="F279" s="2">
        <v>46</v>
      </c>
      <c r="G279" s="7">
        <v>492.66</v>
      </c>
      <c r="H279" s="7">
        <f t="shared" si="8"/>
        <v>73899</v>
      </c>
      <c r="I279" s="13">
        <f t="shared" si="9"/>
        <v>3.2608695652173911</v>
      </c>
    </row>
    <row r="280" spans="1:9" hidden="1" x14ac:dyDescent="0.25">
      <c r="A280" s="2" t="s">
        <v>2029</v>
      </c>
      <c r="B280" s="2" t="s">
        <v>102</v>
      </c>
      <c r="C280" s="2" t="s">
        <v>31</v>
      </c>
      <c r="D280" s="2" t="s">
        <v>1327</v>
      </c>
      <c r="E280" s="2">
        <v>200</v>
      </c>
      <c r="F280" s="2">
        <v>54</v>
      </c>
      <c r="G280" s="7">
        <v>349.43</v>
      </c>
      <c r="H280" s="7">
        <f t="shared" si="8"/>
        <v>69886</v>
      </c>
      <c r="I280" s="13">
        <f t="shared" si="9"/>
        <v>3.7037037037037037</v>
      </c>
    </row>
    <row r="281" spans="1:9" hidden="1" x14ac:dyDescent="0.25">
      <c r="A281" s="2" t="s">
        <v>1928</v>
      </c>
      <c r="B281" s="2" t="s">
        <v>123</v>
      </c>
      <c r="C281" s="2" t="s">
        <v>50</v>
      </c>
      <c r="D281" s="2" t="s">
        <v>1327</v>
      </c>
      <c r="E281" s="2">
        <v>152</v>
      </c>
      <c r="F281" s="2">
        <v>6</v>
      </c>
      <c r="G281" s="7">
        <v>452.01</v>
      </c>
      <c r="H281" s="7">
        <f t="shared" si="8"/>
        <v>68705.52</v>
      </c>
      <c r="I281" s="13">
        <f t="shared" si="9"/>
        <v>25.333333333333332</v>
      </c>
    </row>
    <row r="282" spans="1:9" hidden="1" x14ac:dyDescent="0.25">
      <c r="A282" s="2" t="s">
        <v>1852</v>
      </c>
      <c r="B282" s="2" t="s">
        <v>112</v>
      </c>
      <c r="C282" s="2" t="s">
        <v>56</v>
      </c>
      <c r="D282" s="2" t="s">
        <v>1327</v>
      </c>
      <c r="E282" s="2">
        <v>172</v>
      </c>
      <c r="F282" s="2">
        <v>61</v>
      </c>
      <c r="G282" s="7">
        <v>391.14</v>
      </c>
      <c r="H282" s="7">
        <f t="shared" si="8"/>
        <v>67276.08</v>
      </c>
      <c r="I282" s="13">
        <f t="shared" si="9"/>
        <v>2.819672131147541</v>
      </c>
    </row>
    <row r="283" spans="1:9" x14ac:dyDescent="0.25">
      <c r="A283" s="2" t="s">
        <v>1863</v>
      </c>
      <c r="B283" s="2" t="s">
        <v>26</v>
      </c>
      <c r="C283" s="2" t="s">
        <v>16</v>
      </c>
      <c r="D283" s="2" t="s">
        <v>1327</v>
      </c>
      <c r="E283" s="2">
        <v>137</v>
      </c>
      <c r="F283" s="2">
        <v>15</v>
      </c>
      <c r="G283" s="7">
        <v>488.38</v>
      </c>
      <c r="H283" s="7">
        <f t="shared" si="8"/>
        <v>66908.06</v>
      </c>
      <c r="I283" s="13">
        <f t="shared" si="9"/>
        <v>9.1333333333333329</v>
      </c>
    </row>
    <row r="284" spans="1:9" hidden="1" x14ac:dyDescent="0.25">
      <c r="A284" s="2" t="s">
        <v>2071</v>
      </c>
      <c r="B284" s="2" t="s">
        <v>40</v>
      </c>
      <c r="C284" s="2" t="s">
        <v>31</v>
      </c>
      <c r="D284" s="2" t="s">
        <v>1327</v>
      </c>
      <c r="E284" s="2">
        <v>203</v>
      </c>
      <c r="F284" s="2">
        <v>66</v>
      </c>
      <c r="G284" s="7">
        <v>329.48</v>
      </c>
      <c r="H284" s="7">
        <f t="shared" si="8"/>
        <v>66884.44</v>
      </c>
      <c r="I284" s="13">
        <f t="shared" si="9"/>
        <v>3.0757575757575757</v>
      </c>
    </row>
    <row r="285" spans="1:9" hidden="1" x14ac:dyDescent="0.25">
      <c r="A285" s="2" t="s">
        <v>1975</v>
      </c>
      <c r="B285" s="2" t="s">
        <v>52</v>
      </c>
      <c r="C285" s="2" t="s">
        <v>50</v>
      </c>
      <c r="D285" s="2" t="s">
        <v>1327</v>
      </c>
      <c r="E285" s="2">
        <v>257</v>
      </c>
      <c r="F285" s="2">
        <v>60</v>
      </c>
      <c r="G285" s="7">
        <v>254.95</v>
      </c>
      <c r="H285" s="7">
        <f t="shared" si="8"/>
        <v>65522.149999999994</v>
      </c>
      <c r="I285" s="13">
        <f t="shared" si="9"/>
        <v>4.2833333333333332</v>
      </c>
    </row>
    <row r="286" spans="1:9" hidden="1" x14ac:dyDescent="0.25">
      <c r="A286" s="2" t="s">
        <v>2002</v>
      </c>
      <c r="B286" s="2" t="s">
        <v>69</v>
      </c>
      <c r="C286" s="2" t="s">
        <v>31</v>
      </c>
      <c r="D286" s="2" t="s">
        <v>1327</v>
      </c>
      <c r="E286" s="2">
        <v>147</v>
      </c>
      <c r="F286" s="2">
        <v>13</v>
      </c>
      <c r="G286" s="7">
        <v>400.29</v>
      </c>
      <c r="H286" s="7">
        <f t="shared" si="8"/>
        <v>58842.630000000005</v>
      </c>
      <c r="I286" s="13">
        <f t="shared" si="9"/>
        <v>11.307692307692308</v>
      </c>
    </row>
    <row r="287" spans="1:9" x14ac:dyDescent="0.25">
      <c r="A287" s="2" t="s">
        <v>2031</v>
      </c>
      <c r="B287" s="2" t="s">
        <v>65</v>
      </c>
      <c r="C287" s="2" t="s">
        <v>16</v>
      </c>
      <c r="D287" s="2" t="s">
        <v>1327</v>
      </c>
      <c r="E287" s="2">
        <v>199</v>
      </c>
      <c r="F287" s="2">
        <v>6</v>
      </c>
      <c r="G287" s="7">
        <v>291.11</v>
      </c>
      <c r="H287" s="7">
        <f t="shared" si="8"/>
        <v>57930.89</v>
      </c>
      <c r="I287" s="13">
        <f t="shared" si="9"/>
        <v>33.166666666666664</v>
      </c>
    </row>
    <row r="288" spans="1:9" hidden="1" x14ac:dyDescent="0.25">
      <c r="A288" s="2" t="s">
        <v>1892</v>
      </c>
      <c r="B288" s="2" t="s">
        <v>77</v>
      </c>
      <c r="C288" s="2" t="s">
        <v>56</v>
      </c>
      <c r="D288" s="2" t="s">
        <v>1327</v>
      </c>
      <c r="E288" s="2">
        <v>132</v>
      </c>
      <c r="F288" s="2">
        <v>28</v>
      </c>
      <c r="G288" s="7">
        <v>415.61</v>
      </c>
      <c r="H288" s="7">
        <f t="shared" si="8"/>
        <v>54860.520000000004</v>
      </c>
      <c r="I288" s="13">
        <f t="shared" si="9"/>
        <v>4.7142857142857144</v>
      </c>
    </row>
    <row r="289" spans="1:9" hidden="1" x14ac:dyDescent="0.25">
      <c r="A289" s="2" t="s">
        <v>2063</v>
      </c>
      <c r="B289" s="2" t="s">
        <v>74</v>
      </c>
      <c r="C289" s="2" t="s">
        <v>56</v>
      </c>
      <c r="D289" s="2" t="s">
        <v>1327</v>
      </c>
      <c r="E289" s="2">
        <v>116</v>
      </c>
      <c r="F289" s="2">
        <v>7</v>
      </c>
      <c r="G289" s="7">
        <v>465.76</v>
      </c>
      <c r="H289" s="7">
        <f t="shared" si="8"/>
        <v>54028.159999999996</v>
      </c>
      <c r="I289" s="13">
        <f t="shared" si="9"/>
        <v>16.571428571428573</v>
      </c>
    </row>
    <row r="290" spans="1:9" hidden="1" x14ac:dyDescent="0.25">
      <c r="A290" s="2" t="s">
        <v>1881</v>
      </c>
      <c r="B290" s="2" t="s">
        <v>20</v>
      </c>
      <c r="C290" s="2" t="s">
        <v>21</v>
      </c>
      <c r="D290" s="2" t="s">
        <v>1327</v>
      </c>
      <c r="E290" s="2">
        <v>125</v>
      </c>
      <c r="F290" s="2">
        <v>94</v>
      </c>
      <c r="G290" s="7">
        <v>410.98</v>
      </c>
      <c r="H290" s="7">
        <f t="shared" si="8"/>
        <v>51372.5</v>
      </c>
      <c r="I290" s="13">
        <f t="shared" si="9"/>
        <v>1.3297872340425532</v>
      </c>
    </row>
    <row r="291" spans="1:9" hidden="1" x14ac:dyDescent="0.25">
      <c r="A291" s="2" t="s">
        <v>2121</v>
      </c>
      <c r="B291" s="2" t="s">
        <v>30</v>
      </c>
      <c r="C291" s="2" t="s">
        <v>31</v>
      </c>
      <c r="D291" s="2" t="s">
        <v>1327</v>
      </c>
      <c r="E291" s="2">
        <v>172</v>
      </c>
      <c r="F291" s="2">
        <v>48</v>
      </c>
      <c r="G291" s="7">
        <v>296.56</v>
      </c>
      <c r="H291" s="7">
        <f t="shared" si="8"/>
        <v>51008.32</v>
      </c>
      <c r="I291" s="13">
        <f t="shared" si="9"/>
        <v>3.5833333333333335</v>
      </c>
    </row>
    <row r="292" spans="1:9" hidden="1" x14ac:dyDescent="0.25">
      <c r="A292" s="2" t="s">
        <v>2058</v>
      </c>
      <c r="B292" s="2" t="s">
        <v>123</v>
      </c>
      <c r="C292" s="2" t="s">
        <v>50</v>
      </c>
      <c r="D292" s="2" t="s">
        <v>1327</v>
      </c>
      <c r="E292" s="2">
        <v>280</v>
      </c>
      <c r="F292" s="2">
        <v>98</v>
      </c>
      <c r="G292" s="7">
        <v>166.15</v>
      </c>
      <c r="H292" s="7">
        <f t="shared" si="8"/>
        <v>46522</v>
      </c>
      <c r="I292" s="13">
        <f t="shared" si="9"/>
        <v>2.8571428571428572</v>
      </c>
    </row>
    <row r="293" spans="1:9" x14ac:dyDescent="0.25">
      <c r="A293" s="2" t="s">
        <v>1952</v>
      </c>
      <c r="B293" s="2" t="s">
        <v>65</v>
      </c>
      <c r="C293" s="2" t="s">
        <v>16</v>
      </c>
      <c r="D293" s="2" t="s">
        <v>1327</v>
      </c>
      <c r="E293" s="2">
        <v>270</v>
      </c>
      <c r="F293" s="2">
        <v>10</v>
      </c>
      <c r="G293" s="7">
        <v>170.02</v>
      </c>
      <c r="H293" s="7">
        <f t="shared" si="8"/>
        <v>45905.4</v>
      </c>
      <c r="I293" s="13">
        <f t="shared" si="9"/>
        <v>27</v>
      </c>
    </row>
    <row r="294" spans="1:9" hidden="1" x14ac:dyDescent="0.25">
      <c r="A294" s="2" t="s">
        <v>2003</v>
      </c>
      <c r="B294" s="2" t="s">
        <v>55</v>
      </c>
      <c r="C294" s="2" t="s">
        <v>56</v>
      </c>
      <c r="D294" s="2" t="s">
        <v>1327</v>
      </c>
      <c r="E294" s="2">
        <v>111</v>
      </c>
      <c r="F294" s="2">
        <v>41</v>
      </c>
      <c r="G294" s="7">
        <v>413.08</v>
      </c>
      <c r="H294" s="7">
        <f t="shared" si="8"/>
        <v>45851.88</v>
      </c>
      <c r="I294" s="13">
        <f t="shared" si="9"/>
        <v>2.7073170731707319</v>
      </c>
    </row>
    <row r="295" spans="1:9" hidden="1" x14ac:dyDescent="0.25">
      <c r="A295" s="2" t="s">
        <v>2106</v>
      </c>
      <c r="B295" s="2" t="s">
        <v>36</v>
      </c>
      <c r="C295" s="2" t="s">
        <v>21</v>
      </c>
      <c r="D295" s="2" t="s">
        <v>1327</v>
      </c>
      <c r="E295" s="2">
        <v>110</v>
      </c>
      <c r="F295" s="2">
        <v>53</v>
      </c>
      <c r="G295" s="7">
        <v>415.7</v>
      </c>
      <c r="H295" s="7">
        <f t="shared" si="8"/>
        <v>45727</v>
      </c>
      <c r="I295" s="13">
        <f t="shared" si="9"/>
        <v>2.0754716981132075</v>
      </c>
    </row>
    <row r="296" spans="1:9" hidden="1" x14ac:dyDescent="0.25">
      <c r="A296" s="2" t="s">
        <v>2057</v>
      </c>
      <c r="B296" s="2" t="s">
        <v>74</v>
      </c>
      <c r="C296" s="2" t="s">
        <v>56</v>
      </c>
      <c r="D296" s="2" t="s">
        <v>1327</v>
      </c>
      <c r="E296" s="2">
        <v>102</v>
      </c>
      <c r="F296" s="2">
        <v>47</v>
      </c>
      <c r="G296" s="7">
        <v>444.24</v>
      </c>
      <c r="H296" s="7">
        <f t="shared" si="8"/>
        <v>45312.480000000003</v>
      </c>
      <c r="I296" s="13">
        <f t="shared" si="9"/>
        <v>2.1702127659574466</v>
      </c>
    </row>
    <row r="297" spans="1:9" x14ac:dyDescent="0.25">
      <c r="A297" s="2" t="s">
        <v>1885</v>
      </c>
      <c r="B297" s="2" t="s">
        <v>33</v>
      </c>
      <c r="C297" s="2" t="s">
        <v>16</v>
      </c>
      <c r="D297" s="2" t="s">
        <v>1327</v>
      </c>
      <c r="E297" s="2">
        <v>221</v>
      </c>
      <c r="F297" s="2">
        <v>30</v>
      </c>
      <c r="G297" s="7">
        <v>201.96</v>
      </c>
      <c r="H297" s="7">
        <f t="shared" si="8"/>
        <v>44633.16</v>
      </c>
      <c r="I297" s="13">
        <f t="shared" si="9"/>
        <v>7.3666666666666663</v>
      </c>
    </row>
    <row r="298" spans="1:9" hidden="1" x14ac:dyDescent="0.25">
      <c r="A298" s="2" t="s">
        <v>2074</v>
      </c>
      <c r="B298" s="2" t="s">
        <v>49</v>
      </c>
      <c r="C298" s="2" t="s">
        <v>50</v>
      </c>
      <c r="D298" s="2" t="s">
        <v>1327</v>
      </c>
      <c r="E298" s="2">
        <v>163</v>
      </c>
      <c r="F298" s="2">
        <v>94</v>
      </c>
      <c r="G298" s="7">
        <v>271.63</v>
      </c>
      <c r="H298" s="7">
        <f t="shared" si="8"/>
        <v>44275.69</v>
      </c>
      <c r="I298" s="13">
        <f t="shared" si="9"/>
        <v>1.7340425531914894</v>
      </c>
    </row>
    <row r="299" spans="1:9" x14ac:dyDescent="0.25">
      <c r="A299" s="2" t="s">
        <v>1890</v>
      </c>
      <c r="B299" s="2" t="s">
        <v>33</v>
      </c>
      <c r="C299" s="2" t="s">
        <v>16</v>
      </c>
      <c r="D299" s="2" t="s">
        <v>1327</v>
      </c>
      <c r="E299" s="2">
        <v>138</v>
      </c>
      <c r="F299" s="2">
        <v>37</v>
      </c>
      <c r="G299" s="7">
        <v>318.57</v>
      </c>
      <c r="H299" s="7">
        <f t="shared" si="8"/>
        <v>43962.659999999996</v>
      </c>
      <c r="I299" s="13">
        <f t="shared" si="9"/>
        <v>3.7297297297297298</v>
      </c>
    </row>
    <row r="300" spans="1:9" x14ac:dyDescent="0.25">
      <c r="A300" s="2" t="s">
        <v>1946</v>
      </c>
      <c r="B300" s="2" t="s">
        <v>65</v>
      </c>
      <c r="C300" s="2" t="s">
        <v>16</v>
      </c>
      <c r="D300" s="2" t="s">
        <v>1327</v>
      </c>
      <c r="E300" s="2">
        <v>142</v>
      </c>
      <c r="F300" s="2">
        <v>96</v>
      </c>
      <c r="G300" s="7">
        <v>304.74</v>
      </c>
      <c r="H300" s="7">
        <f t="shared" si="8"/>
        <v>43273.08</v>
      </c>
      <c r="I300" s="13">
        <f t="shared" si="9"/>
        <v>1.4791666666666667</v>
      </c>
    </row>
    <row r="301" spans="1:9" hidden="1" x14ac:dyDescent="0.25">
      <c r="A301" s="2" t="s">
        <v>1846</v>
      </c>
      <c r="B301" s="2" t="s">
        <v>123</v>
      </c>
      <c r="C301" s="2" t="s">
        <v>50</v>
      </c>
      <c r="D301" s="2" t="s">
        <v>1327</v>
      </c>
      <c r="E301" s="2">
        <v>114</v>
      </c>
      <c r="F301" s="2">
        <v>12</v>
      </c>
      <c r="G301" s="7">
        <v>374</v>
      </c>
      <c r="H301" s="7">
        <f t="shared" si="8"/>
        <v>42636</v>
      </c>
      <c r="I301" s="13">
        <f t="shared" si="9"/>
        <v>9.5</v>
      </c>
    </row>
    <row r="302" spans="1:9" x14ac:dyDescent="0.25">
      <c r="A302" s="2" t="s">
        <v>1861</v>
      </c>
      <c r="B302" s="2" t="s">
        <v>26</v>
      </c>
      <c r="C302" s="2" t="s">
        <v>16</v>
      </c>
      <c r="D302" s="2" t="s">
        <v>1327</v>
      </c>
      <c r="E302" s="2">
        <v>144</v>
      </c>
      <c r="F302" s="2">
        <v>25</v>
      </c>
      <c r="G302" s="7">
        <v>271.7</v>
      </c>
      <c r="H302" s="7">
        <f t="shared" si="8"/>
        <v>39124.799999999996</v>
      </c>
      <c r="I302" s="13">
        <f t="shared" si="9"/>
        <v>5.76</v>
      </c>
    </row>
    <row r="303" spans="1:9" hidden="1" x14ac:dyDescent="0.25">
      <c r="A303" s="2" t="s">
        <v>1798</v>
      </c>
      <c r="B303" s="2" t="s">
        <v>69</v>
      </c>
      <c r="C303" s="2" t="s">
        <v>31</v>
      </c>
      <c r="D303" s="2" t="s">
        <v>1327</v>
      </c>
      <c r="E303" s="2">
        <v>103</v>
      </c>
      <c r="F303" s="2">
        <v>73</v>
      </c>
      <c r="G303" s="7">
        <v>360.94</v>
      </c>
      <c r="H303" s="7">
        <f t="shared" si="8"/>
        <v>37176.82</v>
      </c>
      <c r="I303" s="13">
        <f t="shared" si="9"/>
        <v>1.4109589041095891</v>
      </c>
    </row>
    <row r="304" spans="1:9" x14ac:dyDescent="0.25">
      <c r="A304" s="2" t="s">
        <v>1880</v>
      </c>
      <c r="B304" s="2" t="s">
        <v>33</v>
      </c>
      <c r="C304" s="2" t="s">
        <v>16</v>
      </c>
      <c r="D304" s="2" t="s">
        <v>1327</v>
      </c>
      <c r="E304" s="2">
        <v>259</v>
      </c>
      <c r="F304" s="2">
        <v>62</v>
      </c>
      <c r="G304" s="7">
        <v>132.88999999999999</v>
      </c>
      <c r="H304" s="7">
        <f t="shared" si="8"/>
        <v>34418.509999999995</v>
      </c>
      <c r="I304" s="13">
        <f t="shared" si="9"/>
        <v>4.17741935483871</v>
      </c>
    </row>
    <row r="305" spans="1:9" x14ac:dyDescent="0.25">
      <c r="A305" s="2" t="s">
        <v>2004</v>
      </c>
      <c r="B305" s="2" t="s">
        <v>33</v>
      </c>
      <c r="C305" s="2" t="s">
        <v>16</v>
      </c>
      <c r="D305" s="2" t="s">
        <v>1327</v>
      </c>
      <c r="E305" s="2">
        <v>156</v>
      </c>
      <c r="F305" s="2">
        <v>5</v>
      </c>
      <c r="G305" s="7">
        <v>216.3</v>
      </c>
      <c r="H305" s="7">
        <f t="shared" si="8"/>
        <v>33742.800000000003</v>
      </c>
      <c r="I305" s="13">
        <f t="shared" si="9"/>
        <v>31.2</v>
      </c>
    </row>
    <row r="306" spans="1:9" hidden="1" x14ac:dyDescent="0.25">
      <c r="A306" s="2" t="s">
        <v>2112</v>
      </c>
      <c r="B306" s="2" t="s">
        <v>112</v>
      </c>
      <c r="C306" s="2" t="s">
        <v>56</v>
      </c>
      <c r="D306" s="2" t="s">
        <v>1327</v>
      </c>
      <c r="E306" s="2">
        <v>185</v>
      </c>
      <c r="F306" s="2">
        <v>15</v>
      </c>
      <c r="G306" s="7">
        <v>177.29</v>
      </c>
      <c r="H306" s="7">
        <f t="shared" si="8"/>
        <v>32798.65</v>
      </c>
      <c r="I306" s="13">
        <f t="shared" si="9"/>
        <v>12.333333333333334</v>
      </c>
    </row>
    <row r="307" spans="1:9" hidden="1" x14ac:dyDescent="0.25">
      <c r="A307" s="2" t="s">
        <v>1809</v>
      </c>
      <c r="B307" s="2" t="s">
        <v>49</v>
      </c>
      <c r="C307" s="2" t="s">
        <v>50</v>
      </c>
      <c r="D307" s="2" t="s">
        <v>1327</v>
      </c>
      <c r="E307" s="2">
        <v>68</v>
      </c>
      <c r="F307" s="2">
        <v>39</v>
      </c>
      <c r="G307" s="7">
        <v>436.94</v>
      </c>
      <c r="H307" s="7">
        <f t="shared" si="8"/>
        <v>29711.919999999998</v>
      </c>
      <c r="I307" s="13">
        <f t="shared" si="9"/>
        <v>1.7435897435897436</v>
      </c>
    </row>
    <row r="308" spans="1:9" hidden="1" x14ac:dyDescent="0.25">
      <c r="A308" s="2" t="s">
        <v>1875</v>
      </c>
      <c r="B308" s="2" t="s">
        <v>96</v>
      </c>
      <c r="C308" s="2" t="s">
        <v>50</v>
      </c>
      <c r="D308" s="2" t="s">
        <v>1327</v>
      </c>
      <c r="E308" s="2">
        <v>143</v>
      </c>
      <c r="F308" s="2">
        <v>78</v>
      </c>
      <c r="G308" s="7">
        <v>182.94</v>
      </c>
      <c r="H308" s="7">
        <f t="shared" si="8"/>
        <v>26160.42</v>
      </c>
      <c r="I308" s="13">
        <f t="shared" si="9"/>
        <v>1.8333333333333333</v>
      </c>
    </row>
    <row r="309" spans="1:9" x14ac:dyDescent="0.25">
      <c r="A309" s="2" t="s">
        <v>1791</v>
      </c>
      <c r="B309" s="2" t="s">
        <v>61</v>
      </c>
      <c r="C309" s="2" t="s">
        <v>16</v>
      </c>
      <c r="D309" s="2" t="s">
        <v>1327</v>
      </c>
      <c r="E309" s="2">
        <v>108</v>
      </c>
      <c r="F309" s="2">
        <v>41</v>
      </c>
      <c r="G309" s="7">
        <v>237.08</v>
      </c>
      <c r="H309" s="7">
        <f t="shared" si="8"/>
        <v>25604.640000000003</v>
      </c>
      <c r="I309" s="13">
        <f t="shared" si="9"/>
        <v>2.6341463414634148</v>
      </c>
    </row>
    <row r="310" spans="1:9" hidden="1" x14ac:dyDescent="0.25">
      <c r="A310" s="2" t="s">
        <v>1909</v>
      </c>
      <c r="B310" s="2" t="s">
        <v>67</v>
      </c>
      <c r="C310" s="2" t="s">
        <v>21</v>
      </c>
      <c r="D310" s="2" t="s">
        <v>1327</v>
      </c>
      <c r="E310" s="2">
        <v>58</v>
      </c>
      <c r="F310" s="2">
        <v>30</v>
      </c>
      <c r="G310" s="7">
        <v>428.46</v>
      </c>
      <c r="H310" s="7">
        <f t="shared" si="8"/>
        <v>24850.68</v>
      </c>
      <c r="I310" s="13">
        <f t="shared" si="9"/>
        <v>1.9333333333333333</v>
      </c>
    </row>
    <row r="311" spans="1:9" hidden="1" x14ac:dyDescent="0.25">
      <c r="A311" s="2" t="s">
        <v>2042</v>
      </c>
      <c r="B311" s="2" t="s">
        <v>36</v>
      </c>
      <c r="C311" s="2" t="s">
        <v>21</v>
      </c>
      <c r="D311" s="2" t="s">
        <v>1327</v>
      </c>
      <c r="E311" s="2">
        <v>58</v>
      </c>
      <c r="F311" s="2">
        <v>9</v>
      </c>
      <c r="G311" s="7">
        <v>423.71</v>
      </c>
      <c r="H311" s="7">
        <f t="shared" si="8"/>
        <v>24575.18</v>
      </c>
      <c r="I311" s="13">
        <f t="shared" si="9"/>
        <v>6.4444444444444446</v>
      </c>
    </row>
    <row r="312" spans="1:9" hidden="1" x14ac:dyDescent="0.25">
      <c r="A312" s="2" t="s">
        <v>1919</v>
      </c>
      <c r="B312" s="2" t="s">
        <v>55</v>
      </c>
      <c r="C312" s="2" t="s">
        <v>56</v>
      </c>
      <c r="D312" s="2" t="s">
        <v>1327</v>
      </c>
      <c r="E312" s="2">
        <v>78</v>
      </c>
      <c r="F312" s="2">
        <v>8</v>
      </c>
      <c r="G312" s="7">
        <v>309.81</v>
      </c>
      <c r="H312" s="7">
        <f t="shared" si="8"/>
        <v>24165.18</v>
      </c>
      <c r="I312" s="13">
        <f t="shared" si="9"/>
        <v>9.75</v>
      </c>
    </row>
    <row r="313" spans="1:9" hidden="1" x14ac:dyDescent="0.25">
      <c r="A313" s="2" t="s">
        <v>2021</v>
      </c>
      <c r="B313" s="2" t="s">
        <v>123</v>
      </c>
      <c r="C313" s="2" t="s">
        <v>50</v>
      </c>
      <c r="D313" s="2" t="s">
        <v>1327</v>
      </c>
      <c r="E313" s="2">
        <v>154</v>
      </c>
      <c r="F313" s="2">
        <v>85</v>
      </c>
      <c r="G313" s="7">
        <v>156.82</v>
      </c>
      <c r="H313" s="7">
        <f t="shared" si="8"/>
        <v>24150.28</v>
      </c>
      <c r="I313" s="13">
        <f t="shared" si="9"/>
        <v>1.8117647058823529</v>
      </c>
    </row>
    <row r="314" spans="1:9" hidden="1" x14ac:dyDescent="0.25">
      <c r="A314" s="2" t="s">
        <v>2061</v>
      </c>
      <c r="B314" s="2" t="s">
        <v>67</v>
      </c>
      <c r="C314" s="2" t="s">
        <v>21</v>
      </c>
      <c r="D314" s="2" t="s">
        <v>1327</v>
      </c>
      <c r="E314" s="2">
        <v>66</v>
      </c>
      <c r="F314" s="2">
        <v>39</v>
      </c>
      <c r="G314" s="7">
        <v>362.22</v>
      </c>
      <c r="H314" s="7">
        <f t="shared" si="8"/>
        <v>23906.52</v>
      </c>
      <c r="I314" s="13">
        <f t="shared" si="9"/>
        <v>1.6923076923076923</v>
      </c>
    </row>
    <row r="315" spans="1:9" hidden="1" x14ac:dyDescent="0.25">
      <c r="A315" s="2" t="s">
        <v>2115</v>
      </c>
      <c r="B315" s="2" t="s">
        <v>43</v>
      </c>
      <c r="C315" s="2" t="s">
        <v>21</v>
      </c>
      <c r="D315" s="2" t="s">
        <v>1327</v>
      </c>
      <c r="E315" s="2">
        <v>133</v>
      </c>
      <c r="F315" s="2">
        <v>41</v>
      </c>
      <c r="G315" s="7">
        <v>172.1</v>
      </c>
      <c r="H315" s="7">
        <f t="shared" si="8"/>
        <v>22889.3</v>
      </c>
      <c r="I315" s="13">
        <f t="shared" si="9"/>
        <v>3.2439024390243905</v>
      </c>
    </row>
    <row r="316" spans="1:9" hidden="1" x14ac:dyDescent="0.25">
      <c r="A316" s="2" t="s">
        <v>1795</v>
      </c>
      <c r="B316" s="2" t="s">
        <v>49</v>
      </c>
      <c r="C316" s="2" t="s">
        <v>50</v>
      </c>
      <c r="D316" s="2" t="s">
        <v>1327</v>
      </c>
      <c r="E316" s="2">
        <v>107</v>
      </c>
      <c r="F316" s="2">
        <v>79</v>
      </c>
      <c r="G316" s="7">
        <v>193.26</v>
      </c>
      <c r="H316" s="7">
        <f t="shared" si="8"/>
        <v>20678.82</v>
      </c>
      <c r="I316" s="13">
        <f t="shared" si="9"/>
        <v>1.3544303797468353</v>
      </c>
    </row>
    <row r="317" spans="1:9" hidden="1" x14ac:dyDescent="0.25">
      <c r="A317" s="2" t="s">
        <v>1807</v>
      </c>
      <c r="B317" s="2" t="s">
        <v>40</v>
      </c>
      <c r="C317" s="2" t="s">
        <v>31</v>
      </c>
      <c r="D317" s="2" t="s">
        <v>1327</v>
      </c>
      <c r="E317" s="2">
        <v>151</v>
      </c>
      <c r="F317" s="2">
        <v>95</v>
      </c>
      <c r="G317" s="7">
        <v>135.72</v>
      </c>
      <c r="H317" s="7">
        <f t="shared" si="8"/>
        <v>20493.72</v>
      </c>
      <c r="I317" s="13">
        <f t="shared" si="9"/>
        <v>1.5894736842105264</v>
      </c>
    </row>
    <row r="318" spans="1:9" hidden="1" x14ac:dyDescent="0.25">
      <c r="A318" s="2" t="s">
        <v>2082</v>
      </c>
      <c r="B318" s="2" t="s">
        <v>52</v>
      </c>
      <c r="C318" s="2" t="s">
        <v>50</v>
      </c>
      <c r="D318" s="2" t="s">
        <v>1327</v>
      </c>
      <c r="E318" s="2">
        <v>94</v>
      </c>
      <c r="F318" s="2">
        <v>89</v>
      </c>
      <c r="G318" s="7">
        <v>216.68</v>
      </c>
      <c r="H318" s="7">
        <f t="shared" si="8"/>
        <v>20367.920000000002</v>
      </c>
      <c r="I318" s="13">
        <f t="shared" si="9"/>
        <v>1.0561797752808988</v>
      </c>
    </row>
    <row r="319" spans="1:9" x14ac:dyDescent="0.25">
      <c r="A319" s="2" t="s">
        <v>1873</v>
      </c>
      <c r="B319" s="2" t="s">
        <v>15</v>
      </c>
      <c r="C319" s="2" t="s">
        <v>16</v>
      </c>
      <c r="D319" s="2" t="s">
        <v>1327</v>
      </c>
      <c r="E319" s="2">
        <v>73</v>
      </c>
      <c r="F319" s="2">
        <v>44</v>
      </c>
      <c r="G319" s="7">
        <v>274.47000000000003</v>
      </c>
      <c r="H319" s="7">
        <f t="shared" si="8"/>
        <v>20036.310000000001</v>
      </c>
      <c r="I319" s="13">
        <f t="shared" si="9"/>
        <v>1.6590909090909092</v>
      </c>
    </row>
    <row r="320" spans="1:9" hidden="1" x14ac:dyDescent="0.25">
      <c r="A320" s="2" t="s">
        <v>1907</v>
      </c>
      <c r="B320" s="2" t="s">
        <v>67</v>
      </c>
      <c r="C320" s="2" t="s">
        <v>21</v>
      </c>
      <c r="D320" s="2" t="s">
        <v>1327</v>
      </c>
      <c r="E320" s="2">
        <v>53</v>
      </c>
      <c r="F320" s="2">
        <v>68</v>
      </c>
      <c r="G320" s="7">
        <v>375.47</v>
      </c>
      <c r="H320" s="7">
        <f t="shared" si="8"/>
        <v>19899.91</v>
      </c>
      <c r="I320" s="13">
        <f t="shared" si="9"/>
        <v>0.77941176470588236</v>
      </c>
    </row>
    <row r="321" spans="1:9" x14ac:dyDescent="0.25">
      <c r="A321" s="2" t="s">
        <v>1843</v>
      </c>
      <c r="B321" s="2" t="s">
        <v>26</v>
      </c>
      <c r="C321" s="2" t="s">
        <v>16</v>
      </c>
      <c r="D321" s="2" t="s">
        <v>1327</v>
      </c>
      <c r="E321" s="2">
        <v>185</v>
      </c>
      <c r="F321" s="2">
        <v>5</v>
      </c>
      <c r="G321" s="7">
        <v>103.23</v>
      </c>
      <c r="H321" s="7">
        <f t="shared" si="8"/>
        <v>19097.55</v>
      </c>
      <c r="I321" s="13">
        <f t="shared" si="9"/>
        <v>37</v>
      </c>
    </row>
    <row r="322" spans="1:9" hidden="1" x14ac:dyDescent="0.25">
      <c r="A322" s="2" t="s">
        <v>1930</v>
      </c>
      <c r="B322" s="2" t="s">
        <v>49</v>
      </c>
      <c r="C322" s="2" t="s">
        <v>50</v>
      </c>
      <c r="D322" s="2" t="s">
        <v>1327</v>
      </c>
      <c r="E322" s="2">
        <v>62</v>
      </c>
      <c r="F322" s="2">
        <v>29</v>
      </c>
      <c r="G322" s="7">
        <v>303.83999999999997</v>
      </c>
      <c r="H322" s="7">
        <f t="shared" si="8"/>
        <v>18838.079999999998</v>
      </c>
      <c r="I322" s="13">
        <f t="shared" si="9"/>
        <v>2.1379310344827585</v>
      </c>
    </row>
    <row r="323" spans="1:9" hidden="1" x14ac:dyDescent="0.25">
      <c r="A323" s="2" t="s">
        <v>1813</v>
      </c>
      <c r="B323" s="2" t="s">
        <v>40</v>
      </c>
      <c r="C323" s="2" t="s">
        <v>31</v>
      </c>
      <c r="D323" s="2" t="s">
        <v>1327</v>
      </c>
      <c r="E323" s="2">
        <v>143</v>
      </c>
      <c r="F323" s="2">
        <v>27</v>
      </c>
      <c r="G323" s="7">
        <v>129.47999999999999</v>
      </c>
      <c r="H323" s="7">
        <f t="shared" si="8"/>
        <v>18515.64</v>
      </c>
      <c r="I323" s="13">
        <f t="shared" si="9"/>
        <v>5.2962962962962967</v>
      </c>
    </row>
    <row r="324" spans="1:9" x14ac:dyDescent="0.25">
      <c r="A324" s="2" t="s">
        <v>1823</v>
      </c>
      <c r="B324" s="2" t="s">
        <v>26</v>
      </c>
      <c r="C324" s="2" t="s">
        <v>16</v>
      </c>
      <c r="D324" s="2" t="s">
        <v>1327</v>
      </c>
      <c r="E324" s="2">
        <v>127</v>
      </c>
      <c r="F324" s="2">
        <v>15</v>
      </c>
      <c r="G324" s="7">
        <v>135.29</v>
      </c>
      <c r="H324" s="7">
        <f t="shared" si="8"/>
        <v>17181.829999999998</v>
      </c>
      <c r="I324" s="13">
        <f t="shared" si="9"/>
        <v>8.4666666666666668</v>
      </c>
    </row>
    <row r="325" spans="1:9" hidden="1" x14ac:dyDescent="0.25">
      <c r="A325" s="2" t="s">
        <v>2059</v>
      </c>
      <c r="B325" s="2" t="s">
        <v>52</v>
      </c>
      <c r="C325" s="2" t="s">
        <v>50</v>
      </c>
      <c r="D325" s="2" t="s">
        <v>1327</v>
      </c>
      <c r="E325" s="2">
        <v>37</v>
      </c>
      <c r="F325" s="2">
        <v>77</v>
      </c>
      <c r="G325" s="7">
        <v>452.35</v>
      </c>
      <c r="H325" s="7">
        <f t="shared" ref="H325:H388" si="10">E325*G325</f>
        <v>16736.95</v>
      </c>
      <c r="I325" s="13">
        <f t="shared" ref="I325:I354" si="11">IFERROR(E325/F325,"Seuil non defini")</f>
        <v>0.48051948051948051</v>
      </c>
    </row>
    <row r="326" spans="1:9" hidden="1" x14ac:dyDescent="0.25">
      <c r="A326" s="2" t="s">
        <v>2131</v>
      </c>
      <c r="B326" s="2" t="s">
        <v>20</v>
      </c>
      <c r="C326" s="2" t="s">
        <v>21</v>
      </c>
      <c r="D326" s="2" t="s">
        <v>1327</v>
      </c>
      <c r="E326" s="2">
        <v>118</v>
      </c>
      <c r="F326" s="2">
        <v>90</v>
      </c>
      <c r="G326" s="7">
        <v>140.76</v>
      </c>
      <c r="H326" s="7">
        <f t="shared" si="10"/>
        <v>16609.68</v>
      </c>
      <c r="I326" s="13">
        <f t="shared" si="11"/>
        <v>1.3111111111111111</v>
      </c>
    </row>
    <row r="327" spans="1:9" hidden="1" x14ac:dyDescent="0.25">
      <c r="A327" s="2" t="s">
        <v>1790</v>
      </c>
      <c r="B327" s="2" t="s">
        <v>77</v>
      </c>
      <c r="C327" s="2" t="s">
        <v>56</v>
      </c>
      <c r="D327" s="2" t="s">
        <v>1327</v>
      </c>
      <c r="E327" s="2">
        <v>163</v>
      </c>
      <c r="F327" s="2">
        <v>11</v>
      </c>
      <c r="G327" s="7">
        <v>92.51</v>
      </c>
      <c r="H327" s="7">
        <f t="shared" si="10"/>
        <v>15079.130000000001</v>
      </c>
      <c r="I327" s="13">
        <f t="shared" si="11"/>
        <v>14.818181818181818</v>
      </c>
    </row>
    <row r="328" spans="1:9" hidden="1" x14ac:dyDescent="0.25">
      <c r="A328" s="2" t="s">
        <v>1978</v>
      </c>
      <c r="B328" s="2" t="s">
        <v>67</v>
      </c>
      <c r="C328" s="2" t="s">
        <v>21</v>
      </c>
      <c r="D328" s="2" t="s">
        <v>1327</v>
      </c>
      <c r="E328" s="2">
        <v>265</v>
      </c>
      <c r="F328" s="2">
        <v>60</v>
      </c>
      <c r="G328" s="7">
        <v>56.37</v>
      </c>
      <c r="H328" s="7">
        <f t="shared" si="10"/>
        <v>14938.05</v>
      </c>
      <c r="I328" s="13">
        <f t="shared" si="11"/>
        <v>4.416666666666667</v>
      </c>
    </row>
    <row r="329" spans="1:9" hidden="1" x14ac:dyDescent="0.25">
      <c r="A329" s="2" t="s">
        <v>1821</v>
      </c>
      <c r="B329" s="2" t="s">
        <v>112</v>
      </c>
      <c r="C329" s="2" t="s">
        <v>56</v>
      </c>
      <c r="D329" s="2" t="s">
        <v>1327</v>
      </c>
      <c r="E329" s="2">
        <v>51</v>
      </c>
      <c r="F329" s="2">
        <v>97</v>
      </c>
      <c r="G329" s="7">
        <v>264.33999999999997</v>
      </c>
      <c r="H329" s="7">
        <f t="shared" si="10"/>
        <v>13481.339999999998</v>
      </c>
      <c r="I329" s="13">
        <f t="shared" si="11"/>
        <v>0.52577319587628868</v>
      </c>
    </row>
    <row r="330" spans="1:9" hidden="1" x14ac:dyDescent="0.25">
      <c r="A330" s="2" t="s">
        <v>1959</v>
      </c>
      <c r="B330" s="2" t="s">
        <v>20</v>
      </c>
      <c r="C330" s="2" t="s">
        <v>21</v>
      </c>
      <c r="D330" s="2" t="s">
        <v>1327</v>
      </c>
      <c r="E330" s="2">
        <v>26</v>
      </c>
      <c r="F330" s="2">
        <v>38</v>
      </c>
      <c r="G330" s="7">
        <v>441.89</v>
      </c>
      <c r="H330" s="7">
        <f t="shared" si="10"/>
        <v>11489.14</v>
      </c>
      <c r="I330" s="13">
        <f t="shared" si="11"/>
        <v>0.68421052631578949</v>
      </c>
    </row>
    <row r="331" spans="1:9" hidden="1" x14ac:dyDescent="0.25">
      <c r="A331" s="2" t="s">
        <v>1918</v>
      </c>
      <c r="B331" s="2" t="s">
        <v>40</v>
      </c>
      <c r="C331" s="2" t="s">
        <v>31</v>
      </c>
      <c r="D331" s="2" t="s">
        <v>1327</v>
      </c>
      <c r="E331" s="2">
        <v>165</v>
      </c>
      <c r="F331" s="2">
        <v>31</v>
      </c>
      <c r="G331" s="7">
        <v>48.44</v>
      </c>
      <c r="H331" s="7">
        <f t="shared" si="10"/>
        <v>7992.5999999999995</v>
      </c>
      <c r="I331" s="13">
        <f t="shared" si="11"/>
        <v>5.32258064516129</v>
      </c>
    </row>
    <row r="332" spans="1:9" x14ac:dyDescent="0.25">
      <c r="A332" s="2" t="s">
        <v>2006</v>
      </c>
      <c r="B332" s="2" t="s">
        <v>61</v>
      </c>
      <c r="C332" s="2" t="s">
        <v>16</v>
      </c>
      <c r="D332" s="2" t="s">
        <v>1327</v>
      </c>
      <c r="E332" s="2">
        <v>73</v>
      </c>
      <c r="F332" s="2">
        <v>98</v>
      </c>
      <c r="G332" s="7">
        <v>99.97</v>
      </c>
      <c r="H332" s="7">
        <f t="shared" si="10"/>
        <v>7297.8099999999995</v>
      </c>
      <c r="I332" s="13">
        <f t="shared" si="11"/>
        <v>0.74489795918367352</v>
      </c>
    </row>
    <row r="333" spans="1:9" hidden="1" x14ac:dyDescent="0.25">
      <c r="A333" s="2" t="s">
        <v>2023</v>
      </c>
      <c r="B333" s="2" t="s">
        <v>20</v>
      </c>
      <c r="C333" s="2" t="s">
        <v>21</v>
      </c>
      <c r="D333" s="2" t="s">
        <v>1327</v>
      </c>
      <c r="E333" s="2">
        <v>126</v>
      </c>
      <c r="F333" s="2">
        <v>31</v>
      </c>
      <c r="G333" s="7">
        <v>53.6</v>
      </c>
      <c r="H333" s="7">
        <f t="shared" si="10"/>
        <v>6753.6</v>
      </c>
      <c r="I333" s="13">
        <f t="shared" si="11"/>
        <v>4.064516129032258</v>
      </c>
    </row>
    <row r="334" spans="1:9" hidden="1" x14ac:dyDescent="0.25">
      <c r="A334" s="2" t="s">
        <v>2055</v>
      </c>
      <c r="B334" s="2" t="s">
        <v>36</v>
      </c>
      <c r="C334" s="2" t="s">
        <v>21</v>
      </c>
      <c r="D334" s="2" t="s">
        <v>1327</v>
      </c>
      <c r="E334" s="2">
        <v>204</v>
      </c>
      <c r="F334" s="2">
        <v>84</v>
      </c>
      <c r="G334" s="7">
        <v>30.21</v>
      </c>
      <c r="H334" s="7">
        <f t="shared" si="10"/>
        <v>6162.84</v>
      </c>
      <c r="I334" s="13">
        <f t="shared" si="11"/>
        <v>2.4285714285714284</v>
      </c>
    </row>
    <row r="335" spans="1:9" hidden="1" x14ac:dyDescent="0.25">
      <c r="A335" s="2" t="s">
        <v>1857</v>
      </c>
      <c r="B335" s="2" t="s">
        <v>52</v>
      </c>
      <c r="C335" s="2" t="s">
        <v>50</v>
      </c>
      <c r="D335" s="2" t="s">
        <v>1327</v>
      </c>
      <c r="E335" s="2">
        <v>28</v>
      </c>
      <c r="F335" s="2">
        <v>33</v>
      </c>
      <c r="G335" s="7">
        <v>197.36</v>
      </c>
      <c r="H335" s="7">
        <f t="shared" si="10"/>
        <v>5526.08</v>
      </c>
      <c r="I335" s="13">
        <f t="shared" si="11"/>
        <v>0.84848484848484851</v>
      </c>
    </row>
    <row r="336" spans="1:9" x14ac:dyDescent="0.25">
      <c r="A336" s="2" t="s">
        <v>1923</v>
      </c>
      <c r="B336" s="2" t="s">
        <v>26</v>
      </c>
      <c r="C336" s="2" t="s">
        <v>16</v>
      </c>
      <c r="D336" s="2" t="s">
        <v>1327</v>
      </c>
      <c r="E336" s="2">
        <v>11</v>
      </c>
      <c r="F336" s="2">
        <v>86</v>
      </c>
      <c r="G336" s="7">
        <v>492.43</v>
      </c>
      <c r="H336" s="7">
        <f t="shared" si="10"/>
        <v>5416.7300000000005</v>
      </c>
      <c r="I336" s="13">
        <f t="shared" si="11"/>
        <v>0.12790697674418605</v>
      </c>
    </row>
    <row r="337" spans="1:9" hidden="1" x14ac:dyDescent="0.25">
      <c r="A337" s="2" t="s">
        <v>1830</v>
      </c>
      <c r="B337" s="2" t="s">
        <v>52</v>
      </c>
      <c r="C337" s="2" t="s">
        <v>50</v>
      </c>
      <c r="D337" s="2" t="s">
        <v>1327</v>
      </c>
      <c r="E337" s="2">
        <v>57</v>
      </c>
      <c r="F337" s="2">
        <v>67</v>
      </c>
      <c r="G337" s="7">
        <v>86.44</v>
      </c>
      <c r="H337" s="7">
        <f t="shared" si="10"/>
        <v>4927.08</v>
      </c>
      <c r="I337" s="13">
        <f t="shared" si="11"/>
        <v>0.85074626865671643</v>
      </c>
    </row>
    <row r="338" spans="1:9" hidden="1" x14ac:dyDescent="0.25">
      <c r="A338" s="2" t="s">
        <v>1986</v>
      </c>
      <c r="B338" s="2" t="s">
        <v>74</v>
      </c>
      <c r="C338" s="2" t="s">
        <v>56</v>
      </c>
      <c r="D338" s="2" t="s">
        <v>1327</v>
      </c>
      <c r="E338" s="2">
        <v>10</v>
      </c>
      <c r="F338" s="2">
        <v>27</v>
      </c>
      <c r="G338" s="7">
        <v>487.24</v>
      </c>
      <c r="H338" s="7">
        <f t="shared" si="10"/>
        <v>4872.3999999999996</v>
      </c>
      <c r="I338" s="13">
        <f t="shared" si="11"/>
        <v>0.37037037037037035</v>
      </c>
    </row>
    <row r="339" spans="1:9" hidden="1" x14ac:dyDescent="0.25">
      <c r="A339" s="2" t="s">
        <v>2026</v>
      </c>
      <c r="B339" s="2" t="s">
        <v>67</v>
      </c>
      <c r="C339" s="2" t="s">
        <v>21</v>
      </c>
      <c r="D339" s="2" t="s">
        <v>1327</v>
      </c>
      <c r="E339" s="2">
        <v>63</v>
      </c>
      <c r="F339" s="2">
        <v>60</v>
      </c>
      <c r="G339" s="7">
        <v>74.83</v>
      </c>
      <c r="H339" s="7">
        <f t="shared" si="10"/>
        <v>4714.29</v>
      </c>
      <c r="I339" s="13">
        <f t="shared" si="11"/>
        <v>1.05</v>
      </c>
    </row>
    <row r="340" spans="1:9" hidden="1" x14ac:dyDescent="0.25">
      <c r="A340" s="2" t="s">
        <v>1979</v>
      </c>
      <c r="B340" s="2" t="s">
        <v>96</v>
      </c>
      <c r="C340" s="2" t="s">
        <v>50</v>
      </c>
      <c r="D340" s="2" t="s">
        <v>1327</v>
      </c>
      <c r="E340" s="2">
        <v>112</v>
      </c>
      <c r="F340" s="2">
        <v>19</v>
      </c>
      <c r="G340" s="7">
        <v>28.46</v>
      </c>
      <c r="H340" s="7">
        <f t="shared" si="10"/>
        <v>3187.52</v>
      </c>
      <c r="I340" s="13">
        <f t="shared" si="11"/>
        <v>5.8947368421052628</v>
      </c>
    </row>
    <row r="341" spans="1:9" hidden="1" x14ac:dyDescent="0.25">
      <c r="A341" s="2" t="s">
        <v>1808</v>
      </c>
      <c r="B341" s="2" t="s">
        <v>123</v>
      </c>
      <c r="C341" s="2" t="s">
        <v>50</v>
      </c>
      <c r="D341" s="2" t="s">
        <v>1327</v>
      </c>
      <c r="E341" s="2">
        <v>23</v>
      </c>
      <c r="F341" s="2">
        <v>73</v>
      </c>
      <c r="G341" s="7">
        <v>120.63</v>
      </c>
      <c r="H341" s="7">
        <f t="shared" si="10"/>
        <v>2774.49</v>
      </c>
      <c r="I341" s="13">
        <f t="shared" si="11"/>
        <v>0.31506849315068491</v>
      </c>
    </row>
    <row r="342" spans="1:9" hidden="1" x14ac:dyDescent="0.25">
      <c r="A342" s="2" t="s">
        <v>1849</v>
      </c>
      <c r="B342" s="2" t="s">
        <v>43</v>
      </c>
      <c r="C342" s="2" t="s">
        <v>21</v>
      </c>
      <c r="D342" s="2" t="s">
        <v>1327</v>
      </c>
      <c r="E342" s="2">
        <v>15</v>
      </c>
      <c r="F342" s="2">
        <v>23</v>
      </c>
      <c r="G342" s="7">
        <v>183.89</v>
      </c>
      <c r="H342" s="7">
        <f t="shared" si="10"/>
        <v>2758.35</v>
      </c>
      <c r="I342" s="13">
        <f t="shared" si="11"/>
        <v>0.65217391304347827</v>
      </c>
    </row>
    <row r="343" spans="1:9" hidden="1" x14ac:dyDescent="0.25">
      <c r="A343" s="2" t="s">
        <v>1853</v>
      </c>
      <c r="B343" s="2" t="s">
        <v>30</v>
      </c>
      <c r="C343" s="2" t="s">
        <v>31</v>
      </c>
      <c r="D343" s="2" t="s">
        <v>1327</v>
      </c>
      <c r="E343" s="2">
        <v>79</v>
      </c>
      <c r="F343" s="2">
        <v>0</v>
      </c>
      <c r="G343" s="7">
        <v>31.88</v>
      </c>
      <c r="H343" s="7">
        <f t="shared" si="10"/>
        <v>2518.52</v>
      </c>
      <c r="I343" s="13" t="str">
        <f t="shared" si="11"/>
        <v>Seuil non defini</v>
      </c>
    </row>
    <row r="344" spans="1:9" hidden="1" x14ac:dyDescent="0.25">
      <c r="A344" s="2" t="s">
        <v>2092</v>
      </c>
      <c r="B344" s="2" t="s">
        <v>40</v>
      </c>
      <c r="C344" s="2" t="s">
        <v>31</v>
      </c>
      <c r="D344" s="2" t="s">
        <v>1327</v>
      </c>
      <c r="E344" s="2">
        <v>227</v>
      </c>
      <c r="F344" s="2">
        <v>64</v>
      </c>
      <c r="G344" s="7">
        <v>10.6</v>
      </c>
      <c r="H344" s="7">
        <f t="shared" si="10"/>
        <v>2406.1999999999998</v>
      </c>
      <c r="I344" s="13">
        <f t="shared" si="11"/>
        <v>3.546875</v>
      </c>
    </row>
    <row r="345" spans="1:9" hidden="1" x14ac:dyDescent="0.25">
      <c r="A345" s="2" t="s">
        <v>1822</v>
      </c>
      <c r="B345" s="2" t="s">
        <v>20</v>
      </c>
      <c r="C345" s="2" t="s">
        <v>21</v>
      </c>
      <c r="D345" s="2" t="s">
        <v>1327</v>
      </c>
      <c r="E345" s="2">
        <v>193</v>
      </c>
      <c r="F345" s="2">
        <v>54</v>
      </c>
      <c r="G345" s="7">
        <v>12.32</v>
      </c>
      <c r="H345" s="7">
        <f t="shared" si="10"/>
        <v>2377.7600000000002</v>
      </c>
      <c r="I345" s="13">
        <f t="shared" si="11"/>
        <v>3.574074074074074</v>
      </c>
    </row>
    <row r="346" spans="1:9" hidden="1" x14ac:dyDescent="0.25">
      <c r="A346" s="2" t="s">
        <v>1906</v>
      </c>
      <c r="B346" s="2" t="s">
        <v>30</v>
      </c>
      <c r="C346" s="2" t="s">
        <v>31</v>
      </c>
      <c r="D346" s="2" t="s">
        <v>1327</v>
      </c>
      <c r="E346" s="2">
        <v>44</v>
      </c>
      <c r="F346" s="2">
        <v>18</v>
      </c>
      <c r="G346" s="7">
        <v>46.64</v>
      </c>
      <c r="H346" s="7">
        <f t="shared" si="10"/>
        <v>2052.16</v>
      </c>
      <c r="I346" s="13">
        <f t="shared" si="11"/>
        <v>2.4444444444444446</v>
      </c>
    </row>
    <row r="347" spans="1:9" hidden="1" x14ac:dyDescent="0.25">
      <c r="A347" s="2" t="s">
        <v>2016</v>
      </c>
      <c r="B347" s="2" t="s">
        <v>49</v>
      </c>
      <c r="C347" s="2" t="s">
        <v>50</v>
      </c>
      <c r="D347" s="2" t="s">
        <v>1327</v>
      </c>
      <c r="E347" s="2">
        <v>27</v>
      </c>
      <c r="F347" s="2">
        <v>55</v>
      </c>
      <c r="G347" s="7">
        <v>64.72</v>
      </c>
      <c r="H347" s="7">
        <f t="shared" si="10"/>
        <v>1747.44</v>
      </c>
      <c r="I347" s="13">
        <f t="shared" si="11"/>
        <v>0.49090909090909091</v>
      </c>
    </row>
    <row r="348" spans="1:9" hidden="1" x14ac:dyDescent="0.25">
      <c r="A348" s="2" t="s">
        <v>1950</v>
      </c>
      <c r="B348" s="2" t="s">
        <v>67</v>
      </c>
      <c r="C348" s="2" t="s">
        <v>21</v>
      </c>
      <c r="D348" s="2" t="s">
        <v>1327</v>
      </c>
      <c r="E348" s="2">
        <v>121</v>
      </c>
      <c r="F348" s="2">
        <v>78</v>
      </c>
      <c r="G348" s="7">
        <v>12.59</v>
      </c>
      <c r="H348" s="7">
        <f t="shared" si="10"/>
        <v>1523.3899999999999</v>
      </c>
      <c r="I348" s="13">
        <f t="shared" si="11"/>
        <v>1.5512820512820513</v>
      </c>
    </row>
    <row r="349" spans="1:9" x14ac:dyDescent="0.25">
      <c r="A349" s="2" t="s">
        <v>2039</v>
      </c>
      <c r="B349" s="2" t="s">
        <v>15</v>
      </c>
      <c r="C349" s="2" t="s">
        <v>16</v>
      </c>
      <c r="D349" s="2" t="s">
        <v>1327</v>
      </c>
      <c r="E349" s="2">
        <v>15</v>
      </c>
      <c r="F349" s="2">
        <v>98</v>
      </c>
      <c r="G349" s="7">
        <v>81.27</v>
      </c>
      <c r="H349" s="7">
        <f t="shared" si="10"/>
        <v>1219.05</v>
      </c>
      <c r="I349" s="13">
        <f t="shared" si="11"/>
        <v>0.15306122448979592</v>
      </c>
    </row>
    <row r="350" spans="1:9" hidden="1" x14ac:dyDescent="0.25">
      <c r="A350" s="2" t="s">
        <v>1943</v>
      </c>
      <c r="B350" s="2" t="s">
        <v>40</v>
      </c>
      <c r="C350" s="2" t="s">
        <v>31</v>
      </c>
      <c r="D350" s="2" t="s">
        <v>1327</v>
      </c>
      <c r="E350" s="2">
        <v>160</v>
      </c>
      <c r="F350" s="2">
        <v>20</v>
      </c>
      <c r="G350" s="7">
        <v>6.8</v>
      </c>
      <c r="H350" s="7">
        <f t="shared" si="10"/>
        <v>1088</v>
      </c>
      <c r="I350" s="13">
        <f t="shared" si="11"/>
        <v>8</v>
      </c>
    </row>
    <row r="351" spans="1:9" hidden="1" x14ac:dyDescent="0.25">
      <c r="A351" s="2" t="s">
        <v>2068</v>
      </c>
      <c r="B351" s="2" t="s">
        <v>96</v>
      </c>
      <c r="C351" s="2" t="s">
        <v>50</v>
      </c>
      <c r="D351" s="2" t="s">
        <v>1327</v>
      </c>
      <c r="E351" s="2">
        <v>5</v>
      </c>
      <c r="F351" s="2">
        <v>34</v>
      </c>
      <c r="G351" s="7">
        <v>207.71</v>
      </c>
      <c r="H351" s="7">
        <f t="shared" si="10"/>
        <v>1038.55</v>
      </c>
      <c r="I351" s="13">
        <f t="shared" si="11"/>
        <v>0.14705882352941177</v>
      </c>
    </row>
    <row r="352" spans="1:9" hidden="1" x14ac:dyDescent="0.25">
      <c r="A352" s="2" t="s">
        <v>2017</v>
      </c>
      <c r="B352" s="2" t="s">
        <v>112</v>
      </c>
      <c r="C352" s="2" t="s">
        <v>56</v>
      </c>
      <c r="D352" s="2" t="s">
        <v>1327</v>
      </c>
      <c r="E352" s="2">
        <v>27</v>
      </c>
      <c r="F352" s="2">
        <v>15</v>
      </c>
      <c r="G352" s="7">
        <v>29.24</v>
      </c>
      <c r="H352" s="7">
        <f t="shared" si="10"/>
        <v>789.4799999999999</v>
      </c>
      <c r="I352" s="13">
        <f t="shared" si="11"/>
        <v>1.8</v>
      </c>
    </row>
    <row r="353" spans="1:9" hidden="1" x14ac:dyDescent="0.25">
      <c r="A353" s="2" t="s">
        <v>2046</v>
      </c>
      <c r="B353" s="2" t="s">
        <v>77</v>
      </c>
      <c r="C353" s="2" t="s">
        <v>56</v>
      </c>
      <c r="D353" s="2" t="s">
        <v>1327</v>
      </c>
      <c r="E353" s="2">
        <v>44</v>
      </c>
      <c r="F353" s="2">
        <v>79</v>
      </c>
      <c r="G353" s="7">
        <v>14.07</v>
      </c>
      <c r="H353" s="7">
        <f t="shared" si="10"/>
        <v>619.08000000000004</v>
      </c>
      <c r="I353" s="13">
        <f t="shared" si="11"/>
        <v>0.55696202531645567</v>
      </c>
    </row>
    <row r="354" spans="1:9" hidden="1" x14ac:dyDescent="0.25">
      <c r="A354" s="2" t="s">
        <v>2022</v>
      </c>
      <c r="B354" s="2" t="s">
        <v>77</v>
      </c>
      <c r="C354" s="2" t="s">
        <v>56</v>
      </c>
      <c r="D354" s="2" t="s">
        <v>1327</v>
      </c>
      <c r="E354" s="2">
        <v>58</v>
      </c>
      <c r="F354" s="2">
        <v>13</v>
      </c>
      <c r="G354" s="7">
        <v>2.02</v>
      </c>
      <c r="H354" s="7">
        <f t="shared" si="10"/>
        <v>117.16</v>
      </c>
      <c r="I354" s="13">
        <f t="shared" si="11"/>
        <v>4.4615384615384617</v>
      </c>
    </row>
    <row r="356" spans="1:9" x14ac:dyDescent="0.25">
      <c r="A356" s="23" t="s">
        <v>2136</v>
      </c>
      <c r="B356" s="23"/>
      <c r="C356" s="23"/>
      <c r="D356" s="23"/>
      <c r="E356" s="23"/>
      <c r="F356" s="23"/>
      <c r="G356" s="23"/>
      <c r="H356" s="23"/>
      <c r="I356" s="23"/>
    </row>
    <row r="357" spans="1:9" x14ac:dyDescent="0.25">
      <c r="A357" s="24" t="s">
        <v>2137</v>
      </c>
      <c r="B357" s="24"/>
      <c r="C357" s="24"/>
      <c r="D357" s="24"/>
      <c r="E357" s="24"/>
      <c r="F357" s="24"/>
      <c r="G357" s="12">
        <f>COUNTIFS($E$5:$E$354,0,$D$5:$D$354,"Paris")</f>
        <v>0</v>
      </c>
    </row>
    <row r="359" spans="1:9" x14ac:dyDescent="0.25">
      <c r="A359" s="9" t="s">
        <v>742</v>
      </c>
    </row>
  </sheetData>
  <autoFilter ref="A4:I354" xr:uid="{00000000-0001-0000-0400-000000000000}">
    <filterColumn colId="2">
      <filters>
        <filter val="Informatique"/>
      </filters>
    </filterColumn>
  </autoFilter>
  <sortState xmlns:xlrd2="http://schemas.microsoft.com/office/spreadsheetml/2017/richdata2" ref="A5:I354">
    <sortCondition ref="D4"/>
    <sortCondition descending="1" ref="H4"/>
  </sortState>
  <mergeCells count="3">
    <mergeCell ref="A1:I1"/>
    <mergeCell ref="A356:I356"/>
    <mergeCell ref="A357:F357"/>
  </mergeCells>
  <conditionalFormatting sqref="A5:I354">
    <cfRule type="expression" dxfId="0" priority="3" stopIfTrue="1">
      <formula>$E5&lt;$F5</formula>
    </cfRule>
  </conditionalFormatting>
  <conditionalFormatting sqref="H5:H354">
    <cfRule type="dataBar" priority="1">
      <dataBar>
        <cfvo type="min"/>
        <cfvo type="max"/>
        <color rgb="FFFFCC99"/>
      </dataBar>
      <extLst>
        <ext xmlns:x14="http://schemas.microsoft.com/office/spreadsheetml/2009/9/main" uri="{B025F937-C7B1-47D3-B67F-A62EFF666E3E}">
          <x14:id>{DB32A5FC-793D-45BB-9CDC-A67F906189CC}</x14:id>
        </ext>
      </extLst>
    </cfRule>
  </conditionalFormatting>
  <conditionalFormatting sqref="I5:I354">
    <cfRule type="iconSet" priority="2">
      <iconSet iconSet="3Flags"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32A5FC-793D-45BB-9CDC-A67F906189CC}">
            <x14:dataBar minLength="0" maxLength="100" negativeBarColorSameAsPositive="1" axisPosition="none">
              <x14:cfvo type="min"/>
              <x14:cfvo type="max"/>
            </x14:dataBar>
          </x14:cfRule>
          <xm:sqref>H5:H354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21"/>
  <sheetViews>
    <sheetView zoomScaleNormal="100" workbookViewId="0">
      <pane ySplit="4" topLeftCell="A5" activePane="bottomLeft" state="frozen"/>
      <selection pane="bottomLeft" sqref="A1:H1"/>
    </sheetView>
  </sheetViews>
  <sheetFormatPr baseColWidth="10" defaultColWidth="8.7109375" defaultRowHeight="15" x14ac:dyDescent="0.25"/>
  <cols>
    <col min="1" max="1" width="105.28515625" bestFit="1" customWidth="1"/>
    <col min="2" max="2" width="16.7109375" bestFit="1" customWidth="1"/>
    <col min="3" max="3" width="11" bestFit="1" customWidth="1"/>
    <col min="4" max="4" width="7.7109375" bestFit="1" customWidth="1"/>
    <col min="5" max="6" width="9.85546875" bestFit="1" customWidth="1"/>
    <col min="7" max="7" width="9.28515625" bestFit="1" customWidth="1"/>
    <col min="8" max="8" width="8" bestFit="1" customWidth="1"/>
    <col min="9" max="10" width="3" customWidth="1"/>
    <col min="11" max="11" width="14" customWidth="1"/>
    <col min="12" max="12" width="10" customWidth="1"/>
    <col min="13" max="13" width="12" customWidth="1"/>
  </cols>
  <sheetData>
    <row r="1" spans="1:8" ht="25.5" customHeight="1" x14ac:dyDescent="0.25">
      <c r="A1" s="21" t="s">
        <v>2138</v>
      </c>
      <c r="B1" s="21"/>
      <c r="C1" s="21"/>
      <c r="D1" s="21"/>
      <c r="E1" s="21"/>
      <c r="F1" s="21"/>
      <c r="G1" s="21"/>
      <c r="H1" s="21"/>
    </row>
    <row r="2" spans="1:8" x14ac:dyDescent="0.25">
      <c r="A2" s="4" t="s">
        <v>2139</v>
      </c>
    </row>
    <row r="4" spans="1:8" ht="27.75" customHeight="1" x14ac:dyDescent="0.25">
      <c r="A4" s="5" t="s">
        <v>2140</v>
      </c>
      <c r="B4" s="5" t="s">
        <v>1308</v>
      </c>
      <c r="C4" s="5" t="s">
        <v>2141</v>
      </c>
      <c r="D4" s="5" t="s">
        <v>2142</v>
      </c>
      <c r="E4" s="5" t="s">
        <v>2143</v>
      </c>
      <c r="F4" s="5" t="s">
        <v>2144</v>
      </c>
      <c r="G4" s="5" t="s">
        <v>2145</v>
      </c>
      <c r="H4" s="5" t="s">
        <v>2146</v>
      </c>
    </row>
    <row r="5" spans="1:8" x14ac:dyDescent="0.25">
      <c r="A5" s="2" t="s">
        <v>2147</v>
      </c>
      <c r="B5" s="2" t="s">
        <v>2148</v>
      </c>
      <c r="C5" s="2" t="s">
        <v>2149</v>
      </c>
      <c r="D5" s="2" t="s">
        <v>2150</v>
      </c>
      <c r="E5" s="2">
        <v>6</v>
      </c>
      <c r="F5" s="2">
        <v>11.9</v>
      </c>
      <c r="G5" s="13">
        <f t="shared" ref="G5:G68" si="0">IFERROR(AVERAGE(E5:F5),"Absent")</f>
        <v>8.9499999999999993</v>
      </c>
      <c r="H5" s="2">
        <v>2</v>
      </c>
    </row>
    <row r="6" spans="1:8" x14ac:dyDescent="0.25">
      <c r="A6" s="2" t="s">
        <v>2151</v>
      </c>
      <c r="B6" s="2" t="s">
        <v>2152</v>
      </c>
      <c r="C6" s="2" t="s">
        <v>16</v>
      </c>
      <c r="D6" s="2" t="s">
        <v>2150</v>
      </c>
      <c r="E6" s="2">
        <v>17</v>
      </c>
      <c r="F6" s="2">
        <v>6.5</v>
      </c>
      <c r="G6" s="13">
        <f t="shared" si="0"/>
        <v>11.75</v>
      </c>
      <c r="H6" s="2">
        <v>2</v>
      </c>
    </row>
    <row r="7" spans="1:8" x14ac:dyDescent="0.25">
      <c r="A7" s="2" t="s">
        <v>2153</v>
      </c>
      <c r="B7" s="2" t="s">
        <v>2154</v>
      </c>
      <c r="C7" s="2" t="s">
        <v>2149</v>
      </c>
      <c r="D7" s="2" t="s">
        <v>2155</v>
      </c>
      <c r="E7" s="2">
        <v>16</v>
      </c>
      <c r="F7" s="2">
        <v>14.7</v>
      </c>
      <c r="G7" s="13">
        <f t="shared" si="0"/>
        <v>15.35</v>
      </c>
      <c r="H7" s="2">
        <v>1</v>
      </c>
    </row>
    <row r="8" spans="1:8" x14ac:dyDescent="0.25">
      <c r="A8" s="2" t="s">
        <v>2156</v>
      </c>
      <c r="B8" s="2" t="s">
        <v>1338</v>
      </c>
      <c r="C8" s="2" t="s">
        <v>2149</v>
      </c>
      <c r="D8" s="2" t="s">
        <v>2150</v>
      </c>
      <c r="E8" s="2">
        <v>3.1</v>
      </c>
      <c r="F8" s="2">
        <v>4.0999999999999996</v>
      </c>
      <c r="G8" s="13">
        <f t="shared" si="0"/>
        <v>3.5999999999999996</v>
      </c>
      <c r="H8" s="2">
        <v>1</v>
      </c>
    </row>
    <row r="9" spans="1:8" x14ac:dyDescent="0.25">
      <c r="A9" s="2" t="s">
        <v>2157</v>
      </c>
      <c r="B9" s="2" t="s">
        <v>1498</v>
      </c>
      <c r="C9" s="2" t="s">
        <v>2149</v>
      </c>
      <c r="D9" s="2" t="s">
        <v>2158</v>
      </c>
      <c r="E9" s="2">
        <v>9.6999999999999993</v>
      </c>
      <c r="F9" s="2">
        <v>7.2</v>
      </c>
      <c r="G9" s="13">
        <f t="shared" si="0"/>
        <v>8.4499999999999993</v>
      </c>
      <c r="H9" s="2">
        <v>2</v>
      </c>
    </row>
    <row r="10" spans="1:8" x14ac:dyDescent="0.25">
      <c r="A10" s="2" t="s">
        <v>2159</v>
      </c>
      <c r="B10" s="2" t="s">
        <v>1666</v>
      </c>
      <c r="C10" s="2" t="s">
        <v>2160</v>
      </c>
      <c r="D10" s="2" t="s">
        <v>2161</v>
      </c>
      <c r="E10" s="2">
        <v>11.5</v>
      </c>
      <c r="F10" s="2">
        <v>18.3</v>
      </c>
      <c r="G10" s="13">
        <f t="shared" si="0"/>
        <v>14.9</v>
      </c>
      <c r="H10" s="2">
        <v>2</v>
      </c>
    </row>
    <row r="11" spans="1:8" x14ac:dyDescent="0.25">
      <c r="A11" s="2" t="s">
        <v>2162</v>
      </c>
      <c r="B11" s="2" t="s">
        <v>2163</v>
      </c>
      <c r="C11" s="2" t="s">
        <v>16</v>
      </c>
      <c r="D11" s="2" t="s">
        <v>2158</v>
      </c>
      <c r="E11" s="2">
        <v>15.7</v>
      </c>
      <c r="F11" s="2">
        <v>9.3000000000000007</v>
      </c>
      <c r="G11" s="13">
        <f t="shared" si="0"/>
        <v>12.5</v>
      </c>
      <c r="H11" s="2">
        <v>1</v>
      </c>
    </row>
    <row r="12" spans="1:8" x14ac:dyDescent="0.25">
      <c r="A12" s="2" t="s">
        <v>2164</v>
      </c>
      <c r="B12" s="2" t="s">
        <v>1329</v>
      </c>
      <c r="C12" s="2" t="s">
        <v>16</v>
      </c>
      <c r="D12" s="2" t="s">
        <v>2158</v>
      </c>
      <c r="E12" s="2">
        <v>6.5</v>
      </c>
      <c r="F12" s="2">
        <v>18.399999999999999</v>
      </c>
      <c r="G12" s="13">
        <f t="shared" si="0"/>
        <v>12.45</v>
      </c>
      <c r="H12" s="2">
        <v>1</v>
      </c>
    </row>
    <row r="13" spans="1:8" x14ac:dyDescent="0.25">
      <c r="A13" s="2" t="s">
        <v>2165</v>
      </c>
      <c r="B13" s="2" t="s">
        <v>2166</v>
      </c>
      <c r="C13" s="2" t="s">
        <v>2167</v>
      </c>
      <c r="D13" s="2" t="s">
        <v>2158</v>
      </c>
      <c r="E13" s="2">
        <v>13.6</v>
      </c>
      <c r="F13" s="2">
        <v>4.9000000000000004</v>
      </c>
      <c r="G13" s="13">
        <f t="shared" si="0"/>
        <v>9.25</v>
      </c>
      <c r="H13" s="2">
        <v>2</v>
      </c>
    </row>
    <row r="14" spans="1:8" x14ac:dyDescent="0.25">
      <c r="A14" s="2" t="s">
        <v>2168</v>
      </c>
      <c r="B14" s="2" t="s">
        <v>1494</v>
      </c>
      <c r="C14" s="2" t="s">
        <v>2169</v>
      </c>
      <c r="D14" s="2" t="s">
        <v>2161</v>
      </c>
      <c r="E14" s="2">
        <v>14.3</v>
      </c>
      <c r="F14" s="2">
        <v>15.4</v>
      </c>
      <c r="G14" s="13">
        <f t="shared" si="0"/>
        <v>14.850000000000001</v>
      </c>
      <c r="H14" s="2">
        <v>1</v>
      </c>
    </row>
    <row r="15" spans="1:8" x14ac:dyDescent="0.25">
      <c r="A15" s="2" t="s">
        <v>2170</v>
      </c>
      <c r="B15" s="2" t="s">
        <v>1518</v>
      </c>
      <c r="C15" s="2" t="s">
        <v>2167</v>
      </c>
      <c r="D15" s="2" t="s">
        <v>2158</v>
      </c>
      <c r="E15" s="2">
        <v>3.5</v>
      </c>
      <c r="F15" s="2">
        <v>7.3</v>
      </c>
      <c r="G15" s="13">
        <f t="shared" si="0"/>
        <v>5.4</v>
      </c>
      <c r="H15" s="2">
        <v>2</v>
      </c>
    </row>
    <row r="16" spans="1:8" x14ac:dyDescent="0.25">
      <c r="A16" s="2" t="s">
        <v>2171</v>
      </c>
      <c r="B16" s="2" t="s">
        <v>2172</v>
      </c>
      <c r="C16" s="2" t="s">
        <v>16</v>
      </c>
      <c r="D16" s="2" t="s">
        <v>2158</v>
      </c>
      <c r="E16" s="2">
        <v>13.8</v>
      </c>
      <c r="F16" s="2">
        <v>9.6</v>
      </c>
      <c r="G16" s="13">
        <f t="shared" si="0"/>
        <v>11.7</v>
      </c>
      <c r="H16" s="2">
        <v>1</v>
      </c>
    </row>
    <row r="17" spans="1:8" x14ac:dyDescent="0.25">
      <c r="A17" s="2" t="s">
        <v>2173</v>
      </c>
      <c r="B17" s="2" t="s">
        <v>1441</v>
      </c>
      <c r="C17" s="2" t="s">
        <v>2160</v>
      </c>
      <c r="D17" s="2" t="s">
        <v>2161</v>
      </c>
      <c r="E17" s="2">
        <v>7.3</v>
      </c>
      <c r="F17" s="2">
        <v>14.7</v>
      </c>
      <c r="G17" s="13">
        <f t="shared" si="0"/>
        <v>11</v>
      </c>
      <c r="H17" s="2">
        <v>2</v>
      </c>
    </row>
    <row r="18" spans="1:8" x14ac:dyDescent="0.25">
      <c r="A18" s="2" t="s">
        <v>2174</v>
      </c>
      <c r="B18" s="2" t="s">
        <v>2175</v>
      </c>
      <c r="C18" s="2" t="s">
        <v>2167</v>
      </c>
      <c r="D18" s="2" t="s">
        <v>2158</v>
      </c>
      <c r="E18" s="2">
        <v>6.5</v>
      </c>
      <c r="F18" s="2">
        <v>17</v>
      </c>
      <c r="G18" s="13">
        <f t="shared" si="0"/>
        <v>11.75</v>
      </c>
      <c r="H18" s="2">
        <v>1</v>
      </c>
    </row>
    <row r="19" spans="1:8" x14ac:dyDescent="0.25">
      <c r="A19" s="2" t="s">
        <v>2176</v>
      </c>
      <c r="B19" s="2" t="s">
        <v>1696</v>
      </c>
      <c r="C19" s="2" t="s">
        <v>2167</v>
      </c>
      <c r="D19" s="2" t="s">
        <v>2158</v>
      </c>
      <c r="E19" s="2">
        <v>12.7</v>
      </c>
      <c r="F19" s="2">
        <v>3.3</v>
      </c>
      <c r="G19" s="13">
        <f t="shared" si="0"/>
        <v>8</v>
      </c>
      <c r="H19" s="2">
        <v>2</v>
      </c>
    </row>
    <row r="20" spans="1:8" x14ac:dyDescent="0.25">
      <c r="A20" s="2" t="s">
        <v>2177</v>
      </c>
      <c r="B20" s="2" t="s">
        <v>1566</v>
      </c>
      <c r="C20" s="2" t="s">
        <v>2149</v>
      </c>
      <c r="D20" s="2" t="s">
        <v>2158</v>
      </c>
      <c r="E20" s="2">
        <v>15.3</v>
      </c>
      <c r="F20" s="2">
        <v>11.8</v>
      </c>
      <c r="G20" s="13">
        <f t="shared" si="0"/>
        <v>13.55</v>
      </c>
      <c r="H20" s="2">
        <v>1</v>
      </c>
    </row>
    <row r="21" spans="1:8" x14ac:dyDescent="0.25">
      <c r="A21" s="2" t="s">
        <v>2178</v>
      </c>
      <c r="B21" s="2" t="s">
        <v>1720</v>
      </c>
      <c r="C21" s="2" t="s">
        <v>2160</v>
      </c>
      <c r="D21" s="2" t="s">
        <v>2150</v>
      </c>
      <c r="E21" s="2">
        <v>18.8</v>
      </c>
      <c r="F21" s="2">
        <v>16.399999999999999</v>
      </c>
      <c r="G21" s="13">
        <f t="shared" si="0"/>
        <v>17.600000000000001</v>
      </c>
      <c r="H21" s="2">
        <v>2</v>
      </c>
    </row>
    <row r="22" spans="1:8" x14ac:dyDescent="0.25">
      <c r="A22" s="2" t="s">
        <v>2179</v>
      </c>
      <c r="B22" s="2" t="s">
        <v>2180</v>
      </c>
      <c r="C22" s="2" t="s">
        <v>2167</v>
      </c>
      <c r="D22" s="2" t="s">
        <v>2155</v>
      </c>
      <c r="E22" s="2">
        <v>8.3000000000000007</v>
      </c>
      <c r="F22" s="2">
        <v>6.4</v>
      </c>
      <c r="G22" s="13">
        <f t="shared" si="0"/>
        <v>7.3500000000000005</v>
      </c>
      <c r="H22" s="2">
        <v>1</v>
      </c>
    </row>
    <row r="23" spans="1:8" x14ac:dyDescent="0.25">
      <c r="A23" s="2" t="s">
        <v>2181</v>
      </c>
      <c r="B23" s="2" t="s">
        <v>1673</v>
      </c>
      <c r="C23" s="2" t="s">
        <v>2160</v>
      </c>
      <c r="D23" s="2" t="s">
        <v>2158</v>
      </c>
      <c r="E23" s="2">
        <v>11</v>
      </c>
      <c r="F23" s="2">
        <v>15.7</v>
      </c>
      <c r="G23" s="13">
        <f t="shared" si="0"/>
        <v>13.35</v>
      </c>
      <c r="H23" s="2">
        <v>1</v>
      </c>
    </row>
    <row r="24" spans="1:8" x14ac:dyDescent="0.25">
      <c r="A24" s="2" t="s">
        <v>2182</v>
      </c>
      <c r="B24" s="2" t="s">
        <v>1556</v>
      </c>
      <c r="C24" s="2" t="s">
        <v>16</v>
      </c>
      <c r="D24" s="2" t="s">
        <v>2161</v>
      </c>
      <c r="E24" s="2"/>
      <c r="F24" s="2">
        <v>15.4</v>
      </c>
      <c r="G24" s="13">
        <f t="shared" si="0"/>
        <v>15.4</v>
      </c>
      <c r="H24" s="2">
        <v>1</v>
      </c>
    </row>
    <row r="25" spans="1:8" x14ac:dyDescent="0.25">
      <c r="A25" s="2" t="s">
        <v>2183</v>
      </c>
      <c r="B25" s="2" t="s">
        <v>2184</v>
      </c>
      <c r="C25" s="2" t="s">
        <v>2167</v>
      </c>
      <c r="D25" s="2" t="s">
        <v>2161</v>
      </c>
      <c r="E25" s="2">
        <v>16.100000000000001</v>
      </c>
      <c r="F25" s="2">
        <v>17</v>
      </c>
      <c r="G25" s="13">
        <f t="shared" si="0"/>
        <v>16.55</v>
      </c>
      <c r="H25" s="2">
        <v>1</v>
      </c>
    </row>
    <row r="26" spans="1:8" x14ac:dyDescent="0.25">
      <c r="A26" s="2" t="s">
        <v>2185</v>
      </c>
      <c r="B26" s="2" t="s">
        <v>1510</v>
      </c>
      <c r="C26" s="2" t="s">
        <v>2167</v>
      </c>
      <c r="D26" s="2" t="s">
        <v>2161</v>
      </c>
      <c r="E26" s="2">
        <v>3.2</v>
      </c>
      <c r="F26" s="2">
        <v>16.3</v>
      </c>
      <c r="G26" s="13">
        <f t="shared" si="0"/>
        <v>9.75</v>
      </c>
      <c r="H26" s="2">
        <v>1</v>
      </c>
    </row>
    <row r="27" spans="1:8" x14ac:dyDescent="0.25">
      <c r="A27" s="2" t="s">
        <v>2186</v>
      </c>
      <c r="B27" s="2" t="s">
        <v>2187</v>
      </c>
      <c r="C27" s="2" t="s">
        <v>2169</v>
      </c>
      <c r="D27" s="2" t="s">
        <v>2155</v>
      </c>
      <c r="E27" s="2">
        <v>16.3</v>
      </c>
      <c r="F27" s="2">
        <v>16.7</v>
      </c>
      <c r="G27" s="13">
        <f t="shared" si="0"/>
        <v>16.5</v>
      </c>
      <c r="H27" s="2">
        <v>2</v>
      </c>
    </row>
    <row r="28" spans="1:8" x14ac:dyDescent="0.25">
      <c r="A28" s="2" t="s">
        <v>2188</v>
      </c>
      <c r="B28" s="2" t="s">
        <v>2189</v>
      </c>
      <c r="C28" s="2" t="s">
        <v>16</v>
      </c>
      <c r="D28" s="2" t="s">
        <v>2161</v>
      </c>
      <c r="E28" s="2">
        <v>7.4</v>
      </c>
      <c r="F28" s="2">
        <v>6.2</v>
      </c>
      <c r="G28" s="13">
        <f t="shared" si="0"/>
        <v>6.8000000000000007</v>
      </c>
      <c r="H28" s="2">
        <v>2</v>
      </c>
    </row>
    <row r="29" spans="1:8" x14ac:dyDescent="0.25">
      <c r="A29" s="2" t="s">
        <v>2190</v>
      </c>
      <c r="B29" s="2" t="s">
        <v>1433</v>
      </c>
      <c r="C29" s="2" t="s">
        <v>2160</v>
      </c>
      <c r="D29" s="2" t="s">
        <v>2161</v>
      </c>
      <c r="E29" s="2">
        <v>9.9</v>
      </c>
      <c r="F29" s="2">
        <v>6.6</v>
      </c>
      <c r="G29" s="13">
        <f t="shared" si="0"/>
        <v>8.25</v>
      </c>
      <c r="H29" s="2">
        <v>2</v>
      </c>
    </row>
    <row r="30" spans="1:8" x14ac:dyDescent="0.25">
      <c r="A30" s="2" t="s">
        <v>2191</v>
      </c>
      <c r="B30" s="2" t="s">
        <v>2192</v>
      </c>
      <c r="C30" s="2" t="s">
        <v>2167</v>
      </c>
      <c r="D30" s="2" t="s">
        <v>2161</v>
      </c>
      <c r="E30" s="2">
        <v>17.5</v>
      </c>
      <c r="F30" s="2">
        <v>11.5</v>
      </c>
      <c r="G30" s="13">
        <f t="shared" si="0"/>
        <v>14.5</v>
      </c>
      <c r="H30" s="2">
        <v>2</v>
      </c>
    </row>
    <row r="31" spans="1:8" x14ac:dyDescent="0.25">
      <c r="A31" s="2" t="s">
        <v>2193</v>
      </c>
      <c r="B31" s="2" t="s">
        <v>1443</v>
      </c>
      <c r="C31" s="2" t="s">
        <v>2149</v>
      </c>
      <c r="D31" s="2" t="s">
        <v>2155</v>
      </c>
      <c r="E31" s="2">
        <v>18.2</v>
      </c>
      <c r="F31" s="2">
        <v>15.2</v>
      </c>
      <c r="G31" s="13">
        <f t="shared" si="0"/>
        <v>16.7</v>
      </c>
      <c r="H31" s="2">
        <v>2</v>
      </c>
    </row>
    <row r="32" spans="1:8" x14ac:dyDescent="0.25">
      <c r="A32" s="2" t="s">
        <v>2194</v>
      </c>
      <c r="B32" s="2" t="s">
        <v>2195</v>
      </c>
      <c r="C32" s="2" t="s">
        <v>2167</v>
      </c>
      <c r="D32" s="2" t="s">
        <v>2158</v>
      </c>
      <c r="E32" s="2">
        <v>15.3</v>
      </c>
      <c r="F32" s="2">
        <v>10.199999999999999</v>
      </c>
      <c r="G32" s="13">
        <f t="shared" si="0"/>
        <v>12.75</v>
      </c>
      <c r="H32" s="2">
        <v>2</v>
      </c>
    </row>
    <row r="33" spans="1:8" x14ac:dyDescent="0.25">
      <c r="A33" s="2" t="s">
        <v>2196</v>
      </c>
      <c r="B33" s="2" t="s">
        <v>1447</v>
      </c>
      <c r="C33" s="2" t="s">
        <v>2169</v>
      </c>
      <c r="D33" s="2" t="s">
        <v>2150</v>
      </c>
      <c r="E33" s="2">
        <v>5.3</v>
      </c>
      <c r="F33" s="2">
        <v>13.1</v>
      </c>
      <c r="G33" s="13">
        <f t="shared" si="0"/>
        <v>9.1999999999999993</v>
      </c>
      <c r="H33" s="2">
        <v>1</v>
      </c>
    </row>
    <row r="34" spans="1:8" x14ac:dyDescent="0.25">
      <c r="A34" s="2" t="s">
        <v>2197</v>
      </c>
      <c r="B34" s="2" t="s">
        <v>1732</v>
      </c>
      <c r="C34" s="2" t="s">
        <v>2149</v>
      </c>
      <c r="D34" s="2" t="s">
        <v>2161</v>
      </c>
      <c r="E34" s="2">
        <v>16.8</v>
      </c>
      <c r="F34" s="2">
        <v>10.8</v>
      </c>
      <c r="G34" s="13">
        <f t="shared" si="0"/>
        <v>13.8</v>
      </c>
      <c r="H34" s="2">
        <v>2</v>
      </c>
    </row>
    <row r="35" spans="1:8" x14ac:dyDescent="0.25">
      <c r="A35" s="2" t="s">
        <v>2198</v>
      </c>
      <c r="B35" s="2" t="s">
        <v>1686</v>
      </c>
      <c r="C35" s="2" t="s">
        <v>16</v>
      </c>
      <c r="D35" s="2" t="s">
        <v>2158</v>
      </c>
      <c r="E35" s="2">
        <v>11.4</v>
      </c>
      <c r="F35" s="2">
        <v>16.399999999999999</v>
      </c>
      <c r="G35" s="13">
        <f t="shared" si="0"/>
        <v>13.899999999999999</v>
      </c>
      <c r="H35" s="2">
        <v>2</v>
      </c>
    </row>
    <row r="36" spans="1:8" x14ac:dyDescent="0.25">
      <c r="A36" s="2" t="s">
        <v>2199</v>
      </c>
      <c r="B36" s="2" t="s">
        <v>2200</v>
      </c>
      <c r="C36" s="2" t="s">
        <v>2160</v>
      </c>
      <c r="D36" s="2" t="s">
        <v>2161</v>
      </c>
      <c r="E36" s="2">
        <v>8</v>
      </c>
      <c r="F36" s="2">
        <v>8.4</v>
      </c>
      <c r="G36" s="13">
        <f t="shared" si="0"/>
        <v>8.1999999999999993</v>
      </c>
      <c r="H36" s="2">
        <v>1</v>
      </c>
    </row>
    <row r="37" spans="1:8" x14ac:dyDescent="0.25">
      <c r="A37" s="2" t="s">
        <v>2201</v>
      </c>
      <c r="B37" s="2" t="s">
        <v>1756</v>
      </c>
      <c r="C37" s="2" t="s">
        <v>2169</v>
      </c>
      <c r="D37" s="2" t="s">
        <v>2161</v>
      </c>
      <c r="E37" s="2">
        <v>7.3</v>
      </c>
      <c r="F37" s="2">
        <v>6.3</v>
      </c>
      <c r="G37" s="13">
        <f t="shared" si="0"/>
        <v>6.8</v>
      </c>
      <c r="H37" s="2">
        <v>2</v>
      </c>
    </row>
    <row r="38" spans="1:8" x14ac:dyDescent="0.25">
      <c r="A38" s="2" t="s">
        <v>2202</v>
      </c>
      <c r="B38" s="2" t="s">
        <v>1431</v>
      </c>
      <c r="C38" s="2" t="s">
        <v>2169</v>
      </c>
      <c r="D38" s="2" t="s">
        <v>2155</v>
      </c>
      <c r="E38" s="2">
        <v>18.399999999999999</v>
      </c>
      <c r="F38" s="2">
        <v>6.8</v>
      </c>
      <c r="G38" s="13">
        <f t="shared" si="0"/>
        <v>12.6</v>
      </c>
      <c r="H38" s="2">
        <v>1</v>
      </c>
    </row>
    <row r="39" spans="1:8" x14ac:dyDescent="0.25">
      <c r="A39" s="2" t="s">
        <v>2203</v>
      </c>
      <c r="B39" s="2" t="s">
        <v>1411</v>
      </c>
      <c r="C39" s="2" t="s">
        <v>2149</v>
      </c>
      <c r="D39" s="2" t="s">
        <v>2155</v>
      </c>
      <c r="E39" s="2">
        <v>9.8000000000000007</v>
      </c>
      <c r="F39" s="2">
        <v>4.2</v>
      </c>
      <c r="G39" s="13">
        <f t="shared" si="0"/>
        <v>7</v>
      </c>
      <c r="H39" s="2">
        <v>1</v>
      </c>
    </row>
    <row r="40" spans="1:8" x14ac:dyDescent="0.25">
      <c r="A40" s="2" t="s">
        <v>2204</v>
      </c>
      <c r="B40" s="2" t="s">
        <v>1390</v>
      </c>
      <c r="C40" s="2" t="s">
        <v>16</v>
      </c>
      <c r="D40" s="2" t="s">
        <v>2161</v>
      </c>
      <c r="E40" s="2">
        <v>6.2</v>
      </c>
      <c r="F40" s="2">
        <v>16.899999999999999</v>
      </c>
      <c r="G40" s="13">
        <f t="shared" si="0"/>
        <v>11.549999999999999</v>
      </c>
      <c r="H40" s="2">
        <v>1</v>
      </c>
    </row>
    <row r="41" spans="1:8" x14ac:dyDescent="0.25">
      <c r="A41" s="2" t="s">
        <v>2205</v>
      </c>
      <c r="B41" s="2" t="s">
        <v>2206</v>
      </c>
      <c r="C41" s="2" t="s">
        <v>16</v>
      </c>
      <c r="D41" s="2" t="s">
        <v>2161</v>
      </c>
      <c r="E41" s="2">
        <v>13</v>
      </c>
      <c r="F41" s="2">
        <v>11.4</v>
      </c>
      <c r="G41" s="13">
        <f t="shared" si="0"/>
        <v>12.2</v>
      </c>
      <c r="H41" s="2">
        <v>1</v>
      </c>
    </row>
    <row r="42" spans="1:8" x14ac:dyDescent="0.25">
      <c r="A42" s="2" t="s">
        <v>2207</v>
      </c>
      <c r="B42" s="2" t="s">
        <v>2208</v>
      </c>
      <c r="C42" s="2" t="s">
        <v>2160</v>
      </c>
      <c r="D42" s="2" t="s">
        <v>2158</v>
      </c>
      <c r="E42" s="2"/>
      <c r="F42" s="2">
        <v>10</v>
      </c>
      <c r="G42" s="13">
        <f t="shared" si="0"/>
        <v>10</v>
      </c>
      <c r="H42" s="2">
        <v>1</v>
      </c>
    </row>
    <row r="43" spans="1:8" x14ac:dyDescent="0.25">
      <c r="A43" s="2" t="s">
        <v>2209</v>
      </c>
      <c r="B43" s="2" t="s">
        <v>2210</v>
      </c>
      <c r="C43" s="2" t="s">
        <v>2169</v>
      </c>
      <c r="D43" s="2" t="s">
        <v>2158</v>
      </c>
      <c r="E43" s="2"/>
      <c r="F43" s="2">
        <v>11.4</v>
      </c>
      <c r="G43" s="13">
        <f t="shared" si="0"/>
        <v>11.4</v>
      </c>
      <c r="H43" s="2">
        <v>2</v>
      </c>
    </row>
    <row r="44" spans="1:8" x14ac:dyDescent="0.25">
      <c r="A44" s="2" t="s">
        <v>2211</v>
      </c>
      <c r="B44" s="2" t="s">
        <v>2212</v>
      </c>
      <c r="C44" s="2" t="s">
        <v>2169</v>
      </c>
      <c r="D44" s="2" t="s">
        <v>2161</v>
      </c>
      <c r="E44" s="2">
        <v>10.4</v>
      </c>
      <c r="F44" s="2">
        <v>18</v>
      </c>
      <c r="G44" s="13">
        <f t="shared" si="0"/>
        <v>14.2</v>
      </c>
      <c r="H44" s="2">
        <v>1</v>
      </c>
    </row>
    <row r="45" spans="1:8" x14ac:dyDescent="0.25">
      <c r="A45" s="2" t="s">
        <v>2213</v>
      </c>
      <c r="B45" s="2" t="s">
        <v>2214</v>
      </c>
      <c r="C45" s="2" t="s">
        <v>2149</v>
      </c>
      <c r="D45" s="2" t="s">
        <v>2150</v>
      </c>
      <c r="E45" s="2"/>
      <c r="F45" s="2">
        <v>5.9</v>
      </c>
      <c r="G45" s="13">
        <f t="shared" si="0"/>
        <v>5.9</v>
      </c>
      <c r="H45" s="2">
        <v>1</v>
      </c>
    </row>
    <row r="46" spans="1:8" x14ac:dyDescent="0.25">
      <c r="A46" s="2" t="s">
        <v>2215</v>
      </c>
      <c r="B46" s="2" t="s">
        <v>1668</v>
      </c>
      <c r="C46" s="2" t="s">
        <v>16</v>
      </c>
      <c r="D46" s="2" t="s">
        <v>2150</v>
      </c>
      <c r="E46" s="2">
        <v>11.6</v>
      </c>
      <c r="F46" s="2">
        <v>8.3000000000000007</v>
      </c>
      <c r="G46" s="13">
        <f t="shared" si="0"/>
        <v>9.9499999999999993</v>
      </c>
      <c r="H46" s="2">
        <v>1</v>
      </c>
    </row>
    <row r="47" spans="1:8" x14ac:dyDescent="0.25">
      <c r="A47" s="2" t="s">
        <v>2216</v>
      </c>
      <c r="B47" s="2" t="s">
        <v>2217</v>
      </c>
      <c r="C47" s="2" t="s">
        <v>2167</v>
      </c>
      <c r="D47" s="2" t="s">
        <v>2150</v>
      </c>
      <c r="E47" s="2">
        <v>8.6</v>
      </c>
      <c r="F47" s="2">
        <v>11.9</v>
      </c>
      <c r="G47" s="13">
        <f t="shared" si="0"/>
        <v>10.25</v>
      </c>
      <c r="H47" s="2">
        <v>2</v>
      </c>
    </row>
    <row r="48" spans="1:8" x14ac:dyDescent="0.25">
      <c r="A48" s="2" t="s">
        <v>2218</v>
      </c>
      <c r="B48" s="2" t="s">
        <v>2219</v>
      </c>
      <c r="C48" s="2" t="s">
        <v>2160</v>
      </c>
      <c r="D48" s="2" t="s">
        <v>2158</v>
      </c>
      <c r="E48" s="2">
        <v>7.5</v>
      </c>
      <c r="F48" s="2">
        <v>17.600000000000001</v>
      </c>
      <c r="G48" s="13">
        <f t="shared" si="0"/>
        <v>12.55</v>
      </c>
      <c r="H48" s="2">
        <v>2</v>
      </c>
    </row>
    <row r="49" spans="1:8" x14ac:dyDescent="0.25">
      <c r="A49" s="2" t="s">
        <v>2220</v>
      </c>
      <c r="B49" s="2" t="s">
        <v>2221</v>
      </c>
      <c r="C49" s="2" t="s">
        <v>2169</v>
      </c>
      <c r="D49" s="2" t="s">
        <v>2150</v>
      </c>
      <c r="E49" s="2">
        <v>17.899999999999999</v>
      </c>
      <c r="F49" s="2">
        <v>12</v>
      </c>
      <c r="G49" s="13">
        <f t="shared" si="0"/>
        <v>14.95</v>
      </c>
      <c r="H49" s="2">
        <v>1</v>
      </c>
    </row>
    <row r="50" spans="1:8" x14ac:dyDescent="0.25">
      <c r="A50" s="2" t="s">
        <v>2222</v>
      </c>
      <c r="B50" s="2" t="s">
        <v>2189</v>
      </c>
      <c r="C50" s="2" t="s">
        <v>2167</v>
      </c>
      <c r="D50" s="2" t="s">
        <v>2150</v>
      </c>
      <c r="E50" s="2">
        <v>14.7</v>
      </c>
      <c r="F50" s="2">
        <v>7.5</v>
      </c>
      <c r="G50" s="13">
        <f t="shared" si="0"/>
        <v>11.1</v>
      </c>
      <c r="H50" s="2">
        <v>2</v>
      </c>
    </row>
    <row r="51" spans="1:8" x14ac:dyDescent="0.25">
      <c r="A51" s="2" t="s">
        <v>2223</v>
      </c>
      <c r="B51" s="2" t="s">
        <v>1424</v>
      </c>
      <c r="C51" s="2" t="s">
        <v>2160</v>
      </c>
      <c r="D51" s="2" t="s">
        <v>2161</v>
      </c>
      <c r="E51" s="2">
        <v>8.3000000000000007</v>
      </c>
      <c r="F51" s="2">
        <v>15.4</v>
      </c>
      <c r="G51" s="13">
        <f t="shared" si="0"/>
        <v>11.850000000000001</v>
      </c>
      <c r="H51" s="2">
        <v>1</v>
      </c>
    </row>
    <row r="52" spans="1:8" x14ac:dyDescent="0.25">
      <c r="A52" s="2" t="s">
        <v>2224</v>
      </c>
      <c r="B52" s="2" t="s">
        <v>2221</v>
      </c>
      <c r="C52" s="2" t="s">
        <v>2169</v>
      </c>
      <c r="D52" s="2" t="s">
        <v>2150</v>
      </c>
      <c r="E52" s="2">
        <v>5.7</v>
      </c>
      <c r="F52" s="2">
        <v>15.5</v>
      </c>
      <c r="G52" s="13">
        <f t="shared" si="0"/>
        <v>10.6</v>
      </c>
      <c r="H52" s="2">
        <v>1</v>
      </c>
    </row>
    <row r="53" spans="1:8" x14ac:dyDescent="0.25">
      <c r="A53" s="2" t="s">
        <v>2225</v>
      </c>
      <c r="B53" s="2" t="s">
        <v>2226</v>
      </c>
      <c r="C53" s="2" t="s">
        <v>2167</v>
      </c>
      <c r="D53" s="2" t="s">
        <v>2150</v>
      </c>
      <c r="E53" s="2">
        <v>5.6</v>
      </c>
      <c r="F53" s="2">
        <v>17</v>
      </c>
      <c r="G53" s="13">
        <f t="shared" si="0"/>
        <v>11.3</v>
      </c>
      <c r="H53" s="2">
        <v>2</v>
      </c>
    </row>
    <row r="54" spans="1:8" x14ac:dyDescent="0.25">
      <c r="A54" s="2" t="s">
        <v>2227</v>
      </c>
      <c r="B54" s="2" t="s">
        <v>1531</v>
      </c>
      <c r="C54" s="2" t="s">
        <v>2167</v>
      </c>
      <c r="D54" s="2" t="s">
        <v>2150</v>
      </c>
      <c r="E54" s="2">
        <v>9.8000000000000007</v>
      </c>
      <c r="F54" s="2">
        <v>10.5</v>
      </c>
      <c r="G54" s="13">
        <f t="shared" si="0"/>
        <v>10.15</v>
      </c>
      <c r="H54" s="2">
        <v>2</v>
      </c>
    </row>
    <row r="55" spans="1:8" x14ac:dyDescent="0.25">
      <c r="A55" s="2" t="s">
        <v>2228</v>
      </c>
      <c r="B55" s="2" t="s">
        <v>1618</v>
      </c>
      <c r="C55" s="2" t="s">
        <v>2160</v>
      </c>
      <c r="D55" s="2" t="s">
        <v>2158</v>
      </c>
      <c r="E55" s="2">
        <v>9</v>
      </c>
      <c r="F55" s="2">
        <v>9.1999999999999993</v>
      </c>
      <c r="G55" s="13">
        <f t="shared" si="0"/>
        <v>9.1</v>
      </c>
      <c r="H55" s="2">
        <v>1</v>
      </c>
    </row>
    <row r="56" spans="1:8" x14ac:dyDescent="0.25">
      <c r="A56" s="2" t="s">
        <v>2229</v>
      </c>
      <c r="B56" s="2" t="s">
        <v>2230</v>
      </c>
      <c r="C56" s="2" t="s">
        <v>16</v>
      </c>
      <c r="D56" s="2" t="s">
        <v>2161</v>
      </c>
      <c r="E56" s="2">
        <v>17.100000000000001</v>
      </c>
      <c r="F56" s="2"/>
      <c r="G56" s="13">
        <f t="shared" si="0"/>
        <v>17.100000000000001</v>
      </c>
      <c r="H56" s="2">
        <v>2</v>
      </c>
    </row>
    <row r="57" spans="1:8" x14ac:dyDescent="0.25">
      <c r="A57" s="2" t="s">
        <v>2231</v>
      </c>
      <c r="B57" s="2" t="s">
        <v>1377</v>
      </c>
      <c r="C57" s="2" t="s">
        <v>16</v>
      </c>
      <c r="D57" s="2" t="s">
        <v>2158</v>
      </c>
      <c r="E57" s="2">
        <v>14.1</v>
      </c>
      <c r="F57" s="2">
        <v>7</v>
      </c>
      <c r="G57" s="13">
        <f t="shared" si="0"/>
        <v>10.55</v>
      </c>
      <c r="H57" s="2">
        <v>1</v>
      </c>
    </row>
    <row r="58" spans="1:8" x14ac:dyDescent="0.25">
      <c r="A58" s="2" t="s">
        <v>2232</v>
      </c>
      <c r="B58" s="2" t="s">
        <v>1542</v>
      </c>
      <c r="C58" s="2" t="s">
        <v>16</v>
      </c>
      <c r="D58" s="2" t="s">
        <v>2150</v>
      </c>
      <c r="E58" s="2">
        <v>3.4</v>
      </c>
      <c r="F58" s="2">
        <v>8.9</v>
      </c>
      <c r="G58" s="13">
        <f t="shared" si="0"/>
        <v>6.15</v>
      </c>
      <c r="H58" s="2">
        <v>1</v>
      </c>
    </row>
    <row r="59" spans="1:8" x14ac:dyDescent="0.25">
      <c r="A59" s="2" t="s">
        <v>2233</v>
      </c>
      <c r="B59" s="2" t="s">
        <v>2234</v>
      </c>
      <c r="C59" s="2" t="s">
        <v>16</v>
      </c>
      <c r="D59" s="2" t="s">
        <v>2158</v>
      </c>
      <c r="E59" s="2">
        <v>9.1</v>
      </c>
      <c r="F59" s="2">
        <v>5.9</v>
      </c>
      <c r="G59" s="13">
        <f t="shared" si="0"/>
        <v>7.5</v>
      </c>
      <c r="H59" s="2">
        <v>1</v>
      </c>
    </row>
    <row r="60" spans="1:8" x14ac:dyDescent="0.25">
      <c r="A60" s="2" t="s">
        <v>2235</v>
      </c>
      <c r="B60" s="2" t="s">
        <v>1576</v>
      </c>
      <c r="C60" s="2" t="s">
        <v>2160</v>
      </c>
      <c r="D60" s="2" t="s">
        <v>2155</v>
      </c>
      <c r="E60" s="2">
        <v>3.1</v>
      </c>
      <c r="F60" s="2">
        <v>8</v>
      </c>
      <c r="G60" s="13">
        <f t="shared" si="0"/>
        <v>5.55</v>
      </c>
      <c r="H60" s="2">
        <v>2</v>
      </c>
    </row>
    <row r="61" spans="1:8" x14ac:dyDescent="0.25">
      <c r="A61" s="2" t="s">
        <v>2236</v>
      </c>
      <c r="B61" s="2" t="s">
        <v>1413</v>
      </c>
      <c r="C61" s="2" t="s">
        <v>2167</v>
      </c>
      <c r="D61" s="2" t="s">
        <v>2158</v>
      </c>
      <c r="E61" s="2">
        <v>3.5</v>
      </c>
      <c r="F61" s="2">
        <v>7.4</v>
      </c>
      <c r="G61" s="13">
        <f t="shared" si="0"/>
        <v>5.45</v>
      </c>
      <c r="H61" s="2">
        <v>2</v>
      </c>
    </row>
    <row r="62" spans="1:8" x14ac:dyDescent="0.25">
      <c r="A62" s="2" t="s">
        <v>2237</v>
      </c>
      <c r="B62" s="2" t="s">
        <v>2238</v>
      </c>
      <c r="C62" s="2" t="s">
        <v>2169</v>
      </c>
      <c r="D62" s="2" t="s">
        <v>2161</v>
      </c>
      <c r="E62" s="2">
        <v>13</v>
      </c>
      <c r="F62" s="2">
        <v>18.5</v>
      </c>
      <c r="G62" s="13">
        <f t="shared" si="0"/>
        <v>15.75</v>
      </c>
      <c r="H62" s="2">
        <v>2</v>
      </c>
    </row>
    <row r="63" spans="1:8" x14ac:dyDescent="0.25">
      <c r="A63" s="2" t="s">
        <v>2239</v>
      </c>
      <c r="B63" s="2" t="s">
        <v>1550</v>
      </c>
      <c r="C63" s="2" t="s">
        <v>2167</v>
      </c>
      <c r="D63" s="2" t="s">
        <v>2158</v>
      </c>
      <c r="E63" s="2">
        <v>5.8</v>
      </c>
      <c r="F63" s="2">
        <v>15</v>
      </c>
      <c r="G63" s="13">
        <f t="shared" si="0"/>
        <v>10.4</v>
      </c>
      <c r="H63" s="2">
        <v>1</v>
      </c>
    </row>
    <row r="64" spans="1:8" x14ac:dyDescent="0.25">
      <c r="A64" s="2" t="s">
        <v>2240</v>
      </c>
      <c r="B64" s="2" t="s">
        <v>2241</v>
      </c>
      <c r="C64" s="2" t="s">
        <v>2167</v>
      </c>
      <c r="D64" s="2" t="s">
        <v>2161</v>
      </c>
      <c r="E64" s="2">
        <v>12.8</v>
      </c>
      <c r="F64" s="2"/>
      <c r="G64" s="13">
        <f t="shared" si="0"/>
        <v>12.8</v>
      </c>
      <c r="H64" s="2">
        <v>1</v>
      </c>
    </row>
    <row r="65" spans="1:8" x14ac:dyDescent="0.25">
      <c r="A65" s="2" t="s">
        <v>2242</v>
      </c>
      <c r="B65" s="2" t="s">
        <v>1429</v>
      </c>
      <c r="C65" s="2" t="s">
        <v>2167</v>
      </c>
      <c r="D65" s="2" t="s">
        <v>2158</v>
      </c>
      <c r="E65" s="2">
        <v>3.9</v>
      </c>
      <c r="F65" s="2">
        <v>13.2</v>
      </c>
      <c r="G65" s="13">
        <f t="shared" si="0"/>
        <v>8.5499999999999989</v>
      </c>
      <c r="H65" s="2">
        <v>1</v>
      </c>
    </row>
    <row r="66" spans="1:8" x14ac:dyDescent="0.25">
      <c r="A66" s="2" t="s">
        <v>2243</v>
      </c>
      <c r="B66" s="2" t="s">
        <v>1409</v>
      </c>
      <c r="C66" s="2" t="s">
        <v>2149</v>
      </c>
      <c r="D66" s="2" t="s">
        <v>2158</v>
      </c>
      <c r="E66" s="2">
        <v>13.5</v>
      </c>
      <c r="F66" s="2">
        <v>14.8</v>
      </c>
      <c r="G66" s="13">
        <f t="shared" si="0"/>
        <v>14.15</v>
      </c>
      <c r="H66" s="2">
        <v>1</v>
      </c>
    </row>
    <row r="67" spans="1:8" x14ac:dyDescent="0.25">
      <c r="A67" s="2" t="s">
        <v>2244</v>
      </c>
      <c r="B67" s="2" t="s">
        <v>2245</v>
      </c>
      <c r="C67" s="2" t="s">
        <v>2149</v>
      </c>
      <c r="D67" s="2" t="s">
        <v>2150</v>
      </c>
      <c r="E67" s="2">
        <v>18</v>
      </c>
      <c r="F67" s="2">
        <v>9.5</v>
      </c>
      <c r="G67" s="13">
        <f t="shared" si="0"/>
        <v>13.75</v>
      </c>
      <c r="H67" s="2">
        <v>2</v>
      </c>
    </row>
    <row r="68" spans="1:8" x14ac:dyDescent="0.25">
      <c r="A68" s="2" t="s">
        <v>2246</v>
      </c>
      <c r="B68" s="2" t="s">
        <v>2247</v>
      </c>
      <c r="C68" s="2" t="s">
        <v>2149</v>
      </c>
      <c r="D68" s="2" t="s">
        <v>2161</v>
      </c>
      <c r="E68" s="2">
        <v>4.3</v>
      </c>
      <c r="F68" s="2">
        <v>10.1</v>
      </c>
      <c r="G68" s="13">
        <f t="shared" si="0"/>
        <v>7.1999999999999993</v>
      </c>
      <c r="H68" s="2">
        <v>1</v>
      </c>
    </row>
    <row r="69" spans="1:8" x14ac:dyDescent="0.25">
      <c r="A69" s="2" t="s">
        <v>2248</v>
      </c>
      <c r="B69" s="2" t="s">
        <v>2214</v>
      </c>
      <c r="C69" s="2" t="s">
        <v>2160</v>
      </c>
      <c r="D69" s="2" t="s">
        <v>2158</v>
      </c>
      <c r="E69" s="2">
        <v>13.2</v>
      </c>
      <c r="F69" s="2">
        <v>16.5</v>
      </c>
      <c r="G69" s="13">
        <f t="shared" ref="G69:G132" si="1">IFERROR(AVERAGE(E69:F69),"Absent")</f>
        <v>14.85</v>
      </c>
      <c r="H69" s="2">
        <v>1</v>
      </c>
    </row>
    <row r="70" spans="1:8" x14ac:dyDescent="0.25">
      <c r="A70" s="2" t="s">
        <v>2249</v>
      </c>
      <c r="B70" s="2" t="s">
        <v>2250</v>
      </c>
      <c r="C70" s="2" t="s">
        <v>16</v>
      </c>
      <c r="D70" s="2" t="s">
        <v>2155</v>
      </c>
      <c r="E70" s="2">
        <v>8.5</v>
      </c>
      <c r="F70" s="2">
        <v>12.1</v>
      </c>
      <c r="G70" s="13">
        <f t="shared" si="1"/>
        <v>10.3</v>
      </c>
      <c r="H70" s="2">
        <v>1</v>
      </c>
    </row>
    <row r="71" spans="1:8" x14ac:dyDescent="0.25">
      <c r="A71" s="2" t="s">
        <v>2251</v>
      </c>
      <c r="B71" s="2" t="s">
        <v>2252</v>
      </c>
      <c r="C71" s="2" t="s">
        <v>2160</v>
      </c>
      <c r="D71" s="2" t="s">
        <v>2155</v>
      </c>
      <c r="E71" s="2">
        <v>17.7</v>
      </c>
      <c r="F71" s="2">
        <v>5.9</v>
      </c>
      <c r="G71" s="13">
        <f t="shared" si="1"/>
        <v>11.8</v>
      </c>
      <c r="H71" s="2">
        <v>1</v>
      </c>
    </row>
    <row r="72" spans="1:8" x14ac:dyDescent="0.25">
      <c r="A72" s="2" t="s">
        <v>2253</v>
      </c>
      <c r="B72" s="2" t="s">
        <v>2254</v>
      </c>
      <c r="C72" s="2" t="s">
        <v>2167</v>
      </c>
      <c r="D72" s="2" t="s">
        <v>2150</v>
      </c>
      <c r="E72" s="2">
        <v>15.6</v>
      </c>
      <c r="F72" s="2">
        <v>6.5</v>
      </c>
      <c r="G72" s="13">
        <f t="shared" si="1"/>
        <v>11.05</v>
      </c>
      <c r="H72" s="2">
        <v>2</v>
      </c>
    </row>
    <row r="73" spans="1:8" x14ac:dyDescent="0.25">
      <c r="A73" s="2" t="s">
        <v>2255</v>
      </c>
      <c r="B73" s="2" t="s">
        <v>2256</v>
      </c>
      <c r="C73" s="2" t="s">
        <v>2160</v>
      </c>
      <c r="D73" s="2" t="s">
        <v>2155</v>
      </c>
      <c r="E73" s="2">
        <v>16.399999999999999</v>
      </c>
      <c r="F73" s="2">
        <v>13.3</v>
      </c>
      <c r="G73" s="13">
        <f t="shared" si="1"/>
        <v>14.85</v>
      </c>
      <c r="H73" s="2">
        <v>2</v>
      </c>
    </row>
    <row r="74" spans="1:8" x14ac:dyDescent="0.25">
      <c r="A74" s="2" t="s">
        <v>2257</v>
      </c>
      <c r="B74" s="2" t="s">
        <v>2258</v>
      </c>
      <c r="C74" s="2" t="s">
        <v>2160</v>
      </c>
      <c r="D74" s="2" t="s">
        <v>2161</v>
      </c>
      <c r="E74" s="2">
        <v>14.3</v>
      </c>
      <c r="F74" s="2">
        <v>5.8</v>
      </c>
      <c r="G74" s="13">
        <f t="shared" si="1"/>
        <v>10.050000000000001</v>
      </c>
      <c r="H74" s="2">
        <v>1</v>
      </c>
    </row>
    <row r="75" spans="1:8" x14ac:dyDescent="0.25">
      <c r="A75" s="2" t="s">
        <v>2259</v>
      </c>
      <c r="B75" s="2" t="s">
        <v>2260</v>
      </c>
      <c r="C75" s="2" t="s">
        <v>2160</v>
      </c>
      <c r="D75" s="2" t="s">
        <v>2158</v>
      </c>
      <c r="E75" s="2">
        <v>16.399999999999999</v>
      </c>
      <c r="F75" s="2">
        <v>7.4</v>
      </c>
      <c r="G75" s="13">
        <f t="shared" si="1"/>
        <v>11.899999999999999</v>
      </c>
      <c r="H75" s="2">
        <v>2</v>
      </c>
    </row>
    <row r="76" spans="1:8" x14ac:dyDescent="0.25">
      <c r="A76" s="2" t="s">
        <v>2261</v>
      </c>
      <c r="B76" s="2" t="s">
        <v>1628</v>
      </c>
      <c r="C76" s="2" t="s">
        <v>2160</v>
      </c>
      <c r="D76" s="2" t="s">
        <v>2161</v>
      </c>
      <c r="E76" s="2">
        <v>7.2</v>
      </c>
      <c r="F76" s="2">
        <v>10.8</v>
      </c>
      <c r="G76" s="13">
        <f t="shared" si="1"/>
        <v>9</v>
      </c>
      <c r="H76" s="2">
        <v>1</v>
      </c>
    </row>
    <row r="77" spans="1:8" x14ac:dyDescent="0.25">
      <c r="A77" s="2" t="s">
        <v>2262</v>
      </c>
      <c r="B77" s="2" t="s">
        <v>1758</v>
      </c>
      <c r="C77" s="2" t="s">
        <v>2169</v>
      </c>
      <c r="D77" s="2" t="s">
        <v>2150</v>
      </c>
      <c r="E77" s="2">
        <v>3.6</v>
      </c>
      <c r="F77" s="2">
        <v>16.399999999999999</v>
      </c>
      <c r="G77" s="13">
        <f t="shared" si="1"/>
        <v>10</v>
      </c>
      <c r="H77" s="2">
        <v>2</v>
      </c>
    </row>
    <row r="78" spans="1:8" x14ac:dyDescent="0.25">
      <c r="A78" s="2" t="s">
        <v>2263</v>
      </c>
      <c r="B78" s="2" t="s">
        <v>1710</v>
      </c>
      <c r="C78" s="2" t="s">
        <v>2160</v>
      </c>
      <c r="D78" s="2" t="s">
        <v>2158</v>
      </c>
      <c r="E78" s="2">
        <v>8.6</v>
      </c>
      <c r="F78" s="2">
        <v>16</v>
      </c>
      <c r="G78" s="13">
        <f t="shared" si="1"/>
        <v>12.3</v>
      </c>
      <c r="H78" s="2">
        <v>1</v>
      </c>
    </row>
    <row r="79" spans="1:8" x14ac:dyDescent="0.25">
      <c r="A79" s="2" t="s">
        <v>2264</v>
      </c>
      <c r="B79" s="2" t="s">
        <v>1578</v>
      </c>
      <c r="C79" s="2" t="s">
        <v>2160</v>
      </c>
      <c r="D79" s="2" t="s">
        <v>2155</v>
      </c>
      <c r="E79" s="2">
        <v>11.2</v>
      </c>
      <c r="F79" s="2">
        <v>6.4</v>
      </c>
      <c r="G79" s="13">
        <f t="shared" si="1"/>
        <v>8.8000000000000007</v>
      </c>
      <c r="H79" s="2">
        <v>1</v>
      </c>
    </row>
    <row r="80" spans="1:8" x14ac:dyDescent="0.25">
      <c r="A80" s="2" t="s">
        <v>2265</v>
      </c>
      <c r="B80" s="2" t="s">
        <v>2266</v>
      </c>
      <c r="C80" s="2" t="s">
        <v>16</v>
      </c>
      <c r="D80" s="2" t="s">
        <v>2158</v>
      </c>
      <c r="E80" s="2">
        <v>11.3</v>
      </c>
      <c r="F80" s="2">
        <v>13.1</v>
      </c>
      <c r="G80" s="13">
        <f t="shared" si="1"/>
        <v>12.2</v>
      </c>
      <c r="H80" s="2">
        <v>2</v>
      </c>
    </row>
    <row r="81" spans="1:8" x14ac:dyDescent="0.25">
      <c r="A81" s="2" t="s">
        <v>2267</v>
      </c>
      <c r="B81" s="2" t="s">
        <v>1429</v>
      </c>
      <c r="C81" s="2" t="s">
        <v>2167</v>
      </c>
      <c r="D81" s="2" t="s">
        <v>2158</v>
      </c>
      <c r="E81" s="2">
        <v>12</v>
      </c>
      <c r="F81" s="2">
        <v>13.5</v>
      </c>
      <c r="G81" s="13">
        <f t="shared" si="1"/>
        <v>12.75</v>
      </c>
      <c r="H81" s="2">
        <v>1</v>
      </c>
    </row>
    <row r="82" spans="1:8" x14ac:dyDescent="0.25">
      <c r="A82" s="2" t="s">
        <v>2268</v>
      </c>
      <c r="B82" s="2" t="s">
        <v>1701</v>
      </c>
      <c r="C82" s="2" t="s">
        <v>2149</v>
      </c>
      <c r="D82" s="2" t="s">
        <v>2158</v>
      </c>
      <c r="E82" s="2">
        <v>5.5</v>
      </c>
      <c r="F82" s="2">
        <v>10.6</v>
      </c>
      <c r="G82" s="13">
        <f t="shared" si="1"/>
        <v>8.0500000000000007</v>
      </c>
      <c r="H82" s="2">
        <v>2</v>
      </c>
    </row>
    <row r="83" spans="1:8" x14ac:dyDescent="0.25">
      <c r="A83" s="2" t="s">
        <v>2269</v>
      </c>
      <c r="B83" s="2" t="s">
        <v>1335</v>
      </c>
      <c r="C83" s="2" t="s">
        <v>2169</v>
      </c>
      <c r="D83" s="2" t="s">
        <v>2161</v>
      </c>
      <c r="E83" s="2">
        <v>5.6</v>
      </c>
      <c r="F83" s="2">
        <v>11.7</v>
      </c>
      <c r="G83" s="13">
        <f t="shared" si="1"/>
        <v>8.6499999999999986</v>
      </c>
      <c r="H83" s="2">
        <v>2</v>
      </c>
    </row>
    <row r="84" spans="1:8" x14ac:dyDescent="0.25">
      <c r="A84" s="2" t="s">
        <v>2270</v>
      </c>
      <c r="B84" s="2" t="s">
        <v>1655</v>
      </c>
      <c r="C84" s="2" t="s">
        <v>2160</v>
      </c>
      <c r="D84" s="2" t="s">
        <v>2158</v>
      </c>
      <c r="E84" s="2">
        <v>14.7</v>
      </c>
      <c r="F84" s="2">
        <v>10.6</v>
      </c>
      <c r="G84" s="13">
        <f t="shared" si="1"/>
        <v>12.649999999999999</v>
      </c>
      <c r="H84" s="2">
        <v>2</v>
      </c>
    </row>
    <row r="85" spans="1:8" x14ac:dyDescent="0.25">
      <c r="A85" s="2" t="s">
        <v>2271</v>
      </c>
      <c r="B85" s="2" t="s">
        <v>1588</v>
      </c>
      <c r="C85" s="2" t="s">
        <v>2167</v>
      </c>
      <c r="D85" s="2" t="s">
        <v>2161</v>
      </c>
      <c r="E85" s="2">
        <v>13.9</v>
      </c>
      <c r="F85" s="2"/>
      <c r="G85" s="13">
        <f t="shared" si="1"/>
        <v>13.9</v>
      </c>
      <c r="H85" s="2">
        <v>2</v>
      </c>
    </row>
    <row r="86" spans="1:8" x14ac:dyDescent="0.25">
      <c r="A86" s="2" t="s">
        <v>2272</v>
      </c>
      <c r="B86" s="2" t="s">
        <v>1498</v>
      </c>
      <c r="C86" s="2" t="s">
        <v>2167</v>
      </c>
      <c r="D86" s="2" t="s">
        <v>2150</v>
      </c>
      <c r="E86" s="2">
        <v>15.4</v>
      </c>
      <c r="F86" s="2">
        <v>18.3</v>
      </c>
      <c r="G86" s="13">
        <f t="shared" si="1"/>
        <v>16.850000000000001</v>
      </c>
      <c r="H86" s="2">
        <v>1</v>
      </c>
    </row>
    <row r="87" spans="1:8" x14ac:dyDescent="0.25">
      <c r="A87" s="2" t="s">
        <v>2273</v>
      </c>
      <c r="B87" s="2" t="s">
        <v>1708</v>
      </c>
      <c r="C87" s="2" t="s">
        <v>2169</v>
      </c>
      <c r="D87" s="2" t="s">
        <v>2150</v>
      </c>
      <c r="E87" s="2">
        <v>17.8</v>
      </c>
      <c r="F87" s="2">
        <v>17.2</v>
      </c>
      <c r="G87" s="13">
        <f t="shared" si="1"/>
        <v>17.5</v>
      </c>
      <c r="H87" s="2">
        <v>1</v>
      </c>
    </row>
    <row r="88" spans="1:8" x14ac:dyDescent="0.25">
      <c r="A88" s="2" t="s">
        <v>2274</v>
      </c>
      <c r="B88" s="2" t="s">
        <v>2245</v>
      </c>
      <c r="C88" s="2" t="s">
        <v>2160</v>
      </c>
      <c r="D88" s="2" t="s">
        <v>2150</v>
      </c>
      <c r="E88" s="2">
        <v>13.6</v>
      </c>
      <c r="F88" s="2">
        <v>15.6</v>
      </c>
      <c r="G88" s="13">
        <f t="shared" si="1"/>
        <v>14.6</v>
      </c>
      <c r="H88" s="2">
        <v>2</v>
      </c>
    </row>
    <row r="89" spans="1:8" x14ac:dyDescent="0.25">
      <c r="A89" s="2" t="s">
        <v>2275</v>
      </c>
      <c r="B89" s="2" t="s">
        <v>1538</v>
      </c>
      <c r="C89" s="2" t="s">
        <v>2149</v>
      </c>
      <c r="D89" s="2" t="s">
        <v>2150</v>
      </c>
      <c r="E89" s="2">
        <v>10.3</v>
      </c>
      <c r="F89" s="2">
        <v>5.6</v>
      </c>
      <c r="G89" s="13">
        <f t="shared" si="1"/>
        <v>7.95</v>
      </c>
      <c r="H89" s="2">
        <v>2</v>
      </c>
    </row>
    <row r="90" spans="1:8" x14ac:dyDescent="0.25">
      <c r="A90" s="2" t="s">
        <v>2276</v>
      </c>
      <c r="B90" s="2" t="s">
        <v>1518</v>
      </c>
      <c r="C90" s="2" t="s">
        <v>2167</v>
      </c>
      <c r="D90" s="2" t="s">
        <v>2150</v>
      </c>
      <c r="E90" s="2">
        <v>7.9</v>
      </c>
      <c r="F90" s="2">
        <v>6</v>
      </c>
      <c r="G90" s="13">
        <f t="shared" si="1"/>
        <v>6.95</v>
      </c>
      <c r="H90" s="2">
        <v>1</v>
      </c>
    </row>
    <row r="91" spans="1:8" x14ac:dyDescent="0.25">
      <c r="A91" s="2" t="s">
        <v>2277</v>
      </c>
      <c r="B91" s="2" t="s">
        <v>1473</v>
      </c>
      <c r="C91" s="2" t="s">
        <v>16</v>
      </c>
      <c r="D91" s="2" t="s">
        <v>2150</v>
      </c>
      <c r="E91" s="2">
        <v>14</v>
      </c>
      <c r="F91" s="2">
        <v>16.5</v>
      </c>
      <c r="G91" s="13">
        <f t="shared" si="1"/>
        <v>15.25</v>
      </c>
      <c r="H91" s="2">
        <v>2</v>
      </c>
    </row>
    <row r="92" spans="1:8" x14ac:dyDescent="0.25">
      <c r="A92" s="2" t="s">
        <v>2278</v>
      </c>
      <c r="B92" s="2" t="s">
        <v>1316</v>
      </c>
      <c r="C92" s="2" t="s">
        <v>16</v>
      </c>
      <c r="D92" s="2" t="s">
        <v>2161</v>
      </c>
      <c r="E92" s="2">
        <v>4.5999999999999996</v>
      </c>
      <c r="F92" s="2">
        <v>11.8</v>
      </c>
      <c r="G92" s="13">
        <f t="shared" si="1"/>
        <v>8.1999999999999993</v>
      </c>
      <c r="H92" s="2">
        <v>2</v>
      </c>
    </row>
    <row r="93" spans="1:8" x14ac:dyDescent="0.25">
      <c r="A93" s="2" t="s">
        <v>2279</v>
      </c>
      <c r="B93" s="2" t="s">
        <v>1546</v>
      </c>
      <c r="C93" s="2" t="s">
        <v>2149</v>
      </c>
      <c r="D93" s="2" t="s">
        <v>2158</v>
      </c>
      <c r="E93" s="2">
        <v>14.3</v>
      </c>
      <c r="F93" s="2">
        <v>15.2</v>
      </c>
      <c r="G93" s="13">
        <f t="shared" si="1"/>
        <v>14.75</v>
      </c>
      <c r="H93" s="2">
        <v>1</v>
      </c>
    </row>
    <row r="94" spans="1:8" x14ac:dyDescent="0.25">
      <c r="A94" s="2" t="s">
        <v>2280</v>
      </c>
      <c r="B94" s="2" t="s">
        <v>1329</v>
      </c>
      <c r="C94" s="2" t="s">
        <v>2169</v>
      </c>
      <c r="D94" s="2" t="s">
        <v>2161</v>
      </c>
      <c r="E94" s="2">
        <v>9.4</v>
      </c>
      <c r="F94" s="2">
        <v>8.1999999999999993</v>
      </c>
      <c r="G94" s="13">
        <f t="shared" si="1"/>
        <v>8.8000000000000007</v>
      </c>
      <c r="H94" s="2">
        <v>1</v>
      </c>
    </row>
    <row r="95" spans="1:8" x14ac:dyDescent="0.25">
      <c r="A95" s="2" t="s">
        <v>2281</v>
      </c>
      <c r="B95" s="2" t="s">
        <v>1435</v>
      </c>
      <c r="C95" s="2" t="s">
        <v>2149</v>
      </c>
      <c r="D95" s="2" t="s">
        <v>2150</v>
      </c>
      <c r="E95" s="2">
        <v>8.5</v>
      </c>
      <c r="F95" s="2">
        <v>13.7</v>
      </c>
      <c r="G95" s="13">
        <f t="shared" si="1"/>
        <v>11.1</v>
      </c>
      <c r="H95" s="2">
        <v>1</v>
      </c>
    </row>
    <row r="96" spans="1:8" x14ac:dyDescent="0.25">
      <c r="A96" s="2" t="s">
        <v>2282</v>
      </c>
      <c r="B96" s="2" t="s">
        <v>2283</v>
      </c>
      <c r="C96" s="2" t="s">
        <v>2169</v>
      </c>
      <c r="D96" s="2" t="s">
        <v>2161</v>
      </c>
      <c r="E96" s="2">
        <v>8.9</v>
      </c>
      <c r="F96" s="2">
        <v>8.4</v>
      </c>
      <c r="G96" s="13">
        <f t="shared" si="1"/>
        <v>8.65</v>
      </c>
      <c r="H96" s="2">
        <v>1</v>
      </c>
    </row>
    <row r="97" spans="1:8" x14ac:dyDescent="0.25">
      <c r="A97" s="2" t="s">
        <v>2284</v>
      </c>
      <c r="B97" s="2" t="s">
        <v>2285</v>
      </c>
      <c r="C97" s="2" t="s">
        <v>2149</v>
      </c>
      <c r="D97" s="2" t="s">
        <v>2158</v>
      </c>
      <c r="E97" s="2">
        <v>13.3</v>
      </c>
      <c r="F97" s="2">
        <v>5.2</v>
      </c>
      <c r="G97" s="13">
        <f t="shared" si="1"/>
        <v>9.25</v>
      </c>
      <c r="H97" s="2">
        <v>2</v>
      </c>
    </row>
    <row r="98" spans="1:8" x14ac:dyDescent="0.25">
      <c r="A98" s="2" t="s">
        <v>2286</v>
      </c>
      <c r="B98" s="2" t="s">
        <v>1384</v>
      </c>
      <c r="C98" s="2" t="s">
        <v>2149</v>
      </c>
      <c r="D98" s="2" t="s">
        <v>2158</v>
      </c>
      <c r="E98" s="2">
        <v>4.5</v>
      </c>
      <c r="F98" s="2">
        <v>9.1</v>
      </c>
      <c r="G98" s="13">
        <f t="shared" si="1"/>
        <v>6.8</v>
      </c>
      <c r="H98" s="2">
        <v>2</v>
      </c>
    </row>
    <row r="99" spans="1:8" x14ac:dyDescent="0.25">
      <c r="A99" s="2" t="s">
        <v>2287</v>
      </c>
      <c r="B99" s="2" t="s">
        <v>1489</v>
      </c>
      <c r="C99" s="2" t="s">
        <v>16</v>
      </c>
      <c r="D99" s="2" t="s">
        <v>2150</v>
      </c>
      <c r="E99" s="2">
        <v>9.1999999999999993</v>
      </c>
      <c r="F99" s="2">
        <v>16.100000000000001</v>
      </c>
      <c r="G99" s="13">
        <f t="shared" si="1"/>
        <v>12.65</v>
      </c>
      <c r="H99" s="2">
        <v>1</v>
      </c>
    </row>
    <row r="100" spans="1:8" x14ac:dyDescent="0.25">
      <c r="A100" s="2" t="s">
        <v>2288</v>
      </c>
      <c r="B100" s="2" t="s">
        <v>1443</v>
      </c>
      <c r="C100" s="2" t="s">
        <v>2167</v>
      </c>
      <c r="D100" s="2" t="s">
        <v>2158</v>
      </c>
      <c r="E100" s="2">
        <v>9.4</v>
      </c>
      <c r="F100" s="2">
        <v>11.3</v>
      </c>
      <c r="G100" s="13">
        <f t="shared" si="1"/>
        <v>10.350000000000001</v>
      </c>
      <c r="H100" s="2">
        <v>1</v>
      </c>
    </row>
    <row r="101" spans="1:8" x14ac:dyDescent="0.25">
      <c r="A101" s="2" t="s">
        <v>2289</v>
      </c>
      <c r="B101" s="2" t="s">
        <v>1630</v>
      </c>
      <c r="C101" s="2" t="s">
        <v>2160</v>
      </c>
      <c r="D101" s="2" t="s">
        <v>2150</v>
      </c>
      <c r="E101" s="2">
        <v>13.5</v>
      </c>
      <c r="F101" s="2">
        <v>9.5</v>
      </c>
      <c r="G101" s="13">
        <f t="shared" si="1"/>
        <v>11.5</v>
      </c>
      <c r="H101" s="2">
        <v>2</v>
      </c>
    </row>
    <row r="102" spans="1:8" x14ac:dyDescent="0.25">
      <c r="A102" s="2" t="s">
        <v>2290</v>
      </c>
      <c r="B102" s="2" t="s">
        <v>2291</v>
      </c>
      <c r="C102" s="2" t="s">
        <v>2167</v>
      </c>
      <c r="D102" s="2" t="s">
        <v>2158</v>
      </c>
      <c r="E102" s="2">
        <v>14</v>
      </c>
      <c r="F102" s="2">
        <v>3.2</v>
      </c>
      <c r="G102" s="13">
        <f t="shared" si="1"/>
        <v>8.6</v>
      </c>
      <c r="H102" s="2">
        <v>2</v>
      </c>
    </row>
    <row r="103" spans="1:8" x14ac:dyDescent="0.25">
      <c r="A103" s="2" t="s">
        <v>2292</v>
      </c>
      <c r="B103" s="2" t="s">
        <v>1456</v>
      </c>
      <c r="C103" s="2" t="s">
        <v>2169</v>
      </c>
      <c r="D103" s="2" t="s">
        <v>2158</v>
      </c>
      <c r="E103" s="2">
        <v>7.1</v>
      </c>
      <c r="F103" s="2">
        <v>13.1</v>
      </c>
      <c r="G103" s="13">
        <f t="shared" si="1"/>
        <v>10.1</v>
      </c>
      <c r="H103" s="2">
        <v>2</v>
      </c>
    </row>
    <row r="104" spans="1:8" x14ac:dyDescent="0.25">
      <c r="A104" s="2" t="s">
        <v>2293</v>
      </c>
      <c r="B104" s="2" t="s">
        <v>1333</v>
      </c>
      <c r="C104" s="2" t="s">
        <v>2149</v>
      </c>
      <c r="D104" s="2" t="s">
        <v>2161</v>
      </c>
      <c r="E104" s="2">
        <v>14.4</v>
      </c>
      <c r="F104" s="2">
        <v>16.5</v>
      </c>
      <c r="G104" s="13">
        <f t="shared" si="1"/>
        <v>15.45</v>
      </c>
      <c r="H104" s="2">
        <v>2</v>
      </c>
    </row>
    <row r="105" spans="1:8" x14ac:dyDescent="0.25">
      <c r="A105" s="2" t="s">
        <v>2294</v>
      </c>
      <c r="B105" s="2" t="s">
        <v>2295</v>
      </c>
      <c r="C105" s="2" t="s">
        <v>2169</v>
      </c>
      <c r="D105" s="2" t="s">
        <v>2158</v>
      </c>
      <c r="E105" s="2">
        <v>16.899999999999999</v>
      </c>
      <c r="F105" s="2">
        <v>4.3</v>
      </c>
      <c r="G105" s="13">
        <f t="shared" si="1"/>
        <v>10.6</v>
      </c>
      <c r="H105" s="2">
        <v>1</v>
      </c>
    </row>
    <row r="106" spans="1:8" x14ac:dyDescent="0.25">
      <c r="A106" s="2" t="s">
        <v>2296</v>
      </c>
      <c r="B106" s="2" t="s">
        <v>2172</v>
      </c>
      <c r="C106" s="2" t="s">
        <v>2167</v>
      </c>
      <c r="D106" s="2" t="s">
        <v>2161</v>
      </c>
      <c r="E106" s="2">
        <v>11.2</v>
      </c>
      <c r="F106" s="2">
        <v>12.8</v>
      </c>
      <c r="G106" s="13">
        <f t="shared" si="1"/>
        <v>12</v>
      </c>
      <c r="H106" s="2">
        <v>2</v>
      </c>
    </row>
    <row r="107" spans="1:8" x14ac:dyDescent="0.25">
      <c r="A107" s="2" t="s">
        <v>2297</v>
      </c>
      <c r="B107" s="2" t="s">
        <v>1542</v>
      </c>
      <c r="C107" s="2" t="s">
        <v>2167</v>
      </c>
      <c r="D107" s="2" t="s">
        <v>2158</v>
      </c>
      <c r="E107" s="2">
        <v>3.6</v>
      </c>
      <c r="F107" s="2">
        <v>16.899999999999999</v>
      </c>
      <c r="G107" s="13">
        <f t="shared" si="1"/>
        <v>10.25</v>
      </c>
      <c r="H107" s="2">
        <v>2</v>
      </c>
    </row>
    <row r="108" spans="1:8" x14ac:dyDescent="0.25">
      <c r="A108" s="2" t="s">
        <v>2298</v>
      </c>
      <c r="B108" s="2" t="s">
        <v>2299</v>
      </c>
      <c r="C108" s="2" t="s">
        <v>2160</v>
      </c>
      <c r="D108" s="2" t="s">
        <v>2150</v>
      </c>
      <c r="E108" s="2">
        <v>9.8000000000000007</v>
      </c>
      <c r="F108" s="2">
        <v>13.8</v>
      </c>
      <c r="G108" s="13">
        <f t="shared" si="1"/>
        <v>11.8</v>
      </c>
      <c r="H108" s="2">
        <v>2</v>
      </c>
    </row>
    <row r="109" spans="1:8" x14ac:dyDescent="0.25">
      <c r="A109" s="2" t="s">
        <v>2300</v>
      </c>
      <c r="B109" s="2" t="s">
        <v>1437</v>
      </c>
      <c r="C109" s="2" t="s">
        <v>2167</v>
      </c>
      <c r="D109" s="2" t="s">
        <v>2155</v>
      </c>
      <c r="E109" s="2">
        <v>8.6999999999999993</v>
      </c>
      <c r="F109" s="2">
        <v>3.3</v>
      </c>
      <c r="G109" s="13">
        <f t="shared" si="1"/>
        <v>6</v>
      </c>
      <c r="H109" s="2">
        <v>2</v>
      </c>
    </row>
    <row r="110" spans="1:8" x14ac:dyDescent="0.25">
      <c r="A110" s="2" t="s">
        <v>2301</v>
      </c>
      <c r="B110" s="2" t="s">
        <v>1720</v>
      </c>
      <c r="C110" s="2" t="s">
        <v>2149</v>
      </c>
      <c r="D110" s="2" t="s">
        <v>2155</v>
      </c>
      <c r="E110" s="2">
        <v>14.7</v>
      </c>
      <c r="F110" s="2">
        <v>11.5</v>
      </c>
      <c r="G110" s="13">
        <f t="shared" si="1"/>
        <v>13.1</v>
      </c>
      <c r="H110" s="2">
        <v>1</v>
      </c>
    </row>
    <row r="111" spans="1:8" x14ac:dyDescent="0.25">
      <c r="A111" s="2" t="s">
        <v>2302</v>
      </c>
      <c r="B111" s="2" t="s">
        <v>2303</v>
      </c>
      <c r="C111" s="2" t="s">
        <v>2160</v>
      </c>
      <c r="D111" s="2" t="s">
        <v>2158</v>
      </c>
      <c r="E111" s="2">
        <v>5</v>
      </c>
      <c r="F111" s="2">
        <v>5.3</v>
      </c>
      <c r="G111" s="13">
        <f t="shared" si="1"/>
        <v>5.15</v>
      </c>
      <c r="H111" s="2">
        <v>2</v>
      </c>
    </row>
    <row r="112" spans="1:8" x14ac:dyDescent="0.25">
      <c r="A112" s="2" t="s">
        <v>2304</v>
      </c>
      <c r="B112" s="2" t="s">
        <v>1462</v>
      </c>
      <c r="C112" s="2" t="s">
        <v>16</v>
      </c>
      <c r="D112" s="2" t="s">
        <v>2155</v>
      </c>
      <c r="E112" s="2">
        <v>14</v>
      </c>
      <c r="F112" s="2">
        <v>6.9</v>
      </c>
      <c r="G112" s="13">
        <f t="shared" si="1"/>
        <v>10.45</v>
      </c>
      <c r="H112" s="2">
        <v>1</v>
      </c>
    </row>
    <row r="113" spans="1:8" x14ac:dyDescent="0.25">
      <c r="A113" s="2" t="s">
        <v>2305</v>
      </c>
      <c r="B113" s="2" t="s">
        <v>2306</v>
      </c>
      <c r="C113" s="2" t="s">
        <v>16</v>
      </c>
      <c r="D113" s="2" t="s">
        <v>2155</v>
      </c>
      <c r="E113" s="2">
        <v>8.1999999999999993</v>
      </c>
      <c r="F113" s="2">
        <v>3.6</v>
      </c>
      <c r="G113" s="13">
        <f t="shared" si="1"/>
        <v>5.8999999999999995</v>
      </c>
      <c r="H113" s="2">
        <v>2</v>
      </c>
    </row>
    <row r="114" spans="1:8" x14ac:dyDescent="0.25">
      <c r="A114" s="2" t="s">
        <v>2307</v>
      </c>
      <c r="B114" s="2" t="s">
        <v>1533</v>
      </c>
      <c r="C114" s="2" t="s">
        <v>2167</v>
      </c>
      <c r="D114" s="2" t="s">
        <v>2150</v>
      </c>
      <c r="E114" s="2">
        <v>17.8</v>
      </c>
      <c r="F114" s="2">
        <v>15</v>
      </c>
      <c r="G114" s="13">
        <f t="shared" si="1"/>
        <v>16.399999999999999</v>
      </c>
      <c r="H114" s="2">
        <v>2</v>
      </c>
    </row>
    <row r="115" spans="1:8" x14ac:dyDescent="0.25">
      <c r="A115" s="2" t="s">
        <v>2308</v>
      </c>
      <c r="B115" s="2" t="s">
        <v>2309</v>
      </c>
      <c r="C115" s="2" t="s">
        <v>2167</v>
      </c>
      <c r="D115" s="2" t="s">
        <v>2150</v>
      </c>
      <c r="E115" s="2">
        <v>14.5</v>
      </c>
      <c r="F115" s="2">
        <v>14.9</v>
      </c>
      <c r="G115" s="13">
        <f t="shared" si="1"/>
        <v>14.7</v>
      </c>
      <c r="H115" s="2">
        <v>2</v>
      </c>
    </row>
    <row r="116" spans="1:8" x14ac:dyDescent="0.25">
      <c r="A116" s="2" t="s">
        <v>2310</v>
      </c>
      <c r="B116" s="2" t="s">
        <v>2311</v>
      </c>
      <c r="C116" s="2" t="s">
        <v>2167</v>
      </c>
      <c r="D116" s="2" t="s">
        <v>2158</v>
      </c>
      <c r="E116" s="2">
        <v>18.899999999999999</v>
      </c>
      <c r="F116" s="2">
        <v>12.8</v>
      </c>
      <c r="G116" s="13">
        <f t="shared" si="1"/>
        <v>15.85</v>
      </c>
      <c r="H116" s="2">
        <v>2</v>
      </c>
    </row>
    <row r="117" spans="1:8" x14ac:dyDescent="0.25">
      <c r="A117" s="2" t="s">
        <v>2312</v>
      </c>
      <c r="B117" s="2" t="s">
        <v>2313</v>
      </c>
      <c r="C117" s="2" t="s">
        <v>2160</v>
      </c>
      <c r="D117" s="2" t="s">
        <v>2155</v>
      </c>
      <c r="E117" s="2">
        <v>6.4</v>
      </c>
      <c r="F117" s="2">
        <v>18</v>
      </c>
      <c r="G117" s="13">
        <f t="shared" si="1"/>
        <v>12.2</v>
      </c>
      <c r="H117" s="2">
        <v>2</v>
      </c>
    </row>
    <row r="118" spans="1:8" x14ac:dyDescent="0.25">
      <c r="A118" s="2" t="s">
        <v>2314</v>
      </c>
      <c r="B118" s="2" t="s">
        <v>2315</v>
      </c>
      <c r="C118" s="2" t="s">
        <v>2167</v>
      </c>
      <c r="D118" s="2" t="s">
        <v>2161</v>
      </c>
      <c r="E118" s="2"/>
      <c r="F118" s="2">
        <v>13.9</v>
      </c>
      <c r="G118" s="13">
        <f t="shared" si="1"/>
        <v>13.9</v>
      </c>
      <c r="H118" s="2">
        <v>1</v>
      </c>
    </row>
    <row r="119" spans="1:8" x14ac:dyDescent="0.25">
      <c r="A119" s="2" t="s">
        <v>2316</v>
      </c>
      <c r="B119" s="2" t="s">
        <v>1701</v>
      </c>
      <c r="C119" s="2" t="s">
        <v>2149</v>
      </c>
      <c r="D119" s="2" t="s">
        <v>2150</v>
      </c>
      <c r="E119" s="2">
        <v>7.4</v>
      </c>
      <c r="F119" s="2">
        <v>10.4</v>
      </c>
      <c r="G119" s="13">
        <f t="shared" si="1"/>
        <v>8.9</v>
      </c>
      <c r="H119" s="2">
        <v>1</v>
      </c>
    </row>
    <row r="120" spans="1:8" x14ac:dyDescent="0.25">
      <c r="A120" s="2" t="s">
        <v>2317</v>
      </c>
      <c r="B120" s="2" t="s">
        <v>2318</v>
      </c>
      <c r="C120" s="2" t="s">
        <v>2169</v>
      </c>
      <c r="D120" s="2" t="s">
        <v>2161</v>
      </c>
      <c r="E120" s="2">
        <v>14.3</v>
      </c>
      <c r="F120" s="2">
        <v>6.5</v>
      </c>
      <c r="G120" s="13">
        <f t="shared" si="1"/>
        <v>10.4</v>
      </c>
      <c r="H120" s="2">
        <v>2</v>
      </c>
    </row>
    <row r="121" spans="1:8" x14ac:dyDescent="0.25">
      <c r="A121" s="2" t="s">
        <v>2319</v>
      </c>
      <c r="B121" s="2" t="s">
        <v>1726</v>
      </c>
      <c r="C121" s="2" t="s">
        <v>2169</v>
      </c>
      <c r="D121" s="2" t="s">
        <v>2155</v>
      </c>
      <c r="E121" s="2">
        <v>13.2</v>
      </c>
      <c r="F121" s="2">
        <v>8.3000000000000007</v>
      </c>
      <c r="G121" s="13">
        <f t="shared" si="1"/>
        <v>10.75</v>
      </c>
      <c r="H121" s="2">
        <v>2</v>
      </c>
    </row>
    <row r="122" spans="1:8" x14ac:dyDescent="0.25">
      <c r="A122" s="2" t="s">
        <v>2320</v>
      </c>
      <c r="B122" s="2" t="s">
        <v>1706</v>
      </c>
      <c r="C122" s="2" t="s">
        <v>16</v>
      </c>
      <c r="D122" s="2" t="s">
        <v>2161</v>
      </c>
      <c r="E122" s="2">
        <v>8.4</v>
      </c>
      <c r="F122" s="2">
        <v>8.5</v>
      </c>
      <c r="G122" s="13">
        <f t="shared" si="1"/>
        <v>8.4499999999999993</v>
      </c>
      <c r="H122" s="2">
        <v>1</v>
      </c>
    </row>
    <row r="123" spans="1:8" x14ac:dyDescent="0.25">
      <c r="A123" s="2" t="s">
        <v>2321</v>
      </c>
      <c r="B123" s="2" t="s">
        <v>1349</v>
      </c>
      <c r="C123" s="2" t="s">
        <v>16</v>
      </c>
      <c r="D123" s="2" t="s">
        <v>2155</v>
      </c>
      <c r="E123" s="2">
        <v>11.5</v>
      </c>
      <c r="F123" s="2">
        <v>5.7</v>
      </c>
      <c r="G123" s="13">
        <f t="shared" si="1"/>
        <v>8.6</v>
      </c>
      <c r="H123" s="2">
        <v>1</v>
      </c>
    </row>
    <row r="124" spans="1:8" x14ac:dyDescent="0.25">
      <c r="A124" s="2" t="s">
        <v>2322</v>
      </c>
      <c r="B124" s="2" t="s">
        <v>1366</v>
      </c>
      <c r="C124" s="2" t="s">
        <v>2149</v>
      </c>
      <c r="D124" s="2" t="s">
        <v>2158</v>
      </c>
      <c r="E124" s="2">
        <v>13.1</v>
      </c>
      <c r="F124" s="2">
        <v>12</v>
      </c>
      <c r="G124" s="13">
        <f t="shared" si="1"/>
        <v>12.55</v>
      </c>
      <c r="H124" s="2">
        <v>2</v>
      </c>
    </row>
    <row r="125" spans="1:8" x14ac:dyDescent="0.25">
      <c r="A125" s="2" t="s">
        <v>2323</v>
      </c>
      <c r="B125" s="2" t="s">
        <v>2324</v>
      </c>
      <c r="C125" s="2" t="s">
        <v>2149</v>
      </c>
      <c r="D125" s="2" t="s">
        <v>2150</v>
      </c>
      <c r="E125" s="2">
        <v>7.7</v>
      </c>
      <c r="F125" s="2">
        <v>8</v>
      </c>
      <c r="G125" s="13">
        <f t="shared" si="1"/>
        <v>7.85</v>
      </c>
      <c r="H125" s="2">
        <v>2</v>
      </c>
    </row>
    <row r="126" spans="1:8" x14ac:dyDescent="0.25">
      <c r="A126" s="2" t="s">
        <v>2325</v>
      </c>
      <c r="B126" s="2" t="s">
        <v>2214</v>
      </c>
      <c r="C126" s="2" t="s">
        <v>2169</v>
      </c>
      <c r="D126" s="2" t="s">
        <v>2161</v>
      </c>
      <c r="E126" s="2">
        <v>12</v>
      </c>
      <c r="F126" s="2">
        <v>9.6</v>
      </c>
      <c r="G126" s="13">
        <f t="shared" si="1"/>
        <v>10.8</v>
      </c>
      <c r="H126" s="2">
        <v>1</v>
      </c>
    </row>
    <row r="127" spans="1:8" x14ac:dyDescent="0.25">
      <c r="A127" s="2" t="s">
        <v>2326</v>
      </c>
      <c r="B127" s="2" t="s">
        <v>2327</v>
      </c>
      <c r="C127" s="2" t="s">
        <v>2167</v>
      </c>
      <c r="D127" s="2" t="s">
        <v>2155</v>
      </c>
      <c r="E127" s="2">
        <v>9</v>
      </c>
      <c r="F127" s="2">
        <v>11.6</v>
      </c>
      <c r="G127" s="13">
        <f t="shared" si="1"/>
        <v>10.3</v>
      </c>
      <c r="H127" s="2">
        <v>2</v>
      </c>
    </row>
    <row r="128" spans="1:8" x14ac:dyDescent="0.25">
      <c r="A128" s="2" t="s">
        <v>2328</v>
      </c>
      <c r="B128" s="2" t="s">
        <v>1536</v>
      </c>
      <c r="C128" s="2" t="s">
        <v>2149</v>
      </c>
      <c r="D128" s="2" t="s">
        <v>2150</v>
      </c>
      <c r="E128" s="2">
        <v>6.5</v>
      </c>
      <c r="F128" s="2">
        <v>18.899999999999999</v>
      </c>
      <c r="G128" s="13">
        <f t="shared" si="1"/>
        <v>12.7</v>
      </c>
      <c r="H128" s="2">
        <v>2</v>
      </c>
    </row>
    <row r="129" spans="1:8" x14ac:dyDescent="0.25">
      <c r="A129" s="2" t="s">
        <v>2329</v>
      </c>
      <c r="B129" s="2" t="s">
        <v>1518</v>
      </c>
      <c r="C129" s="2" t="s">
        <v>2169</v>
      </c>
      <c r="D129" s="2" t="s">
        <v>2158</v>
      </c>
      <c r="E129" s="2">
        <v>11.8</v>
      </c>
      <c r="F129" s="2">
        <v>8.6</v>
      </c>
      <c r="G129" s="13">
        <f t="shared" si="1"/>
        <v>10.199999999999999</v>
      </c>
      <c r="H129" s="2">
        <v>2</v>
      </c>
    </row>
    <row r="130" spans="1:8" x14ac:dyDescent="0.25">
      <c r="A130" s="2" t="s">
        <v>2330</v>
      </c>
      <c r="B130" s="2" t="s">
        <v>2331</v>
      </c>
      <c r="C130" s="2" t="s">
        <v>2169</v>
      </c>
      <c r="D130" s="2" t="s">
        <v>2161</v>
      </c>
      <c r="E130" s="2">
        <v>15.3</v>
      </c>
      <c r="F130" s="2">
        <v>13.1</v>
      </c>
      <c r="G130" s="13">
        <f t="shared" si="1"/>
        <v>14.2</v>
      </c>
      <c r="H130" s="2">
        <v>1</v>
      </c>
    </row>
    <row r="131" spans="1:8" x14ac:dyDescent="0.25">
      <c r="A131" s="2" t="s">
        <v>2332</v>
      </c>
      <c r="B131" s="2" t="s">
        <v>1527</v>
      </c>
      <c r="C131" s="2" t="s">
        <v>16</v>
      </c>
      <c r="D131" s="2" t="s">
        <v>2150</v>
      </c>
      <c r="E131" s="2">
        <v>16.7</v>
      </c>
      <c r="F131" s="2">
        <v>10.9</v>
      </c>
      <c r="G131" s="13">
        <f t="shared" si="1"/>
        <v>13.8</v>
      </c>
      <c r="H131" s="2">
        <v>1</v>
      </c>
    </row>
    <row r="132" spans="1:8" x14ac:dyDescent="0.25">
      <c r="A132" s="2" t="s">
        <v>2333</v>
      </c>
      <c r="B132" s="2" t="s">
        <v>2334</v>
      </c>
      <c r="C132" s="2" t="s">
        <v>2149</v>
      </c>
      <c r="D132" s="2" t="s">
        <v>2155</v>
      </c>
      <c r="E132" s="2">
        <v>9.4</v>
      </c>
      <c r="F132" s="2">
        <v>3.1</v>
      </c>
      <c r="G132" s="13">
        <f t="shared" si="1"/>
        <v>6.25</v>
      </c>
      <c r="H132" s="2">
        <v>2</v>
      </c>
    </row>
    <row r="133" spans="1:8" x14ac:dyDescent="0.25">
      <c r="A133" s="2" t="s">
        <v>2335</v>
      </c>
      <c r="B133" s="2" t="s">
        <v>1522</v>
      </c>
      <c r="C133" s="2" t="s">
        <v>2149</v>
      </c>
      <c r="D133" s="2" t="s">
        <v>2155</v>
      </c>
      <c r="E133" s="2">
        <v>12.3</v>
      </c>
      <c r="F133" s="2">
        <v>9.6999999999999993</v>
      </c>
      <c r="G133" s="13">
        <f t="shared" ref="G133:G196" si="2">IFERROR(AVERAGE(E133:F133),"Absent")</f>
        <v>11</v>
      </c>
      <c r="H133" s="2">
        <v>1</v>
      </c>
    </row>
    <row r="134" spans="1:8" x14ac:dyDescent="0.25">
      <c r="A134" s="2" t="s">
        <v>2336</v>
      </c>
      <c r="B134" s="2" t="s">
        <v>2337</v>
      </c>
      <c r="C134" s="2" t="s">
        <v>2169</v>
      </c>
      <c r="D134" s="2" t="s">
        <v>2161</v>
      </c>
      <c r="E134" s="2">
        <v>5.2</v>
      </c>
      <c r="F134" s="2">
        <v>12.9</v>
      </c>
      <c r="G134" s="13">
        <f t="shared" si="2"/>
        <v>9.0500000000000007</v>
      </c>
      <c r="H134" s="2">
        <v>1</v>
      </c>
    </row>
    <row r="135" spans="1:8" x14ac:dyDescent="0.25">
      <c r="A135" s="2" t="s">
        <v>2338</v>
      </c>
      <c r="B135" s="2" t="s">
        <v>1540</v>
      </c>
      <c r="C135" s="2" t="s">
        <v>2167</v>
      </c>
      <c r="D135" s="2" t="s">
        <v>2158</v>
      </c>
      <c r="E135" s="2">
        <v>8.1999999999999993</v>
      </c>
      <c r="F135" s="2">
        <v>7</v>
      </c>
      <c r="G135" s="13">
        <f t="shared" si="2"/>
        <v>7.6</v>
      </c>
      <c r="H135" s="2">
        <v>1</v>
      </c>
    </row>
    <row r="136" spans="1:8" x14ac:dyDescent="0.25">
      <c r="A136" s="2" t="s">
        <v>2339</v>
      </c>
      <c r="B136" s="2" t="s">
        <v>1659</v>
      </c>
      <c r="C136" s="2" t="s">
        <v>2169</v>
      </c>
      <c r="D136" s="2" t="s">
        <v>2150</v>
      </c>
      <c r="E136" s="2">
        <v>14.9</v>
      </c>
      <c r="F136" s="2">
        <v>17.100000000000001</v>
      </c>
      <c r="G136" s="13">
        <f t="shared" si="2"/>
        <v>16</v>
      </c>
      <c r="H136" s="2">
        <v>1</v>
      </c>
    </row>
    <row r="137" spans="1:8" x14ac:dyDescent="0.25">
      <c r="A137" s="2" t="s">
        <v>2340</v>
      </c>
      <c r="B137" s="2" t="s">
        <v>2341</v>
      </c>
      <c r="C137" s="2" t="s">
        <v>16</v>
      </c>
      <c r="D137" s="2" t="s">
        <v>2150</v>
      </c>
      <c r="E137" s="2">
        <v>10.3</v>
      </c>
      <c r="F137" s="2">
        <v>14.6</v>
      </c>
      <c r="G137" s="13">
        <f t="shared" si="2"/>
        <v>12.45</v>
      </c>
      <c r="H137" s="2">
        <v>2</v>
      </c>
    </row>
    <row r="138" spans="1:8" x14ac:dyDescent="0.25">
      <c r="A138" s="2" t="s">
        <v>2342</v>
      </c>
      <c r="B138" s="2" t="s">
        <v>2234</v>
      </c>
      <c r="C138" s="2" t="s">
        <v>2169</v>
      </c>
      <c r="D138" s="2" t="s">
        <v>2161</v>
      </c>
      <c r="E138" s="2">
        <v>5.0999999999999996</v>
      </c>
      <c r="F138" s="2">
        <v>4</v>
      </c>
      <c r="G138" s="13">
        <f t="shared" si="2"/>
        <v>4.55</v>
      </c>
      <c r="H138" s="2">
        <v>2</v>
      </c>
    </row>
    <row r="139" spans="1:8" x14ac:dyDescent="0.25">
      <c r="A139" s="2" t="s">
        <v>2343</v>
      </c>
      <c r="B139" s="2" t="s">
        <v>2341</v>
      </c>
      <c r="C139" s="2" t="s">
        <v>16</v>
      </c>
      <c r="D139" s="2" t="s">
        <v>2155</v>
      </c>
      <c r="E139" s="2">
        <v>6.9</v>
      </c>
      <c r="F139" s="2">
        <v>12.7</v>
      </c>
      <c r="G139" s="13">
        <f t="shared" si="2"/>
        <v>9.8000000000000007</v>
      </c>
      <c r="H139" s="2">
        <v>2</v>
      </c>
    </row>
    <row r="140" spans="1:8" x14ac:dyDescent="0.25">
      <c r="A140" s="2" t="s">
        <v>2344</v>
      </c>
      <c r="B140" s="2" t="s">
        <v>2345</v>
      </c>
      <c r="C140" s="2" t="s">
        <v>2167</v>
      </c>
      <c r="D140" s="2" t="s">
        <v>2155</v>
      </c>
      <c r="E140" s="2">
        <v>17</v>
      </c>
      <c r="F140" s="2">
        <v>17.5</v>
      </c>
      <c r="G140" s="13">
        <f t="shared" si="2"/>
        <v>17.25</v>
      </c>
      <c r="H140" s="2">
        <v>1</v>
      </c>
    </row>
    <row r="141" spans="1:8" x14ac:dyDescent="0.25">
      <c r="A141" s="2" t="s">
        <v>2346</v>
      </c>
      <c r="B141" s="2" t="s">
        <v>2347</v>
      </c>
      <c r="C141" s="2" t="s">
        <v>16</v>
      </c>
      <c r="D141" s="2" t="s">
        <v>2155</v>
      </c>
      <c r="E141" s="2">
        <v>13.9</v>
      </c>
      <c r="F141" s="2">
        <v>9.5</v>
      </c>
      <c r="G141" s="13">
        <f t="shared" si="2"/>
        <v>11.7</v>
      </c>
      <c r="H141" s="2">
        <v>2</v>
      </c>
    </row>
    <row r="142" spans="1:8" x14ac:dyDescent="0.25">
      <c r="A142" s="2" t="s">
        <v>2348</v>
      </c>
      <c r="B142" s="2" t="s">
        <v>1550</v>
      </c>
      <c r="C142" s="2" t="s">
        <v>2169</v>
      </c>
      <c r="D142" s="2" t="s">
        <v>2155</v>
      </c>
      <c r="E142" s="2">
        <v>18.3</v>
      </c>
      <c r="F142" s="2">
        <v>17.100000000000001</v>
      </c>
      <c r="G142" s="13">
        <f t="shared" si="2"/>
        <v>17.700000000000003</v>
      </c>
      <c r="H142" s="2">
        <v>2</v>
      </c>
    </row>
    <row r="143" spans="1:8" x14ac:dyDescent="0.25">
      <c r="A143" s="2" t="s">
        <v>2349</v>
      </c>
      <c r="B143" s="2" t="s">
        <v>1388</v>
      </c>
      <c r="C143" s="2" t="s">
        <v>2167</v>
      </c>
      <c r="D143" s="2" t="s">
        <v>2158</v>
      </c>
      <c r="E143" s="2">
        <v>10.7</v>
      </c>
      <c r="F143" s="2">
        <v>14.6</v>
      </c>
      <c r="G143" s="13">
        <f t="shared" si="2"/>
        <v>12.649999999999999</v>
      </c>
      <c r="H143" s="2">
        <v>2</v>
      </c>
    </row>
    <row r="144" spans="1:8" x14ac:dyDescent="0.25">
      <c r="A144" s="2" t="s">
        <v>2350</v>
      </c>
      <c r="B144" s="2" t="s">
        <v>2172</v>
      </c>
      <c r="C144" s="2" t="s">
        <v>2167</v>
      </c>
      <c r="D144" s="2" t="s">
        <v>2155</v>
      </c>
      <c r="E144" s="2">
        <v>14.5</v>
      </c>
      <c r="F144" s="2">
        <v>11.2</v>
      </c>
      <c r="G144" s="13">
        <f t="shared" si="2"/>
        <v>12.85</v>
      </c>
      <c r="H144" s="2">
        <v>1</v>
      </c>
    </row>
    <row r="145" spans="1:8" x14ac:dyDescent="0.25">
      <c r="A145" s="2" t="s">
        <v>2351</v>
      </c>
      <c r="B145" s="2" t="s">
        <v>2352</v>
      </c>
      <c r="C145" s="2" t="s">
        <v>2149</v>
      </c>
      <c r="D145" s="2" t="s">
        <v>2158</v>
      </c>
      <c r="E145" s="2">
        <v>16.600000000000001</v>
      </c>
      <c r="F145" s="2">
        <v>15.1</v>
      </c>
      <c r="G145" s="13">
        <f t="shared" si="2"/>
        <v>15.850000000000001</v>
      </c>
      <c r="H145" s="2">
        <v>2</v>
      </c>
    </row>
    <row r="146" spans="1:8" x14ac:dyDescent="0.25">
      <c r="A146" s="2" t="s">
        <v>2353</v>
      </c>
      <c r="B146" s="2" t="s">
        <v>2354</v>
      </c>
      <c r="C146" s="2" t="s">
        <v>2160</v>
      </c>
      <c r="D146" s="2" t="s">
        <v>2155</v>
      </c>
      <c r="E146" s="2"/>
      <c r="F146" s="2">
        <v>5.3</v>
      </c>
      <c r="G146" s="13">
        <f t="shared" si="2"/>
        <v>5.3</v>
      </c>
      <c r="H146" s="2">
        <v>2</v>
      </c>
    </row>
    <row r="147" spans="1:8" x14ac:dyDescent="0.25">
      <c r="A147" s="2" t="s">
        <v>2355</v>
      </c>
      <c r="B147" s="2" t="s">
        <v>2356</v>
      </c>
      <c r="C147" s="2" t="s">
        <v>2160</v>
      </c>
      <c r="D147" s="2" t="s">
        <v>2158</v>
      </c>
      <c r="E147" s="2">
        <v>13.3</v>
      </c>
      <c r="F147" s="2"/>
      <c r="G147" s="13">
        <f t="shared" si="2"/>
        <v>13.3</v>
      </c>
      <c r="H147" s="2">
        <v>2</v>
      </c>
    </row>
    <row r="148" spans="1:8" x14ac:dyDescent="0.25">
      <c r="A148" s="2" t="s">
        <v>2357</v>
      </c>
      <c r="B148" s="2" t="s">
        <v>1375</v>
      </c>
      <c r="C148" s="2" t="s">
        <v>2169</v>
      </c>
      <c r="D148" s="2" t="s">
        <v>2158</v>
      </c>
      <c r="E148" s="2">
        <v>14</v>
      </c>
      <c r="F148" s="2">
        <v>8.3000000000000007</v>
      </c>
      <c r="G148" s="13">
        <f t="shared" si="2"/>
        <v>11.15</v>
      </c>
      <c r="H148" s="2">
        <v>1</v>
      </c>
    </row>
    <row r="149" spans="1:8" x14ac:dyDescent="0.25">
      <c r="A149" s="2" t="s">
        <v>2358</v>
      </c>
      <c r="B149" s="2" t="s">
        <v>2359</v>
      </c>
      <c r="C149" s="2" t="s">
        <v>2149</v>
      </c>
      <c r="D149" s="2" t="s">
        <v>2158</v>
      </c>
      <c r="E149" s="2">
        <v>15.2</v>
      </c>
      <c r="F149" s="2">
        <v>5.4</v>
      </c>
      <c r="G149" s="13">
        <f t="shared" si="2"/>
        <v>10.3</v>
      </c>
      <c r="H149" s="2">
        <v>2</v>
      </c>
    </row>
    <row r="150" spans="1:8" x14ac:dyDescent="0.25">
      <c r="A150" s="2" t="s">
        <v>2360</v>
      </c>
      <c r="B150" s="2" t="s">
        <v>1599</v>
      </c>
      <c r="C150" s="2" t="s">
        <v>2160</v>
      </c>
      <c r="D150" s="2" t="s">
        <v>2161</v>
      </c>
      <c r="E150" s="2">
        <v>14.4</v>
      </c>
      <c r="F150" s="2">
        <v>7.9</v>
      </c>
      <c r="G150" s="13">
        <f t="shared" si="2"/>
        <v>11.15</v>
      </c>
      <c r="H150" s="2">
        <v>2</v>
      </c>
    </row>
    <row r="151" spans="1:8" x14ac:dyDescent="0.25">
      <c r="A151" s="2" t="s">
        <v>2361</v>
      </c>
      <c r="B151" s="2" t="s">
        <v>1460</v>
      </c>
      <c r="C151" s="2" t="s">
        <v>2169</v>
      </c>
      <c r="D151" s="2" t="s">
        <v>2158</v>
      </c>
      <c r="E151" s="2">
        <v>13.8</v>
      </c>
      <c r="F151" s="2">
        <v>5.5</v>
      </c>
      <c r="G151" s="13">
        <f t="shared" si="2"/>
        <v>9.65</v>
      </c>
      <c r="H151" s="2">
        <v>2</v>
      </c>
    </row>
    <row r="152" spans="1:8" x14ac:dyDescent="0.25">
      <c r="A152" s="2" t="s">
        <v>2362</v>
      </c>
      <c r="B152" s="2" t="s">
        <v>1403</v>
      </c>
      <c r="C152" s="2" t="s">
        <v>2160</v>
      </c>
      <c r="D152" s="2" t="s">
        <v>2150</v>
      </c>
      <c r="E152" s="2">
        <v>7.1</v>
      </c>
      <c r="F152" s="2">
        <v>6.6</v>
      </c>
      <c r="G152" s="13">
        <f t="shared" si="2"/>
        <v>6.85</v>
      </c>
      <c r="H152" s="2">
        <v>1</v>
      </c>
    </row>
    <row r="153" spans="1:8" x14ac:dyDescent="0.25">
      <c r="A153" s="2" t="s">
        <v>2363</v>
      </c>
      <c r="B153" s="2" t="s">
        <v>1392</v>
      </c>
      <c r="C153" s="2" t="s">
        <v>16</v>
      </c>
      <c r="D153" s="2" t="s">
        <v>2150</v>
      </c>
      <c r="E153" s="2">
        <v>7.2</v>
      </c>
      <c r="F153" s="2">
        <v>14.5</v>
      </c>
      <c r="G153" s="13">
        <f t="shared" si="2"/>
        <v>10.85</v>
      </c>
      <c r="H153" s="2">
        <v>2</v>
      </c>
    </row>
    <row r="154" spans="1:8" x14ac:dyDescent="0.25">
      <c r="A154" s="2" t="s">
        <v>2364</v>
      </c>
      <c r="B154" s="2" t="s">
        <v>1407</v>
      </c>
      <c r="C154" s="2" t="s">
        <v>2169</v>
      </c>
      <c r="D154" s="2" t="s">
        <v>2158</v>
      </c>
      <c r="E154" s="2">
        <v>13.3</v>
      </c>
      <c r="F154" s="2">
        <v>12.4</v>
      </c>
      <c r="G154" s="13">
        <f t="shared" si="2"/>
        <v>12.850000000000001</v>
      </c>
      <c r="H154" s="2">
        <v>2</v>
      </c>
    </row>
    <row r="155" spans="1:8" x14ac:dyDescent="0.25">
      <c r="A155" s="2" t="s">
        <v>2365</v>
      </c>
      <c r="B155" s="2" t="s">
        <v>1633</v>
      </c>
      <c r="C155" s="2" t="s">
        <v>16</v>
      </c>
      <c r="D155" s="2" t="s">
        <v>2150</v>
      </c>
      <c r="E155" s="2">
        <v>16.8</v>
      </c>
      <c r="F155" s="2">
        <v>10.8</v>
      </c>
      <c r="G155" s="13">
        <f t="shared" si="2"/>
        <v>13.8</v>
      </c>
      <c r="H155" s="2">
        <v>2</v>
      </c>
    </row>
    <row r="156" spans="1:8" x14ac:dyDescent="0.25">
      <c r="A156" s="2" t="s">
        <v>2366</v>
      </c>
      <c r="B156" s="2" t="s">
        <v>2367</v>
      </c>
      <c r="C156" s="2" t="s">
        <v>2149</v>
      </c>
      <c r="D156" s="2" t="s">
        <v>2158</v>
      </c>
      <c r="E156" s="2">
        <v>17.399999999999999</v>
      </c>
      <c r="F156" s="2">
        <v>3.2</v>
      </c>
      <c r="G156" s="13">
        <f t="shared" si="2"/>
        <v>10.299999999999999</v>
      </c>
      <c r="H156" s="2">
        <v>1</v>
      </c>
    </row>
    <row r="157" spans="1:8" x14ac:dyDescent="0.25">
      <c r="A157" s="2" t="s">
        <v>2368</v>
      </c>
      <c r="B157" s="2" t="s">
        <v>2369</v>
      </c>
      <c r="C157" s="2" t="s">
        <v>2160</v>
      </c>
      <c r="D157" s="2" t="s">
        <v>2161</v>
      </c>
      <c r="E157" s="2">
        <v>6.6</v>
      </c>
      <c r="F157" s="2">
        <v>7.5</v>
      </c>
      <c r="G157" s="13">
        <f t="shared" si="2"/>
        <v>7.05</v>
      </c>
      <c r="H157" s="2">
        <v>2</v>
      </c>
    </row>
    <row r="158" spans="1:8" x14ac:dyDescent="0.25">
      <c r="A158" s="2" t="s">
        <v>2370</v>
      </c>
      <c r="B158" s="2" t="s">
        <v>2371</v>
      </c>
      <c r="C158" s="2" t="s">
        <v>2149</v>
      </c>
      <c r="D158" s="2" t="s">
        <v>2150</v>
      </c>
      <c r="E158" s="2">
        <v>12.1</v>
      </c>
      <c r="F158" s="2">
        <v>13.2</v>
      </c>
      <c r="G158" s="13">
        <f t="shared" si="2"/>
        <v>12.649999999999999</v>
      </c>
      <c r="H158" s="2">
        <v>2</v>
      </c>
    </row>
    <row r="159" spans="1:8" x14ac:dyDescent="0.25">
      <c r="A159" s="2" t="s">
        <v>2372</v>
      </c>
      <c r="B159" s="2" t="s">
        <v>2373</v>
      </c>
      <c r="C159" s="2" t="s">
        <v>2169</v>
      </c>
      <c r="D159" s="2" t="s">
        <v>2155</v>
      </c>
      <c r="E159" s="2">
        <v>13.6</v>
      </c>
      <c r="F159" s="2">
        <v>9.4</v>
      </c>
      <c r="G159" s="13">
        <f t="shared" si="2"/>
        <v>11.5</v>
      </c>
      <c r="H159" s="2">
        <v>2</v>
      </c>
    </row>
    <row r="160" spans="1:8" x14ac:dyDescent="0.25">
      <c r="A160" s="2" t="s">
        <v>2374</v>
      </c>
      <c r="B160" s="2" t="s">
        <v>2375</v>
      </c>
      <c r="C160" s="2" t="s">
        <v>2167</v>
      </c>
      <c r="D160" s="2" t="s">
        <v>2161</v>
      </c>
      <c r="E160" s="2">
        <v>11.9</v>
      </c>
      <c r="F160" s="2">
        <v>11.6</v>
      </c>
      <c r="G160" s="13">
        <f t="shared" si="2"/>
        <v>11.75</v>
      </c>
      <c r="H160" s="2">
        <v>1</v>
      </c>
    </row>
    <row r="161" spans="1:8" x14ac:dyDescent="0.25">
      <c r="A161" s="2" t="s">
        <v>2376</v>
      </c>
      <c r="B161" s="2" t="s">
        <v>2377</v>
      </c>
      <c r="C161" s="2" t="s">
        <v>2149</v>
      </c>
      <c r="D161" s="2" t="s">
        <v>2161</v>
      </c>
      <c r="E161" s="2">
        <v>6.9</v>
      </c>
      <c r="F161" s="2">
        <v>15.8</v>
      </c>
      <c r="G161" s="13">
        <f t="shared" si="2"/>
        <v>11.350000000000001</v>
      </c>
      <c r="H161" s="2">
        <v>1</v>
      </c>
    </row>
    <row r="162" spans="1:8" x14ac:dyDescent="0.25">
      <c r="A162" s="2" t="s">
        <v>2378</v>
      </c>
      <c r="B162" s="2" t="s">
        <v>1723</v>
      </c>
      <c r="C162" s="2" t="s">
        <v>2167</v>
      </c>
      <c r="D162" s="2" t="s">
        <v>2150</v>
      </c>
      <c r="E162" s="2">
        <v>3.6</v>
      </c>
      <c r="F162" s="2">
        <v>12.7</v>
      </c>
      <c r="G162" s="13">
        <f t="shared" si="2"/>
        <v>8.15</v>
      </c>
      <c r="H162" s="2">
        <v>1</v>
      </c>
    </row>
    <row r="163" spans="1:8" x14ac:dyDescent="0.25">
      <c r="A163" s="2" t="s">
        <v>2379</v>
      </c>
      <c r="B163" s="2" t="s">
        <v>1361</v>
      </c>
      <c r="C163" s="2" t="s">
        <v>2149</v>
      </c>
      <c r="D163" s="2" t="s">
        <v>2150</v>
      </c>
      <c r="E163" s="2">
        <v>17.5</v>
      </c>
      <c r="F163" s="2">
        <v>5.0999999999999996</v>
      </c>
      <c r="G163" s="13">
        <f t="shared" si="2"/>
        <v>11.3</v>
      </c>
      <c r="H163" s="2">
        <v>1</v>
      </c>
    </row>
    <row r="164" spans="1:8" x14ac:dyDescent="0.25">
      <c r="A164" s="2" t="s">
        <v>2380</v>
      </c>
      <c r="B164" s="2" t="s">
        <v>1415</v>
      </c>
      <c r="C164" s="2" t="s">
        <v>2169</v>
      </c>
      <c r="D164" s="2" t="s">
        <v>2155</v>
      </c>
      <c r="E164" s="2">
        <v>12.4</v>
      </c>
      <c r="F164" s="2">
        <v>12.3</v>
      </c>
      <c r="G164" s="13">
        <f t="shared" si="2"/>
        <v>12.350000000000001</v>
      </c>
      <c r="H164" s="2">
        <v>2</v>
      </c>
    </row>
    <row r="165" spans="1:8" x14ac:dyDescent="0.25">
      <c r="A165" s="2" t="s">
        <v>2381</v>
      </c>
      <c r="B165" s="2" t="s">
        <v>2382</v>
      </c>
      <c r="C165" s="2" t="s">
        <v>16</v>
      </c>
      <c r="D165" s="2" t="s">
        <v>2155</v>
      </c>
      <c r="E165" s="2">
        <v>15.6</v>
      </c>
      <c r="F165" s="2">
        <v>4.2</v>
      </c>
      <c r="G165" s="13">
        <f t="shared" si="2"/>
        <v>9.9</v>
      </c>
      <c r="H165" s="2">
        <v>2</v>
      </c>
    </row>
    <row r="166" spans="1:8" x14ac:dyDescent="0.25">
      <c r="A166" s="2" t="s">
        <v>2383</v>
      </c>
      <c r="B166" s="2" t="s">
        <v>2384</v>
      </c>
      <c r="C166" s="2" t="s">
        <v>2169</v>
      </c>
      <c r="D166" s="2" t="s">
        <v>2155</v>
      </c>
      <c r="E166" s="2"/>
      <c r="F166" s="2">
        <v>11.7</v>
      </c>
      <c r="G166" s="13">
        <f t="shared" si="2"/>
        <v>11.7</v>
      </c>
      <c r="H166" s="2">
        <v>2</v>
      </c>
    </row>
    <row r="167" spans="1:8" x14ac:dyDescent="0.25">
      <c r="A167" s="2" t="s">
        <v>2385</v>
      </c>
      <c r="B167" s="2" t="s">
        <v>1403</v>
      </c>
      <c r="C167" s="2" t="s">
        <v>2169</v>
      </c>
      <c r="D167" s="2" t="s">
        <v>2161</v>
      </c>
      <c r="E167" s="2">
        <v>16.8</v>
      </c>
      <c r="F167" s="2"/>
      <c r="G167" s="13">
        <f t="shared" si="2"/>
        <v>16.8</v>
      </c>
      <c r="H167" s="2">
        <v>1</v>
      </c>
    </row>
    <row r="168" spans="1:8" x14ac:dyDescent="0.25">
      <c r="A168" s="2" t="s">
        <v>2386</v>
      </c>
      <c r="B168" s="2" t="s">
        <v>2387</v>
      </c>
      <c r="C168" s="2" t="s">
        <v>2149</v>
      </c>
      <c r="D168" s="2" t="s">
        <v>2158</v>
      </c>
      <c r="E168" s="2">
        <v>7</v>
      </c>
      <c r="F168" s="2">
        <v>9.5</v>
      </c>
      <c r="G168" s="13">
        <f t="shared" si="2"/>
        <v>8.25</v>
      </c>
      <c r="H168" s="2">
        <v>2</v>
      </c>
    </row>
    <row r="169" spans="1:8" x14ac:dyDescent="0.25">
      <c r="A169" s="2" t="s">
        <v>2388</v>
      </c>
      <c r="B169" s="2" t="s">
        <v>2389</v>
      </c>
      <c r="C169" s="2" t="s">
        <v>2169</v>
      </c>
      <c r="D169" s="2" t="s">
        <v>2150</v>
      </c>
      <c r="E169" s="2">
        <v>11.2</v>
      </c>
      <c r="F169" s="2">
        <v>18.2</v>
      </c>
      <c r="G169" s="13">
        <f t="shared" si="2"/>
        <v>14.7</v>
      </c>
      <c r="H169" s="2">
        <v>2</v>
      </c>
    </row>
    <row r="170" spans="1:8" x14ac:dyDescent="0.25">
      <c r="A170" s="2" t="s">
        <v>2390</v>
      </c>
      <c r="B170" s="2" t="s">
        <v>1481</v>
      </c>
      <c r="C170" s="2" t="s">
        <v>2167</v>
      </c>
      <c r="D170" s="2" t="s">
        <v>2150</v>
      </c>
      <c r="E170" s="2">
        <v>7.4</v>
      </c>
      <c r="F170" s="2">
        <v>12</v>
      </c>
      <c r="G170" s="13">
        <f t="shared" si="2"/>
        <v>9.6999999999999993</v>
      </c>
      <c r="H170" s="2">
        <v>2</v>
      </c>
    </row>
    <row r="171" spans="1:8" x14ac:dyDescent="0.25">
      <c r="A171" s="2" t="s">
        <v>2391</v>
      </c>
      <c r="B171" s="2" t="s">
        <v>2347</v>
      </c>
      <c r="C171" s="2" t="s">
        <v>16</v>
      </c>
      <c r="D171" s="2" t="s">
        <v>2150</v>
      </c>
      <c r="E171" s="2">
        <v>3.1</v>
      </c>
      <c r="F171" s="2">
        <v>17.3</v>
      </c>
      <c r="G171" s="13">
        <f t="shared" si="2"/>
        <v>10.200000000000001</v>
      </c>
      <c r="H171" s="2">
        <v>1</v>
      </c>
    </row>
    <row r="172" spans="1:8" x14ac:dyDescent="0.25">
      <c r="A172" s="2" t="s">
        <v>2392</v>
      </c>
      <c r="B172" s="2" t="s">
        <v>2166</v>
      </c>
      <c r="C172" s="2" t="s">
        <v>2169</v>
      </c>
      <c r="D172" s="2" t="s">
        <v>2150</v>
      </c>
      <c r="E172" s="2"/>
      <c r="F172" s="2">
        <v>9.9</v>
      </c>
      <c r="G172" s="13">
        <f t="shared" si="2"/>
        <v>9.9</v>
      </c>
      <c r="H172" s="2">
        <v>1</v>
      </c>
    </row>
    <row r="173" spans="1:8" x14ac:dyDescent="0.25">
      <c r="A173" s="2" t="s">
        <v>2393</v>
      </c>
      <c r="B173" s="2" t="s">
        <v>2394</v>
      </c>
      <c r="C173" s="2" t="s">
        <v>2169</v>
      </c>
      <c r="D173" s="2" t="s">
        <v>2158</v>
      </c>
      <c r="E173" s="2">
        <v>15.5</v>
      </c>
      <c r="F173" s="2">
        <v>15.2</v>
      </c>
      <c r="G173" s="13">
        <f t="shared" si="2"/>
        <v>15.35</v>
      </c>
      <c r="H173" s="2">
        <v>2</v>
      </c>
    </row>
    <row r="174" spans="1:8" x14ac:dyDescent="0.25">
      <c r="A174" s="2" t="s">
        <v>2395</v>
      </c>
      <c r="B174" s="2" t="s">
        <v>1650</v>
      </c>
      <c r="C174" s="2" t="s">
        <v>2149</v>
      </c>
      <c r="D174" s="2" t="s">
        <v>2150</v>
      </c>
      <c r="E174" s="2">
        <v>15.3</v>
      </c>
      <c r="F174" s="2">
        <v>10.6</v>
      </c>
      <c r="G174" s="13">
        <f t="shared" si="2"/>
        <v>12.95</v>
      </c>
      <c r="H174" s="2">
        <v>2</v>
      </c>
    </row>
    <row r="175" spans="1:8" x14ac:dyDescent="0.25">
      <c r="A175" s="2" t="s">
        <v>2396</v>
      </c>
      <c r="B175" s="2" t="s">
        <v>1560</v>
      </c>
      <c r="C175" s="2" t="s">
        <v>2169</v>
      </c>
      <c r="D175" s="2" t="s">
        <v>2150</v>
      </c>
      <c r="E175" s="2">
        <v>5.5</v>
      </c>
      <c r="F175" s="2">
        <v>15.3</v>
      </c>
      <c r="G175" s="13">
        <f t="shared" si="2"/>
        <v>10.4</v>
      </c>
      <c r="H175" s="2">
        <v>2</v>
      </c>
    </row>
    <row r="176" spans="1:8" x14ac:dyDescent="0.25">
      <c r="A176" s="2" t="s">
        <v>2397</v>
      </c>
      <c r="B176" s="2" t="s">
        <v>2398</v>
      </c>
      <c r="C176" s="2" t="s">
        <v>2149</v>
      </c>
      <c r="D176" s="2" t="s">
        <v>2158</v>
      </c>
      <c r="E176" s="2">
        <v>18.3</v>
      </c>
      <c r="F176" s="2"/>
      <c r="G176" s="13">
        <f t="shared" si="2"/>
        <v>18.3</v>
      </c>
      <c r="H176" s="2">
        <v>2</v>
      </c>
    </row>
    <row r="177" spans="1:8" x14ac:dyDescent="0.25">
      <c r="A177" s="2" t="s">
        <v>2399</v>
      </c>
      <c r="B177" s="2" t="s">
        <v>2400</v>
      </c>
      <c r="C177" s="2" t="s">
        <v>2160</v>
      </c>
      <c r="D177" s="2" t="s">
        <v>2158</v>
      </c>
      <c r="E177" s="2">
        <v>17.899999999999999</v>
      </c>
      <c r="F177" s="2">
        <v>16.399999999999999</v>
      </c>
      <c r="G177" s="13">
        <f t="shared" si="2"/>
        <v>17.149999999999999</v>
      </c>
      <c r="H177" s="2">
        <v>2</v>
      </c>
    </row>
    <row r="178" spans="1:8" x14ac:dyDescent="0.25">
      <c r="A178" s="2" t="s">
        <v>2401</v>
      </c>
      <c r="B178" s="2" t="s">
        <v>1329</v>
      </c>
      <c r="C178" s="2" t="s">
        <v>2169</v>
      </c>
      <c r="D178" s="2" t="s">
        <v>2161</v>
      </c>
      <c r="E178" s="2">
        <v>16.3</v>
      </c>
      <c r="F178" s="2">
        <v>8</v>
      </c>
      <c r="G178" s="13">
        <f t="shared" si="2"/>
        <v>12.15</v>
      </c>
      <c r="H178" s="2">
        <v>2</v>
      </c>
    </row>
    <row r="179" spans="1:8" x14ac:dyDescent="0.25">
      <c r="A179" s="2" t="s">
        <v>2402</v>
      </c>
      <c r="B179" s="2" t="s">
        <v>1740</v>
      </c>
      <c r="C179" s="2" t="s">
        <v>2160</v>
      </c>
      <c r="D179" s="2" t="s">
        <v>2150</v>
      </c>
      <c r="E179" s="2">
        <v>3.1</v>
      </c>
      <c r="F179" s="2">
        <v>18</v>
      </c>
      <c r="G179" s="13">
        <f t="shared" si="2"/>
        <v>10.55</v>
      </c>
      <c r="H179" s="2">
        <v>2</v>
      </c>
    </row>
    <row r="180" spans="1:8" x14ac:dyDescent="0.25">
      <c r="A180" s="2" t="s">
        <v>2403</v>
      </c>
      <c r="B180" s="2" t="s">
        <v>1464</v>
      </c>
      <c r="C180" s="2" t="s">
        <v>2160</v>
      </c>
      <c r="D180" s="2" t="s">
        <v>2158</v>
      </c>
      <c r="E180" s="2">
        <v>15.3</v>
      </c>
      <c r="F180" s="2">
        <v>3.3</v>
      </c>
      <c r="G180" s="13">
        <f t="shared" si="2"/>
        <v>9.3000000000000007</v>
      </c>
      <c r="H180" s="2">
        <v>2</v>
      </c>
    </row>
    <row r="181" spans="1:8" x14ac:dyDescent="0.25">
      <c r="A181" s="2" t="s">
        <v>2404</v>
      </c>
      <c r="B181" s="2" t="s">
        <v>2405</v>
      </c>
      <c r="C181" s="2" t="s">
        <v>2169</v>
      </c>
      <c r="D181" s="2" t="s">
        <v>2150</v>
      </c>
      <c r="E181" s="2">
        <v>3.4</v>
      </c>
      <c r="F181" s="2">
        <v>9.8000000000000007</v>
      </c>
      <c r="G181" s="13">
        <f t="shared" si="2"/>
        <v>6.6000000000000005</v>
      </c>
      <c r="H181" s="2">
        <v>1</v>
      </c>
    </row>
    <row r="182" spans="1:8" x14ac:dyDescent="0.25">
      <c r="A182" s="2" t="s">
        <v>2406</v>
      </c>
      <c r="B182" s="2" t="s">
        <v>1556</v>
      </c>
      <c r="C182" s="2" t="s">
        <v>2167</v>
      </c>
      <c r="D182" s="2" t="s">
        <v>2150</v>
      </c>
      <c r="E182" s="2">
        <v>12.9</v>
      </c>
      <c r="F182" s="2">
        <v>10</v>
      </c>
      <c r="G182" s="13">
        <f t="shared" si="2"/>
        <v>11.45</v>
      </c>
      <c r="H182" s="2">
        <v>1</v>
      </c>
    </row>
    <row r="183" spans="1:8" x14ac:dyDescent="0.25">
      <c r="A183" s="2" t="s">
        <v>2407</v>
      </c>
      <c r="B183" s="2" t="s">
        <v>1540</v>
      </c>
      <c r="C183" s="2" t="s">
        <v>2167</v>
      </c>
      <c r="D183" s="2" t="s">
        <v>2161</v>
      </c>
      <c r="E183" s="2">
        <v>8.1999999999999993</v>
      </c>
      <c r="F183" s="2">
        <v>10.7</v>
      </c>
      <c r="G183" s="13">
        <f t="shared" si="2"/>
        <v>9.4499999999999993</v>
      </c>
      <c r="H183" s="2">
        <v>2</v>
      </c>
    </row>
    <row r="184" spans="1:8" x14ac:dyDescent="0.25">
      <c r="A184" s="2" t="s">
        <v>2408</v>
      </c>
      <c r="B184" s="2" t="s">
        <v>1744</v>
      </c>
      <c r="C184" s="2" t="s">
        <v>2167</v>
      </c>
      <c r="D184" s="2" t="s">
        <v>2155</v>
      </c>
      <c r="E184" s="2">
        <v>7</v>
      </c>
      <c r="F184" s="2">
        <v>18.8</v>
      </c>
      <c r="G184" s="13">
        <f t="shared" si="2"/>
        <v>12.9</v>
      </c>
      <c r="H184" s="2">
        <v>1</v>
      </c>
    </row>
    <row r="185" spans="1:8" x14ac:dyDescent="0.25">
      <c r="A185" s="2" t="s">
        <v>2409</v>
      </c>
      <c r="B185" s="2" t="s">
        <v>2254</v>
      </c>
      <c r="C185" s="2" t="s">
        <v>2160</v>
      </c>
      <c r="D185" s="2" t="s">
        <v>2155</v>
      </c>
      <c r="E185" s="2">
        <v>13.2</v>
      </c>
      <c r="F185" s="2">
        <v>7.4</v>
      </c>
      <c r="G185" s="13">
        <f t="shared" si="2"/>
        <v>10.3</v>
      </c>
      <c r="H185" s="2">
        <v>2</v>
      </c>
    </row>
    <row r="186" spans="1:8" x14ac:dyDescent="0.25">
      <c r="A186" s="2" t="s">
        <v>2410</v>
      </c>
      <c r="B186" s="2" t="s">
        <v>2411</v>
      </c>
      <c r="C186" s="2" t="s">
        <v>2149</v>
      </c>
      <c r="D186" s="2" t="s">
        <v>2158</v>
      </c>
      <c r="E186" s="2"/>
      <c r="F186" s="2">
        <v>15</v>
      </c>
      <c r="G186" s="13">
        <f t="shared" si="2"/>
        <v>15</v>
      </c>
      <c r="H186" s="2">
        <v>1</v>
      </c>
    </row>
    <row r="187" spans="1:8" x14ac:dyDescent="0.25">
      <c r="A187" s="2" t="s">
        <v>2412</v>
      </c>
      <c r="B187" s="2" t="s">
        <v>1453</v>
      </c>
      <c r="C187" s="2" t="s">
        <v>2169</v>
      </c>
      <c r="D187" s="2" t="s">
        <v>2158</v>
      </c>
      <c r="E187" s="2">
        <v>12</v>
      </c>
      <c r="F187" s="2">
        <v>10</v>
      </c>
      <c r="G187" s="13">
        <f t="shared" si="2"/>
        <v>11</v>
      </c>
      <c r="H187" s="2">
        <v>2</v>
      </c>
    </row>
    <row r="188" spans="1:8" x14ac:dyDescent="0.25">
      <c r="A188" s="2" t="s">
        <v>2413</v>
      </c>
      <c r="B188" s="2" t="s">
        <v>2367</v>
      </c>
      <c r="C188" s="2" t="s">
        <v>2160</v>
      </c>
      <c r="D188" s="2" t="s">
        <v>2161</v>
      </c>
      <c r="E188" s="2">
        <v>14</v>
      </c>
      <c r="F188" s="2">
        <v>5.2</v>
      </c>
      <c r="G188" s="13">
        <f t="shared" si="2"/>
        <v>9.6</v>
      </c>
      <c r="H188" s="2">
        <v>1</v>
      </c>
    </row>
    <row r="189" spans="1:8" x14ac:dyDescent="0.25">
      <c r="A189" s="2" t="s">
        <v>2414</v>
      </c>
      <c r="B189" s="2" t="s">
        <v>1542</v>
      </c>
      <c r="C189" s="2" t="s">
        <v>2160</v>
      </c>
      <c r="D189" s="2" t="s">
        <v>2150</v>
      </c>
      <c r="E189" s="2">
        <v>5.9</v>
      </c>
      <c r="F189" s="2">
        <v>10.5</v>
      </c>
      <c r="G189" s="13">
        <f t="shared" si="2"/>
        <v>8.1999999999999993</v>
      </c>
      <c r="H189" s="2">
        <v>2</v>
      </c>
    </row>
    <row r="190" spans="1:8" x14ac:dyDescent="0.25">
      <c r="A190" s="2" t="s">
        <v>2415</v>
      </c>
      <c r="B190" s="2" t="s">
        <v>1538</v>
      </c>
      <c r="C190" s="2" t="s">
        <v>2167</v>
      </c>
      <c r="D190" s="2" t="s">
        <v>2161</v>
      </c>
      <c r="E190" s="2">
        <v>7.1</v>
      </c>
      <c r="F190" s="2">
        <v>15</v>
      </c>
      <c r="G190" s="13">
        <f t="shared" si="2"/>
        <v>11.05</v>
      </c>
      <c r="H190" s="2">
        <v>2</v>
      </c>
    </row>
    <row r="191" spans="1:8" x14ac:dyDescent="0.25">
      <c r="A191" s="2" t="s">
        <v>2416</v>
      </c>
      <c r="B191" s="2" t="s">
        <v>1566</v>
      </c>
      <c r="C191" s="2" t="s">
        <v>2167</v>
      </c>
      <c r="D191" s="2" t="s">
        <v>2158</v>
      </c>
      <c r="E191" s="2">
        <v>9.3000000000000007</v>
      </c>
      <c r="F191" s="2">
        <v>10.8</v>
      </c>
      <c r="G191" s="13">
        <f t="shared" si="2"/>
        <v>10.050000000000001</v>
      </c>
      <c r="H191" s="2">
        <v>1</v>
      </c>
    </row>
    <row r="192" spans="1:8" x14ac:dyDescent="0.25">
      <c r="A192" s="2" t="s">
        <v>2417</v>
      </c>
      <c r="B192" s="2" t="s">
        <v>1407</v>
      </c>
      <c r="C192" s="2" t="s">
        <v>2169</v>
      </c>
      <c r="D192" s="2" t="s">
        <v>2161</v>
      </c>
      <c r="E192" s="2">
        <v>12.1</v>
      </c>
      <c r="F192" s="2">
        <v>18.899999999999999</v>
      </c>
      <c r="G192" s="13">
        <f t="shared" si="2"/>
        <v>15.5</v>
      </c>
      <c r="H192" s="2">
        <v>2</v>
      </c>
    </row>
    <row r="193" spans="1:8" x14ac:dyDescent="0.25">
      <c r="A193" s="2" t="s">
        <v>2418</v>
      </c>
      <c r="B193" s="2" t="s">
        <v>2250</v>
      </c>
      <c r="C193" s="2" t="s">
        <v>2167</v>
      </c>
      <c r="D193" s="2" t="s">
        <v>2155</v>
      </c>
      <c r="E193" s="2">
        <v>12.2</v>
      </c>
      <c r="F193" s="2">
        <v>13.1</v>
      </c>
      <c r="G193" s="13">
        <f t="shared" si="2"/>
        <v>12.649999999999999</v>
      </c>
      <c r="H193" s="2">
        <v>1</v>
      </c>
    </row>
    <row r="194" spans="1:8" x14ac:dyDescent="0.25">
      <c r="A194" s="2" t="s">
        <v>2419</v>
      </c>
      <c r="B194" s="2" t="s">
        <v>2250</v>
      </c>
      <c r="C194" s="2" t="s">
        <v>16</v>
      </c>
      <c r="D194" s="2" t="s">
        <v>2150</v>
      </c>
      <c r="E194" s="2">
        <v>15.8</v>
      </c>
      <c r="F194" s="2">
        <v>16.5</v>
      </c>
      <c r="G194" s="13">
        <f t="shared" si="2"/>
        <v>16.149999999999999</v>
      </c>
      <c r="H194" s="2">
        <v>1</v>
      </c>
    </row>
    <row r="195" spans="1:8" x14ac:dyDescent="0.25">
      <c r="A195" s="2" t="s">
        <v>2420</v>
      </c>
      <c r="B195" s="2" t="s">
        <v>2421</v>
      </c>
      <c r="C195" s="2" t="s">
        <v>16</v>
      </c>
      <c r="D195" s="2" t="s">
        <v>2150</v>
      </c>
      <c r="E195" s="2">
        <v>15.3</v>
      </c>
      <c r="F195" s="2">
        <v>9.9</v>
      </c>
      <c r="G195" s="13">
        <f t="shared" si="2"/>
        <v>12.600000000000001</v>
      </c>
      <c r="H195" s="2">
        <v>2</v>
      </c>
    </row>
    <row r="196" spans="1:8" x14ac:dyDescent="0.25">
      <c r="A196" s="2" t="s">
        <v>2422</v>
      </c>
      <c r="B196" s="2" t="s">
        <v>2334</v>
      </c>
      <c r="C196" s="2" t="s">
        <v>2169</v>
      </c>
      <c r="D196" s="2" t="s">
        <v>2161</v>
      </c>
      <c r="E196" s="2">
        <v>4.2</v>
      </c>
      <c r="F196" s="2">
        <v>13.4</v>
      </c>
      <c r="G196" s="13">
        <f t="shared" si="2"/>
        <v>8.8000000000000007</v>
      </c>
      <c r="H196" s="2">
        <v>1</v>
      </c>
    </row>
    <row r="197" spans="1:8" x14ac:dyDescent="0.25">
      <c r="A197" s="2" t="s">
        <v>2423</v>
      </c>
      <c r="B197" s="2" t="s">
        <v>2424</v>
      </c>
      <c r="C197" s="2" t="s">
        <v>2167</v>
      </c>
      <c r="D197" s="2" t="s">
        <v>2155</v>
      </c>
      <c r="E197" s="2">
        <v>9.4</v>
      </c>
      <c r="F197" s="2">
        <v>7.7</v>
      </c>
      <c r="G197" s="13">
        <f t="shared" ref="G197:G260" si="3">IFERROR(AVERAGE(E197:F197),"Absent")</f>
        <v>8.5500000000000007</v>
      </c>
      <c r="H197" s="2">
        <v>1</v>
      </c>
    </row>
    <row r="198" spans="1:8" x14ac:dyDescent="0.25">
      <c r="A198" s="2" t="s">
        <v>2425</v>
      </c>
      <c r="B198" s="2" t="s">
        <v>2426</v>
      </c>
      <c r="C198" s="2" t="s">
        <v>2160</v>
      </c>
      <c r="D198" s="2" t="s">
        <v>2161</v>
      </c>
      <c r="E198" s="2">
        <v>8.1999999999999993</v>
      </c>
      <c r="F198" s="2">
        <v>5.4</v>
      </c>
      <c r="G198" s="13">
        <f t="shared" si="3"/>
        <v>6.8</v>
      </c>
      <c r="H198" s="2">
        <v>1</v>
      </c>
    </row>
    <row r="199" spans="1:8" x14ac:dyDescent="0.25">
      <c r="A199" s="2" t="s">
        <v>2427</v>
      </c>
      <c r="B199" s="2" t="s">
        <v>2428</v>
      </c>
      <c r="C199" s="2" t="s">
        <v>2149</v>
      </c>
      <c r="D199" s="2" t="s">
        <v>2150</v>
      </c>
      <c r="E199" s="2">
        <v>15.3</v>
      </c>
      <c r="F199" s="2">
        <v>12.2</v>
      </c>
      <c r="G199" s="13">
        <f t="shared" si="3"/>
        <v>13.75</v>
      </c>
      <c r="H199" s="2">
        <v>1</v>
      </c>
    </row>
    <row r="200" spans="1:8" x14ac:dyDescent="0.25">
      <c r="A200" s="2" t="s">
        <v>2429</v>
      </c>
      <c r="B200" s="2" t="s">
        <v>2299</v>
      </c>
      <c r="C200" s="2" t="s">
        <v>2169</v>
      </c>
      <c r="D200" s="2" t="s">
        <v>2155</v>
      </c>
      <c r="E200" s="2">
        <v>6.3</v>
      </c>
      <c r="F200" s="2">
        <v>5.9</v>
      </c>
      <c r="G200" s="13">
        <f t="shared" si="3"/>
        <v>6.1</v>
      </c>
      <c r="H200" s="2">
        <v>1</v>
      </c>
    </row>
    <row r="201" spans="1:8" x14ac:dyDescent="0.25">
      <c r="A201" s="2" t="s">
        <v>2430</v>
      </c>
      <c r="B201" s="2" t="s">
        <v>1409</v>
      </c>
      <c r="C201" s="2" t="s">
        <v>2149</v>
      </c>
      <c r="D201" s="2" t="s">
        <v>2150</v>
      </c>
      <c r="E201" s="2">
        <v>11.6</v>
      </c>
      <c r="F201" s="2">
        <v>18.3</v>
      </c>
      <c r="G201" s="13">
        <f t="shared" si="3"/>
        <v>14.95</v>
      </c>
      <c r="H201" s="2">
        <v>1</v>
      </c>
    </row>
    <row r="202" spans="1:8" x14ac:dyDescent="0.25">
      <c r="A202" s="2" t="s">
        <v>2431</v>
      </c>
      <c r="B202" s="2" t="s">
        <v>2432</v>
      </c>
      <c r="C202" s="2" t="s">
        <v>2149</v>
      </c>
      <c r="D202" s="2" t="s">
        <v>2158</v>
      </c>
      <c r="E202" s="2">
        <v>7.8</v>
      </c>
      <c r="F202" s="2">
        <v>9.8000000000000007</v>
      </c>
      <c r="G202" s="13">
        <f t="shared" si="3"/>
        <v>8.8000000000000007</v>
      </c>
      <c r="H202" s="2">
        <v>1</v>
      </c>
    </row>
    <row r="203" spans="1:8" x14ac:dyDescent="0.25">
      <c r="A203" s="2" t="s">
        <v>2433</v>
      </c>
      <c r="B203" s="2" t="s">
        <v>1415</v>
      </c>
      <c r="C203" s="2" t="s">
        <v>16</v>
      </c>
      <c r="D203" s="2" t="s">
        <v>2155</v>
      </c>
      <c r="E203" s="2">
        <v>5.2</v>
      </c>
      <c r="F203" s="2">
        <v>17.399999999999999</v>
      </c>
      <c r="G203" s="13">
        <f t="shared" si="3"/>
        <v>11.299999999999999</v>
      </c>
      <c r="H203" s="2">
        <v>2</v>
      </c>
    </row>
    <row r="204" spans="1:8" x14ac:dyDescent="0.25">
      <c r="A204" s="2" t="s">
        <v>2434</v>
      </c>
      <c r="B204" s="2" t="s">
        <v>1525</v>
      </c>
      <c r="C204" s="2" t="s">
        <v>2167</v>
      </c>
      <c r="D204" s="2" t="s">
        <v>2161</v>
      </c>
      <c r="E204" s="2">
        <v>16.899999999999999</v>
      </c>
      <c r="F204" s="2">
        <v>16.7</v>
      </c>
      <c r="G204" s="13">
        <f t="shared" si="3"/>
        <v>16.799999999999997</v>
      </c>
      <c r="H204" s="2">
        <v>2</v>
      </c>
    </row>
    <row r="205" spans="1:8" x14ac:dyDescent="0.25">
      <c r="A205" s="2" t="s">
        <v>2435</v>
      </c>
      <c r="B205" s="2" t="s">
        <v>1498</v>
      </c>
      <c r="C205" s="2" t="s">
        <v>2167</v>
      </c>
      <c r="D205" s="2" t="s">
        <v>2155</v>
      </c>
      <c r="E205" s="2">
        <v>9.4</v>
      </c>
      <c r="F205" s="2">
        <v>6.3</v>
      </c>
      <c r="G205" s="13">
        <f t="shared" si="3"/>
        <v>7.85</v>
      </c>
      <c r="H205" s="2">
        <v>1</v>
      </c>
    </row>
    <row r="206" spans="1:8" x14ac:dyDescent="0.25">
      <c r="A206" s="2" t="s">
        <v>2436</v>
      </c>
      <c r="B206" s="2" t="s">
        <v>2437</v>
      </c>
      <c r="C206" s="2" t="s">
        <v>2149</v>
      </c>
      <c r="D206" s="2" t="s">
        <v>2150</v>
      </c>
      <c r="E206" s="2">
        <v>11.1</v>
      </c>
      <c r="F206" s="2">
        <v>12.3</v>
      </c>
      <c r="G206" s="13">
        <f t="shared" si="3"/>
        <v>11.7</v>
      </c>
      <c r="H206" s="2">
        <v>1</v>
      </c>
    </row>
    <row r="207" spans="1:8" x14ac:dyDescent="0.25">
      <c r="A207" s="2" t="s">
        <v>2438</v>
      </c>
      <c r="B207" s="2" t="s">
        <v>1643</v>
      </c>
      <c r="C207" s="2" t="s">
        <v>16</v>
      </c>
      <c r="D207" s="2" t="s">
        <v>2150</v>
      </c>
      <c r="E207" s="2">
        <v>18.100000000000001</v>
      </c>
      <c r="F207" s="2">
        <v>14.9</v>
      </c>
      <c r="G207" s="13">
        <f t="shared" si="3"/>
        <v>16.5</v>
      </c>
      <c r="H207" s="2">
        <v>1</v>
      </c>
    </row>
    <row r="208" spans="1:8" x14ac:dyDescent="0.25">
      <c r="A208" s="2" t="s">
        <v>2439</v>
      </c>
      <c r="B208" s="2" t="s">
        <v>1612</v>
      </c>
      <c r="C208" s="2" t="s">
        <v>2160</v>
      </c>
      <c r="D208" s="2" t="s">
        <v>2155</v>
      </c>
      <c r="E208" s="2">
        <v>18.8</v>
      </c>
      <c r="F208" s="2">
        <v>15.8</v>
      </c>
      <c r="G208" s="13">
        <f t="shared" si="3"/>
        <v>17.3</v>
      </c>
      <c r="H208" s="2">
        <v>2</v>
      </c>
    </row>
    <row r="209" spans="1:8" x14ac:dyDescent="0.25">
      <c r="A209" s="2" t="s">
        <v>2440</v>
      </c>
      <c r="B209" s="2" t="s">
        <v>1533</v>
      </c>
      <c r="C209" s="2" t="s">
        <v>2167</v>
      </c>
      <c r="D209" s="2" t="s">
        <v>2158</v>
      </c>
      <c r="E209" s="2">
        <v>3.3</v>
      </c>
      <c r="F209" s="2">
        <v>9.1</v>
      </c>
      <c r="G209" s="13">
        <f t="shared" si="3"/>
        <v>6.1999999999999993</v>
      </c>
      <c r="H209" s="2">
        <v>2</v>
      </c>
    </row>
    <row r="210" spans="1:8" x14ac:dyDescent="0.25">
      <c r="A210" s="2" t="s">
        <v>2441</v>
      </c>
      <c r="B210" s="2" t="s">
        <v>2442</v>
      </c>
      <c r="C210" s="2" t="s">
        <v>2149</v>
      </c>
      <c r="D210" s="2" t="s">
        <v>2155</v>
      </c>
      <c r="E210" s="2">
        <v>18.100000000000001</v>
      </c>
      <c r="F210" s="2">
        <v>16.399999999999999</v>
      </c>
      <c r="G210" s="13">
        <f t="shared" si="3"/>
        <v>17.25</v>
      </c>
      <c r="H210" s="2">
        <v>2</v>
      </c>
    </row>
    <row r="211" spans="1:8" x14ac:dyDescent="0.25">
      <c r="A211" s="2" t="s">
        <v>2443</v>
      </c>
      <c r="B211" s="2" t="s">
        <v>2444</v>
      </c>
      <c r="C211" s="2" t="s">
        <v>2167</v>
      </c>
      <c r="D211" s="2" t="s">
        <v>2150</v>
      </c>
      <c r="E211" s="2">
        <v>17</v>
      </c>
      <c r="F211" s="2">
        <v>3.3</v>
      </c>
      <c r="G211" s="13">
        <f t="shared" si="3"/>
        <v>10.15</v>
      </c>
      <c r="H211" s="2">
        <v>1</v>
      </c>
    </row>
    <row r="212" spans="1:8" x14ac:dyDescent="0.25">
      <c r="A212" s="2" t="s">
        <v>2445</v>
      </c>
      <c r="B212" s="2" t="s">
        <v>2446</v>
      </c>
      <c r="C212" s="2" t="s">
        <v>2149</v>
      </c>
      <c r="D212" s="2" t="s">
        <v>2161</v>
      </c>
      <c r="E212" s="2">
        <v>5.8</v>
      </c>
      <c r="F212" s="2">
        <v>3.1</v>
      </c>
      <c r="G212" s="13">
        <f t="shared" si="3"/>
        <v>4.45</v>
      </c>
      <c r="H212" s="2">
        <v>1</v>
      </c>
    </row>
    <row r="213" spans="1:8" x14ac:dyDescent="0.25">
      <c r="A213" s="2" t="s">
        <v>2447</v>
      </c>
      <c r="B213" s="2" t="s">
        <v>2448</v>
      </c>
      <c r="C213" s="2" t="s">
        <v>2169</v>
      </c>
      <c r="D213" s="2" t="s">
        <v>2161</v>
      </c>
      <c r="E213" s="2">
        <v>4</v>
      </c>
      <c r="F213" s="2">
        <v>15.8</v>
      </c>
      <c r="G213" s="13">
        <f t="shared" si="3"/>
        <v>9.9</v>
      </c>
      <c r="H213" s="2">
        <v>1</v>
      </c>
    </row>
    <row r="214" spans="1:8" x14ac:dyDescent="0.25">
      <c r="A214" s="2" t="s">
        <v>2449</v>
      </c>
      <c r="B214" s="2" t="s">
        <v>2446</v>
      </c>
      <c r="C214" s="2" t="s">
        <v>2149</v>
      </c>
      <c r="D214" s="2" t="s">
        <v>2158</v>
      </c>
      <c r="E214" s="2">
        <v>9.6999999999999993</v>
      </c>
      <c r="F214" s="2">
        <v>5.8</v>
      </c>
      <c r="G214" s="13">
        <f t="shared" si="3"/>
        <v>7.75</v>
      </c>
      <c r="H214" s="2">
        <v>1</v>
      </c>
    </row>
    <row r="215" spans="1:8" x14ac:dyDescent="0.25">
      <c r="A215" s="2" t="s">
        <v>2450</v>
      </c>
      <c r="B215" s="2" t="s">
        <v>2394</v>
      </c>
      <c r="C215" s="2" t="s">
        <v>16</v>
      </c>
      <c r="D215" s="2" t="s">
        <v>2158</v>
      </c>
      <c r="E215" s="2">
        <v>15.6</v>
      </c>
      <c r="F215" s="2">
        <v>3.5</v>
      </c>
      <c r="G215" s="13">
        <f t="shared" si="3"/>
        <v>9.5500000000000007</v>
      </c>
      <c r="H215" s="2">
        <v>2</v>
      </c>
    </row>
    <row r="216" spans="1:8" x14ac:dyDescent="0.25">
      <c r="A216" s="2" t="s">
        <v>2451</v>
      </c>
      <c r="B216" s="2" t="s">
        <v>2295</v>
      </c>
      <c r="C216" s="2" t="s">
        <v>2167</v>
      </c>
      <c r="D216" s="2" t="s">
        <v>2161</v>
      </c>
      <c r="E216" s="2">
        <v>13</v>
      </c>
      <c r="F216" s="2">
        <v>3.5</v>
      </c>
      <c r="G216" s="13">
        <f t="shared" si="3"/>
        <v>8.25</v>
      </c>
      <c r="H216" s="2">
        <v>1</v>
      </c>
    </row>
    <row r="217" spans="1:8" x14ac:dyDescent="0.25">
      <c r="A217" s="2" t="s">
        <v>2452</v>
      </c>
      <c r="B217" s="2" t="s">
        <v>2453</v>
      </c>
      <c r="C217" s="2" t="s">
        <v>2169</v>
      </c>
      <c r="D217" s="2" t="s">
        <v>2161</v>
      </c>
      <c r="E217" s="2">
        <v>14.8</v>
      </c>
      <c r="F217" s="2">
        <v>5.3</v>
      </c>
      <c r="G217" s="13">
        <f t="shared" si="3"/>
        <v>10.050000000000001</v>
      </c>
      <c r="H217" s="2">
        <v>1</v>
      </c>
    </row>
    <row r="218" spans="1:8" x14ac:dyDescent="0.25">
      <c r="A218" s="2" t="s">
        <v>2454</v>
      </c>
      <c r="B218" s="2" t="s">
        <v>1732</v>
      </c>
      <c r="C218" s="2" t="s">
        <v>16</v>
      </c>
      <c r="D218" s="2" t="s">
        <v>2155</v>
      </c>
      <c r="E218" s="2">
        <v>5.5</v>
      </c>
      <c r="F218" s="2">
        <v>3.2</v>
      </c>
      <c r="G218" s="13">
        <f t="shared" si="3"/>
        <v>4.3499999999999996</v>
      </c>
      <c r="H218" s="2">
        <v>1</v>
      </c>
    </row>
    <row r="219" spans="1:8" x14ac:dyDescent="0.25">
      <c r="A219" s="2" t="s">
        <v>2455</v>
      </c>
      <c r="B219" s="2" t="s">
        <v>1433</v>
      </c>
      <c r="C219" s="2" t="s">
        <v>16</v>
      </c>
      <c r="D219" s="2" t="s">
        <v>2150</v>
      </c>
      <c r="E219" s="2">
        <v>18.5</v>
      </c>
      <c r="F219" s="2">
        <v>10.4</v>
      </c>
      <c r="G219" s="13">
        <f t="shared" si="3"/>
        <v>14.45</v>
      </c>
      <c r="H219" s="2">
        <v>1</v>
      </c>
    </row>
    <row r="220" spans="1:8" x14ac:dyDescent="0.25">
      <c r="A220" s="2" t="s">
        <v>2456</v>
      </c>
      <c r="B220" s="2" t="s">
        <v>2230</v>
      </c>
      <c r="C220" s="2" t="s">
        <v>2160</v>
      </c>
      <c r="D220" s="2" t="s">
        <v>2158</v>
      </c>
      <c r="E220" s="2">
        <v>8</v>
      </c>
      <c r="F220" s="2">
        <v>10.5</v>
      </c>
      <c r="G220" s="13">
        <f t="shared" si="3"/>
        <v>9.25</v>
      </c>
      <c r="H220" s="2">
        <v>1</v>
      </c>
    </row>
    <row r="221" spans="1:8" x14ac:dyDescent="0.25">
      <c r="A221" s="2" t="s">
        <v>2457</v>
      </c>
      <c r="B221" s="2" t="s">
        <v>2458</v>
      </c>
      <c r="C221" s="2" t="s">
        <v>2149</v>
      </c>
      <c r="D221" s="2" t="s">
        <v>2150</v>
      </c>
      <c r="E221" s="2">
        <v>10.6</v>
      </c>
      <c r="F221" s="2">
        <v>15</v>
      </c>
      <c r="G221" s="13">
        <f t="shared" si="3"/>
        <v>12.8</v>
      </c>
      <c r="H221" s="2">
        <v>1</v>
      </c>
    </row>
    <row r="222" spans="1:8" x14ac:dyDescent="0.25">
      <c r="A222" s="2" t="s">
        <v>2459</v>
      </c>
      <c r="B222" s="2" t="s">
        <v>1447</v>
      </c>
      <c r="C222" s="2" t="s">
        <v>16</v>
      </c>
      <c r="D222" s="2" t="s">
        <v>2158</v>
      </c>
      <c r="E222" s="2">
        <v>15.9</v>
      </c>
      <c r="F222" s="2">
        <v>5.3</v>
      </c>
      <c r="G222" s="13">
        <f t="shared" si="3"/>
        <v>10.6</v>
      </c>
      <c r="H222" s="2">
        <v>1</v>
      </c>
    </row>
    <row r="223" spans="1:8" x14ac:dyDescent="0.25">
      <c r="A223" s="2" t="s">
        <v>2460</v>
      </c>
      <c r="B223" s="2" t="s">
        <v>2461</v>
      </c>
      <c r="C223" s="2" t="s">
        <v>16</v>
      </c>
      <c r="D223" s="2" t="s">
        <v>2158</v>
      </c>
      <c r="E223" s="2">
        <v>7</v>
      </c>
      <c r="F223" s="2">
        <v>7</v>
      </c>
      <c r="G223" s="13">
        <f t="shared" si="3"/>
        <v>7</v>
      </c>
      <c r="H223" s="2">
        <v>1</v>
      </c>
    </row>
    <row r="224" spans="1:8" x14ac:dyDescent="0.25">
      <c r="A224" s="2" t="s">
        <v>2462</v>
      </c>
      <c r="B224" s="2" t="s">
        <v>2258</v>
      </c>
      <c r="C224" s="2" t="s">
        <v>2167</v>
      </c>
      <c r="D224" s="2" t="s">
        <v>2161</v>
      </c>
      <c r="E224" s="2">
        <v>8.1999999999999993</v>
      </c>
      <c r="F224" s="2">
        <v>9</v>
      </c>
      <c r="G224" s="13">
        <f t="shared" si="3"/>
        <v>8.6</v>
      </c>
      <c r="H224" s="2">
        <v>1</v>
      </c>
    </row>
    <row r="225" spans="1:8" x14ac:dyDescent="0.25">
      <c r="A225" s="2" t="s">
        <v>2463</v>
      </c>
      <c r="B225" s="2" t="s">
        <v>1538</v>
      </c>
      <c r="C225" s="2" t="s">
        <v>2167</v>
      </c>
      <c r="D225" s="2" t="s">
        <v>2150</v>
      </c>
      <c r="E225" s="2">
        <v>15.7</v>
      </c>
      <c r="F225" s="2">
        <v>18.7</v>
      </c>
      <c r="G225" s="13">
        <f t="shared" si="3"/>
        <v>17.2</v>
      </c>
      <c r="H225" s="2">
        <v>1</v>
      </c>
    </row>
    <row r="226" spans="1:8" x14ac:dyDescent="0.25">
      <c r="A226" s="2" t="s">
        <v>2464</v>
      </c>
      <c r="B226" s="2" t="s">
        <v>2465</v>
      </c>
      <c r="C226" s="2" t="s">
        <v>2169</v>
      </c>
      <c r="D226" s="2" t="s">
        <v>2161</v>
      </c>
      <c r="E226" s="2"/>
      <c r="F226" s="2">
        <v>3.2</v>
      </c>
      <c r="G226" s="13">
        <f t="shared" si="3"/>
        <v>3.2</v>
      </c>
      <c r="H226" s="2">
        <v>2</v>
      </c>
    </row>
    <row r="227" spans="1:8" x14ac:dyDescent="0.25">
      <c r="A227" s="2" t="s">
        <v>2466</v>
      </c>
      <c r="B227" s="2" t="s">
        <v>2467</v>
      </c>
      <c r="C227" s="2" t="s">
        <v>16</v>
      </c>
      <c r="D227" s="2" t="s">
        <v>2155</v>
      </c>
      <c r="E227" s="2">
        <v>18.899999999999999</v>
      </c>
      <c r="F227" s="2">
        <v>10.3</v>
      </c>
      <c r="G227" s="13">
        <f t="shared" si="3"/>
        <v>14.6</v>
      </c>
      <c r="H227" s="2">
        <v>2</v>
      </c>
    </row>
    <row r="228" spans="1:8" x14ac:dyDescent="0.25">
      <c r="A228" s="2" t="s">
        <v>2468</v>
      </c>
      <c r="B228" s="2" t="s">
        <v>1409</v>
      </c>
      <c r="C228" s="2" t="s">
        <v>2149</v>
      </c>
      <c r="D228" s="2" t="s">
        <v>2158</v>
      </c>
      <c r="E228" s="2">
        <v>13.5</v>
      </c>
      <c r="F228" s="2">
        <v>11.2</v>
      </c>
      <c r="G228" s="13">
        <f t="shared" si="3"/>
        <v>12.35</v>
      </c>
      <c r="H228" s="2">
        <v>2</v>
      </c>
    </row>
    <row r="229" spans="1:8" x14ac:dyDescent="0.25">
      <c r="A229" s="2" t="s">
        <v>2469</v>
      </c>
      <c r="B229" s="2" t="s">
        <v>1400</v>
      </c>
      <c r="C229" s="2" t="s">
        <v>2167</v>
      </c>
      <c r="D229" s="2" t="s">
        <v>2158</v>
      </c>
      <c r="E229" s="2">
        <v>15.9</v>
      </c>
      <c r="F229" s="2">
        <v>10.8</v>
      </c>
      <c r="G229" s="13">
        <f t="shared" si="3"/>
        <v>13.350000000000001</v>
      </c>
      <c r="H229" s="2">
        <v>2</v>
      </c>
    </row>
    <row r="230" spans="1:8" x14ac:dyDescent="0.25">
      <c r="A230" s="2" t="s">
        <v>2470</v>
      </c>
      <c r="B230" s="2" t="s">
        <v>2299</v>
      </c>
      <c r="C230" s="2" t="s">
        <v>2149</v>
      </c>
      <c r="D230" s="2" t="s">
        <v>2155</v>
      </c>
      <c r="E230" s="2">
        <v>4</v>
      </c>
      <c r="F230" s="2">
        <v>8.8000000000000007</v>
      </c>
      <c r="G230" s="13">
        <f t="shared" si="3"/>
        <v>6.4</v>
      </c>
      <c r="H230" s="2">
        <v>1</v>
      </c>
    </row>
    <row r="231" spans="1:8" x14ac:dyDescent="0.25">
      <c r="A231" s="2" t="s">
        <v>2471</v>
      </c>
      <c r="B231" s="2" t="s">
        <v>1377</v>
      </c>
      <c r="C231" s="2" t="s">
        <v>2160</v>
      </c>
      <c r="D231" s="2" t="s">
        <v>2150</v>
      </c>
      <c r="E231" s="2">
        <v>18.600000000000001</v>
      </c>
      <c r="F231" s="2">
        <v>16.3</v>
      </c>
      <c r="G231" s="13">
        <f t="shared" si="3"/>
        <v>17.450000000000003</v>
      </c>
      <c r="H231" s="2">
        <v>2</v>
      </c>
    </row>
    <row r="232" spans="1:8" x14ac:dyDescent="0.25">
      <c r="A232" s="2" t="s">
        <v>2472</v>
      </c>
      <c r="B232" s="2" t="s">
        <v>2473</v>
      </c>
      <c r="C232" s="2" t="s">
        <v>2149</v>
      </c>
      <c r="D232" s="2" t="s">
        <v>2161</v>
      </c>
      <c r="E232" s="2">
        <v>7.9</v>
      </c>
      <c r="F232" s="2">
        <v>10</v>
      </c>
      <c r="G232" s="13">
        <f t="shared" si="3"/>
        <v>8.9499999999999993</v>
      </c>
      <c r="H232" s="2">
        <v>1</v>
      </c>
    </row>
    <row r="233" spans="1:8" x14ac:dyDescent="0.25">
      <c r="A233" s="2" t="s">
        <v>2474</v>
      </c>
      <c r="B233" s="2" t="s">
        <v>2234</v>
      </c>
      <c r="C233" s="2" t="s">
        <v>2160</v>
      </c>
      <c r="D233" s="2" t="s">
        <v>2150</v>
      </c>
      <c r="E233" s="2">
        <v>5.3</v>
      </c>
      <c r="F233" s="2">
        <v>13.9</v>
      </c>
      <c r="G233" s="13">
        <f t="shared" si="3"/>
        <v>9.6</v>
      </c>
      <c r="H233" s="2">
        <v>1</v>
      </c>
    </row>
    <row r="234" spans="1:8" x14ac:dyDescent="0.25">
      <c r="A234" s="2" t="s">
        <v>2475</v>
      </c>
      <c r="B234" s="2" t="s">
        <v>1588</v>
      </c>
      <c r="C234" s="2" t="s">
        <v>2149</v>
      </c>
      <c r="D234" s="2" t="s">
        <v>2158</v>
      </c>
      <c r="E234" s="2">
        <v>15.8</v>
      </c>
      <c r="F234" s="2">
        <v>8.8000000000000007</v>
      </c>
      <c r="G234" s="13">
        <f t="shared" si="3"/>
        <v>12.3</v>
      </c>
      <c r="H234" s="2">
        <v>1</v>
      </c>
    </row>
    <row r="235" spans="1:8" x14ac:dyDescent="0.25">
      <c r="A235" s="2" t="s">
        <v>2476</v>
      </c>
      <c r="B235" s="2" t="s">
        <v>2477</v>
      </c>
      <c r="C235" s="2" t="s">
        <v>2149</v>
      </c>
      <c r="D235" s="2" t="s">
        <v>2161</v>
      </c>
      <c r="E235" s="2">
        <v>4.5999999999999996</v>
      </c>
      <c r="F235" s="2">
        <v>5.7</v>
      </c>
      <c r="G235" s="13">
        <f t="shared" si="3"/>
        <v>5.15</v>
      </c>
      <c r="H235" s="2">
        <v>1</v>
      </c>
    </row>
    <row r="236" spans="1:8" x14ac:dyDescent="0.25">
      <c r="A236" s="2" t="s">
        <v>2478</v>
      </c>
      <c r="B236" s="2" t="s">
        <v>2479</v>
      </c>
      <c r="C236" s="2" t="s">
        <v>16</v>
      </c>
      <c r="D236" s="2" t="s">
        <v>2161</v>
      </c>
      <c r="E236" s="2">
        <v>7.5</v>
      </c>
      <c r="F236" s="2">
        <v>18.3</v>
      </c>
      <c r="G236" s="13">
        <f t="shared" si="3"/>
        <v>12.9</v>
      </c>
      <c r="H236" s="2">
        <v>2</v>
      </c>
    </row>
    <row r="237" spans="1:8" x14ac:dyDescent="0.25">
      <c r="A237" s="2" t="s">
        <v>2480</v>
      </c>
      <c r="B237" s="2" t="s">
        <v>2481</v>
      </c>
      <c r="C237" s="2" t="s">
        <v>2160</v>
      </c>
      <c r="D237" s="2" t="s">
        <v>2158</v>
      </c>
      <c r="E237" s="2">
        <v>10.5</v>
      </c>
      <c r="F237" s="2"/>
      <c r="G237" s="13">
        <f t="shared" si="3"/>
        <v>10.5</v>
      </c>
      <c r="H237" s="2">
        <v>1</v>
      </c>
    </row>
    <row r="238" spans="1:8" x14ac:dyDescent="0.25">
      <c r="A238" s="2" t="s">
        <v>2482</v>
      </c>
      <c r="B238" s="2" t="s">
        <v>2483</v>
      </c>
      <c r="C238" s="2" t="s">
        <v>16</v>
      </c>
      <c r="D238" s="2" t="s">
        <v>2150</v>
      </c>
      <c r="E238" s="2">
        <v>17.8</v>
      </c>
      <c r="F238" s="2">
        <v>12.8</v>
      </c>
      <c r="G238" s="13">
        <f t="shared" si="3"/>
        <v>15.3</v>
      </c>
      <c r="H238" s="2">
        <v>1</v>
      </c>
    </row>
    <row r="239" spans="1:8" x14ac:dyDescent="0.25">
      <c r="A239" s="2" t="s">
        <v>2484</v>
      </c>
      <c r="B239" s="2" t="s">
        <v>2192</v>
      </c>
      <c r="C239" s="2" t="s">
        <v>2149</v>
      </c>
      <c r="D239" s="2" t="s">
        <v>2161</v>
      </c>
      <c r="E239" s="2">
        <v>10.7</v>
      </c>
      <c r="F239" s="2">
        <v>5.6</v>
      </c>
      <c r="G239" s="13">
        <f t="shared" si="3"/>
        <v>8.1499999999999986</v>
      </c>
      <c r="H239" s="2">
        <v>2</v>
      </c>
    </row>
    <row r="240" spans="1:8" x14ac:dyDescent="0.25">
      <c r="A240" s="2" t="s">
        <v>2485</v>
      </c>
      <c r="B240" s="2" t="s">
        <v>1366</v>
      </c>
      <c r="C240" s="2" t="s">
        <v>2149</v>
      </c>
      <c r="D240" s="2" t="s">
        <v>2158</v>
      </c>
      <c r="E240" s="2">
        <v>12.5</v>
      </c>
      <c r="F240" s="2">
        <v>7</v>
      </c>
      <c r="G240" s="13">
        <f t="shared" si="3"/>
        <v>9.75</v>
      </c>
      <c r="H240" s="2">
        <v>1</v>
      </c>
    </row>
    <row r="241" spans="1:8" x14ac:dyDescent="0.25">
      <c r="A241" s="2" t="s">
        <v>2486</v>
      </c>
      <c r="B241" s="2" t="s">
        <v>1520</v>
      </c>
      <c r="C241" s="2" t="s">
        <v>2149</v>
      </c>
      <c r="D241" s="2" t="s">
        <v>2161</v>
      </c>
      <c r="E241" s="2">
        <v>17.3</v>
      </c>
      <c r="F241" s="2">
        <v>5</v>
      </c>
      <c r="G241" s="13">
        <f t="shared" si="3"/>
        <v>11.15</v>
      </c>
      <c r="H241" s="2">
        <v>1</v>
      </c>
    </row>
    <row r="242" spans="1:8" x14ac:dyDescent="0.25">
      <c r="A242" s="2" t="s">
        <v>2487</v>
      </c>
      <c r="B242" s="2" t="s">
        <v>1417</v>
      </c>
      <c r="C242" s="2" t="s">
        <v>2169</v>
      </c>
      <c r="D242" s="2" t="s">
        <v>2158</v>
      </c>
      <c r="E242" s="2">
        <v>13.8</v>
      </c>
      <c r="F242" s="2">
        <v>15.2</v>
      </c>
      <c r="G242" s="13">
        <f t="shared" si="3"/>
        <v>14.5</v>
      </c>
      <c r="H242" s="2">
        <v>1</v>
      </c>
    </row>
    <row r="243" spans="1:8" x14ac:dyDescent="0.25">
      <c r="A243" s="2" t="s">
        <v>2488</v>
      </c>
      <c r="B243" s="2" t="s">
        <v>2345</v>
      </c>
      <c r="C243" s="2" t="s">
        <v>2160</v>
      </c>
      <c r="D243" s="2" t="s">
        <v>2155</v>
      </c>
      <c r="E243" s="2">
        <v>15.3</v>
      </c>
      <c r="F243" s="2">
        <v>12.6</v>
      </c>
      <c r="G243" s="13">
        <f t="shared" si="3"/>
        <v>13.95</v>
      </c>
      <c r="H243" s="2">
        <v>2</v>
      </c>
    </row>
    <row r="244" spans="1:8" x14ac:dyDescent="0.25">
      <c r="A244" s="2" t="s">
        <v>2489</v>
      </c>
      <c r="B244" s="2" t="s">
        <v>1504</v>
      </c>
      <c r="C244" s="2" t="s">
        <v>2167</v>
      </c>
      <c r="D244" s="2" t="s">
        <v>2161</v>
      </c>
      <c r="E244" s="2">
        <v>5.5</v>
      </c>
      <c r="F244" s="2">
        <v>17.100000000000001</v>
      </c>
      <c r="G244" s="13">
        <f t="shared" si="3"/>
        <v>11.3</v>
      </c>
      <c r="H244" s="2">
        <v>2</v>
      </c>
    </row>
    <row r="245" spans="1:8" x14ac:dyDescent="0.25">
      <c r="A245" s="2" t="s">
        <v>2490</v>
      </c>
      <c r="B245" s="2" t="s">
        <v>1582</v>
      </c>
      <c r="C245" s="2" t="s">
        <v>16</v>
      </c>
      <c r="D245" s="2" t="s">
        <v>2158</v>
      </c>
      <c r="E245" s="2">
        <v>4.8</v>
      </c>
      <c r="F245" s="2">
        <v>10.5</v>
      </c>
      <c r="G245" s="13">
        <f t="shared" si="3"/>
        <v>7.65</v>
      </c>
      <c r="H245" s="2">
        <v>1</v>
      </c>
    </row>
    <row r="246" spans="1:8" x14ac:dyDescent="0.25">
      <c r="A246" s="2" t="s">
        <v>2491</v>
      </c>
      <c r="B246" s="2" t="s">
        <v>1373</v>
      </c>
      <c r="C246" s="2" t="s">
        <v>2160</v>
      </c>
      <c r="D246" s="2" t="s">
        <v>2150</v>
      </c>
      <c r="E246" s="2">
        <v>11.4</v>
      </c>
      <c r="F246" s="2">
        <v>4.4000000000000004</v>
      </c>
      <c r="G246" s="13">
        <f t="shared" si="3"/>
        <v>7.9</v>
      </c>
      <c r="H246" s="2">
        <v>2</v>
      </c>
    </row>
    <row r="247" spans="1:8" x14ac:dyDescent="0.25">
      <c r="A247" s="2" t="s">
        <v>2492</v>
      </c>
      <c r="B247" s="2" t="s">
        <v>2453</v>
      </c>
      <c r="C247" s="2" t="s">
        <v>2167</v>
      </c>
      <c r="D247" s="2" t="s">
        <v>2158</v>
      </c>
      <c r="E247" s="2">
        <v>16.399999999999999</v>
      </c>
      <c r="F247" s="2">
        <v>18.399999999999999</v>
      </c>
      <c r="G247" s="13">
        <f t="shared" si="3"/>
        <v>17.399999999999999</v>
      </c>
      <c r="H247" s="2">
        <v>2</v>
      </c>
    </row>
    <row r="248" spans="1:8" x14ac:dyDescent="0.25">
      <c r="A248" s="2" t="s">
        <v>2493</v>
      </c>
      <c r="B248" s="2" t="s">
        <v>2187</v>
      </c>
      <c r="C248" s="2" t="s">
        <v>2160</v>
      </c>
      <c r="D248" s="2" t="s">
        <v>2158</v>
      </c>
      <c r="E248" s="2">
        <v>17.5</v>
      </c>
      <c r="F248" s="2">
        <v>13.2</v>
      </c>
      <c r="G248" s="13">
        <f t="shared" si="3"/>
        <v>15.35</v>
      </c>
      <c r="H248" s="2">
        <v>1</v>
      </c>
    </row>
    <row r="249" spans="1:8" x14ac:dyDescent="0.25">
      <c r="A249" s="2" t="s">
        <v>2494</v>
      </c>
      <c r="B249" s="2" t="s">
        <v>2356</v>
      </c>
      <c r="C249" s="2" t="s">
        <v>2169</v>
      </c>
      <c r="D249" s="2" t="s">
        <v>2161</v>
      </c>
      <c r="E249" s="2">
        <v>3.2</v>
      </c>
      <c r="F249" s="2">
        <v>14.4</v>
      </c>
      <c r="G249" s="13">
        <f t="shared" si="3"/>
        <v>8.8000000000000007</v>
      </c>
      <c r="H249" s="2">
        <v>1</v>
      </c>
    </row>
    <row r="250" spans="1:8" x14ac:dyDescent="0.25">
      <c r="A250" s="2" t="s">
        <v>2495</v>
      </c>
      <c r="B250" s="2" t="s">
        <v>2496</v>
      </c>
      <c r="C250" s="2" t="s">
        <v>2169</v>
      </c>
      <c r="D250" s="2" t="s">
        <v>2161</v>
      </c>
      <c r="E250" s="2">
        <v>12.5</v>
      </c>
      <c r="F250" s="2">
        <v>13.7</v>
      </c>
      <c r="G250" s="13">
        <f t="shared" si="3"/>
        <v>13.1</v>
      </c>
      <c r="H250" s="2">
        <v>2</v>
      </c>
    </row>
    <row r="251" spans="1:8" x14ac:dyDescent="0.25">
      <c r="A251" s="2" t="s">
        <v>2497</v>
      </c>
      <c r="B251" s="2" t="s">
        <v>1692</v>
      </c>
      <c r="C251" s="2" t="s">
        <v>2167</v>
      </c>
      <c r="D251" s="2" t="s">
        <v>2155</v>
      </c>
      <c r="E251" s="2">
        <v>3.7</v>
      </c>
      <c r="F251" s="2">
        <v>4.7</v>
      </c>
      <c r="G251" s="13">
        <f t="shared" si="3"/>
        <v>4.2</v>
      </c>
      <c r="H251" s="2">
        <v>1</v>
      </c>
    </row>
    <row r="252" spans="1:8" x14ac:dyDescent="0.25">
      <c r="A252" s="2" t="s">
        <v>2498</v>
      </c>
      <c r="B252" s="2" t="s">
        <v>1483</v>
      </c>
      <c r="C252" s="2" t="s">
        <v>16</v>
      </c>
      <c r="D252" s="2" t="s">
        <v>2155</v>
      </c>
      <c r="E252" s="2">
        <v>8.8000000000000007</v>
      </c>
      <c r="F252" s="2">
        <v>13.8</v>
      </c>
      <c r="G252" s="13">
        <f t="shared" si="3"/>
        <v>11.3</v>
      </c>
      <c r="H252" s="2">
        <v>2</v>
      </c>
    </row>
    <row r="253" spans="1:8" x14ac:dyDescent="0.25">
      <c r="A253" s="2" t="s">
        <v>2499</v>
      </c>
      <c r="B253" s="2" t="s">
        <v>2500</v>
      </c>
      <c r="C253" s="2" t="s">
        <v>2169</v>
      </c>
      <c r="D253" s="2" t="s">
        <v>2155</v>
      </c>
      <c r="E253" s="2">
        <v>13.4</v>
      </c>
      <c r="F253" s="2">
        <v>10</v>
      </c>
      <c r="G253" s="13">
        <f t="shared" si="3"/>
        <v>11.7</v>
      </c>
      <c r="H253" s="2">
        <v>2</v>
      </c>
    </row>
    <row r="254" spans="1:8" x14ac:dyDescent="0.25">
      <c r="A254" s="2" t="s">
        <v>2501</v>
      </c>
      <c r="B254" s="2" t="s">
        <v>1570</v>
      </c>
      <c r="C254" s="2" t="s">
        <v>2149</v>
      </c>
      <c r="D254" s="2" t="s">
        <v>2150</v>
      </c>
      <c r="E254" s="2">
        <v>16</v>
      </c>
      <c r="F254" s="2">
        <v>13</v>
      </c>
      <c r="G254" s="13">
        <f t="shared" si="3"/>
        <v>14.5</v>
      </c>
      <c r="H254" s="2">
        <v>1</v>
      </c>
    </row>
    <row r="255" spans="1:8" x14ac:dyDescent="0.25">
      <c r="A255" s="2" t="s">
        <v>2502</v>
      </c>
      <c r="B255" s="2" t="s">
        <v>1329</v>
      </c>
      <c r="C255" s="2" t="s">
        <v>2167</v>
      </c>
      <c r="D255" s="2" t="s">
        <v>2161</v>
      </c>
      <c r="E255" s="2">
        <v>13.1</v>
      </c>
      <c r="F255" s="2">
        <v>8.3000000000000007</v>
      </c>
      <c r="G255" s="13">
        <f t="shared" si="3"/>
        <v>10.7</v>
      </c>
      <c r="H255" s="2">
        <v>2</v>
      </c>
    </row>
    <row r="256" spans="1:8" x14ac:dyDescent="0.25">
      <c r="A256" s="2" t="s">
        <v>2503</v>
      </c>
      <c r="B256" s="2" t="s">
        <v>2504</v>
      </c>
      <c r="C256" s="2" t="s">
        <v>2160</v>
      </c>
      <c r="D256" s="2" t="s">
        <v>2161</v>
      </c>
      <c r="E256" s="2">
        <v>8.6999999999999993</v>
      </c>
      <c r="F256" s="2">
        <v>13.9</v>
      </c>
      <c r="G256" s="13">
        <f t="shared" si="3"/>
        <v>11.3</v>
      </c>
      <c r="H256" s="2">
        <v>1</v>
      </c>
    </row>
    <row r="257" spans="1:8" x14ac:dyDescent="0.25">
      <c r="A257" s="2" t="s">
        <v>2505</v>
      </c>
      <c r="B257" s="2" t="s">
        <v>2313</v>
      </c>
      <c r="C257" s="2" t="s">
        <v>2149</v>
      </c>
      <c r="D257" s="2" t="s">
        <v>2158</v>
      </c>
      <c r="E257" s="2">
        <v>8.1999999999999993</v>
      </c>
      <c r="F257" s="2">
        <v>14.2</v>
      </c>
      <c r="G257" s="13">
        <f t="shared" si="3"/>
        <v>11.2</v>
      </c>
      <c r="H257" s="2">
        <v>2</v>
      </c>
    </row>
    <row r="258" spans="1:8" x14ac:dyDescent="0.25">
      <c r="A258" s="2" t="s">
        <v>2506</v>
      </c>
      <c r="B258" s="2" t="s">
        <v>2507</v>
      </c>
      <c r="C258" s="2" t="s">
        <v>2167</v>
      </c>
      <c r="D258" s="2" t="s">
        <v>2158</v>
      </c>
      <c r="E258" s="2">
        <v>15.1</v>
      </c>
      <c r="F258" s="2">
        <v>15.5</v>
      </c>
      <c r="G258" s="13">
        <f t="shared" si="3"/>
        <v>15.3</v>
      </c>
      <c r="H258" s="2">
        <v>2</v>
      </c>
    </row>
    <row r="259" spans="1:8" x14ac:dyDescent="0.25">
      <c r="A259" s="2" t="s">
        <v>2508</v>
      </c>
      <c r="B259" s="2" t="s">
        <v>2509</v>
      </c>
      <c r="C259" s="2" t="s">
        <v>2160</v>
      </c>
      <c r="D259" s="2" t="s">
        <v>2155</v>
      </c>
      <c r="E259" s="2">
        <v>12.9</v>
      </c>
      <c r="F259" s="2">
        <v>14.8</v>
      </c>
      <c r="G259" s="13">
        <f t="shared" si="3"/>
        <v>13.850000000000001</v>
      </c>
      <c r="H259" s="2">
        <v>1</v>
      </c>
    </row>
    <row r="260" spans="1:8" x14ac:dyDescent="0.25">
      <c r="A260" s="2" t="s">
        <v>2510</v>
      </c>
      <c r="B260" s="2" t="s">
        <v>2511</v>
      </c>
      <c r="C260" s="2" t="s">
        <v>16</v>
      </c>
      <c r="D260" s="2" t="s">
        <v>2150</v>
      </c>
      <c r="E260" s="2">
        <v>13.2</v>
      </c>
      <c r="F260" s="2">
        <v>8</v>
      </c>
      <c r="G260" s="13">
        <f t="shared" si="3"/>
        <v>10.6</v>
      </c>
      <c r="H260" s="2">
        <v>2</v>
      </c>
    </row>
    <row r="261" spans="1:8" x14ac:dyDescent="0.25">
      <c r="A261" s="2" t="s">
        <v>2512</v>
      </c>
      <c r="B261" s="2" t="s">
        <v>2334</v>
      </c>
      <c r="C261" s="2" t="s">
        <v>2160</v>
      </c>
      <c r="D261" s="2" t="s">
        <v>2150</v>
      </c>
      <c r="E261" s="2">
        <v>16.7</v>
      </c>
      <c r="F261" s="2">
        <v>10.8</v>
      </c>
      <c r="G261" s="13">
        <f t="shared" ref="G261:G304" si="4">IFERROR(AVERAGE(E261:F261),"Absent")</f>
        <v>13.75</v>
      </c>
      <c r="H261" s="2">
        <v>1</v>
      </c>
    </row>
    <row r="262" spans="1:8" x14ac:dyDescent="0.25">
      <c r="A262" s="2" t="s">
        <v>2513</v>
      </c>
      <c r="B262" s="2" t="s">
        <v>1536</v>
      </c>
      <c r="C262" s="2" t="s">
        <v>2169</v>
      </c>
      <c r="D262" s="2" t="s">
        <v>2158</v>
      </c>
      <c r="E262" s="2">
        <v>8.1999999999999993</v>
      </c>
      <c r="F262" s="2">
        <v>4.8</v>
      </c>
      <c r="G262" s="13">
        <f t="shared" si="4"/>
        <v>6.5</v>
      </c>
      <c r="H262" s="2">
        <v>1</v>
      </c>
    </row>
    <row r="263" spans="1:8" x14ac:dyDescent="0.25">
      <c r="A263" s="2" t="s">
        <v>2514</v>
      </c>
      <c r="B263" s="2" t="s">
        <v>2221</v>
      </c>
      <c r="C263" s="2" t="s">
        <v>2167</v>
      </c>
      <c r="D263" s="2" t="s">
        <v>2161</v>
      </c>
      <c r="E263" s="2">
        <v>9.4</v>
      </c>
      <c r="F263" s="2">
        <v>14.1</v>
      </c>
      <c r="G263" s="13">
        <f t="shared" si="4"/>
        <v>11.75</v>
      </c>
      <c r="H263" s="2">
        <v>2</v>
      </c>
    </row>
    <row r="264" spans="1:8" x14ac:dyDescent="0.25">
      <c r="A264" s="2" t="s">
        <v>2515</v>
      </c>
      <c r="B264" s="2" t="s">
        <v>1514</v>
      </c>
      <c r="C264" s="2" t="s">
        <v>2167</v>
      </c>
      <c r="D264" s="2" t="s">
        <v>2158</v>
      </c>
      <c r="E264" s="2"/>
      <c r="F264" s="2">
        <v>8.4</v>
      </c>
      <c r="G264" s="13">
        <f t="shared" si="4"/>
        <v>8.4</v>
      </c>
      <c r="H264" s="2">
        <v>1</v>
      </c>
    </row>
    <row r="265" spans="1:8" x14ac:dyDescent="0.25">
      <c r="A265" s="2" t="s">
        <v>2516</v>
      </c>
      <c r="B265" s="2" t="s">
        <v>2517</v>
      </c>
      <c r="C265" s="2" t="s">
        <v>2169</v>
      </c>
      <c r="D265" s="2" t="s">
        <v>2150</v>
      </c>
      <c r="E265" s="2">
        <v>8.1999999999999993</v>
      </c>
      <c r="F265" s="2">
        <v>6.6</v>
      </c>
      <c r="G265" s="13">
        <f t="shared" si="4"/>
        <v>7.3999999999999995</v>
      </c>
      <c r="H265" s="2">
        <v>2</v>
      </c>
    </row>
    <row r="266" spans="1:8" x14ac:dyDescent="0.25">
      <c r="A266" s="2" t="s">
        <v>2518</v>
      </c>
      <c r="B266" s="2" t="s">
        <v>1421</v>
      </c>
      <c r="C266" s="2" t="s">
        <v>2149</v>
      </c>
      <c r="D266" s="2" t="s">
        <v>2161</v>
      </c>
      <c r="E266" s="2">
        <v>3.4</v>
      </c>
      <c r="F266" s="2">
        <v>6.6</v>
      </c>
      <c r="G266" s="13">
        <f t="shared" si="4"/>
        <v>5</v>
      </c>
      <c r="H266" s="2">
        <v>1</v>
      </c>
    </row>
    <row r="267" spans="1:8" x14ac:dyDescent="0.25">
      <c r="A267" s="2" t="s">
        <v>2519</v>
      </c>
      <c r="B267" s="2" t="s">
        <v>1529</v>
      </c>
      <c r="C267" s="2" t="s">
        <v>16</v>
      </c>
      <c r="D267" s="2" t="s">
        <v>2161</v>
      </c>
      <c r="E267" s="2">
        <v>5.3</v>
      </c>
      <c r="F267" s="2"/>
      <c r="G267" s="13">
        <f t="shared" si="4"/>
        <v>5.3</v>
      </c>
      <c r="H267" s="2">
        <v>1</v>
      </c>
    </row>
    <row r="268" spans="1:8" x14ac:dyDescent="0.25">
      <c r="A268" s="2" t="s">
        <v>2520</v>
      </c>
      <c r="B268" s="2" t="s">
        <v>1744</v>
      </c>
      <c r="C268" s="2" t="s">
        <v>2169</v>
      </c>
      <c r="D268" s="2" t="s">
        <v>2161</v>
      </c>
      <c r="E268" s="2">
        <v>9.6</v>
      </c>
      <c r="F268" s="2">
        <v>16.600000000000001</v>
      </c>
      <c r="G268" s="13">
        <f t="shared" si="4"/>
        <v>13.100000000000001</v>
      </c>
      <c r="H268" s="2">
        <v>2</v>
      </c>
    </row>
    <row r="269" spans="1:8" x14ac:dyDescent="0.25">
      <c r="A269" s="2" t="s">
        <v>2521</v>
      </c>
      <c r="B269" s="2" t="s">
        <v>2522</v>
      </c>
      <c r="C269" s="2" t="s">
        <v>2160</v>
      </c>
      <c r="D269" s="2" t="s">
        <v>2158</v>
      </c>
      <c r="E269" s="2">
        <v>14.3</v>
      </c>
      <c r="F269" s="2">
        <v>18.7</v>
      </c>
      <c r="G269" s="13">
        <f t="shared" si="4"/>
        <v>16.5</v>
      </c>
      <c r="H269" s="2">
        <v>1</v>
      </c>
    </row>
    <row r="270" spans="1:8" x14ac:dyDescent="0.25">
      <c r="A270" s="2" t="s">
        <v>2523</v>
      </c>
      <c r="B270" s="2" t="s">
        <v>1584</v>
      </c>
      <c r="C270" s="2" t="s">
        <v>2149</v>
      </c>
      <c r="D270" s="2" t="s">
        <v>2150</v>
      </c>
      <c r="E270" s="2">
        <v>8.1</v>
      </c>
      <c r="F270" s="2">
        <v>8.6999999999999993</v>
      </c>
      <c r="G270" s="13">
        <f t="shared" si="4"/>
        <v>8.3999999999999986</v>
      </c>
      <c r="H270" s="2">
        <v>1</v>
      </c>
    </row>
    <row r="271" spans="1:8" x14ac:dyDescent="0.25">
      <c r="A271" s="2" t="s">
        <v>2524</v>
      </c>
      <c r="B271" s="2" t="s">
        <v>2525</v>
      </c>
      <c r="C271" s="2" t="s">
        <v>2160</v>
      </c>
      <c r="D271" s="2" t="s">
        <v>2155</v>
      </c>
      <c r="E271" s="2">
        <v>18.7</v>
      </c>
      <c r="F271" s="2"/>
      <c r="G271" s="13">
        <f t="shared" si="4"/>
        <v>18.7</v>
      </c>
      <c r="H271" s="2">
        <v>1</v>
      </c>
    </row>
    <row r="272" spans="1:8" x14ac:dyDescent="0.25">
      <c r="A272" s="2" t="s">
        <v>2526</v>
      </c>
      <c r="B272" s="2" t="s">
        <v>2311</v>
      </c>
      <c r="C272" s="2" t="s">
        <v>16</v>
      </c>
      <c r="D272" s="2" t="s">
        <v>2158</v>
      </c>
      <c r="E272" s="2">
        <v>14.5</v>
      </c>
      <c r="F272" s="2">
        <v>14.5</v>
      </c>
      <c r="G272" s="13">
        <f t="shared" si="4"/>
        <v>14.5</v>
      </c>
      <c r="H272" s="2">
        <v>1</v>
      </c>
    </row>
    <row r="273" spans="1:8" x14ac:dyDescent="0.25">
      <c r="A273" s="2" t="s">
        <v>2527</v>
      </c>
      <c r="B273" s="2" t="s">
        <v>1458</v>
      </c>
      <c r="C273" s="2" t="s">
        <v>2167</v>
      </c>
      <c r="D273" s="2" t="s">
        <v>2150</v>
      </c>
      <c r="E273" s="2">
        <v>10.4</v>
      </c>
      <c r="F273" s="2">
        <v>10</v>
      </c>
      <c r="G273" s="13">
        <f t="shared" si="4"/>
        <v>10.199999999999999</v>
      </c>
      <c r="H273" s="2">
        <v>1</v>
      </c>
    </row>
    <row r="274" spans="1:8" x14ac:dyDescent="0.25">
      <c r="A274" s="2" t="s">
        <v>2528</v>
      </c>
      <c r="B274" s="2" t="s">
        <v>1620</v>
      </c>
      <c r="C274" s="2" t="s">
        <v>16</v>
      </c>
      <c r="D274" s="2" t="s">
        <v>2150</v>
      </c>
      <c r="E274" s="2">
        <v>12</v>
      </c>
      <c r="F274" s="2">
        <v>11.9</v>
      </c>
      <c r="G274" s="13">
        <f t="shared" si="4"/>
        <v>11.95</v>
      </c>
      <c r="H274" s="2">
        <v>1</v>
      </c>
    </row>
    <row r="275" spans="1:8" x14ac:dyDescent="0.25">
      <c r="A275" s="2" t="s">
        <v>2529</v>
      </c>
      <c r="B275" s="2" t="s">
        <v>2189</v>
      </c>
      <c r="C275" s="2" t="s">
        <v>2160</v>
      </c>
      <c r="D275" s="2" t="s">
        <v>2155</v>
      </c>
      <c r="E275" s="2">
        <v>13.9</v>
      </c>
      <c r="F275" s="2">
        <v>4</v>
      </c>
      <c r="G275" s="13">
        <f t="shared" si="4"/>
        <v>8.9499999999999993</v>
      </c>
      <c r="H275" s="2">
        <v>2</v>
      </c>
    </row>
    <row r="276" spans="1:8" x14ac:dyDescent="0.25">
      <c r="A276" s="2" t="s">
        <v>2530</v>
      </c>
      <c r="B276" s="2" t="s">
        <v>1514</v>
      </c>
      <c r="C276" s="2" t="s">
        <v>2149</v>
      </c>
      <c r="D276" s="2" t="s">
        <v>2161</v>
      </c>
      <c r="E276" s="2">
        <v>9.9</v>
      </c>
      <c r="F276" s="2">
        <v>15.2</v>
      </c>
      <c r="G276" s="13">
        <f t="shared" si="4"/>
        <v>12.55</v>
      </c>
      <c r="H276" s="2">
        <v>2</v>
      </c>
    </row>
    <row r="277" spans="1:8" x14ac:dyDescent="0.25">
      <c r="A277" s="2" t="s">
        <v>2531</v>
      </c>
      <c r="B277" s="2" t="s">
        <v>1657</v>
      </c>
      <c r="C277" s="2" t="s">
        <v>2169</v>
      </c>
      <c r="D277" s="2" t="s">
        <v>2161</v>
      </c>
      <c r="E277" s="2">
        <v>11.6</v>
      </c>
      <c r="F277" s="2">
        <v>13.8</v>
      </c>
      <c r="G277" s="13">
        <f t="shared" si="4"/>
        <v>12.7</v>
      </c>
      <c r="H277" s="2">
        <v>1</v>
      </c>
    </row>
    <row r="278" spans="1:8" x14ac:dyDescent="0.25">
      <c r="A278" s="2" t="s">
        <v>2532</v>
      </c>
      <c r="B278" s="2" t="s">
        <v>2533</v>
      </c>
      <c r="C278" s="2" t="s">
        <v>2167</v>
      </c>
      <c r="D278" s="2" t="s">
        <v>2155</v>
      </c>
      <c r="E278" s="2">
        <v>15.3</v>
      </c>
      <c r="F278" s="2">
        <v>18.7</v>
      </c>
      <c r="G278" s="13">
        <f t="shared" si="4"/>
        <v>17</v>
      </c>
      <c r="H278" s="2">
        <v>2</v>
      </c>
    </row>
    <row r="279" spans="1:8" x14ac:dyDescent="0.25">
      <c r="A279" s="2" t="s">
        <v>2534</v>
      </c>
      <c r="B279" s="2" t="s">
        <v>2337</v>
      </c>
      <c r="C279" s="2" t="s">
        <v>2167</v>
      </c>
      <c r="D279" s="2" t="s">
        <v>2161</v>
      </c>
      <c r="E279" s="2">
        <v>12.4</v>
      </c>
      <c r="F279" s="2">
        <v>15.4</v>
      </c>
      <c r="G279" s="13">
        <f t="shared" si="4"/>
        <v>13.9</v>
      </c>
      <c r="H279" s="2">
        <v>1</v>
      </c>
    </row>
    <row r="280" spans="1:8" x14ac:dyDescent="0.25">
      <c r="A280" s="2" t="s">
        <v>2535</v>
      </c>
      <c r="B280" s="2" t="s">
        <v>2536</v>
      </c>
      <c r="C280" s="2" t="s">
        <v>2149</v>
      </c>
      <c r="D280" s="2" t="s">
        <v>2155</v>
      </c>
      <c r="E280" s="2">
        <v>14.7</v>
      </c>
      <c r="F280" s="2">
        <v>7</v>
      </c>
      <c r="G280" s="13">
        <f t="shared" si="4"/>
        <v>10.85</v>
      </c>
      <c r="H280" s="2">
        <v>2</v>
      </c>
    </row>
    <row r="281" spans="1:8" x14ac:dyDescent="0.25">
      <c r="A281" s="2" t="s">
        <v>2537</v>
      </c>
      <c r="B281" s="2" t="s">
        <v>1546</v>
      </c>
      <c r="C281" s="2" t="s">
        <v>2169</v>
      </c>
      <c r="D281" s="2" t="s">
        <v>2161</v>
      </c>
      <c r="E281" s="2">
        <v>14.7</v>
      </c>
      <c r="F281" s="2">
        <v>8.3000000000000007</v>
      </c>
      <c r="G281" s="13">
        <f t="shared" si="4"/>
        <v>11.5</v>
      </c>
      <c r="H281" s="2">
        <v>2</v>
      </c>
    </row>
    <row r="282" spans="1:8" x14ac:dyDescent="0.25">
      <c r="A282" s="2" t="s">
        <v>2538</v>
      </c>
      <c r="B282" s="2" t="s">
        <v>1468</v>
      </c>
      <c r="C282" s="2" t="s">
        <v>2167</v>
      </c>
      <c r="D282" s="2" t="s">
        <v>2158</v>
      </c>
      <c r="E282" s="2">
        <v>9.1</v>
      </c>
      <c r="F282" s="2">
        <v>10.6</v>
      </c>
      <c r="G282" s="13">
        <f t="shared" si="4"/>
        <v>9.85</v>
      </c>
      <c r="H282" s="2">
        <v>2</v>
      </c>
    </row>
    <row r="283" spans="1:8" x14ac:dyDescent="0.25">
      <c r="A283" s="2" t="s">
        <v>2539</v>
      </c>
      <c r="B283" s="2" t="s">
        <v>2387</v>
      </c>
      <c r="C283" s="2" t="s">
        <v>2167</v>
      </c>
      <c r="D283" s="2" t="s">
        <v>2150</v>
      </c>
      <c r="E283" s="2">
        <v>5.8</v>
      </c>
      <c r="F283" s="2">
        <v>9.9</v>
      </c>
      <c r="G283" s="13">
        <f t="shared" si="4"/>
        <v>7.85</v>
      </c>
      <c r="H283" s="2">
        <v>2</v>
      </c>
    </row>
    <row r="284" spans="1:8" x14ac:dyDescent="0.25">
      <c r="A284" s="2" t="s">
        <v>2540</v>
      </c>
      <c r="B284" s="2" t="s">
        <v>2367</v>
      </c>
      <c r="C284" s="2" t="s">
        <v>16</v>
      </c>
      <c r="D284" s="2" t="s">
        <v>2155</v>
      </c>
      <c r="E284" s="2">
        <v>9.4</v>
      </c>
      <c r="F284" s="2">
        <v>6.6</v>
      </c>
      <c r="G284" s="13">
        <f t="shared" si="4"/>
        <v>8</v>
      </c>
      <c r="H284" s="2">
        <v>2</v>
      </c>
    </row>
    <row r="285" spans="1:8" x14ac:dyDescent="0.25">
      <c r="A285" s="2" t="s">
        <v>2541</v>
      </c>
      <c r="B285" s="2" t="s">
        <v>2542</v>
      </c>
      <c r="C285" s="2" t="s">
        <v>2160</v>
      </c>
      <c r="D285" s="2" t="s">
        <v>2155</v>
      </c>
      <c r="E285" s="2">
        <v>3.3</v>
      </c>
      <c r="F285" s="2">
        <v>12.7</v>
      </c>
      <c r="G285" s="13">
        <f t="shared" si="4"/>
        <v>8</v>
      </c>
      <c r="H285" s="2">
        <v>1</v>
      </c>
    </row>
    <row r="286" spans="1:8" x14ac:dyDescent="0.25">
      <c r="A286" s="2" t="s">
        <v>2543</v>
      </c>
      <c r="B286" s="2" t="s">
        <v>2544</v>
      </c>
      <c r="C286" s="2" t="s">
        <v>2160</v>
      </c>
      <c r="D286" s="2" t="s">
        <v>2161</v>
      </c>
      <c r="E286" s="2">
        <v>3</v>
      </c>
      <c r="F286" s="2">
        <v>18.8</v>
      </c>
      <c r="G286" s="13">
        <f t="shared" si="4"/>
        <v>10.9</v>
      </c>
      <c r="H286" s="2">
        <v>2</v>
      </c>
    </row>
    <row r="287" spans="1:8" x14ac:dyDescent="0.25">
      <c r="A287" s="2" t="s">
        <v>2545</v>
      </c>
      <c r="B287" s="2" t="s">
        <v>1628</v>
      </c>
      <c r="C287" s="2" t="s">
        <v>2167</v>
      </c>
      <c r="D287" s="2" t="s">
        <v>2150</v>
      </c>
      <c r="E287" s="2">
        <v>3.4</v>
      </c>
      <c r="F287" s="2">
        <v>17.5</v>
      </c>
      <c r="G287" s="13">
        <f t="shared" si="4"/>
        <v>10.45</v>
      </c>
      <c r="H287" s="2">
        <v>1</v>
      </c>
    </row>
    <row r="288" spans="1:8" x14ac:dyDescent="0.25">
      <c r="A288" s="2" t="s">
        <v>2546</v>
      </c>
      <c r="B288" s="2" t="s">
        <v>2175</v>
      </c>
      <c r="C288" s="2" t="s">
        <v>2160</v>
      </c>
      <c r="D288" s="2" t="s">
        <v>2155</v>
      </c>
      <c r="E288" s="2">
        <v>13.2</v>
      </c>
      <c r="F288" s="2">
        <v>11</v>
      </c>
      <c r="G288" s="13">
        <f t="shared" si="4"/>
        <v>12.1</v>
      </c>
      <c r="H288" s="2">
        <v>1</v>
      </c>
    </row>
    <row r="289" spans="1:8" x14ac:dyDescent="0.25">
      <c r="A289" s="2" t="s">
        <v>2547</v>
      </c>
      <c r="B289" s="2" t="s">
        <v>1738</v>
      </c>
      <c r="C289" s="2" t="s">
        <v>2169</v>
      </c>
      <c r="D289" s="2" t="s">
        <v>2150</v>
      </c>
      <c r="E289" s="2">
        <v>12.6</v>
      </c>
      <c r="F289" s="2">
        <v>12.2</v>
      </c>
      <c r="G289" s="13">
        <f t="shared" si="4"/>
        <v>12.399999999999999</v>
      </c>
      <c r="H289" s="2">
        <v>2</v>
      </c>
    </row>
    <row r="290" spans="1:8" x14ac:dyDescent="0.25">
      <c r="A290" s="2" t="s">
        <v>2548</v>
      </c>
      <c r="B290" s="2" t="s">
        <v>1550</v>
      </c>
      <c r="C290" s="2" t="s">
        <v>2160</v>
      </c>
      <c r="D290" s="2" t="s">
        <v>2158</v>
      </c>
      <c r="E290" s="2">
        <v>3.5</v>
      </c>
      <c r="F290" s="2">
        <v>3.6</v>
      </c>
      <c r="G290" s="13">
        <f t="shared" si="4"/>
        <v>3.55</v>
      </c>
      <c r="H290" s="2">
        <v>1</v>
      </c>
    </row>
    <row r="291" spans="1:8" x14ac:dyDescent="0.25">
      <c r="A291" s="2" t="s">
        <v>2549</v>
      </c>
      <c r="B291" s="2" t="s">
        <v>2550</v>
      </c>
      <c r="C291" s="2" t="s">
        <v>2167</v>
      </c>
      <c r="D291" s="2" t="s">
        <v>2161</v>
      </c>
      <c r="E291" s="2">
        <v>8.6</v>
      </c>
      <c r="F291" s="2">
        <v>5.9</v>
      </c>
      <c r="G291" s="13">
        <f t="shared" si="4"/>
        <v>7.25</v>
      </c>
      <c r="H291" s="2">
        <v>1</v>
      </c>
    </row>
    <row r="292" spans="1:8" x14ac:dyDescent="0.25">
      <c r="A292" s="2" t="s">
        <v>2551</v>
      </c>
      <c r="B292" s="2" t="s">
        <v>2334</v>
      </c>
      <c r="C292" s="2" t="s">
        <v>2169</v>
      </c>
      <c r="D292" s="2" t="s">
        <v>2161</v>
      </c>
      <c r="E292" s="2">
        <v>12.7</v>
      </c>
      <c r="F292" s="2">
        <v>19</v>
      </c>
      <c r="G292" s="13">
        <f t="shared" si="4"/>
        <v>15.85</v>
      </c>
      <c r="H292" s="2">
        <v>2</v>
      </c>
    </row>
    <row r="293" spans="1:8" x14ac:dyDescent="0.25">
      <c r="A293" s="2" t="s">
        <v>2552</v>
      </c>
      <c r="B293" s="2" t="s">
        <v>2367</v>
      </c>
      <c r="C293" s="2" t="s">
        <v>2149</v>
      </c>
      <c r="D293" s="2" t="s">
        <v>2158</v>
      </c>
      <c r="E293" s="2">
        <v>18.100000000000001</v>
      </c>
      <c r="F293" s="2">
        <v>13.7</v>
      </c>
      <c r="G293" s="13">
        <f t="shared" si="4"/>
        <v>15.9</v>
      </c>
      <c r="H293" s="2">
        <v>1</v>
      </c>
    </row>
    <row r="294" spans="1:8" x14ac:dyDescent="0.25">
      <c r="A294" s="2" t="s">
        <v>2553</v>
      </c>
      <c r="B294" s="2" t="s">
        <v>1525</v>
      </c>
      <c r="C294" s="2" t="s">
        <v>2167</v>
      </c>
      <c r="D294" s="2" t="s">
        <v>2158</v>
      </c>
      <c r="E294" s="2">
        <v>6.8</v>
      </c>
      <c r="F294" s="2">
        <v>16.100000000000001</v>
      </c>
      <c r="G294" s="13">
        <f t="shared" si="4"/>
        <v>11.450000000000001</v>
      </c>
      <c r="H294" s="2">
        <v>1</v>
      </c>
    </row>
    <row r="295" spans="1:8" x14ac:dyDescent="0.25">
      <c r="A295" s="2" t="s">
        <v>2554</v>
      </c>
      <c r="B295" s="2" t="s">
        <v>2352</v>
      </c>
      <c r="C295" s="2" t="s">
        <v>2169</v>
      </c>
      <c r="D295" s="2" t="s">
        <v>2155</v>
      </c>
      <c r="E295" s="2">
        <v>17.7</v>
      </c>
      <c r="F295" s="2">
        <v>17.7</v>
      </c>
      <c r="G295" s="13">
        <f t="shared" si="4"/>
        <v>17.7</v>
      </c>
      <c r="H295" s="2">
        <v>2</v>
      </c>
    </row>
    <row r="296" spans="1:8" x14ac:dyDescent="0.25">
      <c r="A296" s="2" t="s">
        <v>2555</v>
      </c>
      <c r="B296" s="2" t="s">
        <v>2556</v>
      </c>
      <c r="C296" s="2" t="s">
        <v>16</v>
      </c>
      <c r="D296" s="2" t="s">
        <v>2150</v>
      </c>
      <c r="E296" s="2">
        <v>17.600000000000001</v>
      </c>
      <c r="F296" s="2">
        <v>12</v>
      </c>
      <c r="G296" s="13">
        <f t="shared" si="4"/>
        <v>14.8</v>
      </c>
      <c r="H296" s="2">
        <v>2</v>
      </c>
    </row>
    <row r="297" spans="1:8" x14ac:dyDescent="0.25">
      <c r="A297" s="2" t="s">
        <v>2557</v>
      </c>
      <c r="B297" s="2" t="s">
        <v>2394</v>
      </c>
      <c r="C297" s="2" t="s">
        <v>16</v>
      </c>
      <c r="D297" s="2" t="s">
        <v>2161</v>
      </c>
      <c r="E297" s="2">
        <v>8.1</v>
      </c>
      <c r="F297" s="2">
        <v>10.199999999999999</v>
      </c>
      <c r="G297" s="13">
        <f t="shared" si="4"/>
        <v>9.1499999999999986</v>
      </c>
      <c r="H297" s="2">
        <v>2</v>
      </c>
    </row>
    <row r="298" spans="1:8" x14ac:dyDescent="0.25">
      <c r="A298" s="2" t="s">
        <v>2558</v>
      </c>
      <c r="B298" s="2" t="s">
        <v>2382</v>
      </c>
      <c r="C298" s="2" t="s">
        <v>2160</v>
      </c>
      <c r="D298" s="2" t="s">
        <v>2161</v>
      </c>
      <c r="E298" s="2">
        <v>9</v>
      </c>
      <c r="F298" s="2">
        <v>10.8</v>
      </c>
      <c r="G298" s="13">
        <f t="shared" si="4"/>
        <v>9.9</v>
      </c>
      <c r="H298" s="2">
        <v>2</v>
      </c>
    </row>
    <row r="299" spans="1:8" x14ac:dyDescent="0.25">
      <c r="A299" s="2" t="s">
        <v>2559</v>
      </c>
      <c r="B299" s="2" t="s">
        <v>1361</v>
      </c>
      <c r="C299" s="2" t="s">
        <v>2169</v>
      </c>
      <c r="D299" s="2" t="s">
        <v>2155</v>
      </c>
      <c r="E299" s="2">
        <v>7.9</v>
      </c>
      <c r="F299" s="2">
        <v>18.899999999999999</v>
      </c>
      <c r="G299" s="13">
        <f t="shared" si="4"/>
        <v>13.399999999999999</v>
      </c>
      <c r="H299" s="2">
        <v>1</v>
      </c>
    </row>
    <row r="300" spans="1:8" x14ac:dyDescent="0.25">
      <c r="A300" s="2" t="s">
        <v>2560</v>
      </c>
      <c r="B300" s="2" t="s">
        <v>2561</v>
      </c>
      <c r="C300" s="2" t="s">
        <v>2169</v>
      </c>
      <c r="D300" s="2" t="s">
        <v>2150</v>
      </c>
      <c r="E300" s="2">
        <v>18.100000000000001</v>
      </c>
      <c r="F300" s="2">
        <v>7.9</v>
      </c>
      <c r="G300" s="13">
        <f t="shared" si="4"/>
        <v>13</v>
      </c>
      <c r="H300" s="2">
        <v>2</v>
      </c>
    </row>
    <row r="301" spans="1:8" x14ac:dyDescent="0.25">
      <c r="A301" s="2" t="s">
        <v>2562</v>
      </c>
      <c r="B301" s="2" t="s">
        <v>2563</v>
      </c>
      <c r="C301" s="2" t="s">
        <v>16</v>
      </c>
      <c r="D301" s="2" t="s">
        <v>2150</v>
      </c>
      <c r="E301" s="2">
        <v>14.8</v>
      </c>
      <c r="F301" s="2">
        <v>11.5</v>
      </c>
      <c r="G301" s="13">
        <f t="shared" si="4"/>
        <v>13.15</v>
      </c>
      <c r="H301" s="2">
        <v>2</v>
      </c>
    </row>
    <row r="302" spans="1:8" x14ac:dyDescent="0.25">
      <c r="A302" s="2" t="s">
        <v>2564</v>
      </c>
      <c r="B302" s="2" t="s">
        <v>2565</v>
      </c>
      <c r="C302" s="2" t="s">
        <v>2169</v>
      </c>
      <c r="D302" s="2" t="s">
        <v>2150</v>
      </c>
      <c r="E302" s="2">
        <v>18.399999999999999</v>
      </c>
      <c r="F302" s="2">
        <v>3.8</v>
      </c>
      <c r="G302" s="13">
        <f t="shared" si="4"/>
        <v>11.1</v>
      </c>
      <c r="H302" s="2">
        <v>2</v>
      </c>
    </row>
    <row r="303" spans="1:8" x14ac:dyDescent="0.25">
      <c r="A303" s="2" t="s">
        <v>2566</v>
      </c>
      <c r="B303" s="2" t="s">
        <v>1699</v>
      </c>
      <c r="C303" s="2" t="s">
        <v>16</v>
      </c>
      <c r="D303" s="2" t="s">
        <v>2150</v>
      </c>
      <c r="E303" s="2">
        <v>13.9</v>
      </c>
      <c r="F303" s="2">
        <v>3.7</v>
      </c>
      <c r="G303" s="13">
        <f t="shared" si="4"/>
        <v>8.8000000000000007</v>
      </c>
      <c r="H303" s="2">
        <v>1</v>
      </c>
    </row>
    <row r="304" spans="1:8" x14ac:dyDescent="0.25">
      <c r="A304" s="2" t="s">
        <v>2567</v>
      </c>
      <c r="B304" s="2" t="s">
        <v>2568</v>
      </c>
      <c r="C304" s="2" t="s">
        <v>2149</v>
      </c>
      <c r="D304" s="2" t="s">
        <v>2155</v>
      </c>
      <c r="E304" s="2">
        <v>14.4</v>
      </c>
      <c r="F304" s="2">
        <v>4.2</v>
      </c>
      <c r="G304" s="13">
        <f t="shared" si="4"/>
        <v>9.3000000000000007</v>
      </c>
      <c r="H304" s="2">
        <v>1</v>
      </c>
    </row>
    <row r="306" spans="1:8" x14ac:dyDescent="0.25">
      <c r="A306" s="23" t="s">
        <v>2569</v>
      </c>
      <c r="B306" s="23"/>
      <c r="C306" s="23"/>
      <c r="D306" s="23"/>
      <c r="E306" s="23"/>
      <c r="F306" s="23"/>
      <c r="G306" s="23"/>
      <c r="H306" s="23"/>
    </row>
    <row r="307" spans="1:8" x14ac:dyDescent="0.25">
      <c r="A307" s="2" t="s">
        <v>2141</v>
      </c>
    </row>
    <row r="308" spans="1:8" x14ac:dyDescent="0.25">
      <c r="A308" s="2" t="s">
        <v>16</v>
      </c>
    </row>
    <row r="310" spans="1:8" x14ac:dyDescent="0.25">
      <c r="A310" s="23" t="s">
        <v>2136</v>
      </c>
      <c r="B310" s="23"/>
      <c r="C310" s="23"/>
      <c r="D310" s="23"/>
      <c r="E310" s="23"/>
      <c r="F310" s="23"/>
      <c r="G310" s="23"/>
      <c r="H310" s="23"/>
    </row>
    <row r="311" spans="1:8" x14ac:dyDescent="0.25">
      <c r="A311" s="24" t="s">
        <v>2570</v>
      </c>
      <c r="B311" s="24"/>
      <c r="C311" s="24"/>
      <c r="D311" s="24"/>
      <c r="E311" s="24"/>
      <c r="F311" s="24"/>
      <c r="G311" s="13">
        <f>DAVERAGE($A$4:$H$304,$G$4,$A$307:$A$308)</f>
        <v>11.194444444444443</v>
      </c>
    </row>
    <row r="313" spans="1:8" x14ac:dyDescent="0.25">
      <c r="A313" s="23" t="s">
        <v>2571</v>
      </c>
      <c r="B313" s="23"/>
      <c r="C313" s="23"/>
      <c r="D313" s="23"/>
      <c r="E313" s="23"/>
      <c r="F313" s="23"/>
      <c r="G313" s="23"/>
      <c r="H313" s="23"/>
    </row>
    <row r="314" spans="1:8" ht="27.75" customHeight="1" x14ac:dyDescent="0.25">
      <c r="A314" s="5" t="s">
        <v>2141</v>
      </c>
      <c r="B314" s="5" t="s">
        <v>2572</v>
      </c>
      <c r="C314" s="5" t="s">
        <v>2573</v>
      </c>
    </row>
    <row r="315" spans="1:8" x14ac:dyDescent="0.25">
      <c r="A315" s="2" t="s">
        <v>2167</v>
      </c>
      <c r="B315" s="2">
        <f>COUNTIF($C$5:$C$304,A315)</f>
        <v>69</v>
      </c>
      <c r="C315" s="14">
        <f>IFERROR(AVERAGEIF($C$5:$C$304,A315,$G$5:$G$304),"-")</f>
        <v>11.110144927536235</v>
      </c>
    </row>
    <row r="316" spans="1:8" x14ac:dyDescent="0.25">
      <c r="A316" s="2" t="s">
        <v>2149</v>
      </c>
      <c r="B316" s="2">
        <f>COUNTIF($C$5:$C$304,A316)</f>
        <v>60</v>
      </c>
      <c r="C316" s="14">
        <f>IFERROR(AVERAGEIF($C$5:$C$304,A316,$G$5:$G$304),"-")</f>
        <v>10.895</v>
      </c>
    </row>
    <row r="317" spans="1:8" x14ac:dyDescent="0.25">
      <c r="A317" s="2" t="s">
        <v>2160</v>
      </c>
      <c r="B317" s="2">
        <f>COUNTIF($C$5:$C$304,A317)</f>
        <v>56</v>
      </c>
      <c r="C317" s="14">
        <f>IFERROR(AVERAGEIF($C$5:$C$304,A317,$G$5:$G$304),"-")</f>
        <v>11.216964285714287</v>
      </c>
    </row>
    <row r="318" spans="1:8" x14ac:dyDescent="0.25">
      <c r="A318" s="2" t="s">
        <v>16</v>
      </c>
      <c r="B318" s="2">
        <f>COUNTIF($C$5:$C$304,A318)</f>
        <v>54</v>
      </c>
      <c r="C318" s="14">
        <f>IFERROR(AVERAGEIF($C$5:$C$304,A318,$G$5:$G$304),"-")</f>
        <v>11.194444444444443</v>
      </c>
    </row>
    <row r="319" spans="1:8" x14ac:dyDescent="0.25">
      <c r="A319" s="2" t="s">
        <v>2169</v>
      </c>
      <c r="B319" s="2">
        <f>COUNTIF($C$5:$C$304,A319)</f>
        <v>61</v>
      </c>
      <c r="C319" s="14">
        <f>IFERROR(AVERAGEIF($C$5:$C$304,A319,$G$5:$G$304),"-")</f>
        <v>11.593442622950823</v>
      </c>
    </row>
    <row r="321" spans="1:1" x14ac:dyDescent="0.25">
      <c r="A321" s="9" t="s">
        <v>742</v>
      </c>
    </row>
  </sheetData>
  <sheetProtection algorithmName="SHA-512" hashValue="XmI0RGJfAn7oIeNRQO/s6oZyOAFGBtiL59cnuSltKK2F5/AXjH2TpV5L92S4NVw/xuW11Skhko09czdg8BdbEg==" saltValue="tqS93NT1fRj9Copfu3npWQ==" spinCount="100000" sheet="1" objects="1" scenarios="1"/>
  <mergeCells count="5">
    <mergeCell ref="A1:H1"/>
    <mergeCell ref="A306:H306"/>
    <mergeCell ref="A310:H310"/>
    <mergeCell ref="A311:F311"/>
    <mergeCell ref="A313:H313"/>
  </mergeCells>
  <dataValidations count="2">
    <dataValidation type="list" allowBlank="1" showInputMessage="1" showErrorMessage="1" sqref="H5:H304" xr:uid="{127C81FD-29E1-49E9-A22B-8768CFC35D9A}">
      <mc:AlternateContent xmlns:x12ac="http://schemas.microsoft.com/office/spreadsheetml/2011/1/ac" xmlns:mc="http://schemas.openxmlformats.org/markup-compatibility/2006">
        <mc:Choice Requires="x12ac">
          <x12ac:list>"1,2"</x12ac:list>
        </mc:Choice>
        <mc:Fallback>
          <formula1>"1,2"</formula1>
        </mc:Fallback>
      </mc:AlternateContent>
    </dataValidation>
    <dataValidation type="decimal" allowBlank="1" showInputMessage="1" showErrorMessage="1" errorTitle="Valeur refusee" error="La note doit etre comprise entre 0 et 20." promptTitle="Note" prompt="Note comprise entre 0 et 20" sqref="E5:F304" xr:uid="{83CA7D56-D5A2-481C-AEC9-6F538E3CDFF0}">
      <formula1>0</formula1>
      <formula2>20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2</vt:i4>
      </vt:variant>
    </vt:vector>
  </HeadingPairs>
  <TitlesOfParts>
    <vt:vector size="11" baseType="lpstr">
      <vt:lpstr>Exercice 1</vt:lpstr>
      <vt:lpstr>TCD Vendeur</vt:lpstr>
      <vt:lpstr>TCD Region x Categorie</vt:lpstr>
      <vt:lpstr>Exercice 2</vt:lpstr>
      <vt:lpstr>Exercice 3</vt:lpstr>
      <vt:lpstr>Exercice 4</vt:lpstr>
      <vt:lpstr>TCD Stock</vt:lpstr>
      <vt:lpstr>Exercice 5</vt:lpstr>
      <vt:lpstr>Exercice 6</vt:lpstr>
      <vt:lpstr>'Exercice 4'!Criteres</vt:lpstr>
      <vt:lpstr>'Exercice 4'!Extraire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[NOM Prénom]</dc:creator>
  <dc:description/>
  <cp:lastModifiedBy>[NOM Prénom]</cp:lastModifiedBy>
  <cp:revision>0</cp:revision>
  <dcterms:created xsi:type="dcterms:W3CDTF">2026-09-06T15:03:46Z</dcterms:created>
  <dcterms:modified xsi:type="dcterms:W3CDTF">2026-09-22T09:11:30Z</dcterms:modified>
  <dc:language>en-US</dc:language>
</cp:coreProperties>
</file>